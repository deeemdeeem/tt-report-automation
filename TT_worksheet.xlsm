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tables/table1.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dtg93\Desktop\TruTrade\ReportAutomation\"/>
    </mc:Choice>
  </mc:AlternateContent>
  <xr:revisionPtr revIDLastSave="0" documentId="13_ncr:1_{455997E7-30DA-43EC-9E52-807F2B6FB0AC}" xr6:coauthVersionLast="47" xr6:coauthVersionMax="47" xr10:uidLastSave="{00000000-0000-0000-0000-000000000000}"/>
  <bookViews>
    <workbookView xWindow="1200" yWindow="585" windowWidth="24300" windowHeight="18330" tabRatio="844" activeTab="9" xr2:uid="{00000000-000D-0000-FFFF-FFFF00000000}"/>
  </bookViews>
  <sheets>
    <sheet name="INSTRUCTIONS" sheetId="19" r:id="rId1"/>
    <sheet name="LeasingInfographic" sheetId="12" r:id="rId2"/>
    <sheet name="DemoInfographic" sheetId="14" state="hidden" r:id="rId3"/>
    <sheet name="CompetitiveMarketPosition" sheetId="5" r:id="rId4"/>
    <sheet name="MileageDemo" sheetId="13" r:id="rId5"/>
    <sheet name="DrawDemo" sheetId="15" r:id="rId6"/>
    <sheet name="ZipCodes" sheetId="6" r:id="rId7"/>
    <sheet name="DistanceTravelled" sheetId="1" r:id="rId8"/>
    <sheet name="Frequency" sheetId="2" r:id="rId9"/>
    <sheet name="Duration" sheetId="3" r:id="rId10"/>
    <sheet name="States" sheetId="8" r:id="rId11"/>
    <sheet name="Summary" sheetId="25" r:id="rId12"/>
    <sheet name="YOY Change" sheetId="26" r:id="rId13"/>
    <sheet name="Prev Year" sheetId="27" r:id="rId14"/>
    <sheet name="-State Lookup-" sheetId="10" state="hidden" r:id="rId15"/>
    <sheet name="Overlay" sheetId="18"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s>
  <definedNames>
    <definedName name="_xlnm._FilterDatabase" localSheetId="12" hidden="1">'YOY Change'!$H$1:$J$6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4" i="6" l="1"/>
  <c r="F5" i="6" s="1"/>
  <c r="F6" i="6" s="1"/>
  <c r="F7" i="6" s="1"/>
  <c r="F8" i="6" s="1"/>
  <c r="F9" i="6" s="1"/>
  <c r="F10" i="6" s="1"/>
  <c r="F11" i="6" s="1"/>
  <c r="F12" i="6" s="1"/>
  <c r="F13" i="6" s="1"/>
  <c r="F14" i="6" s="1"/>
  <c r="F15" i="6" s="1"/>
  <c r="F16" i="6" s="1"/>
  <c r="F17" i="6" s="1"/>
  <c r="F18" i="6" s="1"/>
  <c r="F19" i="6" s="1"/>
  <c r="F20" i="6" s="1"/>
  <c r="F21" i="6" s="1"/>
  <c r="F22" i="6" s="1"/>
  <c r="F23" i="6" s="1"/>
  <c r="F24" i="6" s="1"/>
  <c r="F25" i="6" s="1"/>
  <c r="F26" i="6" s="1"/>
  <c r="F3" i="6"/>
  <c r="F2" i="6"/>
  <c r="W25" i="15"/>
  <c r="X25" i="15"/>
  <c r="W26" i="15"/>
  <c r="X26" i="15"/>
  <c r="W27" i="15"/>
  <c r="X27" i="15"/>
  <c r="W28" i="15"/>
  <c r="X28" i="15"/>
  <c r="X24" i="15"/>
  <c r="W24" i="15"/>
  <c r="R25" i="15"/>
  <c r="R26" i="15"/>
  <c r="R27" i="15"/>
  <c r="R28" i="15"/>
  <c r="R24" i="15"/>
  <c r="B28" i="12"/>
  <c r="B29" i="12"/>
  <c r="I2" i="3" a="1"/>
  <c r="H2" i="2" a="1"/>
  <c r="M9" i="1" a="1"/>
  <c r="M2" i="1" a="1"/>
  <c r="S2" i="15" a="1"/>
  <c r="O8" i="6" a="1"/>
  <c r="O2" i="6" a="1"/>
  <c r="B38" i="12" a="1"/>
  <c r="O8" i="6" l="1"/>
  <c r="B35" i="12" s="1"/>
  <c r="I2" i="3"/>
  <c r="B34" i="12" s="1"/>
  <c r="H2" i="2"/>
  <c r="B33" i="12" s="1"/>
  <c r="M9" i="1"/>
  <c r="B36" i="12" s="1"/>
  <c r="M2" i="1"/>
  <c r="B32" i="12" s="1"/>
  <c r="O2" i="6"/>
  <c r="B31" i="12" s="1"/>
  <c r="S2" i="15"/>
  <c r="B30" i="12" s="1"/>
  <c r="B38" i="12"/>
  <c r="A2" i="5"/>
  <c r="B2" i="5"/>
  <c r="C2" i="5"/>
  <c r="D2" i="5"/>
  <c r="E2" i="5"/>
  <c r="F2" i="5"/>
  <c r="G2" i="5"/>
  <c r="A3" i="5"/>
  <c r="B3" i="5"/>
  <c r="C3" i="5"/>
  <c r="D3" i="5"/>
  <c r="E3" i="5"/>
  <c r="F3" i="5"/>
  <c r="G3" i="5"/>
  <c r="A4" i="5"/>
  <c r="B4" i="5"/>
  <c r="C4" i="5"/>
  <c r="D4" i="5"/>
  <c r="E4" i="5"/>
  <c r="F4" i="5"/>
  <c r="G4" i="5"/>
  <c r="A5" i="5"/>
  <c r="B5" i="5"/>
  <c r="C5" i="5"/>
  <c r="D5" i="5"/>
  <c r="E5" i="5"/>
  <c r="F5" i="5"/>
  <c r="G5" i="5"/>
  <c r="A6" i="5"/>
  <c r="B6" i="5"/>
  <c r="C6" i="5"/>
  <c r="D6" i="5"/>
  <c r="E6" i="5"/>
  <c r="F6" i="5"/>
  <c r="G6" i="5"/>
  <c r="A7" i="5"/>
  <c r="B7" i="5"/>
  <c r="C7" i="5"/>
  <c r="D7" i="5"/>
  <c r="E7" i="5"/>
  <c r="F7" i="5"/>
  <c r="G7" i="5"/>
  <c r="A8" i="5"/>
  <c r="B8" i="5"/>
  <c r="C8" i="5"/>
  <c r="D8" i="5"/>
  <c r="E8" i="5"/>
  <c r="F8" i="5"/>
  <c r="G8" i="5"/>
  <c r="A9" i="5"/>
  <c r="B9" i="5"/>
  <c r="C9" i="5"/>
  <c r="D9" i="5"/>
  <c r="E9" i="5"/>
  <c r="F9" i="5"/>
  <c r="G9" i="5"/>
  <c r="A10" i="5"/>
  <c r="B10" i="5"/>
  <c r="C10" i="5"/>
  <c r="D10" i="5"/>
  <c r="E10" i="5"/>
  <c r="F10" i="5"/>
  <c r="G10" i="5"/>
  <c r="A11" i="5"/>
  <c r="B11" i="5"/>
  <c r="C11" i="5"/>
  <c r="D11" i="5"/>
  <c r="E11" i="5"/>
  <c r="F11" i="5"/>
  <c r="G11" i="5"/>
  <c r="A12" i="5"/>
  <c r="B12" i="5"/>
  <c r="C12" i="5"/>
  <c r="D12" i="5"/>
  <c r="E12" i="5"/>
  <c r="F12" i="5"/>
  <c r="G12" i="5"/>
  <c r="A13" i="5"/>
  <c r="B13" i="5"/>
  <c r="C13" i="5"/>
  <c r="D13" i="5"/>
  <c r="E13" i="5"/>
  <c r="F13" i="5"/>
  <c r="G13" i="5"/>
  <c r="A14" i="5"/>
  <c r="B14" i="5"/>
  <c r="C14" i="5"/>
  <c r="D14" i="5"/>
  <c r="E14" i="5"/>
  <c r="F14" i="5"/>
  <c r="G14" i="5"/>
  <c r="G15" i="5" l="1"/>
  <c r="C15" i="5"/>
  <c r="E15" i="5"/>
  <c r="L7" i="6"/>
  <c r="F28" i="13"/>
  <c r="E28" i="13"/>
  <c r="D28" i="13"/>
  <c r="C28" i="13"/>
  <c r="F27" i="13"/>
  <c r="E27" i="13"/>
  <c r="D27" i="13"/>
  <c r="C27" i="13"/>
  <c r="F26" i="13"/>
  <c r="E26" i="13"/>
  <c r="D26" i="13"/>
  <c r="C26" i="13"/>
  <c r="F25" i="13"/>
  <c r="E25" i="13"/>
  <c r="D25" i="13"/>
  <c r="C25" i="13"/>
  <c r="F24" i="13"/>
  <c r="E24" i="13"/>
  <c r="D24" i="13"/>
  <c r="C24" i="13"/>
  <c r="F23" i="13"/>
  <c r="E23" i="13"/>
  <c r="D23" i="13"/>
  <c r="C23" i="13"/>
  <c r="F22" i="13"/>
  <c r="E22" i="13"/>
  <c r="D22" i="13"/>
  <c r="C22" i="13"/>
  <c r="F21" i="13"/>
  <c r="E21" i="13"/>
  <c r="D21" i="13"/>
  <c r="C21" i="13"/>
  <c r="F20" i="13"/>
  <c r="E20" i="13"/>
  <c r="D20" i="13"/>
  <c r="C20" i="13"/>
  <c r="F19" i="13"/>
  <c r="E19" i="13"/>
  <c r="D19" i="13"/>
  <c r="C19" i="13"/>
  <c r="F18" i="13"/>
  <c r="E18" i="13"/>
  <c r="D18" i="13"/>
  <c r="C18" i="13"/>
  <c r="F17" i="13"/>
  <c r="E17" i="13"/>
  <c r="D17" i="13"/>
  <c r="C17" i="13"/>
  <c r="F16" i="13"/>
  <c r="E16" i="13"/>
  <c r="D16" i="13"/>
  <c r="C16" i="13"/>
  <c r="F15" i="13"/>
  <c r="E15" i="13"/>
  <c r="D15" i="13"/>
  <c r="C15" i="13"/>
  <c r="F14" i="13"/>
  <c r="E14" i="13"/>
  <c r="D14" i="13"/>
  <c r="C14" i="13"/>
  <c r="F13" i="13"/>
  <c r="E13" i="13"/>
  <c r="D13" i="13"/>
  <c r="C13" i="13"/>
  <c r="F12" i="13"/>
  <c r="E12" i="13"/>
  <c r="D12" i="13"/>
  <c r="C12" i="13"/>
  <c r="F11" i="13"/>
  <c r="E11" i="13"/>
  <c r="D11" i="13"/>
  <c r="C11" i="13"/>
  <c r="F10" i="13"/>
  <c r="E10" i="13"/>
  <c r="D10" i="13"/>
  <c r="C10" i="13"/>
  <c r="F9" i="13"/>
  <c r="E9" i="13"/>
  <c r="D9" i="13"/>
  <c r="C9" i="13"/>
  <c r="F8" i="13"/>
  <c r="E8" i="13"/>
  <c r="D8" i="13"/>
  <c r="C8" i="13"/>
  <c r="F7" i="13"/>
  <c r="E7" i="13"/>
  <c r="D7" i="13"/>
  <c r="C7" i="13"/>
  <c r="F6" i="13"/>
  <c r="E6" i="13"/>
  <c r="D6" i="13"/>
  <c r="C6" i="13"/>
  <c r="F5" i="13"/>
  <c r="E5" i="13"/>
  <c r="D5" i="13"/>
  <c r="C5" i="13"/>
  <c r="F4" i="13"/>
  <c r="E4" i="13"/>
  <c r="D4" i="13"/>
  <c r="C4" i="13"/>
  <c r="A3" i="1"/>
  <c r="B3" i="1"/>
  <c r="C3" i="1"/>
  <c r="D3" i="1"/>
  <c r="E3" i="1"/>
  <c r="F3" i="1"/>
  <c r="G3" i="1"/>
  <c r="H3" i="1"/>
  <c r="A4" i="1"/>
  <c r="B4" i="1"/>
  <c r="C4" i="1"/>
  <c r="D4" i="1"/>
  <c r="E4" i="1"/>
  <c r="F4" i="1"/>
  <c r="G4" i="1"/>
  <c r="H4" i="1"/>
  <c r="A5" i="1"/>
  <c r="B5" i="1"/>
  <c r="C5" i="1"/>
  <c r="D5" i="1"/>
  <c r="E5" i="1"/>
  <c r="F5" i="1"/>
  <c r="G5" i="1"/>
  <c r="H5" i="1"/>
  <c r="A6" i="1"/>
  <c r="B6" i="1"/>
  <c r="C6" i="1"/>
  <c r="D6" i="1"/>
  <c r="E6" i="1"/>
  <c r="F6" i="1"/>
  <c r="G6" i="1"/>
  <c r="H6" i="1"/>
  <c r="A7" i="1"/>
  <c r="B7" i="1"/>
  <c r="C7" i="1"/>
  <c r="D7" i="1"/>
  <c r="E7" i="1"/>
  <c r="F7" i="1"/>
  <c r="G7" i="1"/>
  <c r="H7" i="1"/>
  <c r="A8" i="1"/>
  <c r="B8" i="1"/>
  <c r="C8" i="1"/>
  <c r="D8" i="1"/>
  <c r="E8" i="1"/>
  <c r="F8" i="1"/>
  <c r="G8" i="1"/>
  <c r="H8" i="1"/>
  <c r="A9" i="1"/>
  <c r="B9" i="1"/>
  <c r="C9" i="1"/>
  <c r="D9" i="1"/>
  <c r="E9" i="1"/>
  <c r="F9" i="1"/>
  <c r="G9" i="1"/>
  <c r="H9" i="1"/>
  <c r="A10" i="1"/>
  <c r="B10" i="1"/>
  <c r="C10" i="1"/>
  <c r="D10" i="1"/>
  <c r="E10" i="1"/>
  <c r="F10" i="1"/>
  <c r="G10" i="1"/>
  <c r="H10" i="1"/>
  <c r="A11" i="1"/>
  <c r="B11" i="1"/>
  <c r="C11" i="1"/>
  <c r="D11" i="1"/>
  <c r="E11" i="1"/>
  <c r="F11" i="1"/>
  <c r="G11" i="1"/>
  <c r="H11" i="1"/>
  <c r="A12" i="1"/>
  <c r="B12" i="1"/>
  <c r="C12" i="1"/>
  <c r="D12" i="1"/>
  <c r="E12" i="1"/>
  <c r="F12" i="1"/>
  <c r="G12" i="1"/>
  <c r="H12" i="1"/>
  <c r="A13" i="1"/>
  <c r="B13" i="1"/>
  <c r="C13" i="1"/>
  <c r="D13" i="1"/>
  <c r="E13" i="1"/>
  <c r="F13" i="1"/>
  <c r="G13" i="1"/>
  <c r="H13" i="1"/>
  <c r="F14" i="3"/>
  <c r="E14" i="3"/>
  <c r="D14" i="3"/>
  <c r="C14" i="3"/>
  <c r="B14" i="3"/>
  <c r="A14" i="3"/>
  <c r="F13" i="3"/>
  <c r="E13" i="3"/>
  <c r="D13" i="3"/>
  <c r="C13" i="3"/>
  <c r="B13" i="3"/>
  <c r="A13" i="3"/>
  <c r="F12" i="3"/>
  <c r="E12" i="3"/>
  <c r="D12" i="3"/>
  <c r="C12" i="3"/>
  <c r="B12" i="3"/>
  <c r="A12" i="3"/>
  <c r="F11" i="3"/>
  <c r="E11" i="3"/>
  <c r="D11" i="3"/>
  <c r="C11" i="3"/>
  <c r="B11" i="3"/>
  <c r="A11" i="3"/>
  <c r="F10" i="3"/>
  <c r="E10" i="3"/>
  <c r="D10" i="3"/>
  <c r="C10" i="3"/>
  <c r="B10" i="3"/>
  <c r="A10" i="3"/>
  <c r="F9" i="3"/>
  <c r="E9" i="3"/>
  <c r="D9" i="3"/>
  <c r="C9" i="3"/>
  <c r="B9" i="3"/>
  <c r="A9" i="3"/>
  <c r="F8" i="3"/>
  <c r="E8" i="3"/>
  <c r="D8" i="3"/>
  <c r="C8" i="3"/>
  <c r="B8" i="3"/>
  <c r="A8" i="3"/>
  <c r="F7" i="3"/>
  <c r="E7" i="3"/>
  <c r="D7" i="3"/>
  <c r="C7" i="3"/>
  <c r="B7" i="3"/>
  <c r="A7" i="3"/>
  <c r="F6" i="3"/>
  <c r="E6" i="3"/>
  <c r="D6" i="3"/>
  <c r="C6" i="3"/>
  <c r="B6" i="3"/>
  <c r="A6" i="3"/>
  <c r="F5" i="3"/>
  <c r="E5" i="3"/>
  <c r="D5" i="3"/>
  <c r="C5" i="3"/>
  <c r="B5" i="3"/>
  <c r="A5" i="3"/>
  <c r="F4" i="3"/>
  <c r="E4" i="3"/>
  <c r="D4" i="3"/>
  <c r="C4" i="3"/>
  <c r="B4" i="3"/>
  <c r="A4" i="3"/>
  <c r="F3" i="3"/>
  <c r="E3" i="3"/>
  <c r="D3" i="3"/>
  <c r="C3" i="3"/>
  <c r="B3" i="3"/>
  <c r="A3" i="3"/>
  <c r="E14" i="2"/>
  <c r="D14" i="2"/>
  <c r="C14" i="2"/>
  <c r="B14" i="2"/>
  <c r="A14" i="2"/>
  <c r="E13" i="2"/>
  <c r="D13" i="2"/>
  <c r="C13" i="2"/>
  <c r="B13" i="2"/>
  <c r="A13" i="2"/>
  <c r="E12" i="2"/>
  <c r="D12" i="2"/>
  <c r="C12" i="2"/>
  <c r="B12" i="2"/>
  <c r="A12" i="2"/>
  <c r="E11" i="2"/>
  <c r="D11" i="2"/>
  <c r="C11" i="2"/>
  <c r="B11" i="2"/>
  <c r="A11" i="2"/>
  <c r="E10" i="2"/>
  <c r="D10" i="2"/>
  <c r="C10" i="2"/>
  <c r="B10" i="2"/>
  <c r="A10" i="2"/>
  <c r="E9" i="2"/>
  <c r="D9" i="2"/>
  <c r="C9" i="2"/>
  <c r="B9" i="2"/>
  <c r="A9" i="2"/>
  <c r="E8" i="2"/>
  <c r="D8" i="2"/>
  <c r="C8" i="2"/>
  <c r="B8" i="2"/>
  <c r="A8" i="2"/>
  <c r="E7" i="2"/>
  <c r="D7" i="2"/>
  <c r="C7" i="2"/>
  <c r="B7" i="2"/>
  <c r="A7" i="2"/>
  <c r="E6" i="2"/>
  <c r="D6" i="2"/>
  <c r="C6" i="2"/>
  <c r="B6" i="2"/>
  <c r="A6" i="2"/>
  <c r="E5" i="2"/>
  <c r="D5" i="2"/>
  <c r="C5" i="2"/>
  <c r="B5" i="2"/>
  <c r="A5" i="2"/>
  <c r="E4" i="2"/>
  <c r="D4" i="2"/>
  <c r="C4" i="2"/>
  <c r="B4" i="2"/>
  <c r="A4" i="2"/>
  <c r="E3" i="2"/>
  <c r="D3" i="2"/>
  <c r="C3" i="2"/>
  <c r="B3" i="2"/>
  <c r="A3" i="2"/>
  <c r="H14" i="1"/>
  <c r="G14" i="1"/>
  <c r="F14" i="1"/>
  <c r="E14" i="1"/>
  <c r="D14" i="1"/>
  <c r="C14" i="1"/>
  <c r="B14" i="1"/>
  <c r="A14" i="1"/>
  <c r="C27" i="6"/>
  <c r="B27" i="6"/>
  <c r="J26" i="6"/>
  <c r="I26" i="6"/>
  <c r="H26" i="6"/>
  <c r="G26" i="6"/>
  <c r="E26" i="6"/>
  <c r="D26" i="6"/>
  <c r="C26" i="6"/>
  <c r="B26" i="6"/>
  <c r="A26" i="6"/>
  <c r="J25" i="6"/>
  <c r="I25" i="6"/>
  <c r="H25" i="6"/>
  <c r="G25" i="6"/>
  <c r="E25" i="6"/>
  <c r="D25" i="6"/>
  <c r="C25" i="6"/>
  <c r="B25" i="6"/>
  <c r="A25" i="6"/>
  <c r="J24" i="6"/>
  <c r="I24" i="6"/>
  <c r="H24" i="6"/>
  <c r="G24" i="6"/>
  <c r="E24" i="6"/>
  <c r="D24" i="6"/>
  <c r="C24" i="6"/>
  <c r="B24" i="6"/>
  <c r="A24" i="6"/>
  <c r="J23" i="6"/>
  <c r="I23" i="6"/>
  <c r="H23" i="6"/>
  <c r="G23" i="6"/>
  <c r="E23" i="6"/>
  <c r="D23" i="6"/>
  <c r="C23" i="6"/>
  <c r="B23" i="6"/>
  <c r="A23" i="6"/>
  <c r="J22" i="6"/>
  <c r="I22" i="6"/>
  <c r="H22" i="6"/>
  <c r="G22" i="6"/>
  <c r="E22" i="6"/>
  <c r="D22" i="6"/>
  <c r="C22" i="6"/>
  <c r="B22" i="6"/>
  <c r="A22" i="6"/>
  <c r="J21" i="6"/>
  <c r="I21" i="6"/>
  <c r="H21" i="6"/>
  <c r="G21" i="6"/>
  <c r="E21" i="6"/>
  <c r="D21" i="6"/>
  <c r="C21" i="6"/>
  <c r="B21" i="6"/>
  <c r="A21" i="6"/>
  <c r="J20" i="6"/>
  <c r="I20" i="6"/>
  <c r="H20" i="6"/>
  <c r="G20" i="6"/>
  <c r="E20" i="6"/>
  <c r="D20" i="6"/>
  <c r="C20" i="6"/>
  <c r="B20" i="6"/>
  <c r="A20" i="6"/>
  <c r="J19" i="6"/>
  <c r="I19" i="6"/>
  <c r="H19" i="6"/>
  <c r="G19" i="6"/>
  <c r="E19" i="6"/>
  <c r="D19" i="6"/>
  <c r="C19" i="6"/>
  <c r="B19" i="6"/>
  <c r="A19" i="6"/>
  <c r="J18" i="6"/>
  <c r="I18" i="6"/>
  <c r="H18" i="6"/>
  <c r="G18" i="6"/>
  <c r="E18" i="6"/>
  <c r="D18" i="6"/>
  <c r="C18" i="6"/>
  <c r="B18" i="6"/>
  <c r="A18" i="6"/>
  <c r="J17" i="6"/>
  <c r="I17" i="6"/>
  <c r="H17" i="6"/>
  <c r="G17" i="6"/>
  <c r="E17" i="6"/>
  <c r="D17" i="6"/>
  <c r="C17" i="6"/>
  <c r="B17" i="6"/>
  <c r="A17" i="6"/>
  <c r="J16" i="6"/>
  <c r="I16" i="6"/>
  <c r="H16" i="6"/>
  <c r="G16" i="6"/>
  <c r="E16" i="6"/>
  <c r="D16" i="6"/>
  <c r="C16" i="6"/>
  <c r="B16" i="6"/>
  <c r="A16" i="6"/>
  <c r="J15" i="6"/>
  <c r="I15" i="6"/>
  <c r="H15" i="6"/>
  <c r="G15" i="6"/>
  <c r="E15" i="6"/>
  <c r="D15" i="6"/>
  <c r="C15" i="6"/>
  <c r="B15" i="6"/>
  <c r="A15" i="6"/>
  <c r="J14" i="6"/>
  <c r="I14" i="6"/>
  <c r="H14" i="6"/>
  <c r="G14" i="6"/>
  <c r="E14" i="6"/>
  <c r="D14" i="6"/>
  <c r="C14" i="6"/>
  <c r="B14" i="6"/>
  <c r="A14" i="6"/>
  <c r="J13" i="6"/>
  <c r="I13" i="6"/>
  <c r="H13" i="6"/>
  <c r="G13" i="6"/>
  <c r="E13" i="6"/>
  <c r="D13" i="6"/>
  <c r="C13" i="6"/>
  <c r="B13" i="6"/>
  <c r="A13" i="6"/>
  <c r="J12" i="6"/>
  <c r="I12" i="6"/>
  <c r="H12" i="6"/>
  <c r="G12" i="6"/>
  <c r="E12" i="6"/>
  <c r="D12" i="6"/>
  <c r="C12" i="6"/>
  <c r="B12" i="6"/>
  <c r="A12" i="6"/>
  <c r="J11" i="6"/>
  <c r="I11" i="6"/>
  <c r="H11" i="6"/>
  <c r="G11" i="6"/>
  <c r="E11" i="6"/>
  <c r="D11" i="6"/>
  <c r="C11" i="6"/>
  <c r="B11" i="6"/>
  <c r="A11" i="6"/>
  <c r="L11" i="6" s="1"/>
  <c r="J10" i="6"/>
  <c r="I10" i="6"/>
  <c r="H10" i="6"/>
  <c r="G10" i="6"/>
  <c r="E10" i="6"/>
  <c r="D10" i="6"/>
  <c r="C10" i="6"/>
  <c r="B10" i="6"/>
  <c r="A10" i="6"/>
  <c r="L10" i="6" s="1"/>
  <c r="J9" i="6"/>
  <c r="I9" i="6"/>
  <c r="H9" i="6"/>
  <c r="G9" i="6"/>
  <c r="E9" i="6"/>
  <c r="D9" i="6"/>
  <c r="C9" i="6"/>
  <c r="B9" i="6"/>
  <c r="A9" i="6"/>
  <c r="L9" i="6" s="1"/>
  <c r="J8" i="6"/>
  <c r="I8" i="6"/>
  <c r="H8" i="6"/>
  <c r="G8" i="6"/>
  <c r="E8" i="6"/>
  <c r="D8" i="6"/>
  <c r="C8" i="6"/>
  <c r="B8" i="6"/>
  <c r="A8" i="6"/>
  <c r="L8" i="6" s="1"/>
  <c r="J7" i="6"/>
  <c r="I7" i="6"/>
  <c r="H7" i="6"/>
  <c r="G7" i="6"/>
  <c r="E7" i="6"/>
  <c r="D7" i="6"/>
  <c r="C7" i="6"/>
  <c r="B7" i="6"/>
  <c r="A7" i="6"/>
  <c r="J6" i="6"/>
  <c r="I6" i="6"/>
  <c r="H6" i="6"/>
  <c r="G6" i="6"/>
  <c r="E6" i="6"/>
  <c r="D6" i="6"/>
  <c r="C6" i="6"/>
  <c r="B6" i="6"/>
  <c r="A6" i="6"/>
  <c r="J5" i="6"/>
  <c r="I5" i="6"/>
  <c r="H5" i="6"/>
  <c r="G5" i="6"/>
  <c r="E5" i="6"/>
  <c r="D5" i="6"/>
  <c r="C5" i="6"/>
  <c r="B5" i="6"/>
  <c r="A5" i="6"/>
  <c r="J4" i="6"/>
  <c r="I4" i="6"/>
  <c r="H4" i="6"/>
  <c r="G4" i="6"/>
  <c r="E4" i="6"/>
  <c r="D4" i="6"/>
  <c r="C4" i="6"/>
  <c r="B4" i="6"/>
  <c r="A4" i="6"/>
  <c r="J3" i="6"/>
  <c r="I3" i="6"/>
  <c r="H3" i="6"/>
  <c r="G3" i="6"/>
  <c r="E3" i="6"/>
  <c r="D3" i="6"/>
  <c r="C3" i="6"/>
  <c r="B3" i="6"/>
  <c r="A3" i="6"/>
  <c r="J2" i="6"/>
  <c r="I2" i="6"/>
  <c r="H2" i="6"/>
  <c r="G2" i="6"/>
  <c r="E2" i="6"/>
  <c r="D2" i="6"/>
  <c r="C2" i="6"/>
  <c r="B2" i="6"/>
  <c r="A2" i="6"/>
  <c r="P28" i="15"/>
  <c r="O28" i="15"/>
  <c r="L28" i="15"/>
  <c r="K28" i="15"/>
  <c r="J28" i="15"/>
  <c r="I28" i="15"/>
  <c r="H28" i="15"/>
  <c r="G28" i="15"/>
  <c r="F28" i="15"/>
  <c r="E28" i="15"/>
  <c r="D28" i="15"/>
  <c r="C28" i="15"/>
  <c r="B28" i="15"/>
  <c r="P27" i="15"/>
  <c r="O27" i="15"/>
  <c r="L27" i="15"/>
  <c r="K27" i="15"/>
  <c r="J27" i="15"/>
  <c r="I27" i="15"/>
  <c r="H27" i="15"/>
  <c r="G27" i="15"/>
  <c r="F27" i="15"/>
  <c r="E27" i="15"/>
  <c r="D27" i="15"/>
  <c r="C27" i="15"/>
  <c r="B27" i="15"/>
  <c r="P26" i="15"/>
  <c r="O26" i="15"/>
  <c r="L26" i="15"/>
  <c r="K26" i="15"/>
  <c r="J26" i="15"/>
  <c r="I26" i="15"/>
  <c r="H26" i="15"/>
  <c r="G26" i="15"/>
  <c r="F26" i="15"/>
  <c r="E26" i="15"/>
  <c r="D26" i="15"/>
  <c r="C26" i="15"/>
  <c r="B26" i="15"/>
  <c r="P25" i="15"/>
  <c r="O25" i="15"/>
  <c r="L25" i="15"/>
  <c r="K25" i="15"/>
  <c r="J25" i="15"/>
  <c r="I25" i="15"/>
  <c r="H25" i="15"/>
  <c r="G25" i="15"/>
  <c r="F25" i="15"/>
  <c r="E25" i="15"/>
  <c r="D25" i="15"/>
  <c r="C25" i="15"/>
  <c r="B25" i="15"/>
  <c r="P24" i="15"/>
  <c r="O24" i="15"/>
  <c r="L24" i="15"/>
  <c r="K24" i="15"/>
  <c r="J24" i="15"/>
  <c r="I24" i="15"/>
  <c r="H24" i="15"/>
  <c r="G24" i="15"/>
  <c r="F24" i="15"/>
  <c r="E24" i="15"/>
  <c r="D24" i="15"/>
  <c r="C24" i="15"/>
  <c r="B24" i="15"/>
  <c r="P22" i="15"/>
  <c r="O22" i="15"/>
  <c r="L22" i="15"/>
  <c r="K22" i="15"/>
  <c r="J22" i="15"/>
  <c r="I22" i="15"/>
  <c r="H22" i="15"/>
  <c r="G22" i="15"/>
  <c r="F22" i="15"/>
  <c r="E22" i="15"/>
  <c r="D22" i="15"/>
  <c r="C22" i="15"/>
  <c r="B22" i="15"/>
  <c r="P21" i="15"/>
  <c r="O21" i="15"/>
  <c r="L21" i="15"/>
  <c r="K21" i="15"/>
  <c r="J21" i="15"/>
  <c r="I21" i="15"/>
  <c r="H21" i="15"/>
  <c r="G21" i="15"/>
  <c r="F21" i="15"/>
  <c r="E21" i="15"/>
  <c r="D21" i="15"/>
  <c r="C21" i="15"/>
  <c r="B21" i="15"/>
  <c r="P20" i="15"/>
  <c r="O20" i="15"/>
  <c r="L20" i="15"/>
  <c r="K20" i="15"/>
  <c r="J20" i="15"/>
  <c r="I20" i="15"/>
  <c r="H20" i="15"/>
  <c r="G20" i="15"/>
  <c r="F20" i="15"/>
  <c r="E20" i="15"/>
  <c r="D20" i="15"/>
  <c r="C20" i="15"/>
  <c r="B20" i="15"/>
  <c r="P19" i="15"/>
  <c r="O19" i="15"/>
  <c r="L19" i="15"/>
  <c r="K19" i="15"/>
  <c r="J19" i="15"/>
  <c r="I19" i="15"/>
  <c r="H19" i="15"/>
  <c r="G19" i="15"/>
  <c r="F19" i="15"/>
  <c r="E19" i="15"/>
  <c r="D19" i="15"/>
  <c r="C19" i="15"/>
  <c r="B19" i="15"/>
  <c r="P17" i="15"/>
  <c r="L17" i="15"/>
  <c r="K17" i="15"/>
  <c r="J17" i="15"/>
  <c r="I17" i="15"/>
  <c r="H17" i="15"/>
  <c r="G17" i="15"/>
  <c r="F17" i="15"/>
  <c r="E17" i="15"/>
  <c r="D17" i="15"/>
  <c r="C17" i="15"/>
  <c r="B17" i="15"/>
  <c r="P16" i="15"/>
  <c r="O16" i="15"/>
  <c r="L16" i="15"/>
  <c r="K16" i="15"/>
  <c r="J16" i="15"/>
  <c r="I16" i="15"/>
  <c r="H16" i="15"/>
  <c r="G16" i="15"/>
  <c r="F16" i="15"/>
  <c r="E16" i="15"/>
  <c r="D16" i="15"/>
  <c r="C16" i="15"/>
  <c r="B16" i="15"/>
  <c r="P15" i="15"/>
  <c r="O15" i="15"/>
  <c r="L15" i="15"/>
  <c r="K15" i="15"/>
  <c r="J15" i="15"/>
  <c r="I15" i="15"/>
  <c r="H15" i="15"/>
  <c r="G15" i="15"/>
  <c r="F15" i="15"/>
  <c r="E15" i="15"/>
  <c r="D15" i="15"/>
  <c r="C15" i="15"/>
  <c r="B15" i="15"/>
  <c r="P14" i="15"/>
  <c r="O14" i="15"/>
  <c r="L14" i="15"/>
  <c r="K14" i="15"/>
  <c r="J14" i="15"/>
  <c r="I14" i="15"/>
  <c r="H14" i="15"/>
  <c r="G14" i="15"/>
  <c r="F14" i="15"/>
  <c r="E14" i="15"/>
  <c r="D14" i="15"/>
  <c r="C14" i="15"/>
  <c r="B14" i="15"/>
  <c r="P13" i="15"/>
  <c r="O13" i="15"/>
  <c r="L13" i="15"/>
  <c r="K13" i="15"/>
  <c r="J13" i="15"/>
  <c r="I13" i="15"/>
  <c r="H13" i="15"/>
  <c r="G13" i="15"/>
  <c r="F13" i="15"/>
  <c r="E13" i="15"/>
  <c r="D13" i="15"/>
  <c r="C13" i="15"/>
  <c r="B13" i="15"/>
  <c r="P12" i="15"/>
  <c r="O12" i="15"/>
  <c r="L12" i="15"/>
  <c r="K12" i="15"/>
  <c r="J12" i="15"/>
  <c r="I12" i="15"/>
  <c r="H12" i="15"/>
  <c r="G12" i="15"/>
  <c r="F12" i="15"/>
  <c r="E12" i="15"/>
  <c r="D12" i="15"/>
  <c r="C12" i="15"/>
  <c r="B12" i="15"/>
  <c r="P11" i="15"/>
  <c r="O11" i="15"/>
  <c r="L11" i="15"/>
  <c r="K11" i="15"/>
  <c r="J11" i="15"/>
  <c r="I11" i="15"/>
  <c r="H11" i="15"/>
  <c r="G11" i="15"/>
  <c r="F11" i="15"/>
  <c r="E11" i="15"/>
  <c r="D11" i="15"/>
  <c r="C11" i="15"/>
  <c r="B11" i="15"/>
  <c r="P9" i="15"/>
  <c r="O9" i="15"/>
  <c r="L9" i="15"/>
  <c r="K9" i="15"/>
  <c r="J9" i="15"/>
  <c r="I9" i="15"/>
  <c r="H9" i="15"/>
  <c r="G9" i="15"/>
  <c r="F9" i="15"/>
  <c r="E9" i="15"/>
  <c r="D9" i="15"/>
  <c r="C9" i="15"/>
  <c r="B9" i="15"/>
  <c r="P8" i="15"/>
  <c r="O8" i="15"/>
  <c r="L8" i="15"/>
  <c r="K8" i="15"/>
  <c r="J8" i="15"/>
  <c r="I8" i="15"/>
  <c r="H8" i="15"/>
  <c r="G8" i="15"/>
  <c r="F8" i="15"/>
  <c r="E8" i="15"/>
  <c r="D8" i="15"/>
  <c r="C8" i="15"/>
  <c r="B8" i="15"/>
  <c r="P7" i="15"/>
  <c r="O7" i="15"/>
  <c r="L7" i="15"/>
  <c r="K7" i="15"/>
  <c r="J7" i="15"/>
  <c r="I7" i="15"/>
  <c r="H7" i="15"/>
  <c r="G7" i="15"/>
  <c r="F7" i="15"/>
  <c r="E7" i="15"/>
  <c r="D7" i="15"/>
  <c r="C7" i="15"/>
  <c r="B7" i="15"/>
  <c r="P6" i="15"/>
  <c r="O6" i="15"/>
  <c r="L6" i="15"/>
  <c r="K6" i="15"/>
  <c r="J6" i="15"/>
  <c r="I6" i="15"/>
  <c r="H6" i="15"/>
  <c r="G6" i="15"/>
  <c r="F6" i="15"/>
  <c r="E6" i="15"/>
  <c r="D6" i="15"/>
  <c r="C6" i="15"/>
  <c r="B6" i="15"/>
  <c r="P5" i="15"/>
  <c r="O5" i="15"/>
  <c r="L5" i="15"/>
  <c r="K5" i="15"/>
  <c r="J5" i="15"/>
  <c r="I5" i="15"/>
  <c r="H5" i="15"/>
  <c r="G5" i="15"/>
  <c r="F5" i="15"/>
  <c r="E5" i="15"/>
  <c r="D5" i="15"/>
  <c r="C5" i="15"/>
  <c r="B5" i="15"/>
  <c r="P4" i="15"/>
  <c r="O4" i="15"/>
  <c r="L4" i="15"/>
  <c r="K4" i="15"/>
  <c r="J4" i="15"/>
  <c r="I4" i="15"/>
  <c r="H4" i="15"/>
  <c r="G4" i="15"/>
  <c r="F4" i="15"/>
  <c r="E4" i="15"/>
  <c r="D4" i="15"/>
  <c r="C4" i="15"/>
  <c r="B4" i="15"/>
  <c r="P3" i="15"/>
  <c r="O3" i="15"/>
  <c r="L3" i="15"/>
  <c r="K3" i="15"/>
  <c r="J3" i="15"/>
  <c r="I3" i="15"/>
  <c r="H3" i="15"/>
  <c r="G3" i="15"/>
  <c r="F3" i="15"/>
  <c r="E3" i="15"/>
  <c r="D3" i="15"/>
  <c r="C3" i="15"/>
  <c r="B3" i="15"/>
  <c r="P1" i="15"/>
  <c r="O1" i="15"/>
  <c r="L1" i="15"/>
  <c r="K1" i="15"/>
  <c r="J1" i="15"/>
  <c r="I1" i="15"/>
  <c r="H1" i="15"/>
  <c r="G1" i="15"/>
  <c r="F1" i="15"/>
  <c r="E1" i="15"/>
  <c r="D1" i="15"/>
  <c r="C1" i="15"/>
  <c r="B1" i="15"/>
  <c r="F3" i="13"/>
  <c r="J6" i="5" a="1"/>
  <c r="J2" i="5" a="1"/>
  <c r="D2" i="13" a="1"/>
  <c r="A37" i="13" a="1"/>
  <c r="F15" i="5" l="1"/>
  <c r="D15" i="5"/>
  <c r="B15" i="5"/>
  <c r="D2" i="13"/>
  <c r="A37" i="13"/>
  <c r="J6" i="5"/>
  <c r="J2" i="5"/>
  <c r="B15" i="3"/>
  <c r="E15" i="3"/>
  <c r="D15" i="3"/>
  <c r="F15" i="3"/>
  <c r="B15" i="2"/>
  <c r="C15" i="1"/>
  <c r="E27" i="6"/>
  <c r="B15" i="1"/>
  <c r="D15" i="1"/>
  <c r="F15" i="1"/>
  <c r="G27" i="6"/>
  <c r="G15" i="1"/>
  <c r="H15" i="1"/>
  <c r="I27" i="6"/>
  <c r="J27" i="6"/>
  <c r="C15" i="3"/>
  <c r="C15" i="2"/>
  <c r="D15" i="2"/>
  <c r="E15" i="2"/>
  <c r="E15" i="1"/>
  <c r="D27" i="6"/>
  <c r="H27" i="6"/>
  <c r="Y3" i="27" l="1"/>
  <c r="C7" i="26"/>
  <c r="B7" i="26"/>
  <c r="XFD3" i="25"/>
  <c r="XFC3" i="25"/>
  <c r="XFB3" i="25"/>
  <c r="XFA3" i="25"/>
  <c r="XEZ3" i="25"/>
  <c r="XEY3" i="25"/>
  <c r="XEX3" i="25"/>
  <c r="XEW3" i="25"/>
  <c r="XEV3" i="25"/>
  <c r="XEU3" i="25"/>
  <c r="XET3" i="25"/>
  <c r="XES3" i="25"/>
  <c r="XER3" i="25"/>
  <c r="XEQ3" i="25"/>
  <c r="XEP3" i="25"/>
  <c r="XEO3" i="25"/>
  <c r="XEN3" i="25"/>
  <c r="XEM3" i="25"/>
  <c r="XEL3" i="25"/>
  <c r="XEK3" i="25"/>
  <c r="XEJ3" i="25"/>
  <c r="XEI3" i="25"/>
  <c r="XEH3" i="25"/>
  <c r="XEG3" i="25"/>
  <c r="XEF3" i="25"/>
  <c r="XEE3" i="25"/>
  <c r="XED3" i="25"/>
  <c r="XEC3" i="25"/>
  <c r="XEB3" i="25"/>
  <c r="XEA3" i="25"/>
  <c r="XDZ3" i="25"/>
  <c r="XDY3" i="25"/>
  <c r="XDX3" i="25"/>
  <c r="XDW3" i="25"/>
  <c r="XDV3" i="25"/>
  <c r="XDU3" i="25"/>
  <c r="XDT3" i="25"/>
  <c r="XDS3" i="25"/>
  <c r="XDR3" i="25"/>
  <c r="XDQ3" i="25"/>
  <c r="XDP3" i="25"/>
  <c r="XDO3" i="25"/>
  <c r="XDN3" i="25"/>
  <c r="XDM3" i="25"/>
  <c r="XDL3" i="25"/>
  <c r="XDK3" i="25"/>
  <c r="XDJ3" i="25"/>
  <c r="XDI3" i="25"/>
  <c r="XDH3" i="25"/>
  <c r="XDG3" i="25"/>
  <c r="XDF3" i="25"/>
  <c r="XDE3" i="25"/>
  <c r="XDD3" i="25"/>
  <c r="XDC3" i="25"/>
  <c r="XDB3" i="25"/>
  <c r="XDA3" i="25"/>
  <c r="XCZ3" i="25"/>
  <c r="XCY3" i="25"/>
  <c r="XCX3" i="25"/>
  <c r="XCW3" i="25"/>
  <c r="XCV3" i="25"/>
  <c r="XCU3" i="25"/>
  <c r="XCT3" i="25"/>
  <c r="XCS3" i="25"/>
  <c r="XCR3" i="25"/>
  <c r="XCQ3" i="25"/>
  <c r="XCP3" i="25"/>
  <c r="XCO3" i="25"/>
  <c r="XCN3" i="25"/>
  <c r="XCM3" i="25"/>
  <c r="XCL3" i="25"/>
  <c r="XCK3" i="25"/>
  <c r="XCJ3" i="25"/>
  <c r="XCI3" i="25"/>
  <c r="XCH3" i="25"/>
  <c r="XCG3" i="25"/>
  <c r="XCF3" i="25"/>
  <c r="XCE3" i="25"/>
  <c r="XCD3" i="25"/>
  <c r="XCC3" i="25"/>
  <c r="XCB3" i="25"/>
  <c r="XCA3" i="25"/>
  <c r="XBZ3" i="25"/>
  <c r="XBY3" i="25"/>
  <c r="XBX3" i="25"/>
  <c r="XBW3" i="25"/>
  <c r="XBV3" i="25"/>
  <c r="XBU3" i="25"/>
  <c r="XBT3" i="25"/>
  <c r="XBS3" i="25"/>
  <c r="XBR3" i="25"/>
  <c r="XBQ3" i="25"/>
  <c r="XBP3" i="25"/>
  <c r="XBO3" i="25"/>
  <c r="XBN3" i="25"/>
  <c r="XBM3" i="25"/>
  <c r="XBL3" i="25"/>
  <c r="XBK3" i="25"/>
  <c r="XBJ3" i="25"/>
  <c r="XBI3" i="25"/>
  <c r="XBH3" i="25"/>
  <c r="XBG3" i="25"/>
  <c r="XBF3" i="25"/>
  <c r="XBE3" i="25"/>
  <c r="XBD3" i="25"/>
  <c r="XBC3" i="25"/>
  <c r="XBB3" i="25"/>
  <c r="XBA3" i="25"/>
  <c r="XAZ3" i="25"/>
  <c r="XAY3" i="25"/>
  <c r="XAX3" i="25"/>
  <c r="XAW3" i="25"/>
  <c r="XAV3" i="25"/>
  <c r="XAU3" i="25"/>
  <c r="XAT3" i="25"/>
  <c r="XAS3" i="25"/>
  <c r="XAR3" i="25"/>
  <c r="XAQ3" i="25"/>
  <c r="XAP3" i="25"/>
  <c r="XAO3" i="25"/>
  <c r="XAN3" i="25"/>
  <c r="XAM3" i="25"/>
  <c r="XAL3" i="25"/>
  <c r="XAK3" i="25"/>
  <c r="XAJ3" i="25"/>
  <c r="XAI3" i="25"/>
  <c r="XAH3" i="25"/>
  <c r="XAG3" i="25"/>
  <c r="XAF3" i="25"/>
  <c r="XAE3" i="25"/>
  <c r="XAD3" i="25"/>
  <c r="XAC3" i="25"/>
  <c r="XAB3" i="25"/>
  <c r="XAA3" i="25"/>
  <c r="WZZ3" i="25"/>
  <c r="WZY3" i="25"/>
  <c r="WZX3" i="25"/>
  <c r="WZW3" i="25"/>
  <c r="WZV3" i="25"/>
  <c r="WZU3" i="25"/>
  <c r="WZT3" i="25"/>
  <c r="WZS3" i="25"/>
  <c r="WZR3" i="25"/>
  <c r="WZQ3" i="25"/>
  <c r="WZP3" i="25"/>
  <c r="WZO3" i="25"/>
  <c r="WZN3" i="25"/>
  <c r="WZM3" i="25"/>
  <c r="WZL3" i="25"/>
  <c r="WZK3" i="25"/>
  <c r="WZJ3" i="25"/>
  <c r="WZI3" i="25"/>
  <c r="WZH3" i="25"/>
  <c r="WZG3" i="25"/>
  <c r="WZF3" i="25"/>
  <c r="WZE3" i="25"/>
  <c r="WZD3" i="25"/>
  <c r="WZC3" i="25"/>
  <c r="WZB3" i="25"/>
  <c r="WZA3" i="25"/>
  <c r="WYZ3" i="25"/>
  <c r="WYY3" i="25"/>
  <c r="WYX3" i="25"/>
  <c r="WYW3" i="25"/>
  <c r="WYV3" i="25"/>
  <c r="WYU3" i="25"/>
  <c r="WYT3" i="25"/>
  <c r="WYS3" i="25"/>
  <c r="WYR3" i="25"/>
  <c r="WYQ3" i="25"/>
  <c r="WYP3" i="25"/>
  <c r="WYO3" i="25"/>
  <c r="WYN3" i="25"/>
  <c r="WYM3" i="25"/>
  <c r="WYL3" i="25"/>
  <c r="WYK3" i="25"/>
  <c r="WYJ3" i="25"/>
  <c r="WYI3" i="25"/>
  <c r="WYH3" i="25"/>
  <c r="WYG3" i="25"/>
  <c r="WYF3" i="25"/>
  <c r="WYE3" i="25"/>
  <c r="WYD3" i="25"/>
  <c r="WYC3" i="25"/>
  <c r="WYB3" i="25"/>
  <c r="WYA3" i="25"/>
  <c r="WXZ3" i="25"/>
  <c r="WXY3" i="25"/>
  <c r="WXX3" i="25"/>
  <c r="WXW3" i="25"/>
  <c r="WXV3" i="25"/>
  <c r="WXU3" i="25"/>
  <c r="WXT3" i="25"/>
  <c r="WXS3" i="25"/>
  <c r="WXR3" i="25"/>
  <c r="WXQ3" i="25"/>
  <c r="WXP3" i="25"/>
  <c r="WXO3" i="25"/>
  <c r="WXN3" i="25"/>
  <c r="WXM3" i="25"/>
  <c r="WXL3" i="25"/>
  <c r="WXK3" i="25"/>
  <c r="WXJ3" i="25"/>
  <c r="WXI3" i="25"/>
  <c r="WXH3" i="25"/>
  <c r="WXG3" i="25"/>
  <c r="WXF3" i="25"/>
  <c r="WXE3" i="25"/>
  <c r="WXD3" i="25"/>
  <c r="WXC3" i="25"/>
  <c r="WXB3" i="25"/>
  <c r="WXA3" i="25"/>
  <c r="WWZ3" i="25"/>
  <c r="WWY3" i="25"/>
  <c r="WWX3" i="25"/>
  <c r="WWW3" i="25"/>
  <c r="WWV3" i="25"/>
  <c r="WWU3" i="25"/>
  <c r="WWT3" i="25"/>
  <c r="WWS3" i="25"/>
  <c r="WWR3" i="25"/>
  <c r="WWQ3" i="25"/>
  <c r="WWP3" i="25"/>
  <c r="WWO3" i="25"/>
  <c r="WWN3" i="25"/>
  <c r="WWM3" i="25"/>
  <c r="WWL3" i="25"/>
  <c r="WWK3" i="25"/>
  <c r="WWJ3" i="25"/>
  <c r="WWI3" i="25"/>
  <c r="WWH3" i="25"/>
  <c r="WWG3" i="25"/>
  <c r="WWF3" i="25"/>
  <c r="WWE3" i="25"/>
  <c r="WWD3" i="25"/>
  <c r="WWC3" i="25"/>
  <c r="WWB3" i="25"/>
  <c r="WWA3" i="25"/>
  <c r="WVZ3" i="25"/>
  <c r="WVY3" i="25"/>
  <c r="WVX3" i="25"/>
  <c r="WVW3" i="25"/>
  <c r="WVV3" i="25"/>
  <c r="WVU3" i="25"/>
  <c r="WVT3" i="25"/>
  <c r="WVS3" i="25"/>
  <c r="WVR3" i="25"/>
  <c r="WVQ3" i="25"/>
  <c r="WVP3" i="25"/>
  <c r="WVO3" i="25"/>
  <c r="WVN3" i="25"/>
  <c r="WVM3" i="25"/>
  <c r="WVL3" i="25"/>
  <c r="WVK3" i="25"/>
  <c r="WVJ3" i="25"/>
  <c r="WVI3" i="25"/>
  <c r="WVH3" i="25"/>
  <c r="WVG3" i="25"/>
  <c r="WVF3" i="25"/>
  <c r="WVE3" i="25"/>
  <c r="WVD3" i="25"/>
  <c r="WVC3" i="25"/>
  <c r="WVB3" i="25"/>
  <c r="WVA3" i="25"/>
  <c r="WUZ3" i="25"/>
  <c r="WUY3" i="25"/>
  <c r="WUX3" i="25"/>
  <c r="WUW3" i="25"/>
  <c r="WUV3" i="25"/>
  <c r="WUU3" i="25"/>
  <c r="WUT3" i="25"/>
  <c r="WUS3" i="25"/>
  <c r="WUR3" i="25"/>
  <c r="WUQ3" i="25"/>
  <c r="WUP3" i="25"/>
  <c r="WUO3" i="25"/>
  <c r="WUN3" i="25"/>
  <c r="WUM3" i="25"/>
  <c r="WUL3" i="25"/>
  <c r="WUK3" i="25"/>
  <c r="WUJ3" i="25"/>
  <c r="WUI3" i="25"/>
  <c r="WUH3" i="25"/>
  <c r="WUG3" i="25"/>
  <c r="WUF3" i="25"/>
  <c r="WUE3" i="25"/>
  <c r="WUD3" i="25"/>
  <c r="WUC3" i="25"/>
  <c r="WUB3" i="25"/>
  <c r="WUA3" i="25"/>
  <c r="WTZ3" i="25"/>
  <c r="WTY3" i="25"/>
  <c r="WTX3" i="25"/>
  <c r="WTW3" i="25"/>
  <c r="WTV3" i="25"/>
  <c r="WTU3" i="25"/>
  <c r="WTT3" i="25"/>
  <c r="WTS3" i="25"/>
  <c r="WTR3" i="25"/>
  <c r="WTQ3" i="25"/>
  <c r="WTP3" i="25"/>
  <c r="WTO3" i="25"/>
  <c r="WTN3" i="25"/>
  <c r="WTM3" i="25"/>
  <c r="WTL3" i="25"/>
  <c r="WTK3" i="25"/>
  <c r="WTJ3" i="25"/>
  <c r="WTI3" i="25"/>
  <c r="WTH3" i="25"/>
  <c r="WTG3" i="25"/>
  <c r="WTF3" i="25"/>
  <c r="WTE3" i="25"/>
  <c r="WTD3" i="25"/>
  <c r="WTC3" i="25"/>
  <c r="WTB3" i="25"/>
  <c r="WTA3" i="25"/>
  <c r="WSZ3" i="25"/>
  <c r="WSY3" i="25"/>
  <c r="WSX3" i="25"/>
  <c r="WSW3" i="25"/>
  <c r="WSV3" i="25"/>
  <c r="WSU3" i="25"/>
  <c r="WST3" i="25"/>
  <c r="WSS3" i="25"/>
  <c r="WSR3" i="25"/>
  <c r="WSQ3" i="25"/>
  <c r="WSP3" i="25"/>
  <c r="WSO3" i="25"/>
  <c r="WSN3" i="25"/>
  <c r="WSM3" i="25"/>
  <c r="WSL3" i="25"/>
  <c r="WSK3" i="25"/>
  <c r="WSJ3" i="25"/>
  <c r="WSI3" i="25"/>
  <c r="WSH3" i="25"/>
  <c r="WSG3" i="25"/>
  <c r="WSF3" i="25"/>
  <c r="WSE3" i="25"/>
  <c r="WSD3" i="25"/>
  <c r="WSC3" i="25"/>
  <c r="WSB3" i="25"/>
  <c r="WSA3" i="25"/>
  <c r="WRZ3" i="25"/>
  <c r="WRY3" i="25"/>
  <c r="WRX3" i="25"/>
  <c r="WRW3" i="25"/>
  <c r="WRV3" i="25"/>
  <c r="WRU3" i="25"/>
  <c r="WRT3" i="25"/>
  <c r="WRS3" i="25"/>
  <c r="WRR3" i="25"/>
  <c r="WRQ3" i="25"/>
  <c r="WRP3" i="25"/>
  <c r="WRO3" i="25"/>
  <c r="WRN3" i="25"/>
  <c r="WRM3" i="25"/>
  <c r="WRL3" i="25"/>
  <c r="WRK3" i="25"/>
  <c r="WRJ3" i="25"/>
  <c r="WRI3" i="25"/>
  <c r="WRH3" i="25"/>
  <c r="WRG3" i="25"/>
  <c r="WRF3" i="25"/>
  <c r="WRE3" i="25"/>
  <c r="WRD3" i="25"/>
  <c r="WRC3" i="25"/>
  <c r="WRB3" i="25"/>
  <c r="WRA3" i="25"/>
  <c r="WQZ3" i="25"/>
  <c r="WQY3" i="25"/>
  <c r="WQX3" i="25"/>
  <c r="WQW3" i="25"/>
  <c r="WQV3" i="25"/>
  <c r="WQU3" i="25"/>
  <c r="WQT3" i="25"/>
  <c r="WQS3" i="25"/>
  <c r="WQR3" i="25"/>
  <c r="WQQ3" i="25"/>
  <c r="WQP3" i="25"/>
  <c r="WQO3" i="25"/>
  <c r="WQN3" i="25"/>
  <c r="WQM3" i="25"/>
  <c r="WQL3" i="25"/>
  <c r="WQK3" i="25"/>
  <c r="WQJ3" i="25"/>
  <c r="WQI3" i="25"/>
  <c r="WQH3" i="25"/>
  <c r="WQG3" i="25"/>
  <c r="WQF3" i="25"/>
  <c r="WQE3" i="25"/>
  <c r="WQD3" i="25"/>
  <c r="WQC3" i="25"/>
  <c r="WQB3" i="25"/>
  <c r="WQA3" i="25"/>
  <c r="WPZ3" i="25"/>
  <c r="WPY3" i="25"/>
  <c r="WPX3" i="25"/>
  <c r="WPW3" i="25"/>
  <c r="WPV3" i="25"/>
  <c r="WPU3" i="25"/>
  <c r="WPT3" i="25"/>
  <c r="WPS3" i="25"/>
  <c r="WPR3" i="25"/>
  <c r="WPQ3" i="25"/>
  <c r="WPP3" i="25"/>
  <c r="WPO3" i="25"/>
  <c r="WPN3" i="25"/>
  <c r="WPM3" i="25"/>
  <c r="WPL3" i="25"/>
  <c r="WPK3" i="25"/>
  <c r="WPJ3" i="25"/>
  <c r="WPI3" i="25"/>
  <c r="WPH3" i="25"/>
  <c r="WPG3" i="25"/>
  <c r="WPF3" i="25"/>
  <c r="WPE3" i="25"/>
  <c r="WPD3" i="25"/>
  <c r="WPC3" i="25"/>
  <c r="WPB3" i="25"/>
  <c r="WPA3" i="25"/>
  <c r="WOZ3" i="25"/>
  <c r="WOY3" i="25"/>
  <c r="WOX3" i="25"/>
  <c r="WOW3" i="25"/>
  <c r="WOV3" i="25"/>
  <c r="WOU3" i="25"/>
  <c r="WOT3" i="25"/>
  <c r="WOS3" i="25"/>
  <c r="WOR3" i="25"/>
  <c r="WOQ3" i="25"/>
  <c r="WOP3" i="25"/>
  <c r="WOO3" i="25"/>
  <c r="WON3" i="25"/>
  <c r="WOM3" i="25"/>
  <c r="WOL3" i="25"/>
  <c r="WOK3" i="25"/>
  <c r="WOJ3" i="25"/>
  <c r="WOI3" i="25"/>
  <c r="WOH3" i="25"/>
  <c r="WOG3" i="25"/>
  <c r="WOF3" i="25"/>
  <c r="WOE3" i="25"/>
  <c r="WOD3" i="25"/>
  <c r="WOC3" i="25"/>
  <c r="WOB3" i="25"/>
  <c r="WOA3" i="25"/>
  <c r="WNZ3" i="25"/>
  <c r="WNY3" i="25"/>
  <c r="WNX3" i="25"/>
  <c r="WNW3" i="25"/>
  <c r="WNV3" i="25"/>
  <c r="WNU3" i="25"/>
  <c r="WNT3" i="25"/>
  <c r="WNS3" i="25"/>
  <c r="WNR3" i="25"/>
  <c r="WNQ3" i="25"/>
  <c r="WNP3" i="25"/>
  <c r="WNO3" i="25"/>
  <c r="WNN3" i="25"/>
  <c r="WNM3" i="25"/>
  <c r="WNL3" i="25"/>
  <c r="WNK3" i="25"/>
  <c r="WNJ3" i="25"/>
  <c r="WNI3" i="25"/>
  <c r="WNH3" i="25"/>
  <c r="WNG3" i="25"/>
  <c r="WNF3" i="25"/>
  <c r="WNE3" i="25"/>
  <c r="WND3" i="25"/>
  <c r="WNC3" i="25"/>
  <c r="WNB3" i="25"/>
  <c r="WNA3" i="25"/>
  <c r="WMZ3" i="25"/>
  <c r="WMY3" i="25"/>
  <c r="WMX3" i="25"/>
  <c r="WMW3" i="25"/>
  <c r="WMV3" i="25"/>
  <c r="WMU3" i="25"/>
  <c r="WMT3" i="25"/>
  <c r="WMS3" i="25"/>
  <c r="WMR3" i="25"/>
  <c r="WMQ3" i="25"/>
  <c r="WMP3" i="25"/>
  <c r="WMO3" i="25"/>
  <c r="WMN3" i="25"/>
  <c r="WMM3" i="25"/>
  <c r="WML3" i="25"/>
  <c r="WMK3" i="25"/>
  <c r="WMJ3" i="25"/>
  <c r="WMI3" i="25"/>
  <c r="WMH3" i="25"/>
  <c r="WMG3" i="25"/>
  <c r="WMF3" i="25"/>
  <c r="WME3" i="25"/>
  <c r="WMD3" i="25"/>
  <c r="WMC3" i="25"/>
  <c r="WMB3" i="25"/>
  <c r="WMA3" i="25"/>
  <c r="WLZ3" i="25"/>
  <c r="WLY3" i="25"/>
  <c r="WLX3" i="25"/>
  <c r="WLW3" i="25"/>
  <c r="WLV3" i="25"/>
  <c r="WLU3" i="25"/>
  <c r="WLT3" i="25"/>
  <c r="WLS3" i="25"/>
  <c r="WLR3" i="25"/>
  <c r="WLQ3" i="25"/>
  <c r="WLP3" i="25"/>
  <c r="WLO3" i="25"/>
  <c r="WLN3" i="25"/>
  <c r="WLM3" i="25"/>
  <c r="WLL3" i="25"/>
  <c r="WLK3" i="25"/>
  <c r="WLJ3" i="25"/>
  <c r="WLI3" i="25"/>
  <c r="WLH3" i="25"/>
  <c r="WLG3" i="25"/>
  <c r="WLF3" i="25"/>
  <c r="WLE3" i="25"/>
  <c r="WLD3" i="25"/>
  <c r="WLC3" i="25"/>
  <c r="WLB3" i="25"/>
  <c r="WLA3" i="25"/>
  <c r="WKZ3" i="25"/>
  <c r="WKY3" i="25"/>
  <c r="WKX3" i="25"/>
  <c r="WKW3" i="25"/>
  <c r="WKV3" i="25"/>
  <c r="WKU3" i="25"/>
  <c r="WKT3" i="25"/>
  <c r="WKS3" i="25"/>
  <c r="WKR3" i="25"/>
  <c r="WKQ3" i="25"/>
  <c r="WKP3" i="25"/>
  <c r="WKO3" i="25"/>
  <c r="WKN3" i="25"/>
  <c r="WKM3" i="25"/>
  <c r="WKL3" i="25"/>
  <c r="WKK3" i="25"/>
  <c r="WKJ3" i="25"/>
  <c r="WKI3" i="25"/>
  <c r="WKH3" i="25"/>
  <c r="WKG3" i="25"/>
  <c r="WKF3" i="25"/>
  <c r="WKE3" i="25"/>
  <c r="WKD3" i="25"/>
  <c r="WKC3" i="25"/>
  <c r="WKB3" i="25"/>
  <c r="WKA3" i="25"/>
  <c r="WJZ3" i="25"/>
  <c r="WJY3" i="25"/>
  <c r="WJX3" i="25"/>
  <c r="WJW3" i="25"/>
  <c r="WJV3" i="25"/>
  <c r="WJU3" i="25"/>
  <c r="WJT3" i="25"/>
  <c r="WJS3" i="25"/>
  <c r="WJR3" i="25"/>
  <c r="WJQ3" i="25"/>
  <c r="WJP3" i="25"/>
  <c r="WJO3" i="25"/>
  <c r="WJN3" i="25"/>
  <c r="WJM3" i="25"/>
  <c r="WJL3" i="25"/>
  <c r="WJK3" i="25"/>
  <c r="WJJ3" i="25"/>
  <c r="WJI3" i="25"/>
  <c r="WJH3" i="25"/>
  <c r="WJG3" i="25"/>
  <c r="WJF3" i="25"/>
  <c r="WJE3" i="25"/>
  <c r="WJD3" i="25"/>
  <c r="WJC3" i="25"/>
  <c r="WJB3" i="25"/>
  <c r="WJA3" i="25"/>
  <c r="WIZ3" i="25"/>
  <c r="WIY3" i="25"/>
  <c r="WIX3" i="25"/>
  <c r="WIW3" i="25"/>
  <c r="WIV3" i="25"/>
  <c r="WIU3" i="25"/>
  <c r="WIT3" i="25"/>
  <c r="WIS3" i="25"/>
  <c r="WIR3" i="25"/>
  <c r="WIQ3" i="25"/>
  <c r="WIP3" i="25"/>
  <c r="WIO3" i="25"/>
  <c r="WIN3" i="25"/>
  <c r="WIM3" i="25"/>
  <c r="WIL3" i="25"/>
  <c r="WIK3" i="25"/>
  <c r="WIJ3" i="25"/>
  <c r="WII3" i="25"/>
  <c r="WIH3" i="25"/>
  <c r="WIG3" i="25"/>
  <c r="WIF3" i="25"/>
  <c r="WIE3" i="25"/>
  <c r="WID3" i="25"/>
  <c r="WIC3" i="25"/>
  <c r="WIB3" i="25"/>
  <c r="WIA3" i="25"/>
  <c r="WHZ3" i="25"/>
  <c r="WHY3" i="25"/>
  <c r="WHX3" i="25"/>
  <c r="WHW3" i="25"/>
  <c r="WHV3" i="25"/>
  <c r="WHU3" i="25"/>
  <c r="WHT3" i="25"/>
  <c r="WHS3" i="25"/>
  <c r="WHR3" i="25"/>
  <c r="WHQ3" i="25"/>
  <c r="WHP3" i="25"/>
  <c r="WHO3" i="25"/>
  <c r="WHN3" i="25"/>
  <c r="WHM3" i="25"/>
  <c r="WHL3" i="25"/>
  <c r="WHK3" i="25"/>
  <c r="WHJ3" i="25"/>
  <c r="WHI3" i="25"/>
  <c r="WHH3" i="25"/>
  <c r="WHG3" i="25"/>
  <c r="WHF3" i="25"/>
  <c r="WHE3" i="25"/>
  <c r="WHD3" i="25"/>
  <c r="WHC3" i="25"/>
  <c r="WHB3" i="25"/>
  <c r="WHA3" i="25"/>
  <c r="WGZ3" i="25"/>
  <c r="WGY3" i="25"/>
  <c r="WGX3" i="25"/>
  <c r="WGW3" i="25"/>
  <c r="WGV3" i="25"/>
  <c r="WGU3" i="25"/>
  <c r="WGT3" i="25"/>
  <c r="WGS3" i="25"/>
  <c r="WGR3" i="25"/>
  <c r="WGQ3" i="25"/>
  <c r="WGP3" i="25"/>
  <c r="WGO3" i="25"/>
  <c r="WGN3" i="25"/>
  <c r="WGM3" i="25"/>
  <c r="WGL3" i="25"/>
  <c r="WGK3" i="25"/>
  <c r="WGJ3" i="25"/>
  <c r="WGI3" i="25"/>
  <c r="WGH3" i="25"/>
  <c r="WGG3" i="25"/>
  <c r="WGF3" i="25"/>
  <c r="WGE3" i="25"/>
  <c r="WGD3" i="25"/>
  <c r="WGC3" i="25"/>
  <c r="WGB3" i="25"/>
  <c r="WGA3" i="25"/>
  <c r="WFZ3" i="25"/>
  <c r="WFY3" i="25"/>
  <c r="WFX3" i="25"/>
  <c r="WFW3" i="25"/>
  <c r="WFV3" i="25"/>
  <c r="WFU3" i="25"/>
  <c r="WFT3" i="25"/>
  <c r="WFS3" i="25"/>
  <c r="WFR3" i="25"/>
  <c r="WFQ3" i="25"/>
  <c r="WFP3" i="25"/>
  <c r="WFO3" i="25"/>
  <c r="WFN3" i="25"/>
  <c r="WFM3" i="25"/>
  <c r="WFL3" i="25"/>
  <c r="WFK3" i="25"/>
  <c r="WFJ3" i="25"/>
  <c r="WFI3" i="25"/>
  <c r="WFH3" i="25"/>
  <c r="WFG3" i="25"/>
  <c r="WFF3" i="25"/>
  <c r="WFE3" i="25"/>
  <c r="WFD3" i="25"/>
  <c r="WFC3" i="25"/>
  <c r="WFB3" i="25"/>
  <c r="WFA3" i="25"/>
  <c r="WEZ3" i="25"/>
  <c r="WEY3" i="25"/>
  <c r="WEX3" i="25"/>
  <c r="WEW3" i="25"/>
  <c r="WEV3" i="25"/>
  <c r="WEU3" i="25"/>
  <c r="WET3" i="25"/>
  <c r="WES3" i="25"/>
  <c r="WER3" i="25"/>
  <c r="WEQ3" i="25"/>
  <c r="WEP3" i="25"/>
  <c r="WEO3" i="25"/>
  <c r="WEN3" i="25"/>
  <c r="WEM3" i="25"/>
  <c r="WEL3" i="25"/>
  <c r="WEK3" i="25"/>
  <c r="WEJ3" i="25"/>
  <c r="WEI3" i="25"/>
  <c r="WEH3" i="25"/>
  <c r="WEG3" i="25"/>
  <c r="WEF3" i="25"/>
  <c r="WEE3" i="25"/>
  <c r="WED3" i="25"/>
  <c r="WEC3" i="25"/>
  <c r="WEB3" i="25"/>
  <c r="WEA3" i="25"/>
  <c r="WDZ3" i="25"/>
  <c r="WDY3" i="25"/>
  <c r="WDX3" i="25"/>
  <c r="WDW3" i="25"/>
  <c r="WDV3" i="25"/>
  <c r="WDU3" i="25"/>
  <c r="WDT3" i="25"/>
  <c r="WDS3" i="25"/>
  <c r="WDR3" i="25"/>
  <c r="WDQ3" i="25"/>
  <c r="WDP3" i="25"/>
  <c r="WDO3" i="25"/>
  <c r="WDN3" i="25"/>
  <c r="WDM3" i="25"/>
  <c r="WDL3" i="25"/>
  <c r="WDK3" i="25"/>
  <c r="WDJ3" i="25"/>
  <c r="WDI3" i="25"/>
  <c r="WDH3" i="25"/>
  <c r="WDG3" i="25"/>
  <c r="WDF3" i="25"/>
  <c r="WDE3" i="25"/>
  <c r="WDD3" i="25"/>
  <c r="WDC3" i="25"/>
  <c r="WDB3" i="25"/>
  <c r="WDA3" i="25"/>
  <c r="WCZ3" i="25"/>
  <c r="WCY3" i="25"/>
  <c r="WCX3" i="25"/>
  <c r="WCW3" i="25"/>
  <c r="WCV3" i="25"/>
  <c r="WCU3" i="25"/>
  <c r="WCT3" i="25"/>
  <c r="WCS3" i="25"/>
  <c r="WCR3" i="25"/>
  <c r="WCQ3" i="25"/>
  <c r="WCP3" i="25"/>
  <c r="WCO3" i="25"/>
  <c r="WCN3" i="25"/>
  <c r="WCM3" i="25"/>
  <c r="WCL3" i="25"/>
  <c r="WCK3" i="25"/>
  <c r="WCJ3" i="25"/>
  <c r="WCI3" i="25"/>
  <c r="WCH3" i="25"/>
  <c r="WCG3" i="25"/>
  <c r="WCF3" i="25"/>
  <c r="WCE3" i="25"/>
  <c r="WCD3" i="25"/>
  <c r="WCC3" i="25"/>
  <c r="WCB3" i="25"/>
  <c r="WCA3" i="25"/>
  <c r="WBZ3" i="25"/>
  <c r="WBY3" i="25"/>
  <c r="WBX3" i="25"/>
  <c r="WBW3" i="25"/>
  <c r="WBV3" i="25"/>
  <c r="WBU3" i="25"/>
  <c r="WBT3" i="25"/>
  <c r="WBS3" i="25"/>
  <c r="WBR3" i="25"/>
  <c r="WBQ3" i="25"/>
  <c r="WBP3" i="25"/>
  <c r="WBO3" i="25"/>
  <c r="WBN3" i="25"/>
  <c r="WBM3" i="25"/>
  <c r="WBL3" i="25"/>
  <c r="WBK3" i="25"/>
  <c r="WBJ3" i="25"/>
  <c r="WBI3" i="25"/>
  <c r="WBH3" i="25"/>
  <c r="WBG3" i="25"/>
  <c r="WBF3" i="25"/>
  <c r="WBE3" i="25"/>
  <c r="WBD3" i="25"/>
  <c r="WBC3" i="25"/>
  <c r="WBB3" i="25"/>
  <c r="WBA3" i="25"/>
  <c r="WAZ3" i="25"/>
  <c r="WAY3" i="25"/>
  <c r="WAX3" i="25"/>
  <c r="WAW3" i="25"/>
  <c r="WAV3" i="25"/>
  <c r="WAU3" i="25"/>
  <c r="WAT3" i="25"/>
  <c r="WAS3" i="25"/>
  <c r="WAR3" i="25"/>
  <c r="WAQ3" i="25"/>
  <c r="WAP3" i="25"/>
  <c r="WAO3" i="25"/>
  <c r="WAN3" i="25"/>
  <c r="WAM3" i="25"/>
  <c r="WAL3" i="25"/>
  <c r="WAK3" i="25"/>
  <c r="WAJ3" i="25"/>
  <c r="WAI3" i="25"/>
  <c r="WAH3" i="25"/>
  <c r="WAG3" i="25"/>
  <c r="WAF3" i="25"/>
  <c r="WAE3" i="25"/>
  <c r="WAD3" i="25"/>
  <c r="WAC3" i="25"/>
  <c r="WAB3" i="25"/>
  <c r="WAA3" i="25"/>
  <c r="VZZ3" i="25"/>
  <c r="VZY3" i="25"/>
  <c r="VZX3" i="25"/>
  <c r="VZW3" i="25"/>
  <c r="VZV3" i="25"/>
  <c r="VZU3" i="25"/>
  <c r="VZT3" i="25"/>
  <c r="VZS3" i="25"/>
  <c r="VZR3" i="25"/>
  <c r="VZQ3" i="25"/>
  <c r="VZP3" i="25"/>
  <c r="VZO3" i="25"/>
  <c r="VZN3" i="25"/>
  <c r="VZM3" i="25"/>
  <c r="VZL3" i="25"/>
  <c r="VZK3" i="25"/>
  <c r="VZJ3" i="25"/>
  <c r="VZI3" i="25"/>
  <c r="VZH3" i="25"/>
  <c r="VZG3" i="25"/>
  <c r="VZF3" i="25"/>
  <c r="VZE3" i="25"/>
  <c r="VZD3" i="25"/>
  <c r="VZC3" i="25"/>
  <c r="VZB3" i="25"/>
  <c r="VZA3" i="25"/>
  <c r="VYZ3" i="25"/>
  <c r="VYY3" i="25"/>
  <c r="VYX3" i="25"/>
  <c r="VYW3" i="25"/>
  <c r="VYV3" i="25"/>
  <c r="VYU3" i="25"/>
  <c r="VYT3" i="25"/>
  <c r="VYS3" i="25"/>
  <c r="VYR3" i="25"/>
  <c r="VYQ3" i="25"/>
  <c r="VYP3" i="25"/>
  <c r="VYO3" i="25"/>
  <c r="VYN3" i="25"/>
  <c r="VYM3" i="25"/>
  <c r="VYL3" i="25"/>
  <c r="VYK3" i="25"/>
  <c r="VYJ3" i="25"/>
  <c r="VYI3" i="25"/>
  <c r="VYH3" i="25"/>
  <c r="VYG3" i="25"/>
  <c r="VYF3" i="25"/>
  <c r="VYE3" i="25"/>
  <c r="VYD3" i="25"/>
  <c r="VYC3" i="25"/>
  <c r="VYB3" i="25"/>
  <c r="VYA3" i="25"/>
  <c r="VXZ3" i="25"/>
  <c r="VXY3" i="25"/>
  <c r="VXX3" i="25"/>
  <c r="VXW3" i="25"/>
  <c r="VXV3" i="25"/>
  <c r="VXU3" i="25"/>
  <c r="VXT3" i="25"/>
  <c r="VXS3" i="25"/>
  <c r="VXR3" i="25"/>
  <c r="VXQ3" i="25"/>
  <c r="VXP3" i="25"/>
  <c r="VXO3" i="25"/>
  <c r="VXN3" i="25"/>
  <c r="VXM3" i="25"/>
  <c r="VXL3" i="25"/>
  <c r="VXK3" i="25"/>
  <c r="VXJ3" i="25"/>
  <c r="VXI3" i="25"/>
  <c r="VXH3" i="25"/>
  <c r="VXG3" i="25"/>
  <c r="VXF3" i="25"/>
  <c r="VXE3" i="25"/>
  <c r="VXD3" i="25"/>
  <c r="VXC3" i="25"/>
  <c r="VXB3" i="25"/>
  <c r="VXA3" i="25"/>
  <c r="VWZ3" i="25"/>
  <c r="VWY3" i="25"/>
  <c r="VWX3" i="25"/>
  <c r="VWW3" i="25"/>
  <c r="VWV3" i="25"/>
  <c r="VWU3" i="25"/>
  <c r="VWT3" i="25"/>
  <c r="VWS3" i="25"/>
  <c r="VWR3" i="25"/>
  <c r="VWQ3" i="25"/>
  <c r="VWP3" i="25"/>
  <c r="VWO3" i="25"/>
  <c r="VWN3" i="25"/>
  <c r="VWM3" i="25"/>
  <c r="VWL3" i="25"/>
  <c r="VWK3" i="25"/>
  <c r="VWJ3" i="25"/>
  <c r="VWI3" i="25"/>
  <c r="VWH3" i="25"/>
  <c r="VWG3" i="25"/>
  <c r="VWF3" i="25"/>
  <c r="VWE3" i="25"/>
  <c r="VWD3" i="25"/>
  <c r="VWC3" i="25"/>
  <c r="VWB3" i="25"/>
  <c r="VWA3" i="25"/>
  <c r="VVZ3" i="25"/>
  <c r="VVY3" i="25"/>
  <c r="VVX3" i="25"/>
  <c r="VVW3" i="25"/>
  <c r="VVV3" i="25"/>
  <c r="VVU3" i="25"/>
  <c r="VVT3" i="25"/>
  <c r="VVS3" i="25"/>
  <c r="VVR3" i="25"/>
  <c r="VVQ3" i="25"/>
  <c r="VVP3" i="25"/>
  <c r="VVO3" i="25"/>
  <c r="VVN3" i="25"/>
  <c r="VVM3" i="25"/>
  <c r="VVL3" i="25"/>
  <c r="VVK3" i="25"/>
  <c r="VVJ3" i="25"/>
  <c r="VVI3" i="25"/>
  <c r="VVH3" i="25"/>
  <c r="VVG3" i="25"/>
  <c r="VVF3" i="25"/>
  <c r="VVE3" i="25"/>
  <c r="VVD3" i="25"/>
  <c r="VVC3" i="25"/>
  <c r="VVB3" i="25"/>
  <c r="VVA3" i="25"/>
  <c r="VUZ3" i="25"/>
  <c r="VUY3" i="25"/>
  <c r="VUX3" i="25"/>
  <c r="VUW3" i="25"/>
  <c r="VUV3" i="25"/>
  <c r="VUU3" i="25"/>
  <c r="VUT3" i="25"/>
  <c r="VUS3" i="25"/>
  <c r="VUR3" i="25"/>
  <c r="VUQ3" i="25"/>
  <c r="VUP3" i="25"/>
  <c r="VUO3" i="25"/>
  <c r="VUN3" i="25"/>
  <c r="VUM3" i="25"/>
  <c r="VUL3" i="25"/>
  <c r="VUK3" i="25"/>
  <c r="VUJ3" i="25"/>
  <c r="VUI3" i="25"/>
  <c r="VUH3" i="25"/>
  <c r="VUG3" i="25"/>
  <c r="VUF3" i="25"/>
  <c r="VUE3" i="25"/>
  <c r="VUD3" i="25"/>
  <c r="VUC3" i="25"/>
  <c r="VUB3" i="25"/>
  <c r="VUA3" i="25"/>
  <c r="VTZ3" i="25"/>
  <c r="VTY3" i="25"/>
  <c r="VTX3" i="25"/>
  <c r="VTW3" i="25"/>
  <c r="VTV3" i="25"/>
  <c r="VTU3" i="25"/>
  <c r="VTT3" i="25"/>
  <c r="VTS3" i="25"/>
  <c r="VTR3" i="25"/>
  <c r="VTQ3" i="25"/>
  <c r="VTP3" i="25"/>
  <c r="VTO3" i="25"/>
  <c r="VTN3" i="25"/>
  <c r="VTM3" i="25"/>
  <c r="VTL3" i="25"/>
  <c r="VTK3" i="25"/>
  <c r="VTJ3" i="25"/>
  <c r="VTI3" i="25"/>
  <c r="VTH3" i="25"/>
  <c r="VTG3" i="25"/>
  <c r="VTF3" i="25"/>
  <c r="VTE3" i="25"/>
  <c r="VTD3" i="25"/>
  <c r="VTC3" i="25"/>
  <c r="VTB3" i="25"/>
  <c r="VTA3" i="25"/>
  <c r="VSZ3" i="25"/>
  <c r="VSY3" i="25"/>
  <c r="VSX3" i="25"/>
  <c r="VSW3" i="25"/>
  <c r="VSV3" i="25"/>
  <c r="VSU3" i="25"/>
  <c r="VST3" i="25"/>
  <c r="VSS3" i="25"/>
  <c r="VSR3" i="25"/>
  <c r="VSQ3" i="25"/>
  <c r="VSP3" i="25"/>
  <c r="VSO3" i="25"/>
  <c r="VSN3" i="25"/>
  <c r="VSM3" i="25"/>
  <c r="VSL3" i="25"/>
  <c r="VSK3" i="25"/>
  <c r="VSJ3" i="25"/>
  <c r="VSI3" i="25"/>
  <c r="VSH3" i="25"/>
  <c r="VSG3" i="25"/>
  <c r="VSF3" i="25"/>
  <c r="VSE3" i="25"/>
  <c r="VSD3" i="25"/>
  <c r="VSC3" i="25"/>
  <c r="VSB3" i="25"/>
  <c r="VSA3" i="25"/>
  <c r="VRZ3" i="25"/>
  <c r="VRY3" i="25"/>
  <c r="VRX3" i="25"/>
  <c r="VRW3" i="25"/>
  <c r="VRV3" i="25"/>
  <c r="VRU3" i="25"/>
  <c r="VRT3" i="25"/>
  <c r="VRS3" i="25"/>
  <c r="VRR3" i="25"/>
  <c r="VRQ3" i="25"/>
  <c r="VRP3" i="25"/>
  <c r="VRO3" i="25"/>
  <c r="VRN3" i="25"/>
  <c r="VRM3" i="25"/>
  <c r="VRL3" i="25"/>
  <c r="VRK3" i="25"/>
  <c r="VRJ3" i="25"/>
  <c r="VRI3" i="25"/>
  <c r="VRH3" i="25"/>
  <c r="VRG3" i="25"/>
  <c r="VRF3" i="25"/>
  <c r="VRE3" i="25"/>
  <c r="VRD3" i="25"/>
  <c r="VRC3" i="25"/>
  <c r="VRB3" i="25"/>
  <c r="VRA3" i="25"/>
  <c r="VQZ3" i="25"/>
  <c r="VQY3" i="25"/>
  <c r="VQX3" i="25"/>
  <c r="VQW3" i="25"/>
  <c r="VQV3" i="25"/>
  <c r="VQU3" i="25"/>
  <c r="VQT3" i="25"/>
  <c r="VQS3" i="25"/>
  <c r="VQR3" i="25"/>
  <c r="VQQ3" i="25"/>
  <c r="VQP3" i="25"/>
  <c r="VQO3" i="25"/>
  <c r="VQN3" i="25"/>
  <c r="VQM3" i="25"/>
  <c r="VQL3" i="25"/>
  <c r="VQK3" i="25"/>
  <c r="VQJ3" i="25"/>
  <c r="VQI3" i="25"/>
  <c r="VQH3" i="25"/>
  <c r="VQG3" i="25"/>
  <c r="VQF3" i="25"/>
  <c r="VQE3" i="25"/>
  <c r="VQD3" i="25"/>
  <c r="VQC3" i="25"/>
  <c r="VQB3" i="25"/>
  <c r="VQA3" i="25"/>
  <c r="VPZ3" i="25"/>
  <c r="VPY3" i="25"/>
  <c r="VPX3" i="25"/>
  <c r="VPW3" i="25"/>
  <c r="VPV3" i="25"/>
  <c r="VPU3" i="25"/>
  <c r="VPT3" i="25"/>
  <c r="VPS3" i="25"/>
  <c r="VPR3" i="25"/>
  <c r="VPQ3" i="25"/>
  <c r="VPP3" i="25"/>
  <c r="VPO3" i="25"/>
  <c r="VPN3" i="25"/>
  <c r="VPM3" i="25"/>
  <c r="VPL3" i="25"/>
  <c r="VPK3" i="25"/>
  <c r="VPJ3" i="25"/>
  <c r="VPI3" i="25"/>
  <c r="VPH3" i="25"/>
  <c r="VPG3" i="25"/>
  <c r="VPF3" i="25"/>
  <c r="VPE3" i="25"/>
  <c r="VPD3" i="25"/>
  <c r="VPC3" i="25"/>
  <c r="VPB3" i="25"/>
  <c r="VPA3" i="25"/>
  <c r="VOZ3" i="25"/>
  <c r="VOY3" i="25"/>
  <c r="VOX3" i="25"/>
  <c r="VOW3" i="25"/>
  <c r="VOV3" i="25"/>
  <c r="VOU3" i="25"/>
  <c r="VOT3" i="25"/>
  <c r="VOS3" i="25"/>
  <c r="VOR3" i="25"/>
  <c r="VOQ3" i="25"/>
  <c r="VOP3" i="25"/>
  <c r="VOO3" i="25"/>
  <c r="VON3" i="25"/>
  <c r="VOM3" i="25"/>
  <c r="VOL3" i="25"/>
  <c r="VOK3" i="25"/>
  <c r="VOJ3" i="25"/>
  <c r="VOI3" i="25"/>
  <c r="VOH3" i="25"/>
  <c r="VOG3" i="25"/>
  <c r="VOF3" i="25"/>
  <c r="VOE3" i="25"/>
  <c r="VOD3" i="25"/>
  <c r="VOC3" i="25"/>
  <c r="VOB3" i="25"/>
  <c r="VOA3" i="25"/>
  <c r="VNZ3" i="25"/>
  <c r="VNY3" i="25"/>
  <c r="VNX3" i="25"/>
  <c r="VNW3" i="25"/>
  <c r="VNV3" i="25"/>
  <c r="VNU3" i="25"/>
  <c r="VNT3" i="25"/>
  <c r="VNS3" i="25"/>
  <c r="VNR3" i="25"/>
  <c r="VNQ3" i="25"/>
  <c r="VNP3" i="25"/>
  <c r="VNO3" i="25"/>
  <c r="VNN3" i="25"/>
  <c r="VNM3" i="25"/>
  <c r="VNL3" i="25"/>
  <c r="VNK3" i="25"/>
  <c r="VNJ3" i="25"/>
  <c r="VNI3" i="25"/>
  <c r="VNH3" i="25"/>
  <c r="VNG3" i="25"/>
  <c r="VNF3" i="25"/>
  <c r="VNE3" i="25"/>
  <c r="VND3" i="25"/>
  <c r="VNC3" i="25"/>
  <c r="VNB3" i="25"/>
  <c r="VNA3" i="25"/>
  <c r="VMZ3" i="25"/>
  <c r="VMY3" i="25"/>
  <c r="VMX3" i="25"/>
  <c r="VMW3" i="25"/>
  <c r="VMV3" i="25"/>
  <c r="VMU3" i="25"/>
  <c r="VMT3" i="25"/>
  <c r="VMS3" i="25"/>
  <c r="VMR3" i="25"/>
  <c r="VMQ3" i="25"/>
  <c r="VMP3" i="25"/>
  <c r="VMO3" i="25"/>
  <c r="VMN3" i="25"/>
  <c r="VMM3" i="25"/>
  <c r="VML3" i="25"/>
  <c r="VMK3" i="25"/>
  <c r="VMJ3" i="25"/>
  <c r="VMI3" i="25"/>
  <c r="VMH3" i="25"/>
  <c r="VMG3" i="25"/>
  <c r="VMF3" i="25"/>
  <c r="VME3" i="25"/>
  <c r="VMD3" i="25"/>
  <c r="VMC3" i="25"/>
  <c r="VMB3" i="25"/>
  <c r="VMA3" i="25"/>
  <c r="VLZ3" i="25"/>
  <c r="VLY3" i="25"/>
  <c r="VLX3" i="25"/>
  <c r="VLW3" i="25"/>
  <c r="VLV3" i="25"/>
  <c r="VLU3" i="25"/>
  <c r="VLT3" i="25"/>
  <c r="VLS3" i="25"/>
  <c r="VLR3" i="25"/>
  <c r="VLQ3" i="25"/>
  <c r="VLP3" i="25"/>
  <c r="VLO3" i="25"/>
  <c r="VLN3" i="25"/>
  <c r="VLM3" i="25"/>
  <c r="VLL3" i="25"/>
  <c r="VLK3" i="25"/>
  <c r="VLJ3" i="25"/>
  <c r="VLI3" i="25"/>
  <c r="VLH3" i="25"/>
  <c r="VLG3" i="25"/>
  <c r="VLF3" i="25"/>
  <c r="VLE3" i="25"/>
  <c r="VLD3" i="25"/>
  <c r="VLC3" i="25"/>
  <c r="VLB3" i="25"/>
  <c r="VLA3" i="25"/>
  <c r="VKZ3" i="25"/>
  <c r="VKY3" i="25"/>
  <c r="VKX3" i="25"/>
  <c r="VKW3" i="25"/>
  <c r="VKV3" i="25"/>
  <c r="VKU3" i="25"/>
  <c r="VKT3" i="25"/>
  <c r="VKS3" i="25"/>
  <c r="VKR3" i="25"/>
  <c r="VKQ3" i="25"/>
  <c r="VKP3" i="25"/>
  <c r="VKO3" i="25"/>
  <c r="VKN3" i="25"/>
  <c r="VKM3" i="25"/>
  <c r="VKL3" i="25"/>
  <c r="VKK3" i="25"/>
  <c r="VKJ3" i="25"/>
  <c r="VKI3" i="25"/>
  <c r="VKH3" i="25"/>
  <c r="VKG3" i="25"/>
  <c r="VKF3" i="25"/>
  <c r="VKE3" i="25"/>
  <c r="VKD3" i="25"/>
  <c r="VKC3" i="25"/>
  <c r="VKB3" i="25"/>
  <c r="VKA3" i="25"/>
  <c r="VJZ3" i="25"/>
  <c r="VJY3" i="25"/>
  <c r="VJX3" i="25"/>
  <c r="VJW3" i="25"/>
  <c r="VJV3" i="25"/>
  <c r="VJU3" i="25"/>
  <c r="VJT3" i="25"/>
  <c r="VJS3" i="25"/>
  <c r="VJR3" i="25"/>
  <c r="VJQ3" i="25"/>
  <c r="VJP3" i="25"/>
  <c r="VJO3" i="25"/>
  <c r="VJN3" i="25"/>
  <c r="VJM3" i="25"/>
  <c r="VJL3" i="25"/>
  <c r="VJK3" i="25"/>
  <c r="VJJ3" i="25"/>
  <c r="VJI3" i="25"/>
  <c r="VJH3" i="25"/>
  <c r="VJG3" i="25"/>
  <c r="VJF3" i="25"/>
  <c r="VJE3" i="25"/>
  <c r="VJD3" i="25"/>
  <c r="VJC3" i="25"/>
  <c r="VJB3" i="25"/>
  <c r="VJA3" i="25"/>
  <c r="VIZ3" i="25"/>
  <c r="VIY3" i="25"/>
  <c r="VIX3" i="25"/>
  <c r="VIW3" i="25"/>
  <c r="VIV3" i="25"/>
  <c r="VIU3" i="25"/>
  <c r="VIT3" i="25"/>
  <c r="VIS3" i="25"/>
  <c r="VIR3" i="25"/>
  <c r="VIQ3" i="25"/>
  <c r="VIP3" i="25"/>
  <c r="VIO3" i="25"/>
  <c r="VIN3" i="25"/>
  <c r="VIM3" i="25"/>
  <c r="VIL3" i="25"/>
  <c r="VIK3" i="25"/>
  <c r="VIJ3" i="25"/>
  <c r="VII3" i="25"/>
  <c r="VIH3" i="25"/>
  <c r="VIG3" i="25"/>
  <c r="VIF3" i="25"/>
  <c r="VIE3" i="25"/>
  <c r="VID3" i="25"/>
  <c r="VIC3" i="25"/>
  <c r="VIB3" i="25"/>
  <c r="VIA3" i="25"/>
  <c r="VHZ3" i="25"/>
  <c r="VHY3" i="25"/>
  <c r="VHX3" i="25"/>
  <c r="VHW3" i="25"/>
  <c r="VHV3" i="25"/>
  <c r="VHU3" i="25"/>
  <c r="VHT3" i="25"/>
  <c r="VHS3" i="25"/>
  <c r="VHR3" i="25"/>
  <c r="VHQ3" i="25"/>
  <c r="VHP3" i="25"/>
  <c r="VHO3" i="25"/>
  <c r="VHN3" i="25"/>
  <c r="VHM3" i="25"/>
  <c r="VHL3" i="25"/>
  <c r="VHK3" i="25"/>
  <c r="VHJ3" i="25"/>
  <c r="VHI3" i="25"/>
  <c r="VHH3" i="25"/>
  <c r="VHG3" i="25"/>
  <c r="VHF3" i="25"/>
  <c r="VHE3" i="25"/>
  <c r="VHD3" i="25"/>
  <c r="VHC3" i="25"/>
  <c r="VHB3" i="25"/>
  <c r="VHA3" i="25"/>
  <c r="VGZ3" i="25"/>
  <c r="VGY3" i="25"/>
  <c r="VGX3" i="25"/>
  <c r="VGW3" i="25"/>
  <c r="VGV3" i="25"/>
  <c r="VGU3" i="25"/>
  <c r="VGT3" i="25"/>
  <c r="VGS3" i="25"/>
  <c r="VGR3" i="25"/>
  <c r="VGQ3" i="25"/>
  <c r="VGP3" i="25"/>
  <c r="VGO3" i="25"/>
  <c r="VGN3" i="25"/>
  <c r="VGM3" i="25"/>
  <c r="VGL3" i="25"/>
  <c r="VGK3" i="25"/>
  <c r="VGJ3" i="25"/>
  <c r="VGI3" i="25"/>
  <c r="VGH3" i="25"/>
  <c r="VGG3" i="25"/>
  <c r="VGF3" i="25"/>
  <c r="VGE3" i="25"/>
  <c r="VGD3" i="25"/>
  <c r="VGC3" i="25"/>
  <c r="VGB3" i="25"/>
  <c r="VGA3" i="25"/>
  <c r="VFZ3" i="25"/>
  <c r="VFY3" i="25"/>
  <c r="VFX3" i="25"/>
  <c r="VFW3" i="25"/>
  <c r="VFV3" i="25"/>
  <c r="VFU3" i="25"/>
  <c r="VFT3" i="25"/>
  <c r="VFS3" i="25"/>
  <c r="VFR3" i="25"/>
  <c r="VFQ3" i="25"/>
  <c r="VFP3" i="25"/>
  <c r="VFO3" i="25"/>
  <c r="VFN3" i="25"/>
  <c r="VFM3" i="25"/>
  <c r="VFL3" i="25"/>
  <c r="VFK3" i="25"/>
  <c r="VFJ3" i="25"/>
  <c r="VFI3" i="25"/>
  <c r="VFH3" i="25"/>
  <c r="VFG3" i="25"/>
  <c r="VFF3" i="25"/>
  <c r="VFE3" i="25"/>
  <c r="VFD3" i="25"/>
  <c r="VFC3" i="25"/>
  <c r="VFB3" i="25"/>
  <c r="VFA3" i="25"/>
  <c r="VEZ3" i="25"/>
  <c r="VEY3" i="25"/>
  <c r="VEX3" i="25"/>
  <c r="VEW3" i="25"/>
  <c r="VEV3" i="25"/>
  <c r="VEU3" i="25"/>
  <c r="VET3" i="25"/>
  <c r="VES3" i="25"/>
  <c r="VER3" i="25"/>
  <c r="VEQ3" i="25"/>
  <c r="VEP3" i="25"/>
  <c r="VEO3" i="25"/>
  <c r="VEN3" i="25"/>
  <c r="VEM3" i="25"/>
  <c r="VEL3" i="25"/>
  <c r="VEK3" i="25"/>
  <c r="VEJ3" i="25"/>
  <c r="VEI3" i="25"/>
  <c r="VEH3" i="25"/>
  <c r="VEG3" i="25"/>
  <c r="VEF3" i="25"/>
  <c r="VEE3" i="25"/>
  <c r="VED3" i="25"/>
  <c r="VEC3" i="25"/>
  <c r="VEB3" i="25"/>
  <c r="VEA3" i="25"/>
  <c r="VDZ3" i="25"/>
  <c r="VDY3" i="25"/>
  <c r="VDX3" i="25"/>
  <c r="VDW3" i="25"/>
  <c r="VDV3" i="25"/>
  <c r="VDU3" i="25"/>
  <c r="VDT3" i="25"/>
  <c r="VDS3" i="25"/>
  <c r="VDR3" i="25"/>
  <c r="VDQ3" i="25"/>
  <c r="VDP3" i="25"/>
  <c r="VDO3" i="25"/>
  <c r="VDN3" i="25"/>
  <c r="VDM3" i="25"/>
  <c r="VDL3" i="25"/>
  <c r="VDK3" i="25"/>
  <c r="VDJ3" i="25"/>
  <c r="VDI3" i="25"/>
  <c r="VDH3" i="25"/>
  <c r="VDG3" i="25"/>
  <c r="VDF3" i="25"/>
  <c r="VDE3" i="25"/>
  <c r="VDD3" i="25"/>
  <c r="VDC3" i="25"/>
  <c r="VDB3" i="25"/>
  <c r="VDA3" i="25"/>
  <c r="VCZ3" i="25"/>
  <c r="VCY3" i="25"/>
  <c r="VCX3" i="25"/>
  <c r="VCW3" i="25"/>
  <c r="VCV3" i="25"/>
  <c r="VCU3" i="25"/>
  <c r="VCT3" i="25"/>
  <c r="VCS3" i="25"/>
  <c r="VCR3" i="25"/>
  <c r="VCQ3" i="25"/>
  <c r="VCP3" i="25"/>
  <c r="VCO3" i="25"/>
  <c r="VCN3" i="25"/>
  <c r="VCM3" i="25"/>
  <c r="VCL3" i="25"/>
  <c r="VCK3" i="25"/>
  <c r="VCJ3" i="25"/>
  <c r="VCI3" i="25"/>
  <c r="VCH3" i="25"/>
  <c r="VCG3" i="25"/>
  <c r="VCF3" i="25"/>
  <c r="VCE3" i="25"/>
  <c r="VCD3" i="25"/>
  <c r="VCC3" i="25"/>
  <c r="VCB3" i="25"/>
  <c r="VCA3" i="25"/>
  <c r="VBZ3" i="25"/>
  <c r="VBY3" i="25"/>
  <c r="VBX3" i="25"/>
  <c r="VBW3" i="25"/>
  <c r="VBV3" i="25"/>
  <c r="VBU3" i="25"/>
  <c r="VBT3" i="25"/>
  <c r="VBS3" i="25"/>
  <c r="VBR3" i="25"/>
  <c r="VBQ3" i="25"/>
  <c r="VBP3" i="25"/>
  <c r="VBO3" i="25"/>
  <c r="VBN3" i="25"/>
  <c r="VBM3" i="25"/>
  <c r="VBL3" i="25"/>
  <c r="VBK3" i="25"/>
  <c r="VBJ3" i="25"/>
  <c r="VBI3" i="25"/>
  <c r="VBH3" i="25"/>
  <c r="VBG3" i="25"/>
  <c r="VBF3" i="25"/>
  <c r="VBE3" i="25"/>
  <c r="VBD3" i="25"/>
  <c r="VBC3" i="25"/>
  <c r="VBB3" i="25"/>
  <c r="VBA3" i="25"/>
  <c r="VAZ3" i="25"/>
  <c r="VAY3" i="25"/>
  <c r="VAX3" i="25"/>
  <c r="VAW3" i="25"/>
  <c r="VAV3" i="25"/>
  <c r="VAU3" i="25"/>
  <c r="VAT3" i="25"/>
  <c r="VAS3" i="25"/>
  <c r="VAR3" i="25"/>
  <c r="VAQ3" i="25"/>
  <c r="VAP3" i="25"/>
  <c r="VAO3" i="25"/>
  <c r="VAN3" i="25"/>
  <c r="VAM3" i="25"/>
  <c r="VAL3" i="25"/>
  <c r="VAK3" i="25"/>
  <c r="VAJ3" i="25"/>
  <c r="VAI3" i="25"/>
  <c r="VAH3" i="25"/>
  <c r="VAG3" i="25"/>
  <c r="VAF3" i="25"/>
  <c r="VAE3" i="25"/>
  <c r="VAD3" i="25"/>
  <c r="VAC3" i="25"/>
  <c r="VAB3" i="25"/>
  <c r="VAA3" i="25"/>
  <c r="UZZ3" i="25"/>
  <c r="UZY3" i="25"/>
  <c r="UZX3" i="25"/>
  <c r="UZW3" i="25"/>
  <c r="UZV3" i="25"/>
  <c r="UZU3" i="25"/>
  <c r="UZT3" i="25"/>
  <c r="UZS3" i="25"/>
  <c r="UZR3" i="25"/>
  <c r="UZQ3" i="25"/>
  <c r="UZP3" i="25"/>
  <c r="UZO3" i="25"/>
  <c r="UZN3" i="25"/>
  <c r="UZM3" i="25"/>
  <c r="UZL3" i="25"/>
  <c r="UZK3" i="25"/>
  <c r="UZJ3" i="25"/>
  <c r="UZI3" i="25"/>
  <c r="UZH3" i="25"/>
  <c r="UZG3" i="25"/>
  <c r="UZF3" i="25"/>
  <c r="UZE3" i="25"/>
  <c r="UZD3" i="25"/>
  <c r="UZC3" i="25"/>
  <c r="UZB3" i="25"/>
  <c r="UZA3" i="25"/>
  <c r="UYZ3" i="25"/>
  <c r="UYY3" i="25"/>
  <c r="UYX3" i="25"/>
  <c r="UYW3" i="25"/>
  <c r="UYV3" i="25"/>
  <c r="UYU3" i="25"/>
  <c r="UYT3" i="25"/>
  <c r="UYS3" i="25"/>
  <c r="UYR3" i="25"/>
  <c r="UYQ3" i="25"/>
  <c r="UYP3" i="25"/>
  <c r="UYO3" i="25"/>
  <c r="UYN3" i="25"/>
  <c r="UYM3" i="25"/>
  <c r="UYL3" i="25"/>
  <c r="UYK3" i="25"/>
  <c r="UYJ3" i="25"/>
  <c r="UYI3" i="25"/>
  <c r="UYH3" i="25"/>
  <c r="UYG3" i="25"/>
  <c r="UYF3" i="25"/>
  <c r="UYE3" i="25"/>
  <c r="UYD3" i="25"/>
  <c r="UYC3" i="25"/>
  <c r="UYB3" i="25"/>
  <c r="UYA3" i="25"/>
  <c r="UXZ3" i="25"/>
  <c r="UXY3" i="25"/>
  <c r="UXX3" i="25"/>
  <c r="UXW3" i="25"/>
  <c r="UXV3" i="25"/>
  <c r="UXU3" i="25"/>
  <c r="UXT3" i="25"/>
  <c r="UXS3" i="25"/>
  <c r="UXR3" i="25"/>
  <c r="UXQ3" i="25"/>
  <c r="UXP3" i="25"/>
  <c r="UXO3" i="25"/>
  <c r="UXN3" i="25"/>
  <c r="UXM3" i="25"/>
  <c r="UXL3" i="25"/>
  <c r="UXK3" i="25"/>
  <c r="UXJ3" i="25"/>
  <c r="UXI3" i="25"/>
  <c r="UXH3" i="25"/>
  <c r="UXG3" i="25"/>
  <c r="UXF3" i="25"/>
  <c r="UXE3" i="25"/>
  <c r="UXD3" i="25"/>
  <c r="UXC3" i="25"/>
  <c r="UXB3" i="25"/>
  <c r="UXA3" i="25"/>
  <c r="UWZ3" i="25"/>
  <c r="UWY3" i="25"/>
  <c r="UWX3" i="25"/>
  <c r="UWW3" i="25"/>
  <c r="UWV3" i="25"/>
  <c r="UWU3" i="25"/>
  <c r="UWT3" i="25"/>
  <c r="UWS3" i="25"/>
  <c r="UWR3" i="25"/>
  <c r="UWQ3" i="25"/>
  <c r="UWP3" i="25"/>
  <c r="UWO3" i="25"/>
  <c r="UWN3" i="25"/>
  <c r="UWM3" i="25"/>
  <c r="UWL3" i="25"/>
  <c r="UWK3" i="25"/>
  <c r="UWJ3" i="25"/>
  <c r="UWI3" i="25"/>
  <c r="UWH3" i="25"/>
  <c r="UWG3" i="25"/>
  <c r="UWF3" i="25"/>
  <c r="UWE3" i="25"/>
  <c r="UWD3" i="25"/>
  <c r="UWC3" i="25"/>
  <c r="UWB3" i="25"/>
  <c r="UWA3" i="25"/>
  <c r="UVZ3" i="25"/>
  <c r="UVY3" i="25"/>
  <c r="UVX3" i="25"/>
  <c r="UVW3" i="25"/>
  <c r="UVV3" i="25"/>
  <c r="UVU3" i="25"/>
  <c r="UVT3" i="25"/>
  <c r="UVS3" i="25"/>
  <c r="UVR3" i="25"/>
  <c r="UVQ3" i="25"/>
  <c r="UVP3" i="25"/>
  <c r="UVO3" i="25"/>
  <c r="UVN3" i="25"/>
  <c r="UVM3" i="25"/>
  <c r="UVL3" i="25"/>
  <c r="UVK3" i="25"/>
  <c r="UVJ3" i="25"/>
  <c r="UVI3" i="25"/>
  <c r="UVH3" i="25"/>
  <c r="UVG3" i="25"/>
  <c r="UVF3" i="25"/>
  <c r="UVE3" i="25"/>
  <c r="UVD3" i="25"/>
  <c r="UVC3" i="25"/>
  <c r="UVB3" i="25"/>
  <c r="UVA3" i="25"/>
  <c r="UUZ3" i="25"/>
  <c r="UUY3" i="25"/>
  <c r="UUX3" i="25"/>
  <c r="UUW3" i="25"/>
  <c r="UUV3" i="25"/>
  <c r="UUU3" i="25"/>
  <c r="UUT3" i="25"/>
  <c r="UUS3" i="25"/>
  <c r="UUR3" i="25"/>
  <c r="UUQ3" i="25"/>
  <c r="UUP3" i="25"/>
  <c r="UUO3" i="25"/>
  <c r="UUN3" i="25"/>
  <c r="UUM3" i="25"/>
  <c r="UUL3" i="25"/>
  <c r="UUK3" i="25"/>
  <c r="UUJ3" i="25"/>
  <c r="UUI3" i="25"/>
  <c r="UUH3" i="25"/>
  <c r="UUG3" i="25"/>
  <c r="UUF3" i="25"/>
  <c r="UUE3" i="25"/>
  <c r="UUD3" i="25"/>
  <c r="UUC3" i="25"/>
  <c r="UUB3" i="25"/>
  <c r="UUA3" i="25"/>
  <c r="UTZ3" i="25"/>
  <c r="UTY3" i="25"/>
  <c r="UTX3" i="25"/>
  <c r="UTW3" i="25"/>
  <c r="UTV3" i="25"/>
  <c r="UTU3" i="25"/>
  <c r="UTT3" i="25"/>
  <c r="UTS3" i="25"/>
  <c r="UTR3" i="25"/>
  <c r="UTQ3" i="25"/>
  <c r="UTP3" i="25"/>
  <c r="UTO3" i="25"/>
  <c r="UTN3" i="25"/>
  <c r="UTM3" i="25"/>
  <c r="UTL3" i="25"/>
  <c r="UTK3" i="25"/>
  <c r="UTJ3" i="25"/>
  <c r="UTI3" i="25"/>
  <c r="UTH3" i="25"/>
  <c r="UTG3" i="25"/>
  <c r="UTF3" i="25"/>
  <c r="UTE3" i="25"/>
  <c r="UTD3" i="25"/>
  <c r="UTC3" i="25"/>
  <c r="UTB3" i="25"/>
  <c r="UTA3" i="25"/>
  <c r="USZ3" i="25"/>
  <c r="USY3" i="25"/>
  <c r="USX3" i="25"/>
  <c r="USW3" i="25"/>
  <c r="USV3" i="25"/>
  <c r="USU3" i="25"/>
  <c r="UST3" i="25"/>
  <c r="USS3" i="25"/>
  <c r="USR3" i="25"/>
  <c r="USQ3" i="25"/>
  <c r="USP3" i="25"/>
  <c r="USO3" i="25"/>
  <c r="USN3" i="25"/>
  <c r="USM3" i="25"/>
  <c r="USL3" i="25"/>
  <c r="USK3" i="25"/>
  <c r="USJ3" i="25"/>
  <c r="USI3" i="25"/>
  <c r="USH3" i="25"/>
  <c r="USG3" i="25"/>
  <c r="USF3" i="25"/>
  <c r="USE3" i="25"/>
  <c r="USD3" i="25"/>
  <c r="USC3" i="25"/>
  <c r="USB3" i="25"/>
  <c r="USA3" i="25"/>
  <c r="URZ3" i="25"/>
  <c r="URY3" i="25"/>
  <c r="URX3" i="25"/>
  <c r="URW3" i="25"/>
  <c r="URV3" i="25"/>
  <c r="URU3" i="25"/>
  <c r="URT3" i="25"/>
  <c r="URS3" i="25"/>
  <c r="URR3" i="25"/>
  <c r="URQ3" i="25"/>
  <c r="URP3" i="25"/>
  <c r="URO3" i="25"/>
  <c r="URN3" i="25"/>
  <c r="URM3" i="25"/>
  <c r="URL3" i="25"/>
  <c r="URK3" i="25"/>
  <c r="URJ3" i="25"/>
  <c r="URI3" i="25"/>
  <c r="URH3" i="25"/>
  <c r="URG3" i="25"/>
  <c r="URF3" i="25"/>
  <c r="URE3" i="25"/>
  <c r="URD3" i="25"/>
  <c r="URC3" i="25"/>
  <c r="URB3" i="25"/>
  <c r="URA3" i="25"/>
  <c r="UQZ3" i="25"/>
  <c r="UQY3" i="25"/>
  <c r="UQX3" i="25"/>
  <c r="UQW3" i="25"/>
  <c r="UQV3" i="25"/>
  <c r="UQU3" i="25"/>
  <c r="UQT3" i="25"/>
  <c r="UQS3" i="25"/>
  <c r="UQR3" i="25"/>
  <c r="UQQ3" i="25"/>
  <c r="UQP3" i="25"/>
  <c r="UQO3" i="25"/>
  <c r="UQN3" i="25"/>
  <c r="UQM3" i="25"/>
  <c r="UQL3" i="25"/>
  <c r="UQK3" i="25"/>
  <c r="UQJ3" i="25"/>
  <c r="UQI3" i="25"/>
  <c r="UQH3" i="25"/>
  <c r="UQG3" i="25"/>
  <c r="UQF3" i="25"/>
  <c r="UQE3" i="25"/>
  <c r="UQD3" i="25"/>
  <c r="UQC3" i="25"/>
  <c r="UQB3" i="25"/>
  <c r="UQA3" i="25"/>
  <c r="UPZ3" i="25"/>
  <c r="UPY3" i="25"/>
  <c r="UPX3" i="25"/>
  <c r="UPW3" i="25"/>
  <c r="UPV3" i="25"/>
  <c r="UPU3" i="25"/>
  <c r="UPT3" i="25"/>
  <c r="UPS3" i="25"/>
  <c r="UPR3" i="25"/>
  <c r="UPQ3" i="25"/>
  <c r="UPP3" i="25"/>
  <c r="UPO3" i="25"/>
  <c r="UPN3" i="25"/>
  <c r="UPM3" i="25"/>
  <c r="UPL3" i="25"/>
  <c r="UPK3" i="25"/>
  <c r="UPJ3" i="25"/>
  <c r="UPI3" i="25"/>
  <c r="UPH3" i="25"/>
  <c r="UPG3" i="25"/>
  <c r="UPF3" i="25"/>
  <c r="UPE3" i="25"/>
  <c r="UPD3" i="25"/>
  <c r="UPC3" i="25"/>
  <c r="UPB3" i="25"/>
  <c r="UPA3" i="25"/>
  <c r="UOZ3" i="25"/>
  <c r="UOY3" i="25"/>
  <c r="UOX3" i="25"/>
  <c r="UOW3" i="25"/>
  <c r="UOV3" i="25"/>
  <c r="UOU3" i="25"/>
  <c r="UOT3" i="25"/>
  <c r="UOS3" i="25"/>
  <c r="UOR3" i="25"/>
  <c r="UOQ3" i="25"/>
  <c r="UOP3" i="25"/>
  <c r="UOO3" i="25"/>
  <c r="UON3" i="25"/>
  <c r="UOM3" i="25"/>
  <c r="UOL3" i="25"/>
  <c r="UOK3" i="25"/>
  <c r="UOJ3" i="25"/>
  <c r="UOI3" i="25"/>
  <c r="UOH3" i="25"/>
  <c r="UOG3" i="25"/>
  <c r="UOF3" i="25"/>
  <c r="UOE3" i="25"/>
  <c r="UOD3" i="25"/>
  <c r="UOC3" i="25"/>
  <c r="UOB3" i="25"/>
  <c r="UOA3" i="25"/>
  <c r="UNZ3" i="25"/>
  <c r="UNY3" i="25"/>
  <c r="UNX3" i="25"/>
  <c r="UNW3" i="25"/>
  <c r="UNV3" i="25"/>
  <c r="UNU3" i="25"/>
  <c r="UNT3" i="25"/>
  <c r="UNS3" i="25"/>
  <c r="UNR3" i="25"/>
  <c r="UNQ3" i="25"/>
  <c r="UNP3" i="25"/>
  <c r="UNO3" i="25"/>
  <c r="UNN3" i="25"/>
  <c r="UNM3" i="25"/>
  <c r="UNL3" i="25"/>
  <c r="UNK3" i="25"/>
  <c r="UNJ3" i="25"/>
  <c r="UNI3" i="25"/>
  <c r="UNH3" i="25"/>
  <c r="UNG3" i="25"/>
  <c r="UNF3" i="25"/>
  <c r="UNE3" i="25"/>
  <c r="UND3" i="25"/>
  <c r="UNC3" i="25"/>
  <c r="UNB3" i="25"/>
  <c r="UNA3" i="25"/>
  <c r="UMZ3" i="25"/>
  <c r="UMY3" i="25"/>
  <c r="UMX3" i="25"/>
  <c r="UMW3" i="25"/>
  <c r="UMV3" i="25"/>
  <c r="UMU3" i="25"/>
  <c r="UMT3" i="25"/>
  <c r="UMS3" i="25"/>
  <c r="UMR3" i="25"/>
  <c r="UMQ3" i="25"/>
  <c r="UMP3" i="25"/>
  <c r="UMO3" i="25"/>
  <c r="UMN3" i="25"/>
  <c r="UMM3" i="25"/>
  <c r="UML3" i="25"/>
  <c r="UMK3" i="25"/>
  <c r="UMJ3" i="25"/>
  <c r="UMI3" i="25"/>
  <c r="UMH3" i="25"/>
  <c r="UMG3" i="25"/>
  <c r="UMF3" i="25"/>
  <c r="UME3" i="25"/>
  <c r="UMD3" i="25"/>
  <c r="UMC3" i="25"/>
  <c r="UMB3" i="25"/>
  <c r="UMA3" i="25"/>
  <c r="ULZ3" i="25"/>
  <c r="ULY3" i="25"/>
  <c r="ULX3" i="25"/>
  <c r="ULW3" i="25"/>
  <c r="ULV3" i="25"/>
  <c r="ULU3" i="25"/>
  <c r="ULT3" i="25"/>
  <c r="ULS3" i="25"/>
  <c r="ULR3" i="25"/>
  <c r="ULQ3" i="25"/>
  <c r="ULP3" i="25"/>
  <c r="ULO3" i="25"/>
  <c r="ULN3" i="25"/>
  <c r="ULM3" i="25"/>
  <c r="ULL3" i="25"/>
  <c r="ULK3" i="25"/>
  <c r="ULJ3" i="25"/>
  <c r="ULI3" i="25"/>
  <c r="ULH3" i="25"/>
  <c r="ULG3" i="25"/>
  <c r="ULF3" i="25"/>
  <c r="ULE3" i="25"/>
  <c r="ULD3" i="25"/>
  <c r="ULC3" i="25"/>
  <c r="ULB3" i="25"/>
  <c r="ULA3" i="25"/>
  <c r="UKZ3" i="25"/>
  <c r="UKY3" i="25"/>
  <c r="UKX3" i="25"/>
  <c r="UKW3" i="25"/>
  <c r="UKV3" i="25"/>
  <c r="UKU3" i="25"/>
  <c r="UKT3" i="25"/>
  <c r="UKS3" i="25"/>
  <c r="UKR3" i="25"/>
  <c r="UKQ3" i="25"/>
  <c r="UKP3" i="25"/>
  <c r="UKO3" i="25"/>
  <c r="UKN3" i="25"/>
  <c r="UKM3" i="25"/>
  <c r="UKL3" i="25"/>
  <c r="UKK3" i="25"/>
  <c r="UKJ3" i="25"/>
  <c r="UKI3" i="25"/>
  <c r="UKH3" i="25"/>
  <c r="UKG3" i="25"/>
  <c r="UKF3" i="25"/>
  <c r="UKE3" i="25"/>
  <c r="UKD3" i="25"/>
  <c r="UKC3" i="25"/>
  <c r="UKB3" i="25"/>
  <c r="UKA3" i="25"/>
  <c r="UJZ3" i="25"/>
  <c r="UJY3" i="25"/>
  <c r="UJX3" i="25"/>
  <c r="UJW3" i="25"/>
  <c r="UJV3" i="25"/>
  <c r="UJU3" i="25"/>
  <c r="UJT3" i="25"/>
  <c r="UJS3" i="25"/>
  <c r="UJR3" i="25"/>
  <c r="UJQ3" i="25"/>
  <c r="UJP3" i="25"/>
  <c r="UJO3" i="25"/>
  <c r="UJN3" i="25"/>
  <c r="UJM3" i="25"/>
  <c r="UJL3" i="25"/>
  <c r="UJK3" i="25"/>
  <c r="UJJ3" i="25"/>
  <c r="UJI3" i="25"/>
  <c r="UJH3" i="25"/>
  <c r="UJG3" i="25"/>
  <c r="UJF3" i="25"/>
  <c r="UJE3" i="25"/>
  <c r="UJD3" i="25"/>
  <c r="UJC3" i="25"/>
  <c r="UJB3" i="25"/>
  <c r="UJA3" i="25"/>
  <c r="UIZ3" i="25"/>
  <c r="UIY3" i="25"/>
  <c r="UIX3" i="25"/>
  <c r="UIW3" i="25"/>
  <c r="UIV3" i="25"/>
  <c r="UIU3" i="25"/>
  <c r="UIT3" i="25"/>
  <c r="UIS3" i="25"/>
  <c r="UIR3" i="25"/>
  <c r="UIQ3" i="25"/>
  <c r="UIP3" i="25"/>
  <c r="UIO3" i="25"/>
  <c r="UIN3" i="25"/>
  <c r="UIM3" i="25"/>
  <c r="UIL3" i="25"/>
  <c r="UIK3" i="25"/>
  <c r="UIJ3" i="25"/>
  <c r="UII3" i="25"/>
  <c r="UIH3" i="25"/>
  <c r="UIG3" i="25"/>
  <c r="UIF3" i="25"/>
  <c r="UIE3" i="25"/>
  <c r="UID3" i="25"/>
  <c r="UIC3" i="25"/>
  <c r="UIB3" i="25"/>
  <c r="UIA3" i="25"/>
  <c r="UHZ3" i="25"/>
  <c r="UHY3" i="25"/>
  <c r="UHX3" i="25"/>
  <c r="UHW3" i="25"/>
  <c r="UHV3" i="25"/>
  <c r="UHU3" i="25"/>
  <c r="UHT3" i="25"/>
  <c r="UHS3" i="25"/>
  <c r="UHR3" i="25"/>
  <c r="UHQ3" i="25"/>
  <c r="UHP3" i="25"/>
  <c r="UHO3" i="25"/>
  <c r="UHN3" i="25"/>
  <c r="UHM3" i="25"/>
  <c r="UHL3" i="25"/>
  <c r="UHK3" i="25"/>
  <c r="UHJ3" i="25"/>
  <c r="UHI3" i="25"/>
  <c r="UHH3" i="25"/>
  <c r="UHG3" i="25"/>
  <c r="UHF3" i="25"/>
  <c r="UHE3" i="25"/>
  <c r="UHD3" i="25"/>
  <c r="UHC3" i="25"/>
  <c r="UHB3" i="25"/>
  <c r="UHA3" i="25"/>
  <c r="UGZ3" i="25"/>
  <c r="UGY3" i="25"/>
  <c r="UGX3" i="25"/>
  <c r="UGW3" i="25"/>
  <c r="UGV3" i="25"/>
  <c r="UGU3" i="25"/>
  <c r="UGT3" i="25"/>
  <c r="UGS3" i="25"/>
  <c r="UGR3" i="25"/>
  <c r="UGQ3" i="25"/>
  <c r="UGP3" i="25"/>
  <c r="UGO3" i="25"/>
  <c r="UGN3" i="25"/>
  <c r="UGM3" i="25"/>
  <c r="UGL3" i="25"/>
  <c r="UGK3" i="25"/>
  <c r="UGJ3" i="25"/>
  <c r="UGI3" i="25"/>
  <c r="UGH3" i="25"/>
  <c r="UGG3" i="25"/>
  <c r="UGF3" i="25"/>
  <c r="UGE3" i="25"/>
  <c r="UGD3" i="25"/>
  <c r="UGC3" i="25"/>
  <c r="UGB3" i="25"/>
  <c r="UGA3" i="25"/>
  <c r="UFZ3" i="25"/>
  <c r="UFY3" i="25"/>
  <c r="UFX3" i="25"/>
  <c r="UFW3" i="25"/>
  <c r="UFV3" i="25"/>
  <c r="UFU3" i="25"/>
  <c r="UFT3" i="25"/>
  <c r="UFS3" i="25"/>
  <c r="UFR3" i="25"/>
  <c r="UFQ3" i="25"/>
  <c r="UFP3" i="25"/>
  <c r="UFO3" i="25"/>
  <c r="UFN3" i="25"/>
  <c r="UFM3" i="25"/>
  <c r="UFL3" i="25"/>
  <c r="UFK3" i="25"/>
  <c r="UFJ3" i="25"/>
  <c r="UFI3" i="25"/>
  <c r="UFH3" i="25"/>
  <c r="UFG3" i="25"/>
  <c r="UFF3" i="25"/>
  <c r="UFE3" i="25"/>
  <c r="UFD3" i="25"/>
  <c r="UFC3" i="25"/>
  <c r="UFB3" i="25"/>
  <c r="UFA3" i="25"/>
  <c r="UEZ3" i="25"/>
  <c r="UEY3" i="25"/>
  <c r="UEX3" i="25"/>
  <c r="UEW3" i="25"/>
  <c r="UEV3" i="25"/>
  <c r="UEU3" i="25"/>
  <c r="UET3" i="25"/>
  <c r="UES3" i="25"/>
  <c r="UER3" i="25"/>
  <c r="UEQ3" i="25"/>
  <c r="UEP3" i="25"/>
  <c r="UEO3" i="25"/>
  <c r="UEN3" i="25"/>
  <c r="UEM3" i="25"/>
  <c r="UEL3" i="25"/>
  <c r="UEK3" i="25"/>
  <c r="UEJ3" i="25"/>
  <c r="UEI3" i="25"/>
  <c r="UEH3" i="25"/>
  <c r="UEG3" i="25"/>
  <c r="UEF3" i="25"/>
  <c r="UEE3" i="25"/>
  <c r="UED3" i="25"/>
  <c r="UEC3" i="25"/>
  <c r="UEB3" i="25"/>
  <c r="UEA3" i="25"/>
  <c r="UDZ3" i="25"/>
  <c r="UDY3" i="25"/>
  <c r="UDX3" i="25"/>
  <c r="UDW3" i="25"/>
  <c r="UDV3" i="25"/>
  <c r="UDU3" i="25"/>
  <c r="UDT3" i="25"/>
  <c r="UDS3" i="25"/>
  <c r="UDR3" i="25"/>
  <c r="UDQ3" i="25"/>
  <c r="UDP3" i="25"/>
  <c r="UDO3" i="25"/>
  <c r="UDN3" i="25"/>
  <c r="UDM3" i="25"/>
  <c r="UDL3" i="25"/>
  <c r="UDK3" i="25"/>
  <c r="UDJ3" i="25"/>
  <c r="UDI3" i="25"/>
  <c r="UDH3" i="25"/>
  <c r="UDG3" i="25"/>
  <c r="UDF3" i="25"/>
  <c r="UDE3" i="25"/>
  <c r="UDD3" i="25"/>
  <c r="UDC3" i="25"/>
  <c r="UDB3" i="25"/>
  <c r="UDA3" i="25"/>
  <c r="UCZ3" i="25"/>
  <c r="UCY3" i="25"/>
  <c r="UCX3" i="25"/>
  <c r="UCW3" i="25"/>
  <c r="UCV3" i="25"/>
  <c r="UCU3" i="25"/>
  <c r="UCT3" i="25"/>
  <c r="UCS3" i="25"/>
  <c r="UCR3" i="25"/>
  <c r="UCQ3" i="25"/>
  <c r="UCP3" i="25"/>
  <c r="UCO3" i="25"/>
  <c r="UCN3" i="25"/>
  <c r="UCM3" i="25"/>
  <c r="UCL3" i="25"/>
  <c r="UCK3" i="25"/>
  <c r="UCJ3" i="25"/>
  <c r="UCI3" i="25"/>
  <c r="UCH3" i="25"/>
  <c r="UCG3" i="25"/>
  <c r="UCF3" i="25"/>
  <c r="UCE3" i="25"/>
  <c r="UCD3" i="25"/>
  <c r="UCC3" i="25"/>
  <c r="UCB3" i="25"/>
  <c r="UCA3" i="25"/>
  <c r="UBZ3" i="25"/>
  <c r="UBY3" i="25"/>
  <c r="UBX3" i="25"/>
  <c r="UBW3" i="25"/>
  <c r="UBV3" i="25"/>
  <c r="UBU3" i="25"/>
  <c r="UBT3" i="25"/>
  <c r="UBS3" i="25"/>
  <c r="UBR3" i="25"/>
  <c r="UBQ3" i="25"/>
  <c r="UBP3" i="25"/>
  <c r="UBO3" i="25"/>
  <c r="UBN3" i="25"/>
  <c r="UBM3" i="25"/>
  <c r="UBL3" i="25"/>
  <c r="UBK3" i="25"/>
  <c r="UBJ3" i="25"/>
  <c r="UBI3" i="25"/>
  <c r="UBH3" i="25"/>
  <c r="UBG3" i="25"/>
  <c r="UBF3" i="25"/>
  <c r="UBE3" i="25"/>
  <c r="UBD3" i="25"/>
  <c r="UBC3" i="25"/>
  <c r="UBB3" i="25"/>
  <c r="UBA3" i="25"/>
  <c r="UAZ3" i="25"/>
  <c r="UAY3" i="25"/>
  <c r="UAX3" i="25"/>
  <c r="UAW3" i="25"/>
  <c r="UAV3" i="25"/>
  <c r="UAU3" i="25"/>
  <c r="UAT3" i="25"/>
  <c r="UAS3" i="25"/>
  <c r="UAR3" i="25"/>
  <c r="UAQ3" i="25"/>
  <c r="UAP3" i="25"/>
  <c r="UAO3" i="25"/>
  <c r="UAN3" i="25"/>
  <c r="UAM3" i="25"/>
  <c r="UAL3" i="25"/>
  <c r="UAK3" i="25"/>
  <c r="UAJ3" i="25"/>
  <c r="UAI3" i="25"/>
  <c r="UAH3" i="25"/>
  <c r="UAG3" i="25"/>
  <c r="UAF3" i="25"/>
  <c r="UAE3" i="25"/>
  <c r="UAD3" i="25"/>
  <c r="UAC3" i="25"/>
  <c r="UAB3" i="25"/>
  <c r="UAA3" i="25"/>
  <c r="TZZ3" i="25"/>
  <c r="TZY3" i="25"/>
  <c r="TZX3" i="25"/>
  <c r="TZW3" i="25"/>
  <c r="TZV3" i="25"/>
  <c r="TZU3" i="25"/>
  <c r="TZT3" i="25"/>
  <c r="TZS3" i="25"/>
  <c r="TZR3" i="25"/>
  <c r="TZQ3" i="25"/>
  <c r="TZP3" i="25"/>
  <c r="TZO3" i="25"/>
  <c r="TZN3" i="25"/>
  <c r="TZM3" i="25"/>
  <c r="TZL3" i="25"/>
  <c r="TZK3" i="25"/>
  <c r="TZJ3" i="25"/>
  <c r="TZI3" i="25"/>
  <c r="TZH3" i="25"/>
  <c r="TZG3" i="25"/>
  <c r="TZF3" i="25"/>
  <c r="TZE3" i="25"/>
  <c r="TZD3" i="25"/>
  <c r="TZC3" i="25"/>
  <c r="TZB3" i="25"/>
  <c r="TZA3" i="25"/>
  <c r="TYZ3" i="25"/>
  <c r="TYY3" i="25"/>
  <c r="TYX3" i="25"/>
  <c r="TYW3" i="25"/>
  <c r="TYV3" i="25"/>
  <c r="TYU3" i="25"/>
  <c r="TYT3" i="25"/>
  <c r="TYS3" i="25"/>
  <c r="TYR3" i="25"/>
  <c r="TYQ3" i="25"/>
  <c r="TYP3" i="25"/>
  <c r="TYO3" i="25"/>
  <c r="TYN3" i="25"/>
  <c r="TYM3" i="25"/>
  <c r="TYL3" i="25"/>
  <c r="TYK3" i="25"/>
  <c r="TYJ3" i="25"/>
  <c r="TYI3" i="25"/>
  <c r="TYH3" i="25"/>
  <c r="TYG3" i="25"/>
  <c r="TYF3" i="25"/>
  <c r="TYE3" i="25"/>
  <c r="TYD3" i="25"/>
  <c r="TYC3" i="25"/>
  <c r="TYB3" i="25"/>
  <c r="TYA3" i="25"/>
  <c r="TXZ3" i="25"/>
  <c r="TXY3" i="25"/>
  <c r="TXX3" i="25"/>
  <c r="TXW3" i="25"/>
  <c r="TXV3" i="25"/>
  <c r="TXU3" i="25"/>
  <c r="TXT3" i="25"/>
  <c r="TXS3" i="25"/>
  <c r="TXR3" i="25"/>
  <c r="TXQ3" i="25"/>
  <c r="TXP3" i="25"/>
  <c r="TXO3" i="25"/>
  <c r="TXN3" i="25"/>
  <c r="TXM3" i="25"/>
  <c r="TXL3" i="25"/>
  <c r="TXK3" i="25"/>
  <c r="TXJ3" i="25"/>
  <c r="TXI3" i="25"/>
  <c r="TXH3" i="25"/>
  <c r="TXG3" i="25"/>
  <c r="TXF3" i="25"/>
  <c r="TXE3" i="25"/>
  <c r="TXD3" i="25"/>
  <c r="TXC3" i="25"/>
  <c r="TXB3" i="25"/>
  <c r="TXA3" i="25"/>
  <c r="TWZ3" i="25"/>
  <c r="TWY3" i="25"/>
  <c r="TWX3" i="25"/>
  <c r="TWW3" i="25"/>
  <c r="TWV3" i="25"/>
  <c r="TWU3" i="25"/>
  <c r="TWT3" i="25"/>
  <c r="TWS3" i="25"/>
  <c r="TWR3" i="25"/>
  <c r="TWQ3" i="25"/>
  <c r="TWP3" i="25"/>
  <c r="TWO3" i="25"/>
  <c r="TWN3" i="25"/>
  <c r="TWM3" i="25"/>
  <c r="TWL3" i="25"/>
  <c r="TWK3" i="25"/>
  <c r="TWJ3" i="25"/>
  <c r="TWI3" i="25"/>
  <c r="TWH3" i="25"/>
  <c r="TWG3" i="25"/>
  <c r="TWF3" i="25"/>
  <c r="TWE3" i="25"/>
  <c r="TWD3" i="25"/>
  <c r="TWC3" i="25"/>
  <c r="TWB3" i="25"/>
  <c r="TWA3" i="25"/>
  <c r="TVZ3" i="25"/>
  <c r="TVY3" i="25"/>
  <c r="TVX3" i="25"/>
  <c r="TVW3" i="25"/>
  <c r="TVV3" i="25"/>
  <c r="TVU3" i="25"/>
  <c r="TVT3" i="25"/>
  <c r="TVS3" i="25"/>
  <c r="TVR3" i="25"/>
  <c r="TVQ3" i="25"/>
  <c r="TVP3" i="25"/>
  <c r="TVO3" i="25"/>
  <c r="TVN3" i="25"/>
  <c r="TVM3" i="25"/>
  <c r="TVL3" i="25"/>
  <c r="TVK3" i="25"/>
  <c r="TVJ3" i="25"/>
  <c r="TVI3" i="25"/>
  <c r="TVH3" i="25"/>
  <c r="TVG3" i="25"/>
  <c r="TVF3" i="25"/>
  <c r="TVE3" i="25"/>
  <c r="TVD3" i="25"/>
  <c r="TVC3" i="25"/>
  <c r="TVB3" i="25"/>
  <c r="TVA3" i="25"/>
  <c r="TUZ3" i="25"/>
  <c r="TUY3" i="25"/>
  <c r="TUX3" i="25"/>
  <c r="TUW3" i="25"/>
  <c r="TUV3" i="25"/>
  <c r="TUU3" i="25"/>
  <c r="TUT3" i="25"/>
  <c r="TUS3" i="25"/>
  <c r="TUR3" i="25"/>
  <c r="TUQ3" i="25"/>
  <c r="TUP3" i="25"/>
  <c r="TUO3" i="25"/>
  <c r="TUN3" i="25"/>
  <c r="TUM3" i="25"/>
  <c r="TUL3" i="25"/>
  <c r="TUK3" i="25"/>
  <c r="TUJ3" i="25"/>
  <c r="TUI3" i="25"/>
  <c r="TUH3" i="25"/>
  <c r="TUG3" i="25"/>
  <c r="TUF3" i="25"/>
  <c r="TUE3" i="25"/>
  <c r="TUD3" i="25"/>
  <c r="TUC3" i="25"/>
  <c r="TUB3" i="25"/>
  <c r="TUA3" i="25"/>
  <c r="TTZ3" i="25"/>
  <c r="TTY3" i="25"/>
  <c r="TTX3" i="25"/>
  <c r="TTW3" i="25"/>
  <c r="TTV3" i="25"/>
  <c r="TTU3" i="25"/>
  <c r="TTT3" i="25"/>
  <c r="TTS3" i="25"/>
  <c r="TTR3" i="25"/>
  <c r="TTQ3" i="25"/>
  <c r="TTP3" i="25"/>
  <c r="TTO3" i="25"/>
  <c r="TTN3" i="25"/>
  <c r="TTM3" i="25"/>
  <c r="TTL3" i="25"/>
  <c r="TTK3" i="25"/>
  <c r="TTJ3" i="25"/>
  <c r="TTI3" i="25"/>
  <c r="TTH3" i="25"/>
  <c r="TTG3" i="25"/>
  <c r="TTF3" i="25"/>
  <c r="TTE3" i="25"/>
  <c r="TTD3" i="25"/>
  <c r="TTC3" i="25"/>
  <c r="TTB3" i="25"/>
  <c r="TTA3" i="25"/>
  <c r="TSZ3" i="25"/>
  <c r="TSY3" i="25"/>
  <c r="TSX3" i="25"/>
  <c r="TSW3" i="25"/>
  <c r="TSV3" i="25"/>
  <c r="TSU3" i="25"/>
  <c r="TST3" i="25"/>
  <c r="TSS3" i="25"/>
  <c r="TSR3" i="25"/>
  <c r="TSQ3" i="25"/>
  <c r="TSP3" i="25"/>
  <c r="TSO3" i="25"/>
  <c r="TSN3" i="25"/>
  <c r="TSM3" i="25"/>
  <c r="TSL3" i="25"/>
  <c r="TSK3" i="25"/>
  <c r="TSJ3" i="25"/>
  <c r="TSI3" i="25"/>
  <c r="TSH3" i="25"/>
  <c r="TSG3" i="25"/>
  <c r="TSF3" i="25"/>
  <c r="TSE3" i="25"/>
  <c r="TSD3" i="25"/>
  <c r="TSC3" i="25"/>
  <c r="TSB3" i="25"/>
  <c r="TSA3" i="25"/>
  <c r="TRZ3" i="25"/>
  <c r="TRY3" i="25"/>
  <c r="TRX3" i="25"/>
  <c r="TRW3" i="25"/>
  <c r="TRV3" i="25"/>
  <c r="TRU3" i="25"/>
  <c r="TRT3" i="25"/>
  <c r="TRS3" i="25"/>
  <c r="TRR3" i="25"/>
  <c r="TRQ3" i="25"/>
  <c r="TRP3" i="25"/>
  <c r="TRO3" i="25"/>
  <c r="TRN3" i="25"/>
  <c r="TRM3" i="25"/>
  <c r="TRL3" i="25"/>
  <c r="TRK3" i="25"/>
  <c r="TRJ3" i="25"/>
  <c r="TRI3" i="25"/>
  <c r="TRH3" i="25"/>
  <c r="TRG3" i="25"/>
  <c r="TRF3" i="25"/>
  <c r="TRE3" i="25"/>
  <c r="TRD3" i="25"/>
  <c r="TRC3" i="25"/>
  <c r="TRB3" i="25"/>
  <c r="TRA3" i="25"/>
  <c r="TQZ3" i="25"/>
  <c r="TQY3" i="25"/>
  <c r="TQX3" i="25"/>
  <c r="TQW3" i="25"/>
  <c r="TQV3" i="25"/>
  <c r="TQU3" i="25"/>
  <c r="TQT3" i="25"/>
  <c r="TQS3" i="25"/>
  <c r="TQR3" i="25"/>
  <c r="TQQ3" i="25"/>
  <c r="TQP3" i="25"/>
  <c r="TQO3" i="25"/>
  <c r="TQN3" i="25"/>
  <c r="TQM3" i="25"/>
  <c r="TQL3" i="25"/>
  <c r="TQK3" i="25"/>
  <c r="TQJ3" i="25"/>
  <c r="TQI3" i="25"/>
  <c r="TQH3" i="25"/>
  <c r="TQG3" i="25"/>
  <c r="TQF3" i="25"/>
  <c r="TQE3" i="25"/>
  <c r="TQD3" i="25"/>
  <c r="TQC3" i="25"/>
  <c r="TQB3" i="25"/>
  <c r="TQA3" i="25"/>
  <c r="TPZ3" i="25"/>
  <c r="TPY3" i="25"/>
  <c r="TPX3" i="25"/>
  <c r="TPW3" i="25"/>
  <c r="TPV3" i="25"/>
  <c r="TPU3" i="25"/>
  <c r="TPT3" i="25"/>
  <c r="TPS3" i="25"/>
  <c r="TPR3" i="25"/>
  <c r="TPQ3" i="25"/>
  <c r="TPP3" i="25"/>
  <c r="TPO3" i="25"/>
  <c r="TPN3" i="25"/>
  <c r="TPM3" i="25"/>
  <c r="TPL3" i="25"/>
  <c r="TPK3" i="25"/>
  <c r="TPJ3" i="25"/>
  <c r="TPI3" i="25"/>
  <c r="TPH3" i="25"/>
  <c r="TPG3" i="25"/>
  <c r="TPF3" i="25"/>
  <c r="TPE3" i="25"/>
  <c r="TPD3" i="25"/>
  <c r="TPC3" i="25"/>
  <c r="TPB3" i="25"/>
  <c r="TPA3" i="25"/>
  <c r="TOZ3" i="25"/>
  <c r="TOY3" i="25"/>
  <c r="TOX3" i="25"/>
  <c r="TOW3" i="25"/>
  <c r="TOV3" i="25"/>
  <c r="TOU3" i="25"/>
  <c r="TOT3" i="25"/>
  <c r="TOS3" i="25"/>
  <c r="TOR3" i="25"/>
  <c r="TOQ3" i="25"/>
  <c r="TOP3" i="25"/>
  <c r="TOO3" i="25"/>
  <c r="TON3" i="25"/>
  <c r="TOM3" i="25"/>
  <c r="TOL3" i="25"/>
  <c r="TOK3" i="25"/>
  <c r="TOJ3" i="25"/>
  <c r="TOI3" i="25"/>
  <c r="TOH3" i="25"/>
  <c r="TOG3" i="25"/>
  <c r="TOF3" i="25"/>
  <c r="TOE3" i="25"/>
  <c r="TOD3" i="25"/>
  <c r="TOC3" i="25"/>
  <c r="TOB3" i="25"/>
  <c r="TOA3" i="25"/>
  <c r="TNZ3" i="25"/>
  <c r="TNY3" i="25"/>
  <c r="TNX3" i="25"/>
  <c r="TNW3" i="25"/>
  <c r="TNV3" i="25"/>
  <c r="TNU3" i="25"/>
  <c r="TNT3" i="25"/>
  <c r="TNS3" i="25"/>
  <c r="TNR3" i="25"/>
  <c r="TNQ3" i="25"/>
  <c r="TNP3" i="25"/>
  <c r="TNO3" i="25"/>
  <c r="TNN3" i="25"/>
  <c r="TNM3" i="25"/>
  <c r="TNL3" i="25"/>
  <c r="TNK3" i="25"/>
  <c r="TNJ3" i="25"/>
  <c r="TNI3" i="25"/>
  <c r="TNH3" i="25"/>
  <c r="TNG3" i="25"/>
  <c r="TNF3" i="25"/>
  <c r="TNE3" i="25"/>
  <c r="TND3" i="25"/>
  <c r="TNC3" i="25"/>
  <c r="TNB3" i="25"/>
  <c r="TNA3" i="25"/>
  <c r="TMZ3" i="25"/>
  <c r="TMY3" i="25"/>
  <c r="TMX3" i="25"/>
  <c r="TMW3" i="25"/>
  <c r="TMV3" i="25"/>
  <c r="TMU3" i="25"/>
  <c r="TMT3" i="25"/>
  <c r="TMS3" i="25"/>
  <c r="TMR3" i="25"/>
  <c r="TMQ3" i="25"/>
  <c r="TMP3" i="25"/>
  <c r="TMO3" i="25"/>
  <c r="TMN3" i="25"/>
  <c r="TMM3" i="25"/>
  <c r="TML3" i="25"/>
  <c r="TMK3" i="25"/>
  <c r="TMJ3" i="25"/>
  <c r="TMI3" i="25"/>
  <c r="TMH3" i="25"/>
  <c r="TMG3" i="25"/>
  <c r="TMF3" i="25"/>
  <c r="TME3" i="25"/>
  <c r="TMD3" i="25"/>
  <c r="TMC3" i="25"/>
  <c r="TMB3" i="25"/>
  <c r="TMA3" i="25"/>
  <c r="TLZ3" i="25"/>
  <c r="TLY3" i="25"/>
  <c r="TLX3" i="25"/>
  <c r="TLW3" i="25"/>
  <c r="TLV3" i="25"/>
  <c r="TLU3" i="25"/>
  <c r="TLT3" i="25"/>
  <c r="TLS3" i="25"/>
  <c r="TLR3" i="25"/>
  <c r="TLQ3" i="25"/>
  <c r="TLP3" i="25"/>
  <c r="TLO3" i="25"/>
  <c r="TLN3" i="25"/>
  <c r="TLM3" i="25"/>
  <c r="TLL3" i="25"/>
  <c r="TLK3" i="25"/>
  <c r="TLJ3" i="25"/>
  <c r="TLI3" i="25"/>
  <c r="TLH3" i="25"/>
  <c r="TLG3" i="25"/>
  <c r="TLF3" i="25"/>
  <c r="TLE3" i="25"/>
  <c r="TLD3" i="25"/>
  <c r="TLC3" i="25"/>
  <c r="TLB3" i="25"/>
  <c r="TLA3" i="25"/>
  <c r="TKZ3" i="25"/>
  <c r="TKY3" i="25"/>
  <c r="TKX3" i="25"/>
  <c r="TKW3" i="25"/>
  <c r="TKV3" i="25"/>
  <c r="TKU3" i="25"/>
  <c r="TKT3" i="25"/>
  <c r="TKS3" i="25"/>
  <c r="TKR3" i="25"/>
  <c r="TKQ3" i="25"/>
  <c r="TKP3" i="25"/>
  <c r="TKO3" i="25"/>
  <c r="TKN3" i="25"/>
  <c r="TKM3" i="25"/>
  <c r="TKL3" i="25"/>
  <c r="TKK3" i="25"/>
  <c r="TKJ3" i="25"/>
  <c r="TKI3" i="25"/>
  <c r="TKH3" i="25"/>
  <c r="TKG3" i="25"/>
  <c r="TKF3" i="25"/>
  <c r="TKE3" i="25"/>
  <c r="TKD3" i="25"/>
  <c r="TKC3" i="25"/>
  <c r="TKB3" i="25"/>
  <c r="TKA3" i="25"/>
  <c r="TJZ3" i="25"/>
  <c r="TJY3" i="25"/>
  <c r="TJX3" i="25"/>
  <c r="TJW3" i="25"/>
  <c r="TJV3" i="25"/>
  <c r="TJU3" i="25"/>
  <c r="TJT3" i="25"/>
  <c r="TJS3" i="25"/>
  <c r="TJR3" i="25"/>
  <c r="TJQ3" i="25"/>
  <c r="TJP3" i="25"/>
  <c r="TJO3" i="25"/>
  <c r="TJN3" i="25"/>
  <c r="TJM3" i="25"/>
  <c r="TJL3" i="25"/>
  <c r="TJK3" i="25"/>
  <c r="TJJ3" i="25"/>
  <c r="TJI3" i="25"/>
  <c r="TJH3" i="25"/>
  <c r="TJG3" i="25"/>
  <c r="TJF3" i="25"/>
  <c r="TJE3" i="25"/>
  <c r="TJD3" i="25"/>
  <c r="TJC3" i="25"/>
  <c r="TJB3" i="25"/>
  <c r="TJA3" i="25"/>
  <c r="TIZ3" i="25"/>
  <c r="TIY3" i="25"/>
  <c r="TIX3" i="25"/>
  <c r="TIW3" i="25"/>
  <c r="TIV3" i="25"/>
  <c r="TIU3" i="25"/>
  <c r="TIT3" i="25"/>
  <c r="TIS3" i="25"/>
  <c r="TIR3" i="25"/>
  <c r="TIQ3" i="25"/>
  <c r="TIP3" i="25"/>
  <c r="TIO3" i="25"/>
  <c r="TIN3" i="25"/>
  <c r="TIM3" i="25"/>
  <c r="TIL3" i="25"/>
  <c r="TIK3" i="25"/>
  <c r="TIJ3" i="25"/>
  <c r="TII3" i="25"/>
  <c r="TIH3" i="25"/>
  <c r="TIG3" i="25"/>
  <c r="TIF3" i="25"/>
  <c r="TIE3" i="25"/>
  <c r="TID3" i="25"/>
  <c r="TIC3" i="25"/>
  <c r="TIB3" i="25"/>
  <c r="TIA3" i="25"/>
  <c r="THZ3" i="25"/>
  <c r="THY3" i="25"/>
  <c r="THX3" i="25"/>
  <c r="THW3" i="25"/>
  <c r="THV3" i="25"/>
  <c r="THU3" i="25"/>
  <c r="THT3" i="25"/>
  <c r="THS3" i="25"/>
  <c r="THR3" i="25"/>
  <c r="THQ3" i="25"/>
  <c r="THP3" i="25"/>
  <c r="THO3" i="25"/>
  <c r="THN3" i="25"/>
  <c r="THM3" i="25"/>
  <c r="THL3" i="25"/>
  <c r="THK3" i="25"/>
  <c r="THJ3" i="25"/>
  <c r="THI3" i="25"/>
  <c r="THH3" i="25"/>
  <c r="THG3" i="25"/>
  <c r="THF3" i="25"/>
  <c r="THE3" i="25"/>
  <c r="THD3" i="25"/>
  <c r="THC3" i="25"/>
  <c r="THB3" i="25"/>
  <c r="THA3" i="25"/>
  <c r="TGZ3" i="25"/>
  <c r="TGY3" i="25"/>
  <c r="TGX3" i="25"/>
  <c r="TGW3" i="25"/>
  <c r="TGV3" i="25"/>
  <c r="TGU3" i="25"/>
  <c r="TGT3" i="25"/>
  <c r="TGS3" i="25"/>
  <c r="TGR3" i="25"/>
  <c r="TGQ3" i="25"/>
  <c r="TGP3" i="25"/>
  <c r="TGO3" i="25"/>
  <c r="TGN3" i="25"/>
  <c r="TGM3" i="25"/>
  <c r="TGL3" i="25"/>
  <c r="TGK3" i="25"/>
  <c r="TGJ3" i="25"/>
  <c r="TGI3" i="25"/>
  <c r="TGH3" i="25"/>
  <c r="TGG3" i="25"/>
  <c r="TGF3" i="25"/>
  <c r="TGE3" i="25"/>
  <c r="TGD3" i="25"/>
  <c r="TGC3" i="25"/>
  <c r="TGB3" i="25"/>
  <c r="TGA3" i="25"/>
  <c r="TFZ3" i="25"/>
  <c r="TFY3" i="25"/>
  <c r="TFX3" i="25"/>
  <c r="TFW3" i="25"/>
  <c r="TFV3" i="25"/>
  <c r="TFU3" i="25"/>
  <c r="TFT3" i="25"/>
  <c r="TFS3" i="25"/>
  <c r="TFR3" i="25"/>
  <c r="TFQ3" i="25"/>
  <c r="TFP3" i="25"/>
  <c r="TFO3" i="25"/>
  <c r="TFN3" i="25"/>
  <c r="TFM3" i="25"/>
  <c r="TFL3" i="25"/>
  <c r="TFK3" i="25"/>
  <c r="TFJ3" i="25"/>
  <c r="TFI3" i="25"/>
  <c r="TFH3" i="25"/>
  <c r="TFG3" i="25"/>
  <c r="TFF3" i="25"/>
  <c r="TFE3" i="25"/>
  <c r="TFD3" i="25"/>
  <c r="TFC3" i="25"/>
  <c r="TFB3" i="25"/>
  <c r="TFA3" i="25"/>
  <c r="TEZ3" i="25"/>
  <c r="TEY3" i="25"/>
  <c r="TEX3" i="25"/>
  <c r="TEW3" i="25"/>
  <c r="TEV3" i="25"/>
  <c r="TEU3" i="25"/>
  <c r="TET3" i="25"/>
  <c r="TES3" i="25"/>
  <c r="TER3" i="25"/>
  <c r="TEQ3" i="25"/>
  <c r="TEP3" i="25"/>
  <c r="TEO3" i="25"/>
  <c r="TEN3" i="25"/>
  <c r="TEM3" i="25"/>
  <c r="TEL3" i="25"/>
  <c r="TEK3" i="25"/>
  <c r="TEJ3" i="25"/>
  <c r="TEI3" i="25"/>
  <c r="TEH3" i="25"/>
  <c r="TEG3" i="25"/>
  <c r="TEF3" i="25"/>
  <c r="TEE3" i="25"/>
  <c r="TED3" i="25"/>
  <c r="TEC3" i="25"/>
  <c r="TEB3" i="25"/>
  <c r="TEA3" i="25"/>
  <c r="TDZ3" i="25"/>
  <c r="TDY3" i="25"/>
  <c r="TDX3" i="25"/>
  <c r="TDW3" i="25"/>
  <c r="TDV3" i="25"/>
  <c r="TDU3" i="25"/>
  <c r="TDT3" i="25"/>
  <c r="TDS3" i="25"/>
  <c r="TDR3" i="25"/>
  <c r="TDQ3" i="25"/>
  <c r="TDP3" i="25"/>
  <c r="TDO3" i="25"/>
  <c r="TDN3" i="25"/>
  <c r="TDM3" i="25"/>
  <c r="TDL3" i="25"/>
  <c r="TDK3" i="25"/>
  <c r="TDJ3" i="25"/>
  <c r="TDI3" i="25"/>
  <c r="TDH3" i="25"/>
  <c r="TDG3" i="25"/>
  <c r="TDF3" i="25"/>
  <c r="TDE3" i="25"/>
  <c r="TDD3" i="25"/>
  <c r="TDC3" i="25"/>
  <c r="TDB3" i="25"/>
  <c r="TDA3" i="25"/>
  <c r="TCZ3" i="25"/>
  <c r="TCY3" i="25"/>
  <c r="TCX3" i="25"/>
  <c r="TCW3" i="25"/>
  <c r="TCV3" i="25"/>
  <c r="TCU3" i="25"/>
  <c r="TCT3" i="25"/>
  <c r="TCS3" i="25"/>
  <c r="TCR3" i="25"/>
  <c r="TCQ3" i="25"/>
  <c r="TCP3" i="25"/>
  <c r="TCO3" i="25"/>
  <c r="TCN3" i="25"/>
  <c r="TCM3" i="25"/>
  <c r="TCL3" i="25"/>
  <c r="TCK3" i="25"/>
  <c r="TCJ3" i="25"/>
  <c r="TCI3" i="25"/>
  <c r="TCH3" i="25"/>
  <c r="TCG3" i="25"/>
  <c r="TCF3" i="25"/>
  <c r="TCE3" i="25"/>
  <c r="TCD3" i="25"/>
  <c r="TCC3" i="25"/>
  <c r="TCB3" i="25"/>
  <c r="TCA3" i="25"/>
  <c r="TBZ3" i="25"/>
  <c r="TBY3" i="25"/>
  <c r="TBX3" i="25"/>
  <c r="TBW3" i="25"/>
  <c r="TBV3" i="25"/>
  <c r="TBU3" i="25"/>
  <c r="TBT3" i="25"/>
  <c r="TBS3" i="25"/>
  <c r="TBR3" i="25"/>
  <c r="TBQ3" i="25"/>
  <c r="TBP3" i="25"/>
  <c r="TBO3" i="25"/>
  <c r="TBN3" i="25"/>
  <c r="TBM3" i="25"/>
  <c r="TBL3" i="25"/>
  <c r="TBK3" i="25"/>
  <c r="TBJ3" i="25"/>
  <c r="TBI3" i="25"/>
  <c r="TBH3" i="25"/>
  <c r="TBG3" i="25"/>
  <c r="TBF3" i="25"/>
  <c r="TBE3" i="25"/>
  <c r="TBD3" i="25"/>
  <c r="TBC3" i="25"/>
  <c r="TBB3" i="25"/>
  <c r="TBA3" i="25"/>
  <c r="TAZ3" i="25"/>
  <c r="TAY3" i="25"/>
  <c r="TAX3" i="25"/>
  <c r="TAW3" i="25"/>
  <c r="TAV3" i="25"/>
  <c r="TAU3" i="25"/>
  <c r="TAT3" i="25"/>
  <c r="TAS3" i="25"/>
  <c r="TAR3" i="25"/>
  <c r="TAQ3" i="25"/>
  <c r="TAP3" i="25"/>
  <c r="TAO3" i="25"/>
  <c r="TAN3" i="25"/>
  <c r="TAM3" i="25"/>
  <c r="TAL3" i="25"/>
  <c r="TAK3" i="25"/>
  <c r="TAJ3" i="25"/>
  <c r="TAI3" i="25"/>
  <c r="TAH3" i="25"/>
  <c r="TAG3" i="25"/>
  <c r="TAF3" i="25"/>
  <c r="TAE3" i="25"/>
  <c r="TAD3" i="25"/>
  <c r="TAC3" i="25"/>
  <c r="TAB3" i="25"/>
  <c r="TAA3" i="25"/>
  <c r="SZZ3" i="25"/>
  <c r="SZY3" i="25"/>
  <c r="SZX3" i="25"/>
  <c r="SZW3" i="25"/>
  <c r="SZV3" i="25"/>
  <c r="SZU3" i="25"/>
  <c r="SZT3" i="25"/>
  <c r="SZS3" i="25"/>
  <c r="SZR3" i="25"/>
  <c r="SZQ3" i="25"/>
  <c r="SZP3" i="25"/>
  <c r="SZO3" i="25"/>
  <c r="SZN3" i="25"/>
  <c r="SZM3" i="25"/>
  <c r="SZL3" i="25"/>
  <c r="SZK3" i="25"/>
  <c r="SZJ3" i="25"/>
  <c r="SZI3" i="25"/>
  <c r="SZH3" i="25"/>
  <c r="SZG3" i="25"/>
  <c r="SZF3" i="25"/>
  <c r="SZE3" i="25"/>
  <c r="SZD3" i="25"/>
  <c r="SZC3" i="25"/>
  <c r="SZB3" i="25"/>
  <c r="SZA3" i="25"/>
  <c r="SYZ3" i="25"/>
  <c r="SYY3" i="25"/>
  <c r="SYX3" i="25"/>
  <c r="SYW3" i="25"/>
  <c r="SYV3" i="25"/>
  <c r="SYU3" i="25"/>
  <c r="SYT3" i="25"/>
  <c r="SYS3" i="25"/>
  <c r="SYR3" i="25"/>
  <c r="SYQ3" i="25"/>
  <c r="SYP3" i="25"/>
  <c r="SYO3" i="25"/>
  <c r="SYN3" i="25"/>
  <c r="SYM3" i="25"/>
  <c r="SYL3" i="25"/>
  <c r="SYK3" i="25"/>
  <c r="SYJ3" i="25"/>
  <c r="SYI3" i="25"/>
  <c r="SYH3" i="25"/>
  <c r="SYG3" i="25"/>
  <c r="SYF3" i="25"/>
  <c r="SYE3" i="25"/>
  <c r="SYD3" i="25"/>
  <c r="SYC3" i="25"/>
  <c r="SYB3" i="25"/>
  <c r="SYA3" i="25"/>
  <c r="SXZ3" i="25"/>
  <c r="SXY3" i="25"/>
  <c r="SXX3" i="25"/>
  <c r="SXW3" i="25"/>
  <c r="SXV3" i="25"/>
  <c r="SXU3" i="25"/>
  <c r="SXT3" i="25"/>
  <c r="SXS3" i="25"/>
  <c r="SXR3" i="25"/>
  <c r="SXQ3" i="25"/>
  <c r="SXP3" i="25"/>
  <c r="SXO3" i="25"/>
  <c r="SXN3" i="25"/>
  <c r="SXM3" i="25"/>
  <c r="SXL3" i="25"/>
  <c r="SXK3" i="25"/>
  <c r="SXJ3" i="25"/>
  <c r="SXI3" i="25"/>
  <c r="SXH3" i="25"/>
  <c r="SXG3" i="25"/>
  <c r="SXF3" i="25"/>
  <c r="SXE3" i="25"/>
  <c r="SXD3" i="25"/>
  <c r="SXC3" i="25"/>
  <c r="SXB3" i="25"/>
  <c r="SXA3" i="25"/>
  <c r="SWZ3" i="25"/>
  <c r="SWY3" i="25"/>
  <c r="SWX3" i="25"/>
  <c r="SWW3" i="25"/>
  <c r="SWV3" i="25"/>
  <c r="SWU3" i="25"/>
  <c r="SWT3" i="25"/>
  <c r="SWS3" i="25"/>
  <c r="SWR3" i="25"/>
  <c r="SWQ3" i="25"/>
  <c r="SWP3" i="25"/>
  <c r="SWO3" i="25"/>
  <c r="SWN3" i="25"/>
  <c r="SWM3" i="25"/>
  <c r="SWL3" i="25"/>
  <c r="SWK3" i="25"/>
  <c r="SWJ3" i="25"/>
  <c r="SWI3" i="25"/>
  <c r="SWH3" i="25"/>
  <c r="SWG3" i="25"/>
  <c r="SWF3" i="25"/>
  <c r="SWE3" i="25"/>
  <c r="SWD3" i="25"/>
  <c r="SWC3" i="25"/>
  <c r="SWB3" i="25"/>
  <c r="SWA3" i="25"/>
  <c r="SVZ3" i="25"/>
  <c r="SVY3" i="25"/>
  <c r="SVX3" i="25"/>
  <c r="SVW3" i="25"/>
  <c r="SVV3" i="25"/>
  <c r="SVU3" i="25"/>
  <c r="SVT3" i="25"/>
  <c r="SVS3" i="25"/>
  <c r="SVR3" i="25"/>
  <c r="SVQ3" i="25"/>
  <c r="SVP3" i="25"/>
  <c r="SVO3" i="25"/>
  <c r="SVN3" i="25"/>
  <c r="SVM3" i="25"/>
  <c r="SVL3" i="25"/>
  <c r="SVK3" i="25"/>
  <c r="SVJ3" i="25"/>
  <c r="SVI3" i="25"/>
  <c r="SVH3" i="25"/>
  <c r="SVG3" i="25"/>
  <c r="SVF3" i="25"/>
  <c r="SVE3" i="25"/>
  <c r="SVD3" i="25"/>
  <c r="SVC3" i="25"/>
  <c r="SVB3" i="25"/>
  <c r="SVA3" i="25"/>
  <c r="SUZ3" i="25"/>
  <c r="SUY3" i="25"/>
  <c r="SUX3" i="25"/>
  <c r="SUW3" i="25"/>
  <c r="SUV3" i="25"/>
  <c r="SUU3" i="25"/>
  <c r="SUT3" i="25"/>
  <c r="SUS3" i="25"/>
  <c r="SUR3" i="25"/>
  <c r="SUQ3" i="25"/>
  <c r="SUP3" i="25"/>
  <c r="SUO3" i="25"/>
  <c r="SUN3" i="25"/>
  <c r="SUM3" i="25"/>
  <c r="SUL3" i="25"/>
  <c r="SUK3" i="25"/>
  <c r="SUJ3" i="25"/>
  <c r="SUI3" i="25"/>
  <c r="SUH3" i="25"/>
  <c r="SUG3" i="25"/>
  <c r="SUF3" i="25"/>
  <c r="SUE3" i="25"/>
  <c r="SUD3" i="25"/>
  <c r="SUC3" i="25"/>
  <c r="SUB3" i="25"/>
  <c r="SUA3" i="25"/>
  <c r="STZ3" i="25"/>
  <c r="STY3" i="25"/>
  <c r="STX3" i="25"/>
  <c r="STW3" i="25"/>
  <c r="STV3" i="25"/>
  <c r="STU3" i="25"/>
  <c r="STT3" i="25"/>
  <c r="STS3" i="25"/>
  <c r="STR3" i="25"/>
  <c r="STQ3" i="25"/>
  <c r="STP3" i="25"/>
  <c r="STO3" i="25"/>
  <c r="STN3" i="25"/>
  <c r="STM3" i="25"/>
  <c r="STL3" i="25"/>
  <c r="STK3" i="25"/>
  <c r="STJ3" i="25"/>
  <c r="STI3" i="25"/>
  <c r="STH3" i="25"/>
  <c r="STG3" i="25"/>
  <c r="STF3" i="25"/>
  <c r="STE3" i="25"/>
  <c r="STD3" i="25"/>
  <c r="STC3" i="25"/>
  <c r="STB3" i="25"/>
  <c r="STA3" i="25"/>
  <c r="SSZ3" i="25"/>
  <c r="SSY3" i="25"/>
  <c r="SSX3" i="25"/>
  <c r="SSW3" i="25"/>
  <c r="SSV3" i="25"/>
  <c r="SSU3" i="25"/>
  <c r="SST3" i="25"/>
  <c r="SSS3" i="25"/>
  <c r="SSR3" i="25"/>
  <c r="SSQ3" i="25"/>
  <c r="SSP3" i="25"/>
  <c r="SSO3" i="25"/>
  <c r="SSN3" i="25"/>
  <c r="SSM3" i="25"/>
  <c r="SSL3" i="25"/>
  <c r="SSK3" i="25"/>
  <c r="SSJ3" i="25"/>
  <c r="SSI3" i="25"/>
  <c r="SSH3" i="25"/>
  <c r="SSG3" i="25"/>
  <c r="SSF3" i="25"/>
  <c r="SSE3" i="25"/>
  <c r="SSD3" i="25"/>
  <c r="SSC3" i="25"/>
  <c r="SSB3" i="25"/>
  <c r="SSA3" i="25"/>
  <c r="SRZ3" i="25"/>
  <c r="SRY3" i="25"/>
  <c r="SRX3" i="25"/>
  <c r="SRW3" i="25"/>
  <c r="SRV3" i="25"/>
  <c r="SRU3" i="25"/>
  <c r="SRT3" i="25"/>
  <c r="SRS3" i="25"/>
  <c r="SRR3" i="25"/>
  <c r="SRQ3" i="25"/>
  <c r="SRP3" i="25"/>
  <c r="SRO3" i="25"/>
  <c r="SRN3" i="25"/>
  <c r="SRM3" i="25"/>
  <c r="SRL3" i="25"/>
  <c r="SRK3" i="25"/>
  <c r="SRJ3" i="25"/>
  <c r="SRI3" i="25"/>
  <c r="SRH3" i="25"/>
  <c r="SRG3" i="25"/>
  <c r="SRF3" i="25"/>
  <c r="SRE3" i="25"/>
  <c r="SRD3" i="25"/>
  <c r="SRC3" i="25"/>
  <c r="SRB3" i="25"/>
  <c r="SRA3" i="25"/>
  <c r="SQZ3" i="25"/>
  <c r="SQY3" i="25"/>
  <c r="SQX3" i="25"/>
  <c r="SQW3" i="25"/>
  <c r="SQV3" i="25"/>
  <c r="SQU3" i="25"/>
  <c r="SQT3" i="25"/>
  <c r="SQS3" i="25"/>
  <c r="SQR3" i="25"/>
  <c r="SQQ3" i="25"/>
  <c r="SQP3" i="25"/>
  <c r="SQO3" i="25"/>
  <c r="SQN3" i="25"/>
  <c r="SQM3" i="25"/>
  <c r="SQL3" i="25"/>
  <c r="SQK3" i="25"/>
  <c r="SQJ3" i="25"/>
  <c r="SQI3" i="25"/>
  <c r="SQH3" i="25"/>
  <c r="SQG3" i="25"/>
  <c r="SQF3" i="25"/>
  <c r="SQE3" i="25"/>
  <c r="SQD3" i="25"/>
  <c r="SQC3" i="25"/>
  <c r="SQB3" i="25"/>
  <c r="SQA3" i="25"/>
  <c r="SPZ3" i="25"/>
  <c r="SPY3" i="25"/>
  <c r="SPX3" i="25"/>
  <c r="SPW3" i="25"/>
  <c r="SPV3" i="25"/>
  <c r="SPU3" i="25"/>
  <c r="SPT3" i="25"/>
  <c r="SPS3" i="25"/>
  <c r="SPR3" i="25"/>
  <c r="SPQ3" i="25"/>
  <c r="SPP3" i="25"/>
  <c r="SPO3" i="25"/>
  <c r="SPN3" i="25"/>
  <c r="SPM3" i="25"/>
  <c r="SPL3" i="25"/>
  <c r="SPK3" i="25"/>
  <c r="SPJ3" i="25"/>
  <c r="SPI3" i="25"/>
  <c r="SPH3" i="25"/>
  <c r="SPG3" i="25"/>
  <c r="SPF3" i="25"/>
  <c r="SPE3" i="25"/>
  <c r="SPD3" i="25"/>
  <c r="SPC3" i="25"/>
  <c r="SPB3" i="25"/>
  <c r="SPA3" i="25"/>
  <c r="SOZ3" i="25"/>
  <c r="SOY3" i="25"/>
  <c r="SOX3" i="25"/>
  <c r="SOW3" i="25"/>
  <c r="SOV3" i="25"/>
  <c r="SOU3" i="25"/>
  <c r="SOT3" i="25"/>
  <c r="SOS3" i="25"/>
  <c r="SOR3" i="25"/>
  <c r="SOQ3" i="25"/>
  <c r="SOP3" i="25"/>
  <c r="SOO3" i="25"/>
  <c r="SON3" i="25"/>
  <c r="SOM3" i="25"/>
  <c r="SOL3" i="25"/>
  <c r="SOK3" i="25"/>
  <c r="SOJ3" i="25"/>
  <c r="SOI3" i="25"/>
  <c r="SOH3" i="25"/>
  <c r="SOG3" i="25"/>
  <c r="SOF3" i="25"/>
  <c r="SOE3" i="25"/>
  <c r="SOD3" i="25"/>
  <c r="SOC3" i="25"/>
  <c r="SOB3" i="25"/>
  <c r="SOA3" i="25"/>
  <c r="SNZ3" i="25"/>
  <c r="SNY3" i="25"/>
  <c r="SNX3" i="25"/>
  <c r="SNW3" i="25"/>
  <c r="SNV3" i="25"/>
  <c r="SNU3" i="25"/>
  <c r="SNT3" i="25"/>
  <c r="SNS3" i="25"/>
  <c r="SNR3" i="25"/>
  <c r="SNQ3" i="25"/>
  <c r="SNP3" i="25"/>
  <c r="SNO3" i="25"/>
  <c r="SNN3" i="25"/>
  <c r="SNM3" i="25"/>
  <c r="SNL3" i="25"/>
  <c r="SNK3" i="25"/>
  <c r="SNJ3" i="25"/>
  <c r="SNI3" i="25"/>
  <c r="SNH3" i="25"/>
  <c r="SNG3" i="25"/>
  <c r="SNF3" i="25"/>
  <c r="SNE3" i="25"/>
  <c r="SND3" i="25"/>
  <c r="SNC3" i="25"/>
  <c r="SNB3" i="25"/>
  <c r="SNA3" i="25"/>
  <c r="SMZ3" i="25"/>
  <c r="SMY3" i="25"/>
  <c r="SMX3" i="25"/>
  <c r="SMW3" i="25"/>
  <c r="SMV3" i="25"/>
  <c r="SMU3" i="25"/>
  <c r="SMT3" i="25"/>
  <c r="SMS3" i="25"/>
  <c r="SMR3" i="25"/>
  <c r="SMQ3" i="25"/>
  <c r="SMP3" i="25"/>
  <c r="SMO3" i="25"/>
  <c r="SMN3" i="25"/>
  <c r="SMM3" i="25"/>
  <c r="SML3" i="25"/>
  <c r="SMK3" i="25"/>
  <c r="SMJ3" i="25"/>
  <c r="SMI3" i="25"/>
  <c r="SMH3" i="25"/>
  <c r="SMG3" i="25"/>
  <c r="SMF3" i="25"/>
  <c r="SME3" i="25"/>
  <c r="SMD3" i="25"/>
  <c r="SMC3" i="25"/>
  <c r="SMB3" i="25"/>
  <c r="SMA3" i="25"/>
  <c r="SLZ3" i="25"/>
  <c r="SLY3" i="25"/>
  <c r="SLX3" i="25"/>
  <c r="SLW3" i="25"/>
  <c r="SLV3" i="25"/>
  <c r="SLU3" i="25"/>
  <c r="SLT3" i="25"/>
  <c r="SLS3" i="25"/>
  <c r="SLR3" i="25"/>
  <c r="SLQ3" i="25"/>
  <c r="SLP3" i="25"/>
  <c r="SLO3" i="25"/>
  <c r="SLN3" i="25"/>
  <c r="SLM3" i="25"/>
  <c r="SLL3" i="25"/>
  <c r="SLK3" i="25"/>
  <c r="SLJ3" i="25"/>
  <c r="SLI3" i="25"/>
  <c r="SLH3" i="25"/>
  <c r="SLG3" i="25"/>
  <c r="SLF3" i="25"/>
  <c r="SLE3" i="25"/>
  <c r="SLD3" i="25"/>
  <c r="SLC3" i="25"/>
  <c r="SLB3" i="25"/>
  <c r="SLA3" i="25"/>
  <c r="SKZ3" i="25"/>
  <c r="SKY3" i="25"/>
  <c r="SKX3" i="25"/>
  <c r="SKW3" i="25"/>
  <c r="SKV3" i="25"/>
  <c r="SKU3" i="25"/>
  <c r="SKT3" i="25"/>
  <c r="SKS3" i="25"/>
  <c r="SKR3" i="25"/>
  <c r="SKQ3" i="25"/>
  <c r="SKP3" i="25"/>
  <c r="SKO3" i="25"/>
  <c r="SKN3" i="25"/>
  <c r="SKM3" i="25"/>
  <c r="SKL3" i="25"/>
  <c r="SKK3" i="25"/>
  <c r="SKJ3" i="25"/>
  <c r="SKI3" i="25"/>
  <c r="SKH3" i="25"/>
  <c r="SKG3" i="25"/>
  <c r="SKF3" i="25"/>
  <c r="SKE3" i="25"/>
  <c r="SKD3" i="25"/>
  <c r="SKC3" i="25"/>
  <c r="SKB3" i="25"/>
  <c r="SKA3" i="25"/>
  <c r="SJZ3" i="25"/>
  <c r="SJY3" i="25"/>
  <c r="SJX3" i="25"/>
  <c r="SJW3" i="25"/>
  <c r="SJV3" i="25"/>
  <c r="SJU3" i="25"/>
  <c r="SJT3" i="25"/>
  <c r="SJS3" i="25"/>
  <c r="SJR3" i="25"/>
  <c r="SJQ3" i="25"/>
  <c r="SJP3" i="25"/>
  <c r="SJO3" i="25"/>
  <c r="SJN3" i="25"/>
  <c r="SJM3" i="25"/>
  <c r="SJL3" i="25"/>
  <c r="SJK3" i="25"/>
  <c r="SJJ3" i="25"/>
  <c r="SJI3" i="25"/>
  <c r="SJH3" i="25"/>
  <c r="SJG3" i="25"/>
  <c r="SJF3" i="25"/>
  <c r="SJE3" i="25"/>
  <c r="SJD3" i="25"/>
  <c r="SJC3" i="25"/>
  <c r="SJB3" i="25"/>
  <c r="SJA3" i="25"/>
  <c r="SIZ3" i="25"/>
  <c r="SIY3" i="25"/>
  <c r="SIX3" i="25"/>
  <c r="SIW3" i="25"/>
  <c r="SIV3" i="25"/>
  <c r="SIU3" i="25"/>
  <c r="SIT3" i="25"/>
  <c r="SIS3" i="25"/>
  <c r="SIR3" i="25"/>
  <c r="SIQ3" i="25"/>
  <c r="SIP3" i="25"/>
  <c r="SIO3" i="25"/>
  <c r="SIN3" i="25"/>
  <c r="SIM3" i="25"/>
  <c r="SIL3" i="25"/>
  <c r="SIK3" i="25"/>
  <c r="SIJ3" i="25"/>
  <c r="SII3" i="25"/>
  <c r="SIH3" i="25"/>
  <c r="SIG3" i="25"/>
  <c r="SIF3" i="25"/>
  <c r="SIE3" i="25"/>
  <c r="SID3" i="25"/>
  <c r="SIC3" i="25"/>
  <c r="SIB3" i="25"/>
  <c r="SIA3" i="25"/>
  <c r="SHZ3" i="25"/>
  <c r="SHY3" i="25"/>
  <c r="SHX3" i="25"/>
  <c r="SHW3" i="25"/>
  <c r="SHV3" i="25"/>
  <c r="SHU3" i="25"/>
  <c r="SHT3" i="25"/>
  <c r="SHS3" i="25"/>
  <c r="SHR3" i="25"/>
  <c r="SHQ3" i="25"/>
  <c r="SHP3" i="25"/>
  <c r="SHO3" i="25"/>
  <c r="SHN3" i="25"/>
  <c r="SHM3" i="25"/>
  <c r="SHL3" i="25"/>
  <c r="SHK3" i="25"/>
  <c r="SHJ3" i="25"/>
  <c r="SHI3" i="25"/>
  <c r="SHH3" i="25"/>
  <c r="SHG3" i="25"/>
  <c r="SHF3" i="25"/>
  <c r="SHE3" i="25"/>
  <c r="SHD3" i="25"/>
  <c r="SHC3" i="25"/>
  <c r="SHB3" i="25"/>
  <c r="SHA3" i="25"/>
  <c r="SGZ3" i="25"/>
  <c r="SGY3" i="25"/>
  <c r="SGX3" i="25"/>
  <c r="SGW3" i="25"/>
  <c r="SGV3" i="25"/>
  <c r="SGU3" i="25"/>
  <c r="SGT3" i="25"/>
  <c r="SGS3" i="25"/>
  <c r="SGR3" i="25"/>
  <c r="SGQ3" i="25"/>
  <c r="SGP3" i="25"/>
  <c r="SGO3" i="25"/>
  <c r="SGN3" i="25"/>
  <c r="SGM3" i="25"/>
  <c r="SGL3" i="25"/>
  <c r="SGK3" i="25"/>
  <c r="SGJ3" i="25"/>
  <c r="SGI3" i="25"/>
  <c r="SGH3" i="25"/>
  <c r="SGG3" i="25"/>
  <c r="SGF3" i="25"/>
  <c r="SGE3" i="25"/>
  <c r="SGD3" i="25"/>
  <c r="SGC3" i="25"/>
  <c r="SGB3" i="25"/>
  <c r="SGA3" i="25"/>
  <c r="SFZ3" i="25"/>
  <c r="SFY3" i="25"/>
  <c r="SFX3" i="25"/>
  <c r="SFW3" i="25"/>
  <c r="SFV3" i="25"/>
  <c r="SFU3" i="25"/>
  <c r="SFT3" i="25"/>
  <c r="SFS3" i="25"/>
  <c r="SFR3" i="25"/>
  <c r="SFQ3" i="25"/>
  <c r="SFP3" i="25"/>
  <c r="SFO3" i="25"/>
  <c r="SFN3" i="25"/>
  <c r="SFM3" i="25"/>
  <c r="SFL3" i="25"/>
  <c r="SFK3" i="25"/>
  <c r="SFJ3" i="25"/>
  <c r="SFI3" i="25"/>
  <c r="SFH3" i="25"/>
  <c r="SFG3" i="25"/>
  <c r="SFF3" i="25"/>
  <c r="SFE3" i="25"/>
  <c r="SFD3" i="25"/>
  <c r="SFC3" i="25"/>
  <c r="SFB3" i="25"/>
  <c r="SFA3" i="25"/>
  <c r="SEZ3" i="25"/>
  <c r="SEY3" i="25"/>
  <c r="SEX3" i="25"/>
  <c r="SEW3" i="25"/>
  <c r="SEV3" i="25"/>
  <c r="SEU3" i="25"/>
  <c r="SET3" i="25"/>
  <c r="SES3" i="25"/>
  <c r="SER3" i="25"/>
  <c r="SEQ3" i="25"/>
  <c r="SEP3" i="25"/>
  <c r="SEO3" i="25"/>
  <c r="SEN3" i="25"/>
  <c r="SEM3" i="25"/>
  <c r="SEL3" i="25"/>
  <c r="SEK3" i="25"/>
  <c r="SEJ3" i="25"/>
  <c r="SEI3" i="25"/>
  <c r="SEH3" i="25"/>
  <c r="SEG3" i="25"/>
  <c r="SEF3" i="25"/>
  <c r="SEE3" i="25"/>
  <c r="SED3" i="25"/>
  <c r="SEC3" i="25"/>
  <c r="SEB3" i="25"/>
  <c r="SEA3" i="25"/>
  <c r="SDZ3" i="25"/>
  <c r="SDY3" i="25"/>
  <c r="SDX3" i="25"/>
  <c r="SDW3" i="25"/>
  <c r="SDV3" i="25"/>
  <c r="SDU3" i="25"/>
  <c r="SDT3" i="25"/>
  <c r="SDS3" i="25"/>
  <c r="SDR3" i="25"/>
  <c r="SDQ3" i="25"/>
  <c r="SDP3" i="25"/>
  <c r="SDO3" i="25"/>
  <c r="SDN3" i="25"/>
  <c r="SDM3" i="25"/>
  <c r="SDL3" i="25"/>
  <c r="SDK3" i="25"/>
  <c r="SDJ3" i="25"/>
  <c r="SDI3" i="25"/>
  <c r="SDH3" i="25"/>
  <c r="SDG3" i="25"/>
  <c r="SDF3" i="25"/>
  <c r="SDE3" i="25"/>
  <c r="SDD3" i="25"/>
  <c r="SDC3" i="25"/>
  <c r="SDB3" i="25"/>
  <c r="SDA3" i="25"/>
  <c r="SCZ3" i="25"/>
  <c r="SCY3" i="25"/>
  <c r="SCX3" i="25"/>
  <c r="SCW3" i="25"/>
  <c r="SCV3" i="25"/>
  <c r="SCU3" i="25"/>
  <c r="SCT3" i="25"/>
  <c r="SCS3" i="25"/>
  <c r="SCR3" i="25"/>
  <c r="SCQ3" i="25"/>
  <c r="SCP3" i="25"/>
  <c r="SCO3" i="25"/>
  <c r="SCN3" i="25"/>
  <c r="SCM3" i="25"/>
  <c r="SCL3" i="25"/>
  <c r="SCK3" i="25"/>
  <c r="SCJ3" i="25"/>
  <c r="SCI3" i="25"/>
  <c r="SCH3" i="25"/>
  <c r="SCG3" i="25"/>
  <c r="SCF3" i="25"/>
  <c r="SCE3" i="25"/>
  <c r="SCD3" i="25"/>
  <c r="SCC3" i="25"/>
  <c r="SCB3" i="25"/>
  <c r="SCA3" i="25"/>
  <c r="SBZ3" i="25"/>
  <c r="SBY3" i="25"/>
  <c r="SBX3" i="25"/>
  <c r="SBW3" i="25"/>
  <c r="SBV3" i="25"/>
  <c r="SBU3" i="25"/>
  <c r="SBT3" i="25"/>
  <c r="SBS3" i="25"/>
  <c r="SBR3" i="25"/>
  <c r="SBQ3" i="25"/>
  <c r="SBP3" i="25"/>
  <c r="SBO3" i="25"/>
  <c r="SBN3" i="25"/>
  <c r="SBM3" i="25"/>
  <c r="SBL3" i="25"/>
  <c r="SBK3" i="25"/>
  <c r="SBJ3" i="25"/>
  <c r="SBI3" i="25"/>
  <c r="SBH3" i="25"/>
  <c r="SBG3" i="25"/>
  <c r="SBF3" i="25"/>
  <c r="SBE3" i="25"/>
  <c r="SBD3" i="25"/>
  <c r="SBC3" i="25"/>
  <c r="SBB3" i="25"/>
  <c r="SBA3" i="25"/>
  <c r="SAZ3" i="25"/>
  <c r="SAY3" i="25"/>
  <c r="SAX3" i="25"/>
  <c r="SAW3" i="25"/>
  <c r="SAV3" i="25"/>
  <c r="SAU3" i="25"/>
  <c r="SAT3" i="25"/>
  <c r="SAS3" i="25"/>
  <c r="SAR3" i="25"/>
  <c r="SAQ3" i="25"/>
  <c r="SAP3" i="25"/>
  <c r="SAO3" i="25"/>
  <c r="SAN3" i="25"/>
  <c r="SAM3" i="25"/>
  <c r="SAL3" i="25"/>
  <c r="SAK3" i="25"/>
  <c r="SAJ3" i="25"/>
  <c r="SAI3" i="25"/>
  <c r="SAH3" i="25"/>
  <c r="SAG3" i="25"/>
  <c r="SAF3" i="25"/>
  <c r="SAE3" i="25"/>
  <c r="SAD3" i="25"/>
  <c r="SAC3" i="25"/>
  <c r="SAB3" i="25"/>
  <c r="SAA3" i="25"/>
  <c r="RZZ3" i="25"/>
  <c r="RZY3" i="25"/>
  <c r="RZX3" i="25"/>
  <c r="RZW3" i="25"/>
  <c r="RZV3" i="25"/>
  <c r="RZU3" i="25"/>
  <c r="RZT3" i="25"/>
  <c r="RZS3" i="25"/>
  <c r="RZR3" i="25"/>
  <c r="RZQ3" i="25"/>
  <c r="RZP3" i="25"/>
  <c r="RZO3" i="25"/>
  <c r="RZN3" i="25"/>
  <c r="RZM3" i="25"/>
  <c r="RZL3" i="25"/>
  <c r="RZK3" i="25"/>
  <c r="RZJ3" i="25"/>
  <c r="RZI3" i="25"/>
  <c r="RZH3" i="25"/>
  <c r="RZG3" i="25"/>
  <c r="RZF3" i="25"/>
  <c r="RZE3" i="25"/>
  <c r="RZD3" i="25"/>
  <c r="RZC3" i="25"/>
  <c r="RZB3" i="25"/>
  <c r="RZA3" i="25"/>
  <c r="RYZ3" i="25"/>
  <c r="RYY3" i="25"/>
  <c r="RYX3" i="25"/>
  <c r="RYW3" i="25"/>
  <c r="RYV3" i="25"/>
  <c r="RYU3" i="25"/>
  <c r="RYT3" i="25"/>
  <c r="RYS3" i="25"/>
  <c r="RYR3" i="25"/>
  <c r="RYQ3" i="25"/>
  <c r="RYP3" i="25"/>
  <c r="RYO3" i="25"/>
  <c r="RYN3" i="25"/>
  <c r="RYM3" i="25"/>
  <c r="RYL3" i="25"/>
  <c r="RYK3" i="25"/>
  <c r="RYJ3" i="25"/>
  <c r="RYI3" i="25"/>
  <c r="RYH3" i="25"/>
  <c r="RYG3" i="25"/>
  <c r="RYF3" i="25"/>
  <c r="RYE3" i="25"/>
  <c r="RYD3" i="25"/>
  <c r="RYC3" i="25"/>
  <c r="RYB3" i="25"/>
  <c r="RYA3" i="25"/>
  <c r="RXZ3" i="25"/>
  <c r="RXY3" i="25"/>
  <c r="RXX3" i="25"/>
  <c r="RXW3" i="25"/>
  <c r="RXV3" i="25"/>
  <c r="RXU3" i="25"/>
  <c r="RXT3" i="25"/>
  <c r="RXS3" i="25"/>
  <c r="RXR3" i="25"/>
  <c r="RXQ3" i="25"/>
  <c r="RXP3" i="25"/>
  <c r="RXO3" i="25"/>
  <c r="RXN3" i="25"/>
  <c r="RXM3" i="25"/>
  <c r="RXL3" i="25"/>
  <c r="RXK3" i="25"/>
  <c r="RXJ3" i="25"/>
  <c r="RXI3" i="25"/>
  <c r="RXH3" i="25"/>
  <c r="RXG3" i="25"/>
  <c r="RXF3" i="25"/>
  <c r="RXE3" i="25"/>
  <c r="RXD3" i="25"/>
  <c r="RXC3" i="25"/>
  <c r="RXB3" i="25"/>
  <c r="RXA3" i="25"/>
  <c r="RWZ3" i="25"/>
  <c r="RWY3" i="25"/>
  <c r="RWX3" i="25"/>
  <c r="RWW3" i="25"/>
  <c r="RWV3" i="25"/>
  <c r="RWU3" i="25"/>
  <c r="RWT3" i="25"/>
  <c r="RWS3" i="25"/>
  <c r="RWR3" i="25"/>
  <c r="RWQ3" i="25"/>
  <c r="RWP3" i="25"/>
  <c r="RWO3" i="25"/>
  <c r="RWN3" i="25"/>
  <c r="RWM3" i="25"/>
  <c r="RWL3" i="25"/>
  <c r="RWK3" i="25"/>
  <c r="RWJ3" i="25"/>
  <c r="RWI3" i="25"/>
  <c r="RWH3" i="25"/>
  <c r="RWG3" i="25"/>
  <c r="RWF3" i="25"/>
  <c r="RWE3" i="25"/>
  <c r="RWD3" i="25"/>
  <c r="RWC3" i="25"/>
  <c r="RWB3" i="25"/>
  <c r="RWA3" i="25"/>
  <c r="RVZ3" i="25"/>
  <c r="RVY3" i="25"/>
  <c r="RVX3" i="25"/>
  <c r="RVW3" i="25"/>
  <c r="RVV3" i="25"/>
  <c r="RVU3" i="25"/>
  <c r="RVT3" i="25"/>
  <c r="RVS3" i="25"/>
  <c r="RVR3" i="25"/>
  <c r="RVQ3" i="25"/>
  <c r="RVP3" i="25"/>
  <c r="RVO3" i="25"/>
  <c r="RVN3" i="25"/>
  <c r="RVM3" i="25"/>
  <c r="RVL3" i="25"/>
  <c r="RVK3" i="25"/>
  <c r="RVJ3" i="25"/>
  <c r="RVI3" i="25"/>
  <c r="RVH3" i="25"/>
  <c r="RVG3" i="25"/>
  <c r="RVF3" i="25"/>
  <c r="RVE3" i="25"/>
  <c r="RVD3" i="25"/>
  <c r="RVC3" i="25"/>
  <c r="RVB3" i="25"/>
  <c r="RVA3" i="25"/>
  <c r="RUZ3" i="25"/>
  <c r="RUY3" i="25"/>
  <c r="RUX3" i="25"/>
  <c r="RUW3" i="25"/>
  <c r="RUV3" i="25"/>
  <c r="RUU3" i="25"/>
  <c r="RUT3" i="25"/>
  <c r="RUS3" i="25"/>
  <c r="RUR3" i="25"/>
  <c r="RUQ3" i="25"/>
  <c r="RUP3" i="25"/>
  <c r="RUO3" i="25"/>
  <c r="RUN3" i="25"/>
  <c r="RUM3" i="25"/>
  <c r="RUL3" i="25"/>
  <c r="RUK3" i="25"/>
  <c r="RUJ3" i="25"/>
  <c r="RUI3" i="25"/>
  <c r="RUH3" i="25"/>
  <c r="RUG3" i="25"/>
  <c r="RUF3" i="25"/>
  <c r="RUE3" i="25"/>
  <c r="RUD3" i="25"/>
  <c r="RUC3" i="25"/>
  <c r="RUB3" i="25"/>
  <c r="RUA3" i="25"/>
  <c r="RTZ3" i="25"/>
  <c r="RTY3" i="25"/>
  <c r="RTX3" i="25"/>
  <c r="RTW3" i="25"/>
  <c r="RTV3" i="25"/>
  <c r="RTU3" i="25"/>
  <c r="RTT3" i="25"/>
  <c r="RTS3" i="25"/>
  <c r="RTR3" i="25"/>
  <c r="RTQ3" i="25"/>
  <c r="RTP3" i="25"/>
  <c r="RTO3" i="25"/>
  <c r="RTN3" i="25"/>
  <c r="RTM3" i="25"/>
  <c r="RTL3" i="25"/>
  <c r="RTK3" i="25"/>
  <c r="RTJ3" i="25"/>
  <c r="RTI3" i="25"/>
  <c r="RTH3" i="25"/>
  <c r="RTG3" i="25"/>
  <c r="RTF3" i="25"/>
  <c r="RTE3" i="25"/>
  <c r="RTD3" i="25"/>
  <c r="RTC3" i="25"/>
  <c r="RTB3" i="25"/>
  <c r="RTA3" i="25"/>
  <c r="RSZ3" i="25"/>
  <c r="RSY3" i="25"/>
  <c r="RSX3" i="25"/>
  <c r="RSW3" i="25"/>
  <c r="RSV3" i="25"/>
  <c r="RSU3" i="25"/>
  <c r="RST3" i="25"/>
  <c r="RSS3" i="25"/>
  <c r="RSR3" i="25"/>
  <c r="RSQ3" i="25"/>
  <c r="RSP3" i="25"/>
  <c r="RSO3" i="25"/>
  <c r="RSN3" i="25"/>
  <c r="RSM3" i="25"/>
  <c r="RSL3" i="25"/>
  <c r="RSK3" i="25"/>
  <c r="RSJ3" i="25"/>
  <c r="RSI3" i="25"/>
  <c r="RSH3" i="25"/>
  <c r="RSG3" i="25"/>
  <c r="RSF3" i="25"/>
  <c r="RSE3" i="25"/>
  <c r="RSD3" i="25"/>
  <c r="RSC3" i="25"/>
  <c r="RSB3" i="25"/>
  <c r="RSA3" i="25"/>
  <c r="RRZ3" i="25"/>
  <c r="RRY3" i="25"/>
  <c r="RRX3" i="25"/>
  <c r="RRW3" i="25"/>
  <c r="RRV3" i="25"/>
  <c r="RRU3" i="25"/>
  <c r="RRT3" i="25"/>
  <c r="RRS3" i="25"/>
  <c r="RRR3" i="25"/>
  <c r="RRQ3" i="25"/>
  <c r="RRP3" i="25"/>
  <c r="RRO3" i="25"/>
  <c r="RRN3" i="25"/>
  <c r="RRM3" i="25"/>
  <c r="RRL3" i="25"/>
  <c r="RRK3" i="25"/>
  <c r="RRJ3" i="25"/>
  <c r="RRI3" i="25"/>
  <c r="RRH3" i="25"/>
  <c r="RRG3" i="25"/>
  <c r="RRF3" i="25"/>
  <c r="RRE3" i="25"/>
  <c r="RRD3" i="25"/>
  <c r="RRC3" i="25"/>
  <c r="RRB3" i="25"/>
  <c r="RRA3" i="25"/>
  <c r="RQZ3" i="25"/>
  <c r="RQY3" i="25"/>
  <c r="RQX3" i="25"/>
  <c r="RQW3" i="25"/>
  <c r="RQV3" i="25"/>
  <c r="RQU3" i="25"/>
  <c r="RQT3" i="25"/>
  <c r="RQS3" i="25"/>
  <c r="RQR3" i="25"/>
  <c r="RQQ3" i="25"/>
  <c r="RQP3" i="25"/>
  <c r="RQO3" i="25"/>
  <c r="RQN3" i="25"/>
  <c r="RQM3" i="25"/>
  <c r="RQL3" i="25"/>
  <c r="RQK3" i="25"/>
  <c r="RQJ3" i="25"/>
  <c r="RQI3" i="25"/>
  <c r="RQH3" i="25"/>
  <c r="RQG3" i="25"/>
  <c r="RQF3" i="25"/>
  <c r="RQE3" i="25"/>
  <c r="RQD3" i="25"/>
  <c r="RQC3" i="25"/>
  <c r="RQB3" i="25"/>
  <c r="RQA3" i="25"/>
  <c r="RPZ3" i="25"/>
  <c r="RPY3" i="25"/>
  <c r="RPX3" i="25"/>
  <c r="RPW3" i="25"/>
  <c r="RPV3" i="25"/>
  <c r="RPU3" i="25"/>
  <c r="RPT3" i="25"/>
  <c r="RPS3" i="25"/>
  <c r="RPR3" i="25"/>
  <c r="RPQ3" i="25"/>
  <c r="RPP3" i="25"/>
  <c r="RPO3" i="25"/>
  <c r="RPN3" i="25"/>
  <c r="RPM3" i="25"/>
  <c r="RPL3" i="25"/>
  <c r="RPK3" i="25"/>
  <c r="RPJ3" i="25"/>
  <c r="RPI3" i="25"/>
  <c r="RPH3" i="25"/>
  <c r="RPG3" i="25"/>
  <c r="RPF3" i="25"/>
  <c r="RPE3" i="25"/>
  <c r="RPD3" i="25"/>
  <c r="RPC3" i="25"/>
  <c r="RPB3" i="25"/>
  <c r="RPA3" i="25"/>
  <c r="ROZ3" i="25"/>
  <c r="ROY3" i="25"/>
  <c r="ROX3" i="25"/>
  <c r="ROW3" i="25"/>
  <c r="ROV3" i="25"/>
  <c r="ROU3" i="25"/>
  <c r="ROT3" i="25"/>
  <c r="ROS3" i="25"/>
  <c r="ROR3" i="25"/>
  <c r="ROQ3" i="25"/>
  <c r="ROP3" i="25"/>
  <c r="ROO3" i="25"/>
  <c r="RON3" i="25"/>
  <c r="ROM3" i="25"/>
  <c r="ROL3" i="25"/>
  <c r="ROK3" i="25"/>
  <c r="ROJ3" i="25"/>
  <c r="ROI3" i="25"/>
  <c r="ROH3" i="25"/>
  <c r="ROG3" i="25"/>
  <c r="ROF3" i="25"/>
  <c r="ROE3" i="25"/>
  <c r="ROD3" i="25"/>
  <c r="ROC3" i="25"/>
  <c r="ROB3" i="25"/>
  <c r="ROA3" i="25"/>
  <c r="RNZ3" i="25"/>
  <c r="RNY3" i="25"/>
  <c r="RNX3" i="25"/>
  <c r="RNW3" i="25"/>
  <c r="RNV3" i="25"/>
  <c r="RNU3" i="25"/>
  <c r="RNT3" i="25"/>
  <c r="RNS3" i="25"/>
  <c r="RNR3" i="25"/>
  <c r="RNQ3" i="25"/>
  <c r="RNP3" i="25"/>
  <c r="RNO3" i="25"/>
  <c r="RNN3" i="25"/>
  <c r="RNM3" i="25"/>
  <c r="RNL3" i="25"/>
  <c r="RNK3" i="25"/>
  <c r="RNJ3" i="25"/>
  <c r="RNI3" i="25"/>
  <c r="RNH3" i="25"/>
  <c r="RNG3" i="25"/>
  <c r="RNF3" i="25"/>
  <c r="RNE3" i="25"/>
  <c r="RND3" i="25"/>
  <c r="RNC3" i="25"/>
  <c r="RNB3" i="25"/>
  <c r="RNA3" i="25"/>
  <c r="RMZ3" i="25"/>
  <c r="RMY3" i="25"/>
  <c r="RMX3" i="25"/>
  <c r="RMW3" i="25"/>
  <c r="RMV3" i="25"/>
  <c r="RMU3" i="25"/>
  <c r="RMT3" i="25"/>
  <c r="RMS3" i="25"/>
  <c r="RMR3" i="25"/>
  <c r="RMQ3" i="25"/>
  <c r="RMP3" i="25"/>
  <c r="RMO3" i="25"/>
  <c r="RMN3" i="25"/>
  <c r="RMM3" i="25"/>
  <c r="RML3" i="25"/>
  <c r="RMK3" i="25"/>
  <c r="RMJ3" i="25"/>
  <c r="RMI3" i="25"/>
  <c r="RMH3" i="25"/>
  <c r="RMG3" i="25"/>
  <c r="RMF3" i="25"/>
  <c r="RME3" i="25"/>
  <c r="RMD3" i="25"/>
  <c r="RMC3" i="25"/>
  <c r="RMB3" i="25"/>
  <c r="RMA3" i="25"/>
  <c r="RLZ3" i="25"/>
  <c r="RLY3" i="25"/>
  <c r="RLX3" i="25"/>
  <c r="RLW3" i="25"/>
  <c r="RLV3" i="25"/>
  <c r="RLU3" i="25"/>
  <c r="RLT3" i="25"/>
  <c r="RLS3" i="25"/>
  <c r="RLR3" i="25"/>
  <c r="RLQ3" i="25"/>
  <c r="RLP3" i="25"/>
  <c r="RLO3" i="25"/>
  <c r="RLN3" i="25"/>
  <c r="RLM3" i="25"/>
  <c r="RLL3" i="25"/>
  <c r="RLK3" i="25"/>
  <c r="RLJ3" i="25"/>
  <c r="RLI3" i="25"/>
  <c r="RLH3" i="25"/>
  <c r="RLG3" i="25"/>
  <c r="RLF3" i="25"/>
  <c r="RLE3" i="25"/>
  <c r="RLD3" i="25"/>
  <c r="RLC3" i="25"/>
  <c r="RLB3" i="25"/>
  <c r="RLA3" i="25"/>
  <c r="RKZ3" i="25"/>
  <c r="RKY3" i="25"/>
  <c r="RKX3" i="25"/>
  <c r="RKW3" i="25"/>
  <c r="RKV3" i="25"/>
  <c r="RKU3" i="25"/>
  <c r="RKT3" i="25"/>
  <c r="RKS3" i="25"/>
  <c r="RKR3" i="25"/>
  <c r="RKQ3" i="25"/>
  <c r="RKP3" i="25"/>
  <c r="RKO3" i="25"/>
  <c r="RKN3" i="25"/>
  <c r="RKM3" i="25"/>
  <c r="RKL3" i="25"/>
  <c r="RKK3" i="25"/>
  <c r="RKJ3" i="25"/>
  <c r="RKI3" i="25"/>
  <c r="RKH3" i="25"/>
  <c r="RKG3" i="25"/>
  <c r="RKF3" i="25"/>
  <c r="RKE3" i="25"/>
  <c r="RKD3" i="25"/>
  <c r="RKC3" i="25"/>
  <c r="RKB3" i="25"/>
  <c r="RKA3" i="25"/>
  <c r="RJZ3" i="25"/>
  <c r="RJY3" i="25"/>
  <c r="RJX3" i="25"/>
  <c r="RJW3" i="25"/>
  <c r="RJV3" i="25"/>
  <c r="RJU3" i="25"/>
  <c r="RJT3" i="25"/>
  <c r="RJS3" i="25"/>
  <c r="RJR3" i="25"/>
  <c r="RJQ3" i="25"/>
  <c r="RJP3" i="25"/>
  <c r="RJO3" i="25"/>
  <c r="RJN3" i="25"/>
  <c r="RJM3" i="25"/>
  <c r="RJL3" i="25"/>
  <c r="RJK3" i="25"/>
  <c r="RJJ3" i="25"/>
  <c r="RJI3" i="25"/>
  <c r="RJH3" i="25"/>
  <c r="RJG3" i="25"/>
  <c r="RJF3" i="25"/>
  <c r="RJE3" i="25"/>
  <c r="RJD3" i="25"/>
  <c r="RJC3" i="25"/>
  <c r="RJB3" i="25"/>
  <c r="RJA3" i="25"/>
  <c r="RIZ3" i="25"/>
  <c r="RIY3" i="25"/>
  <c r="RIX3" i="25"/>
  <c r="RIW3" i="25"/>
  <c r="RIV3" i="25"/>
  <c r="RIU3" i="25"/>
  <c r="RIT3" i="25"/>
  <c r="RIS3" i="25"/>
  <c r="RIR3" i="25"/>
  <c r="RIQ3" i="25"/>
  <c r="RIP3" i="25"/>
  <c r="RIO3" i="25"/>
  <c r="RIN3" i="25"/>
  <c r="RIM3" i="25"/>
  <c r="RIL3" i="25"/>
  <c r="RIK3" i="25"/>
  <c r="RIJ3" i="25"/>
  <c r="RII3" i="25"/>
  <c r="RIH3" i="25"/>
  <c r="RIG3" i="25"/>
  <c r="RIF3" i="25"/>
  <c r="RIE3" i="25"/>
  <c r="RID3" i="25"/>
  <c r="RIC3" i="25"/>
  <c r="RIB3" i="25"/>
  <c r="RIA3" i="25"/>
  <c r="RHZ3" i="25"/>
  <c r="RHY3" i="25"/>
  <c r="RHX3" i="25"/>
  <c r="RHW3" i="25"/>
  <c r="RHV3" i="25"/>
  <c r="RHU3" i="25"/>
  <c r="RHT3" i="25"/>
  <c r="RHS3" i="25"/>
  <c r="RHR3" i="25"/>
  <c r="RHQ3" i="25"/>
  <c r="RHP3" i="25"/>
  <c r="RHO3" i="25"/>
  <c r="RHN3" i="25"/>
  <c r="RHM3" i="25"/>
  <c r="RHL3" i="25"/>
  <c r="RHK3" i="25"/>
  <c r="RHJ3" i="25"/>
  <c r="RHI3" i="25"/>
  <c r="RHH3" i="25"/>
  <c r="RHG3" i="25"/>
  <c r="RHF3" i="25"/>
  <c r="RHE3" i="25"/>
  <c r="RHD3" i="25"/>
  <c r="RHC3" i="25"/>
  <c r="RHB3" i="25"/>
  <c r="RHA3" i="25"/>
  <c r="RGZ3" i="25"/>
  <c r="RGY3" i="25"/>
  <c r="RGX3" i="25"/>
  <c r="RGW3" i="25"/>
  <c r="RGV3" i="25"/>
  <c r="RGU3" i="25"/>
  <c r="RGT3" i="25"/>
  <c r="RGS3" i="25"/>
  <c r="RGR3" i="25"/>
  <c r="RGQ3" i="25"/>
  <c r="RGP3" i="25"/>
  <c r="RGO3" i="25"/>
  <c r="RGN3" i="25"/>
  <c r="RGM3" i="25"/>
  <c r="RGL3" i="25"/>
  <c r="RGK3" i="25"/>
  <c r="RGJ3" i="25"/>
  <c r="RGI3" i="25"/>
  <c r="RGH3" i="25"/>
  <c r="RGG3" i="25"/>
  <c r="RGF3" i="25"/>
  <c r="RGE3" i="25"/>
  <c r="RGD3" i="25"/>
  <c r="RGC3" i="25"/>
  <c r="RGB3" i="25"/>
  <c r="RGA3" i="25"/>
  <c r="RFZ3" i="25"/>
  <c r="RFY3" i="25"/>
  <c r="RFX3" i="25"/>
  <c r="RFW3" i="25"/>
  <c r="RFV3" i="25"/>
  <c r="RFU3" i="25"/>
  <c r="RFT3" i="25"/>
  <c r="RFS3" i="25"/>
  <c r="RFR3" i="25"/>
  <c r="RFQ3" i="25"/>
  <c r="RFP3" i="25"/>
  <c r="RFO3" i="25"/>
  <c r="RFN3" i="25"/>
  <c r="RFM3" i="25"/>
  <c r="RFL3" i="25"/>
  <c r="RFK3" i="25"/>
  <c r="RFJ3" i="25"/>
  <c r="RFI3" i="25"/>
  <c r="RFH3" i="25"/>
  <c r="RFG3" i="25"/>
  <c r="RFF3" i="25"/>
  <c r="RFE3" i="25"/>
  <c r="RFD3" i="25"/>
  <c r="RFC3" i="25"/>
  <c r="RFB3" i="25"/>
  <c r="RFA3" i="25"/>
  <c r="REZ3" i="25"/>
  <c r="REY3" i="25"/>
  <c r="REX3" i="25"/>
  <c r="REW3" i="25"/>
  <c r="REV3" i="25"/>
  <c r="REU3" i="25"/>
  <c r="RET3" i="25"/>
  <c r="RES3" i="25"/>
  <c r="RER3" i="25"/>
  <c r="REQ3" i="25"/>
  <c r="REP3" i="25"/>
  <c r="REO3" i="25"/>
  <c r="REN3" i="25"/>
  <c r="REM3" i="25"/>
  <c r="REL3" i="25"/>
  <c r="REK3" i="25"/>
  <c r="REJ3" i="25"/>
  <c r="REI3" i="25"/>
  <c r="REH3" i="25"/>
  <c r="REG3" i="25"/>
  <c r="REF3" i="25"/>
  <c r="REE3" i="25"/>
  <c r="RED3" i="25"/>
  <c r="REC3" i="25"/>
  <c r="REB3" i="25"/>
  <c r="REA3" i="25"/>
  <c r="RDZ3" i="25"/>
  <c r="RDY3" i="25"/>
  <c r="RDX3" i="25"/>
  <c r="RDW3" i="25"/>
  <c r="RDV3" i="25"/>
  <c r="RDU3" i="25"/>
  <c r="RDT3" i="25"/>
  <c r="RDS3" i="25"/>
  <c r="RDR3" i="25"/>
  <c r="RDQ3" i="25"/>
  <c r="RDP3" i="25"/>
  <c r="RDO3" i="25"/>
  <c r="RDN3" i="25"/>
  <c r="RDM3" i="25"/>
  <c r="RDL3" i="25"/>
  <c r="RDK3" i="25"/>
  <c r="RDJ3" i="25"/>
  <c r="RDI3" i="25"/>
  <c r="RDH3" i="25"/>
  <c r="RDG3" i="25"/>
  <c r="RDF3" i="25"/>
  <c r="RDE3" i="25"/>
  <c r="RDD3" i="25"/>
  <c r="RDC3" i="25"/>
  <c r="RDB3" i="25"/>
  <c r="RDA3" i="25"/>
  <c r="RCZ3" i="25"/>
  <c r="RCY3" i="25"/>
  <c r="RCX3" i="25"/>
  <c r="RCW3" i="25"/>
  <c r="RCV3" i="25"/>
  <c r="RCU3" i="25"/>
  <c r="RCT3" i="25"/>
  <c r="RCS3" i="25"/>
  <c r="RCR3" i="25"/>
  <c r="RCQ3" i="25"/>
  <c r="RCP3" i="25"/>
  <c r="RCO3" i="25"/>
  <c r="RCN3" i="25"/>
  <c r="RCM3" i="25"/>
  <c r="RCL3" i="25"/>
  <c r="RCK3" i="25"/>
  <c r="RCJ3" i="25"/>
  <c r="RCI3" i="25"/>
  <c r="RCH3" i="25"/>
  <c r="RCG3" i="25"/>
  <c r="RCF3" i="25"/>
  <c r="RCE3" i="25"/>
  <c r="RCD3" i="25"/>
  <c r="RCC3" i="25"/>
  <c r="RCB3" i="25"/>
  <c r="RCA3" i="25"/>
  <c r="RBZ3" i="25"/>
  <c r="RBY3" i="25"/>
  <c r="RBX3" i="25"/>
  <c r="RBW3" i="25"/>
  <c r="RBV3" i="25"/>
  <c r="RBU3" i="25"/>
  <c r="RBT3" i="25"/>
  <c r="RBS3" i="25"/>
  <c r="RBR3" i="25"/>
  <c r="RBQ3" i="25"/>
  <c r="RBP3" i="25"/>
  <c r="RBO3" i="25"/>
  <c r="RBN3" i="25"/>
  <c r="RBM3" i="25"/>
  <c r="RBL3" i="25"/>
  <c r="RBK3" i="25"/>
  <c r="RBJ3" i="25"/>
  <c r="RBI3" i="25"/>
  <c r="RBH3" i="25"/>
  <c r="RBG3" i="25"/>
  <c r="RBF3" i="25"/>
  <c r="RBE3" i="25"/>
  <c r="RBD3" i="25"/>
  <c r="RBC3" i="25"/>
  <c r="RBB3" i="25"/>
  <c r="RBA3" i="25"/>
  <c r="RAZ3" i="25"/>
  <c r="RAY3" i="25"/>
  <c r="RAX3" i="25"/>
  <c r="RAW3" i="25"/>
  <c r="RAV3" i="25"/>
  <c r="RAU3" i="25"/>
  <c r="RAT3" i="25"/>
  <c r="RAS3" i="25"/>
  <c r="RAR3" i="25"/>
  <c r="RAQ3" i="25"/>
  <c r="RAP3" i="25"/>
  <c r="RAO3" i="25"/>
  <c r="RAN3" i="25"/>
  <c r="RAM3" i="25"/>
  <c r="RAL3" i="25"/>
  <c r="RAK3" i="25"/>
  <c r="RAJ3" i="25"/>
  <c r="RAI3" i="25"/>
  <c r="RAH3" i="25"/>
  <c r="RAG3" i="25"/>
  <c r="RAF3" i="25"/>
  <c r="RAE3" i="25"/>
  <c r="RAD3" i="25"/>
  <c r="RAC3" i="25"/>
  <c r="RAB3" i="25"/>
  <c r="RAA3" i="25"/>
  <c r="QZZ3" i="25"/>
  <c r="QZY3" i="25"/>
  <c r="QZX3" i="25"/>
  <c r="QZW3" i="25"/>
  <c r="QZV3" i="25"/>
  <c r="QZU3" i="25"/>
  <c r="QZT3" i="25"/>
  <c r="QZS3" i="25"/>
  <c r="QZR3" i="25"/>
  <c r="QZQ3" i="25"/>
  <c r="QZP3" i="25"/>
  <c r="QZO3" i="25"/>
  <c r="QZN3" i="25"/>
  <c r="QZM3" i="25"/>
  <c r="QZL3" i="25"/>
  <c r="QZK3" i="25"/>
  <c r="QZJ3" i="25"/>
  <c r="QZI3" i="25"/>
  <c r="QZH3" i="25"/>
  <c r="QZG3" i="25"/>
  <c r="QZF3" i="25"/>
  <c r="QZE3" i="25"/>
  <c r="QZD3" i="25"/>
  <c r="QZC3" i="25"/>
  <c r="QZB3" i="25"/>
  <c r="QZA3" i="25"/>
  <c r="QYZ3" i="25"/>
  <c r="QYY3" i="25"/>
  <c r="QYX3" i="25"/>
  <c r="QYW3" i="25"/>
  <c r="QYV3" i="25"/>
  <c r="QYU3" i="25"/>
  <c r="QYT3" i="25"/>
  <c r="QYS3" i="25"/>
  <c r="QYR3" i="25"/>
  <c r="QYQ3" i="25"/>
  <c r="QYP3" i="25"/>
  <c r="QYO3" i="25"/>
  <c r="QYN3" i="25"/>
  <c r="QYM3" i="25"/>
  <c r="QYL3" i="25"/>
  <c r="QYK3" i="25"/>
  <c r="QYJ3" i="25"/>
  <c r="QYI3" i="25"/>
  <c r="QYH3" i="25"/>
  <c r="QYG3" i="25"/>
  <c r="QYF3" i="25"/>
  <c r="QYE3" i="25"/>
  <c r="QYD3" i="25"/>
  <c r="QYC3" i="25"/>
  <c r="QYB3" i="25"/>
  <c r="QYA3" i="25"/>
  <c r="QXZ3" i="25"/>
  <c r="QXY3" i="25"/>
  <c r="QXX3" i="25"/>
  <c r="QXW3" i="25"/>
  <c r="QXV3" i="25"/>
  <c r="QXU3" i="25"/>
  <c r="QXT3" i="25"/>
  <c r="QXS3" i="25"/>
  <c r="QXR3" i="25"/>
  <c r="QXQ3" i="25"/>
  <c r="QXP3" i="25"/>
  <c r="QXO3" i="25"/>
  <c r="QXN3" i="25"/>
  <c r="QXM3" i="25"/>
  <c r="QXL3" i="25"/>
  <c r="QXK3" i="25"/>
  <c r="QXJ3" i="25"/>
  <c r="QXI3" i="25"/>
  <c r="QXH3" i="25"/>
  <c r="QXG3" i="25"/>
  <c r="QXF3" i="25"/>
  <c r="QXE3" i="25"/>
  <c r="QXD3" i="25"/>
  <c r="QXC3" i="25"/>
  <c r="QXB3" i="25"/>
  <c r="QXA3" i="25"/>
  <c r="QWZ3" i="25"/>
  <c r="QWY3" i="25"/>
  <c r="QWX3" i="25"/>
  <c r="QWW3" i="25"/>
  <c r="QWV3" i="25"/>
  <c r="QWU3" i="25"/>
  <c r="QWT3" i="25"/>
  <c r="QWS3" i="25"/>
  <c r="QWR3" i="25"/>
  <c r="QWQ3" i="25"/>
  <c r="QWP3" i="25"/>
  <c r="QWO3" i="25"/>
  <c r="QWN3" i="25"/>
  <c r="QWM3" i="25"/>
  <c r="QWL3" i="25"/>
  <c r="QWK3" i="25"/>
  <c r="QWJ3" i="25"/>
  <c r="QWI3" i="25"/>
  <c r="QWH3" i="25"/>
  <c r="QWG3" i="25"/>
  <c r="QWF3" i="25"/>
  <c r="QWE3" i="25"/>
  <c r="QWD3" i="25"/>
  <c r="QWC3" i="25"/>
  <c r="QWB3" i="25"/>
  <c r="QWA3" i="25"/>
  <c r="QVZ3" i="25"/>
  <c r="QVY3" i="25"/>
  <c r="QVX3" i="25"/>
  <c r="QVW3" i="25"/>
  <c r="QVV3" i="25"/>
  <c r="QVU3" i="25"/>
  <c r="QVT3" i="25"/>
  <c r="QVS3" i="25"/>
  <c r="QVR3" i="25"/>
  <c r="QVQ3" i="25"/>
  <c r="QVP3" i="25"/>
  <c r="QVO3" i="25"/>
  <c r="QVN3" i="25"/>
  <c r="QVM3" i="25"/>
  <c r="QVL3" i="25"/>
  <c r="QVK3" i="25"/>
  <c r="QVJ3" i="25"/>
  <c r="QVI3" i="25"/>
  <c r="QVH3" i="25"/>
  <c r="QVG3" i="25"/>
  <c r="QVF3" i="25"/>
  <c r="QVE3" i="25"/>
  <c r="QVD3" i="25"/>
  <c r="QVC3" i="25"/>
  <c r="QVB3" i="25"/>
  <c r="QVA3" i="25"/>
  <c r="QUZ3" i="25"/>
  <c r="QUY3" i="25"/>
  <c r="QUX3" i="25"/>
  <c r="QUW3" i="25"/>
  <c r="QUV3" i="25"/>
  <c r="QUU3" i="25"/>
  <c r="QUT3" i="25"/>
  <c r="QUS3" i="25"/>
  <c r="QUR3" i="25"/>
  <c r="QUQ3" i="25"/>
  <c r="QUP3" i="25"/>
  <c r="QUO3" i="25"/>
  <c r="QUN3" i="25"/>
  <c r="QUM3" i="25"/>
  <c r="QUL3" i="25"/>
  <c r="QUK3" i="25"/>
  <c r="QUJ3" i="25"/>
  <c r="QUI3" i="25"/>
  <c r="QUH3" i="25"/>
  <c r="QUG3" i="25"/>
  <c r="QUF3" i="25"/>
  <c r="QUE3" i="25"/>
  <c r="QUD3" i="25"/>
  <c r="QUC3" i="25"/>
  <c r="QUB3" i="25"/>
  <c r="QUA3" i="25"/>
  <c r="QTZ3" i="25"/>
  <c r="QTY3" i="25"/>
  <c r="QTX3" i="25"/>
  <c r="QTW3" i="25"/>
  <c r="QTV3" i="25"/>
  <c r="QTU3" i="25"/>
  <c r="QTT3" i="25"/>
  <c r="QTS3" i="25"/>
  <c r="QTR3" i="25"/>
  <c r="QTQ3" i="25"/>
  <c r="QTP3" i="25"/>
  <c r="QTO3" i="25"/>
  <c r="QTN3" i="25"/>
  <c r="QTM3" i="25"/>
  <c r="QTL3" i="25"/>
  <c r="QTK3" i="25"/>
  <c r="QTJ3" i="25"/>
  <c r="QTI3" i="25"/>
  <c r="QTH3" i="25"/>
  <c r="QTG3" i="25"/>
  <c r="QTF3" i="25"/>
  <c r="QTE3" i="25"/>
  <c r="QTD3" i="25"/>
  <c r="QTC3" i="25"/>
  <c r="QTB3" i="25"/>
  <c r="QTA3" i="25"/>
  <c r="QSZ3" i="25"/>
  <c r="QSY3" i="25"/>
  <c r="QSX3" i="25"/>
  <c r="QSW3" i="25"/>
  <c r="QSV3" i="25"/>
  <c r="QSU3" i="25"/>
  <c r="QST3" i="25"/>
  <c r="QSS3" i="25"/>
  <c r="QSR3" i="25"/>
  <c r="QSQ3" i="25"/>
  <c r="QSP3" i="25"/>
  <c r="QSO3" i="25"/>
  <c r="QSN3" i="25"/>
  <c r="QSM3" i="25"/>
  <c r="QSL3" i="25"/>
  <c r="QSK3" i="25"/>
  <c r="QSJ3" i="25"/>
  <c r="QSI3" i="25"/>
  <c r="QSH3" i="25"/>
  <c r="QSG3" i="25"/>
  <c r="QSF3" i="25"/>
  <c r="QSE3" i="25"/>
  <c r="QSD3" i="25"/>
  <c r="QSC3" i="25"/>
  <c r="QSB3" i="25"/>
  <c r="QSA3" i="25"/>
  <c r="QRZ3" i="25"/>
  <c r="QRY3" i="25"/>
  <c r="QRX3" i="25"/>
  <c r="QRW3" i="25"/>
  <c r="QRV3" i="25"/>
  <c r="QRU3" i="25"/>
  <c r="QRT3" i="25"/>
  <c r="QRS3" i="25"/>
  <c r="QRR3" i="25"/>
  <c r="QRQ3" i="25"/>
  <c r="QRP3" i="25"/>
  <c r="QRO3" i="25"/>
  <c r="QRN3" i="25"/>
  <c r="QRM3" i="25"/>
  <c r="QRL3" i="25"/>
  <c r="QRK3" i="25"/>
  <c r="QRJ3" i="25"/>
  <c r="QRI3" i="25"/>
  <c r="QRH3" i="25"/>
  <c r="QRG3" i="25"/>
  <c r="QRF3" i="25"/>
  <c r="QRE3" i="25"/>
  <c r="QRD3" i="25"/>
  <c r="QRC3" i="25"/>
  <c r="QRB3" i="25"/>
  <c r="QRA3" i="25"/>
  <c r="QQZ3" i="25"/>
  <c r="QQY3" i="25"/>
  <c r="QQX3" i="25"/>
  <c r="QQW3" i="25"/>
  <c r="QQV3" i="25"/>
  <c r="QQU3" i="25"/>
  <c r="QQT3" i="25"/>
  <c r="QQS3" i="25"/>
  <c r="QQR3" i="25"/>
  <c r="QQQ3" i="25"/>
  <c r="QQP3" i="25"/>
  <c r="QQO3" i="25"/>
  <c r="QQN3" i="25"/>
  <c r="QQM3" i="25"/>
  <c r="QQL3" i="25"/>
  <c r="QQK3" i="25"/>
  <c r="QQJ3" i="25"/>
  <c r="QQI3" i="25"/>
  <c r="QQH3" i="25"/>
  <c r="QQG3" i="25"/>
  <c r="QQF3" i="25"/>
  <c r="QQE3" i="25"/>
  <c r="QQD3" i="25"/>
  <c r="QQC3" i="25"/>
  <c r="QQB3" i="25"/>
  <c r="QQA3" i="25"/>
  <c r="QPZ3" i="25"/>
  <c r="QPY3" i="25"/>
  <c r="QPX3" i="25"/>
  <c r="QPW3" i="25"/>
  <c r="QPV3" i="25"/>
  <c r="QPU3" i="25"/>
  <c r="QPT3" i="25"/>
  <c r="QPS3" i="25"/>
  <c r="QPR3" i="25"/>
  <c r="QPQ3" i="25"/>
  <c r="QPP3" i="25"/>
  <c r="QPO3" i="25"/>
  <c r="QPN3" i="25"/>
  <c r="QPM3" i="25"/>
  <c r="QPL3" i="25"/>
  <c r="QPK3" i="25"/>
  <c r="QPJ3" i="25"/>
  <c r="QPI3" i="25"/>
  <c r="QPH3" i="25"/>
  <c r="QPG3" i="25"/>
  <c r="QPF3" i="25"/>
  <c r="QPE3" i="25"/>
  <c r="QPD3" i="25"/>
  <c r="QPC3" i="25"/>
  <c r="QPB3" i="25"/>
  <c r="QPA3" i="25"/>
  <c r="QOZ3" i="25"/>
  <c r="QOY3" i="25"/>
  <c r="QOX3" i="25"/>
  <c r="QOW3" i="25"/>
  <c r="QOV3" i="25"/>
  <c r="QOU3" i="25"/>
  <c r="QOT3" i="25"/>
  <c r="QOS3" i="25"/>
  <c r="QOR3" i="25"/>
  <c r="QOQ3" i="25"/>
  <c r="QOP3" i="25"/>
  <c r="QOO3" i="25"/>
  <c r="QON3" i="25"/>
  <c r="QOM3" i="25"/>
  <c r="QOL3" i="25"/>
  <c r="QOK3" i="25"/>
  <c r="QOJ3" i="25"/>
  <c r="QOI3" i="25"/>
  <c r="QOH3" i="25"/>
  <c r="QOG3" i="25"/>
  <c r="QOF3" i="25"/>
  <c r="QOE3" i="25"/>
  <c r="QOD3" i="25"/>
  <c r="QOC3" i="25"/>
  <c r="QOB3" i="25"/>
  <c r="QOA3" i="25"/>
  <c r="QNZ3" i="25"/>
  <c r="QNY3" i="25"/>
  <c r="QNX3" i="25"/>
  <c r="QNW3" i="25"/>
  <c r="QNV3" i="25"/>
  <c r="QNU3" i="25"/>
  <c r="QNT3" i="25"/>
  <c r="QNS3" i="25"/>
  <c r="QNR3" i="25"/>
  <c r="QNQ3" i="25"/>
  <c r="QNP3" i="25"/>
  <c r="QNO3" i="25"/>
  <c r="QNN3" i="25"/>
  <c r="QNM3" i="25"/>
  <c r="QNL3" i="25"/>
  <c r="QNK3" i="25"/>
  <c r="QNJ3" i="25"/>
  <c r="QNI3" i="25"/>
  <c r="QNH3" i="25"/>
  <c r="QNG3" i="25"/>
  <c r="QNF3" i="25"/>
  <c r="QNE3" i="25"/>
  <c r="QND3" i="25"/>
  <c r="QNC3" i="25"/>
  <c r="QNB3" i="25"/>
  <c r="QNA3" i="25"/>
  <c r="QMZ3" i="25"/>
  <c r="QMY3" i="25"/>
  <c r="QMX3" i="25"/>
  <c r="QMW3" i="25"/>
  <c r="QMV3" i="25"/>
  <c r="QMU3" i="25"/>
  <c r="QMT3" i="25"/>
  <c r="QMS3" i="25"/>
  <c r="QMR3" i="25"/>
  <c r="QMQ3" i="25"/>
  <c r="QMP3" i="25"/>
  <c r="QMO3" i="25"/>
  <c r="QMN3" i="25"/>
  <c r="QMM3" i="25"/>
  <c r="QML3" i="25"/>
  <c r="QMK3" i="25"/>
  <c r="QMJ3" i="25"/>
  <c r="QMI3" i="25"/>
  <c r="QMH3" i="25"/>
  <c r="QMG3" i="25"/>
  <c r="QMF3" i="25"/>
  <c r="QME3" i="25"/>
  <c r="QMD3" i="25"/>
  <c r="QMC3" i="25"/>
  <c r="QMB3" i="25"/>
  <c r="QMA3" i="25"/>
  <c r="QLZ3" i="25"/>
  <c r="QLY3" i="25"/>
  <c r="QLX3" i="25"/>
  <c r="QLW3" i="25"/>
  <c r="QLV3" i="25"/>
  <c r="QLU3" i="25"/>
  <c r="QLT3" i="25"/>
  <c r="QLS3" i="25"/>
  <c r="QLR3" i="25"/>
  <c r="QLQ3" i="25"/>
  <c r="QLP3" i="25"/>
  <c r="QLO3" i="25"/>
  <c r="QLN3" i="25"/>
  <c r="QLM3" i="25"/>
  <c r="QLL3" i="25"/>
  <c r="QLK3" i="25"/>
  <c r="QLJ3" i="25"/>
  <c r="QLI3" i="25"/>
  <c r="QLH3" i="25"/>
  <c r="QLG3" i="25"/>
  <c r="QLF3" i="25"/>
  <c r="QLE3" i="25"/>
  <c r="QLD3" i="25"/>
  <c r="QLC3" i="25"/>
  <c r="QLB3" i="25"/>
  <c r="QLA3" i="25"/>
  <c r="QKZ3" i="25"/>
  <c r="QKY3" i="25"/>
  <c r="QKX3" i="25"/>
  <c r="QKW3" i="25"/>
  <c r="QKV3" i="25"/>
  <c r="QKU3" i="25"/>
  <c r="QKT3" i="25"/>
  <c r="QKS3" i="25"/>
  <c r="QKR3" i="25"/>
  <c r="QKQ3" i="25"/>
  <c r="QKP3" i="25"/>
  <c r="QKO3" i="25"/>
  <c r="QKN3" i="25"/>
  <c r="QKM3" i="25"/>
  <c r="QKL3" i="25"/>
  <c r="QKK3" i="25"/>
  <c r="QKJ3" i="25"/>
  <c r="QKI3" i="25"/>
  <c r="QKH3" i="25"/>
  <c r="QKG3" i="25"/>
  <c r="QKF3" i="25"/>
  <c r="QKE3" i="25"/>
  <c r="QKD3" i="25"/>
  <c r="QKC3" i="25"/>
  <c r="QKB3" i="25"/>
  <c r="QKA3" i="25"/>
  <c r="QJZ3" i="25"/>
  <c r="QJY3" i="25"/>
  <c r="QJX3" i="25"/>
  <c r="QJW3" i="25"/>
  <c r="QJV3" i="25"/>
  <c r="QJU3" i="25"/>
  <c r="QJT3" i="25"/>
  <c r="QJS3" i="25"/>
  <c r="QJR3" i="25"/>
  <c r="QJQ3" i="25"/>
  <c r="QJP3" i="25"/>
  <c r="QJO3" i="25"/>
  <c r="QJN3" i="25"/>
  <c r="QJM3" i="25"/>
  <c r="QJL3" i="25"/>
  <c r="QJK3" i="25"/>
  <c r="QJJ3" i="25"/>
  <c r="QJI3" i="25"/>
  <c r="QJH3" i="25"/>
  <c r="QJG3" i="25"/>
  <c r="QJF3" i="25"/>
  <c r="QJE3" i="25"/>
  <c r="QJD3" i="25"/>
  <c r="QJC3" i="25"/>
  <c r="QJB3" i="25"/>
  <c r="QJA3" i="25"/>
  <c r="QIZ3" i="25"/>
  <c r="QIY3" i="25"/>
  <c r="QIX3" i="25"/>
  <c r="QIW3" i="25"/>
  <c r="QIV3" i="25"/>
  <c r="QIU3" i="25"/>
  <c r="QIT3" i="25"/>
  <c r="QIS3" i="25"/>
  <c r="QIR3" i="25"/>
  <c r="QIQ3" i="25"/>
  <c r="QIP3" i="25"/>
  <c r="QIO3" i="25"/>
  <c r="QIN3" i="25"/>
  <c r="QIM3" i="25"/>
  <c r="QIL3" i="25"/>
  <c r="QIK3" i="25"/>
  <c r="QIJ3" i="25"/>
  <c r="QII3" i="25"/>
  <c r="QIH3" i="25"/>
  <c r="QIG3" i="25"/>
  <c r="QIF3" i="25"/>
  <c r="QIE3" i="25"/>
  <c r="QID3" i="25"/>
  <c r="QIC3" i="25"/>
  <c r="QIB3" i="25"/>
  <c r="QIA3" i="25"/>
  <c r="QHZ3" i="25"/>
  <c r="QHY3" i="25"/>
  <c r="QHX3" i="25"/>
  <c r="QHW3" i="25"/>
  <c r="QHV3" i="25"/>
  <c r="QHU3" i="25"/>
  <c r="QHT3" i="25"/>
  <c r="QHS3" i="25"/>
  <c r="QHR3" i="25"/>
  <c r="QHQ3" i="25"/>
  <c r="QHP3" i="25"/>
  <c r="QHO3" i="25"/>
  <c r="QHN3" i="25"/>
  <c r="QHM3" i="25"/>
  <c r="QHL3" i="25"/>
  <c r="QHK3" i="25"/>
  <c r="QHJ3" i="25"/>
  <c r="QHI3" i="25"/>
  <c r="QHH3" i="25"/>
  <c r="QHG3" i="25"/>
  <c r="QHF3" i="25"/>
  <c r="QHE3" i="25"/>
  <c r="QHD3" i="25"/>
  <c r="QHC3" i="25"/>
  <c r="QHB3" i="25"/>
  <c r="QHA3" i="25"/>
  <c r="QGZ3" i="25"/>
  <c r="QGY3" i="25"/>
  <c r="QGX3" i="25"/>
  <c r="QGW3" i="25"/>
  <c r="QGV3" i="25"/>
  <c r="QGU3" i="25"/>
  <c r="QGT3" i="25"/>
  <c r="QGS3" i="25"/>
  <c r="QGR3" i="25"/>
  <c r="QGQ3" i="25"/>
  <c r="QGP3" i="25"/>
  <c r="QGO3" i="25"/>
  <c r="QGN3" i="25"/>
  <c r="QGM3" i="25"/>
  <c r="QGL3" i="25"/>
  <c r="QGK3" i="25"/>
  <c r="QGJ3" i="25"/>
  <c r="QGI3" i="25"/>
  <c r="QGH3" i="25"/>
  <c r="QGG3" i="25"/>
  <c r="QGF3" i="25"/>
  <c r="QGE3" i="25"/>
  <c r="QGD3" i="25"/>
  <c r="QGC3" i="25"/>
  <c r="QGB3" i="25"/>
  <c r="QGA3" i="25"/>
  <c r="QFZ3" i="25"/>
  <c r="QFY3" i="25"/>
  <c r="QFX3" i="25"/>
  <c r="QFW3" i="25"/>
  <c r="QFV3" i="25"/>
  <c r="QFU3" i="25"/>
  <c r="QFT3" i="25"/>
  <c r="QFS3" i="25"/>
  <c r="QFR3" i="25"/>
  <c r="QFQ3" i="25"/>
  <c r="QFP3" i="25"/>
  <c r="QFO3" i="25"/>
  <c r="QFN3" i="25"/>
  <c r="QFM3" i="25"/>
  <c r="QFL3" i="25"/>
  <c r="QFK3" i="25"/>
  <c r="QFJ3" i="25"/>
  <c r="QFI3" i="25"/>
  <c r="QFH3" i="25"/>
  <c r="QFG3" i="25"/>
  <c r="QFF3" i="25"/>
  <c r="QFE3" i="25"/>
  <c r="QFD3" i="25"/>
  <c r="QFC3" i="25"/>
  <c r="QFB3" i="25"/>
  <c r="QFA3" i="25"/>
  <c r="QEZ3" i="25"/>
  <c r="QEY3" i="25"/>
  <c r="QEX3" i="25"/>
  <c r="QEW3" i="25"/>
  <c r="QEV3" i="25"/>
  <c r="QEU3" i="25"/>
  <c r="QET3" i="25"/>
  <c r="QES3" i="25"/>
  <c r="QER3" i="25"/>
  <c r="QEQ3" i="25"/>
  <c r="QEP3" i="25"/>
  <c r="QEO3" i="25"/>
  <c r="QEN3" i="25"/>
  <c r="QEM3" i="25"/>
  <c r="QEL3" i="25"/>
  <c r="QEK3" i="25"/>
  <c r="QEJ3" i="25"/>
  <c r="QEI3" i="25"/>
  <c r="QEH3" i="25"/>
  <c r="QEG3" i="25"/>
  <c r="QEF3" i="25"/>
  <c r="QEE3" i="25"/>
  <c r="QED3" i="25"/>
  <c r="QEC3" i="25"/>
  <c r="QEB3" i="25"/>
  <c r="QEA3" i="25"/>
  <c r="QDZ3" i="25"/>
  <c r="QDY3" i="25"/>
  <c r="QDX3" i="25"/>
  <c r="QDW3" i="25"/>
  <c r="QDV3" i="25"/>
  <c r="QDU3" i="25"/>
  <c r="QDT3" i="25"/>
  <c r="QDS3" i="25"/>
  <c r="QDR3" i="25"/>
  <c r="QDQ3" i="25"/>
  <c r="QDP3" i="25"/>
  <c r="QDO3" i="25"/>
  <c r="QDN3" i="25"/>
  <c r="QDM3" i="25"/>
  <c r="QDL3" i="25"/>
  <c r="QDK3" i="25"/>
  <c r="QDJ3" i="25"/>
  <c r="QDI3" i="25"/>
  <c r="QDH3" i="25"/>
  <c r="QDG3" i="25"/>
  <c r="QDF3" i="25"/>
  <c r="QDE3" i="25"/>
  <c r="QDD3" i="25"/>
  <c r="QDC3" i="25"/>
  <c r="QDB3" i="25"/>
  <c r="QDA3" i="25"/>
  <c r="QCZ3" i="25"/>
  <c r="QCY3" i="25"/>
  <c r="QCX3" i="25"/>
  <c r="QCW3" i="25"/>
  <c r="QCV3" i="25"/>
  <c r="QCU3" i="25"/>
  <c r="QCT3" i="25"/>
  <c r="QCS3" i="25"/>
  <c r="QCR3" i="25"/>
  <c r="QCQ3" i="25"/>
  <c r="QCP3" i="25"/>
  <c r="QCO3" i="25"/>
  <c r="QCN3" i="25"/>
  <c r="QCM3" i="25"/>
  <c r="QCL3" i="25"/>
  <c r="QCK3" i="25"/>
  <c r="QCJ3" i="25"/>
  <c r="QCI3" i="25"/>
  <c r="QCH3" i="25"/>
  <c r="QCG3" i="25"/>
  <c r="QCF3" i="25"/>
  <c r="QCE3" i="25"/>
  <c r="QCD3" i="25"/>
  <c r="QCC3" i="25"/>
  <c r="QCB3" i="25"/>
  <c r="QCA3" i="25"/>
  <c r="QBZ3" i="25"/>
  <c r="QBY3" i="25"/>
  <c r="QBX3" i="25"/>
  <c r="QBW3" i="25"/>
  <c r="QBV3" i="25"/>
  <c r="QBU3" i="25"/>
  <c r="QBT3" i="25"/>
  <c r="QBS3" i="25"/>
  <c r="QBR3" i="25"/>
  <c r="QBQ3" i="25"/>
  <c r="QBP3" i="25"/>
  <c r="QBO3" i="25"/>
  <c r="QBN3" i="25"/>
  <c r="QBM3" i="25"/>
  <c r="QBL3" i="25"/>
  <c r="QBK3" i="25"/>
  <c r="QBJ3" i="25"/>
  <c r="QBI3" i="25"/>
  <c r="QBH3" i="25"/>
  <c r="QBG3" i="25"/>
  <c r="QBF3" i="25"/>
  <c r="QBE3" i="25"/>
  <c r="QBD3" i="25"/>
  <c r="QBC3" i="25"/>
  <c r="QBB3" i="25"/>
  <c r="QBA3" i="25"/>
  <c r="QAZ3" i="25"/>
  <c r="QAY3" i="25"/>
  <c r="QAX3" i="25"/>
  <c r="QAW3" i="25"/>
  <c r="QAV3" i="25"/>
  <c r="QAU3" i="25"/>
  <c r="QAT3" i="25"/>
  <c r="QAS3" i="25"/>
  <c r="QAR3" i="25"/>
  <c r="QAQ3" i="25"/>
  <c r="QAP3" i="25"/>
  <c r="QAO3" i="25"/>
  <c r="QAN3" i="25"/>
  <c r="QAM3" i="25"/>
  <c r="QAL3" i="25"/>
  <c r="QAK3" i="25"/>
  <c r="QAJ3" i="25"/>
  <c r="QAI3" i="25"/>
  <c r="QAH3" i="25"/>
  <c r="QAG3" i="25"/>
  <c r="QAF3" i="25"/>
  <c r="QAE3" i="25"/>
  <c r="QAD3" i="25"/>
  <c r="QAC3" i="25"/>
  <c r="QAB3" i="25"/>
  <c r="QAA3" i="25"/>
  <c r="PZZ3" i="25"/>
  <c r="PZY3" i="25"/>
  <c r="PZX3" i="25"/>
  <c r="PZW3" i="25"/>
  <c r="PZV3" i="25"/>
  <c r="PZU3" i="25"/>
  <c r="PZT3" i="25"/>
  <c r="PZS3" i="25"/>
  <c r="PZR3" i="25"/>
  <c r="PZQ3" i="25"/>
  <c r="PZP3" i="25"/>
  <c r="PZO3" i="25"/>
  <c r="PZN3" i="25"/>
  <c r="PZM3" i="25"/>
  <c r="PZL3" i="25"/>
  <c r="PZK3" i="25"/>
  <c r="PZJ3" i="25"/>
  <c r="PZI3" i="25"/>
  <c r="PZH3" i="25"/>
  <c r="PZG3" i="25"/>
  <c r="PZF3" i="25"/>
  <c r="PZE3" i="25"/>
  <c r="PZD3" i="25"/>
  <c r="PZC3" i="25"/>
  <c r="PZB3" i="25"/>
  <c r="PZA3" i="25"/>
  <c r="PYZ3" i="25"/>
  <c r="PYY3" i="25"/>
  <c r="PYX3" i="25"/>
  <c r="PYW3" i="25"/>
  <c r="PYV3" i="25"/>
  <c r="PYU3" i="25"/>
  <c r="PYT3" i="25"/>
  <c r="PYS3" i="25"/>
  <c r="PYR3" i="25"/>
  <c r="PYQ3" i="25"/>
  <c r="PYP3" i="25"/>
  <c r="PYO3" i="25"/>
  <c r="PYN3" i="25"/>
  <c r="PYM3" i="25"/>
  <c r="PYL3" i="25"/>
  <c r="PYK3" i="25"/>
  <c r="PYJ3" i="25"/>
  <c r="PYI3" i="25"/>
  <c r="PYH3" i="25"/>
  <c r="PYG3" i="25"/>
  <c r="PYF3" i="25"/>
  <c r="PYE3" i="25"/>
  <c r="PYD3" i="25"/>
  <c r="PYC3" i="25"/>
  <c r="PYB3" i="25"/>
  <c r="PYA3" i="25"/>
  <c r="PXZ3" i="25"/>
  <c r="PXY3" i="25"/>
  <c r="PXX3" i="25"/>
  <c r="PXW3" i="25"/>
  <c r="PXV3" i="25"/>
  <c r="PXU3" i="25"/>
  <c r="PXT3" i="25"/>
  <c r="PXS3" i="25"/>
  <c r="PXR3" i="25"/>
  <c r="PXQ3" i="25"/>
  <c r="PXP3" i="25"/>
  <c r="PXO3" i="25"/>
  <c r="PXN3" i="25"/>
  <c r="PXM3" i="25"/>
  <c r="PXL3" i="25"/>
  <c r="PXK3" i="25"/>
  <c r="PXJ3" i="25"/>
  <c r="PXI3" i="25"/>
  <c r="PXH3" i="25"/>
  <c r="PXG3" i="25"/>
  <c r="PXF3" i="25"/>
  <c r="PXE3" i="25"/>
  <c r="PXD3" i="25"/>
  <c r="PXC3" i="25"/>
  <c r="PXB3" i="25"/>
  <c r="PXA3" i="25"/>
  <c r="PWZ3" i="25"/>
  <c r="PWY3" i="25"/>
  <c r="PWX3" i="25"/>
  <c r="PWW3" i="25"/>
  <c r="PWV3" i="25"/>
  <c r="PWU3" i="25"/>
  <c r="PWT3" i="25"/>
  <c r="PWS3" i="25"/>
  <c r="PWR3" i="25"/>
  <c r="PWQ3" i="25"/>
  <c r="PWP3" i="25"/>
  <c r="PWO3" i="25"/>
  <c r="PWN3" i="25"/>
  <c r="PWM3" i="25"/>
  <c r="PWL3" i="25"/>
  <c r="PWK3" i="25"/>
  <c r="PWJ3" i="25"/>
  <c r="PWI3" i="25"/>
  <c r="PWH3" i="25"/>
  <c r="PWG3" i="25"/>
  <c r="PWF3" i="25"/>
  <c r="PWE3" i="25"/>
  <c r="PWD3" i="25"/>
  <c r="PWC3" i="25"/>
  <c r="PWB3" i="25"/>
  <c r="PWA3" i="25"/>
  <c r="PVZ3" i="25"/>
  <c r="PVY3" i="25"/>
  <c r="PVX3" i="25"/>
  <c r="PVW3" i="25"/>
  <c r="PVV3" i="25"/>
  <c r="PVU3" i="25"/>
  <c r="PVT3" i="25"/>
  <c r="PVS3" i="25"/>
  <c r="PVR3" i="25"/>
  <c r="PVQ3" i="25"/>
  <c r="PVP3" i="25"/>
  <c r="PVO3" i="25"/>
  <c r="PVN3" i="25"/>
  <c r="PVM3" i="25"/>
  <c r="PVL3" i="25"/>
  <c r="PVK3" i="25"/>
  <c r="PVJ3" i="25"/>
  <c r="PVI3" i="25"/>
  <c r="PVH3" i="25"/>
  <c r="PVG3" i="25"/>
  <c r="PVF3" i="25"/>
  <c r="PVE3" i="25"/>
  <c r="PVD3" i="25"/>
  <c r="PVC3" i="25"/>
  <c r="PVB3" i="25"/>
  <c r="PVA3" i="25"/>
  <c r="PUZ3" i="25"/>
  <c r="PUY3" i="25"/>
  <c r="PUX3" i="25"/>
  <c r="PUW3" i="25"/>
  <c r="PUV3" i="25"/>
  <c r="PUU3" i="25"/>
  <c r="PUT3" i="25"/>
  <c r="PUS3" i="25"/>
  <c r="PUR3" i="25"/>
  <c r="PUQ3" i="25"/>
  <c r="PUP3" i="25"/>
  <c r="PUO3" i="25"/>
  <c r="PUN3" i="25"/>
  <c r="PUM3" i="25"/>
  <c r="PUL3" i="25"/>
  <c r="PUK3" i="25"/>
  <c r="PUJ3" i="25"/>
  <c r="PUI3" i="25"/>
  <c r="PUH3" i="25"/>
  <c r="PUG3" i="25"/>
  <c r="PUF3" i="25"/>
  <c r="PUE3" i="25"/>
  <c r="PUD3" i="25"/>
  <c r="PUC3" i="25"/>
  <c r="PUB3" i="25"/>
  <c r="PUA3" i="25"/>
  <c r="PTZ3" i="25"/>
  <c r="PTY3" i="25"/>
  <c r="PTX3" i="25"/>
  <c r="PTW3" i="25"/>
  <c r="PTV3" i="25"/>
  <c r="PTU3" i="25"/>
  <c r="PTT3" i="25"/>
  <c r="PTS3" i="25"/>
  <c r="PTR3" i="25"/>
  <c r="PTQ3" i="25"/>
  <c r="PTP3" i="25"/>
  <c r="PTO3" i="25"/>
  <c r="PTN3" i="25"/>
  <c r="PTM3" i="25"/>
  <c r="PTL3" i="25"/>
  <c r="PTK3" i="25"/>
  <c r="PTJ3" i="25"/>
  <c r="PTI3" i="25"/>
  <c r="PTH3" i="25"/>
  <c r="PTG3" i="25"/>
  <c r="PTF3" i="25"/>
  <c r="PTE3" i="25"/>
  <c r="PTD3" i="25"/>
  <c r="PTC3" i="25"/>
  <c r="PTB3" i="25"/>
  <c r="PTA3" i="25"/>
  <c r="PSZ3" i="25"/>
  <c r="PSY3" i="25"/>
  <c r="PSX3" i="25"/>
  <c r="PSW3" i="25"/>
  <c r="PSV3" i="25"/>
  <c r="PSU3" i="25"/>
  <c r="PST3" i="25"/>
  <c r="PSS3" i="25"/>
  <c r="PSR3" i="25"/>
  <c r="PSQ3" i="25"/>
  <c r="PSP3" i="25"/>
  <c r="PSO3" i="25"/>
  <c r="PSN3" i="25"/>
  <c r="PSM3" i="25"/>
  <c r="PSL3" i="25"/>
  <c r="PSK3" i="25"/>
  <c r="PSJ3" i="25"/>
  <c r="PSI3" i="25"/>
  <c r="PSH3" i="25"/>
  <c r="PSG3" i="25"/>
  <c r="PSF3" i="25"/>
  <c r="PSE3" i="25"/>
  <c r="PSD3" i="25"/>
  <c r="PSC3" i="25"/>
  <c r="PSB3" i="25"/>
  <c r="PSA3" i="25"/>
  <c r="PRZ3" i="25"/>
  <c r="PRY3" i="25"/>
  <c r="PRX3" i="25"/>
  <c r="PRW3" i="25"/>
  <c r="PRV3" i="25"/>
  <c r="PRU3" i="25"/>
  <c r="PRT3" i="25"/>
  <c r="PRS3" i="25"/>
  <c r="PRR3" i="25"/>
  <c r="PRQ3" i="25"/>
  <c r="PRP3" i="25"/>
  <c r="PRO3" i="25"/>
  <c r="PRN3" i="25"/>
  <c r="PRM3" i="25"/>
  <c r="PRL3" i="25"/>
  <c r="PRK3" i="25"/>
  <c r="PRJ3" i="25"/>
  <c r="PRI3" i="25"/>
  <c r="PRH3" i="25"/>
  <c r="PRG3" i="25"/>
  <c r="PRF3" i="25"/>
  <c r="PRE3" i="25"/>
  <c r="PRD3" i="25"/>
  <c r="PRC3" i="25"/>
  <c r="PRB3" i="25"/>
  <c r="PRA3" i="25"/>
  <c r="PQZ3" i="25"/>
  <c r="PQY3" i="25"/>
  <c r="PQX3" i="25"/>
  <c r="PQW3" i="25"/>
  <c r="PQV3" i="25"/>
  <c r="PQU3" i="25"/>
  <c r="PQT3" i="25"/>
  <c r="PQS3" i="25"/>
  <c r="PQR3" i="25"/>
  <c r="PQQ3" i="25"/>
  <c r="PQP3" i="25"/>
  <c r="PQO3" i="25"/>
  <c r="PQN3" i="25"/>
  <c r="PQM3" i="25"/>
  <c r="PQL3" i="25"/>
  <c r="PQK3" i="25"/>
  <c r="PQJ3" i="25"/>
  <c r="PQI3" i="25"/>
  <c r="PQH3" i="25"/>
  <c r="PQG3" i="25"/>
  <c r="PQF3" i="25"/>
  <c r="PQE3" i="25"/>
  <c r="PQD3" i="25"/>
  <c r="PQC3" i="25"/>
  <c r="PQB3" i="25"/>
  <c r="PQA3" i="25"/>
  <c r="PPZ3" i="25"/>
  <c r="PPY3" i="25"/>
  <c r="PPX3" i="25"/>
  <c r="PPW3" i="25"/>
  <c r="PPV3" i="25"/>
  <c r="PPU3" i="25"/>
  <c r="PPT3" i="25"/>
  <c r="PPS3" i="25"/>
  <c r="PPR3" i="25"/>
  <c r="PPQ3" i="25"/>
  <c r="PPP3" i="25"/>
  <c r="PPO3" i="25"/>
  <c r="PPN3" i="25"/>
  <c r="PPM3" i="25"/>
  <c r="PPL3" i="25"/>
  <c r="PPK3" i="25"/>
  <c r="PPJ3" i="25"/>
  <c r="PPI3" i="25"/>
  <c r="PPH3" i="25"/>
  <c r="PPG3" i="25"/>
  <c r="PPF3" i="25"/>
  <c r="PPE3" i="25"/>
  <c r="PPD3" i="25"/>
  <c r="PPC3" i="25"/>
  <c r="PPB3" i="25"/>
  <c r="PPA3" i="25"/>
  <c r="POZ3" i="25"/>
  <c r="POY3" i="25"/>
  <c r="POX3" i="25"/>
  <c r="POW3" i="25"/>
  <c r="POV3" i="25"/>
  <c r="POU3" i="25"/>
  <c r="POT3" i="25"/>
  <c r="POS3" i="25"/>
  <c r="POR3" i="25"/>
  <c r="POQ3" i="25"/>
  <c r="POP3" i="25"/>
  <c r="POO3" i="25"/>
  <c r="PON3" i="25"/>
  <c r="POM3" i="25"/>
  <c r="POL3" i="25"/>
  <c r="POK3" i="25"/>
  <c r="POJ3" i="25"/>
  <c r="POI3" i="25"/>
  <c r="POH3" i="25"/>
  <c r="POG3" i="25"/>
  <c r="POF3" i="25"/>
  <c r="POE3" i="25"/>
  <c r="POD3" i="25"/>
  <c r="POC3" i="25"/>
  <c r="POB3" i="25"/>
  <c r="POA3" i="25"/>
  <c r="PNZ3" i="25"/>
  <c r="PNY3" i="25"/>
  <c r="PNX3" i="25"/>
  <c r="PNW3" i="25"/>
  <c r="PNV3" i="25"/>
  <c r="PNU3" i="25"/>
  <c r="PNT3" i="25"/>
  <c r="PNS3" i="25"/>
  <c r="PNR3" i="25"/>
  <c r="PNQ3" i="25"/>
  <c r="PNP3" i="25"/>
  <c r="PNO3" i="25"/>
  <c r="PNN3" i="25"/>
  <c r="PNM3" i="25"/>
  <c r="PNL3" i="25"/>
  <c r="PNK3" i="25"/>
  <c r="PNJ3" i="25"/>
  <c r="PNI3" i="25"/>
  <c r="PNH3" i="25"/>
  <c r="PNG3" i="25"/>
  <c r="PNF3" i="25"/>
  <c r="PNE3" i="25"/>
  <c r="PND3" i="25"/>
  <c r="PNC3" i="25"/>
  <c r="PNB3" i="25"/>
  <c r="PNA3" i="25"/>
  <c r="PMZ3" i="25"/>
  <c r="PMY3" i="25"/>
  <c r="PMX3" i="25"/>
  <c r="PMW3" i="25"/>
  <c r="PMV3" i="25"/>
  <c r="PMU3" i="25"/>
  <c r="PMT3" i="25"/>
  <c r="PMS3" i="25"/>
  <c r="PMR3" i="25"/>
  <c r="PMQ3" i="25"/>
  <c r="PMP3" i="25"/>
  <c r="PMO3" i="25"/>
  <c r="PMN3" i="25"/>
  <c r="PMM3" i="25"/>
  <c r="PML3" i="25"/>
  <c r="PMK3" i="25"/>
  <c r="PMJ3" i="25"/>
  <c r="PMI3" i="25"/>
  <c r="PMH3" i="25"/>
  <c r="PMG3" i="25"/>
  <c r="PMF3" i="25"/>
  <c r="PME3" i="25"/>
  <c r="PMD3" i="25"/>
  <c r="PMC3" i="25"/>
  <c r="PMB3" i="25"/>
  <c r="PMA3" i="25"/>
  <c r="PLZ3" i="25"/>
  <c r="PLY3" i="25"/>
  <c r="PLX3" i="25"/>
  <c r="PLW3" i="25"/>
  <c r="PLV3" i="25"/>
  <c r="PLU3" i="25"/>
  <c r="PLT3" i="25"/>
  <c r="PLS3" i="25"/>
  <c r="PLR3" i="25"/>
  <c r="PLQ3" i="25"/>
  <c r="PLP3" i="25"/>
  <c r="PLO3" i="25"/>
  <c r="PLN3" i="25"/>
  <c r="PLM3" i="25"/>
  <c r="PLL3" i="25"/>
  <c r="PLK3" i="25"/>
  <c r="PLJ3" i="25"/>
  <c r="PLI3" i="25"/>
  <c r="PLH3" i="25"/>
  <c r="PLG3" i="25"/>
  <c r="PLF3" i="25"/>
  <c r="PLE3" i="25"/>
  <c r="PLD3" i="25"/>
  <c r="PLC3" i="25"/>
  <c r="PLB3" i="25"/>
  <c r="PLA3" i="25"/>
  <c r="PKZ3" i="25"/>
  <c r="PKY3" i="25"/>
  <c r="PKX3" i="25"/>
  <c r="PKW3" i="25"/>
  <c r="PKV3" i="25"/>
  <c r="PKU3" i="25"/>
  <c r="PKT3" i="25"/>
  <c r="PKS3" i="25"/>
  <c r="PKR3" i="25"/>
  <c r="PKQ3" i="25"/>
  <c r="PKP3" i="25"/>
  <c r="PKO3" i="25"/>
  <c r="PKN3" i="25"/>
  <c r="PKM3" i="25"/>
  <c r="PKL3" i="25"/>
  <c r="PKK3" i="25"/>
  <c r="PKJ3" i="25"/>
  <c r="PKI3" i="25"/>
  <c r="PKH3" i="25"/>
  <c r="PKG3" i="25"/>
  <c r="PKF3" i="25"/>
  <c r="PKE3" i="25"/>
  <c r="PKD3" i="25"/>
  <c r="PKC3" i="25"/>
  <c r="PKB3" i="25"/>
  <c r="PKA3" i="25"/>
  <c r="PJZ3" i="25"/>
  <c r="PJY3" i="25"/>
  <c r="PJX3" i="25"/>
  <c r="PJW3" i="25"/>
  <c r="PJV3" i="25"/>
  <c r="PJU3" i="25"/>
  <c r="PJT3" i="25"/>
  <c r="PJS3" i="25"/>
  <c r="PJR3" i="25"/>
  <c r="PJQ3" i="25"/>
  <c r="PJP3" i="25"/>
  <c r="PJO3" i="25"/>
  <c r="PJN3" i="25"/>
  <c r="PJM3" i="25"/>
  <c r="PJL3" i="25"/>
  <c r="PJK3" i="25"/>
  <c r="PJJ3" i="25"/>
  <c r="PJI3" i="25"/>
  <c r="PJH3" i="25"/>
  <c r="PJG3" i="25"/>
  <c r="PJF3" i="25"/>
  <c r="PJE3" i="25"/>
  <c r="PJD3" i="25"/>
  <c r="PJC3" i="25"/>
  <c r="PJB3" i="25"/>
  <c r="PJA3" i="25"/>
  <c r="PIZ3" i="25"/>
  <c r="PIY3" i="25"/>
  <c r="PIX3" i="25"/>
  <c r="PIW3" i="25"/>
  <c r="PIV3" i="25"/>
  <c r="PIU3" i="25"/>
  <c r="PIT3" i="25"/>
  <c r="PIS3" i="25"/>
  <c r="PIR3" i="25"/>
  <c r="PIQ3" i="25"/>
  <c r="PIP3" i="25"/>
  <c r="PIO3" i="25"/>
  <c r="PIN3" i="25"/>
  <c r="PIM3" i="25"/>
  <c r="PIL3" i="25"/>
  <c r="PIK3" i="25"/>
  <c r="PIJ3" i="25"/>
  <c r="PII3" i="25"/>
  <c r="PIH3" i="25"/>
  <c r="PIG3" i="25"/>
  <c r="PIF3" i="25"/>
  <c r="PIE3" i="25"/>
  <c r="PID3" i="25"/>
  <c r="PIC3" i="25"/>
  <c r="PIB3" i="25"/>
  <c r="PIA3" i="25"/>
  <c r="PHZ3" i="25"/>
  <c r="PHY3" i="25"/>
  <c r="PHX3" i="25"/>
  <c r="PHW3" i="25"/>
  <c r="PHV3" i="25"/>
  <c r="PHU3" i="25"/>
  <c r="PHT3" i="25"/>
  <c r="PHS3" i="25"/>
  <c r="PHR3" i="25"/>
  <c r="PHQ3" i="25"/>
  <c r="PHP3" i="25"/>
  <c r="PHO3" i="25"/>
  <c r="PHN3" i="25"/>
  <c r="PHM3" i="25"/>
  <c r="PHL3" i="25"/>
  <c r="PHK3" i="25"/>
  <c r="PHJ3" i="25"/>
  <c r="PHI3" i="25"/>
  <c r="PHH3" i="25"/>
  <c r="PHG3" i="25"/>
  <c r="PHF3" i="25"/>
  <c r="PHE3" i="25"/>
  <c r="PHD3" i="25"/>
  <c r="PHC3" i="25"/>
  <c r="PHB3" i="25"/>
  <c r="PHA3" i="25"/>
  <c r="PGZ3" i="25"/>
  <c r="PGY3" i="25"/>
  <c r="PGX3" i="25"/>
  <c r="PGW3" i="25"/>
  <c r="PGV3" i="25"/>
  <c r="PGU3" i="25"/>
  <c r="PGT3" i="25"/>
  <c r="PGS3" i="25"/>
  <c r="PGR3" i="25"/>
  <c r="PGQ3" i="25"/>
  <c r="PGP3" i="25"/>
  <c r="PGO3" i="25"/>
  <c r="PGN3" i="25"/>
  <c r="PGM3" i="25"/>
  <c r="PGL3" i="25"/>
  <c r="PGK3" i="25"/>
  <c r="PGJ3" i="25"/>
  <c r="PGI3" i="25"/>
  <c r="PGH3" i="25"/>
  <c r="PGG3" i="25"/>
  <c r="PGF3" i="25"/>
  <c r="PGE3" i="25"/>
  <c r="PGD3" i="25"/>
  <c r="PGC3" i="25"/>
  <c r="PGB3" i="25"/>
  <c r="PGA3" i="25"/>
  <c r="PFZ3" i="25"/>
  <c r="PFY3" i="25"/>
  <c r="PFX3" i="25"/>
  <c r="PFW3" i="25"/>
  <c r="PFV3" i="25"/>
  <c r="PFU3" i="25"/>
  <c r="PFT3" i="25"/>
  <c r="PFS3" i="25"/>
  <c r="PFR3" i="25"/>
  <c r="PFQ3" i="25"/>
  <c r="PFP3" i="25"/>
  <c r="PFO3" i="25"/>
  <c r="PFN3" i="25"/>
  <c r="PFM3" i="25"/>
  <c r="PFL3" i="25"/>
  <c r="PFK3" i="25"/>
  <c r="PFJ3" i="25"/>
  <c r="PFI3" i="25"/>
  <c r="PFH3" i="25"/>
  <c r="PFG3" i="25"/>
  <c r="PFF3" i="25"/>
  <c r="PFE3" i="25"/>
  <c r="PFD3" i="25"/>
  <c r="PFC3" i="25"/>
  <c r="PFB3" i="25"/>
  <c r="PFA3" i="25"/>
  <c r="PEZ3" i="25"/>
  <c r="PEY3" i="25"/>
  <c r="PEX3" i="25"/>
  <c r="PEW3" i="25"/>
  <c r="PEV3" i="25"/>
  <c r="PEU3" i="25"/>
  <c r="PET3" i="25"/>
  <c r="PES3" i="25"/>
  <c r="PER3" i="25"/>
  <c r="PEQ3" i="25"/>
  <c r="PEP3" i="25"/>
  <c r="PEO3" i="25"/>
  <c r="PEN3" i="25"/>
  <c r="PEM3" i="25"/>
  <c r="PEL3" i="25"/>
  <c r="PEK3" i="25"/>
  <c r="PEJ3" i="25"/>
  <c r="PEI3" i="25"/>
  <c r="PEH3" i="25"/>
  <c r="PEG3" i="25"/>
  <c r="PEF3" i="25"/>
  <c r="PEE3" i="25"/>
  <c r="PED3" i="25"/>
  <c r="PEC3" i="25"/>
  <c r="PEB3" i="25"/>
  <c r="PEA3" i="25"/>
  <c r="PDZ3" i="25"/>
  <c r="PDY3" i="25"/>
  <c r="PDX3" i="25"/>
  <c r="PDW3" i="25"/>
  <c r="PDV3" i="25"/>
  <c r="PDU3" i="25"/>
  <c r="PDT3" i="25"/>
  <c r="PDS3" i="25"/>
  <c r="PDR3" i="25"/>
  <c r="PDQ3" i="25"/>
  <c r="PDP3" i="25"/>
  <c r="PDO3" i="25"/>
  <c r="PDN3" i="25"/>
  <c r="PDM3" i="25"/>
  <c r="PDL3" i="25"/>
  <c r="PDK3" i="25"/>
  <c r="PDJ3" i="25"/>
  <c r="PDI3" i="25"/>
  <c r="PDH3" i="25"/>
  <c r="PDG3" i="25"/>
  <c r="PDF3" i="25"/>
  <c r="PDE3" i="25"/>
  <c r="PDD3" i="25"/>
  <c r="PDC3" i="25"/>
  <c r="PDB3" i="25"/>
  <c r="PDA3" i="25"/>
  <c r="PCZ3" i="25"/>
  <c r="PCY3" i="25"/>
  <c r="PCX3" i="25"/>
  <c r="PCW3" i="25"/>
  <c r="PCV3" i="25"/>
  <c r="PCU3" i="25"/>
  <c r="PCT3" i="25"/>
  <c r="PCS3" i="25"/>
  <c r="PCR3" i="25"/>
  <c r="PCQ3" i="25"/>
  <c r="PCP3" i="25"/>
  <c r="PCO3" i="25"/>
  <c r="PCN3" i="25"/>
  <c r="PCM3" i="25"/>
  <c r="PCL3" i="25"/>
  <c r="PCK3" i="25"/>
  <c r="PCJ3" i="25"/>
  <c r="PCI3" i="25"/>
  <c r="PCH3" i="25"/>
  <c r="PCG3" i="25"/>
  <c r="PCF3" i="25"/>
  <c r="PCE3" i="25"/>
  <c r="PCD3" i="25"/>
  <c r="PCC3" i="25"/>
  <c r="PCB3" i="25"/>
  <c r="PCA3" i="25"/>
  <c r="PBZ3" i="25"/>
  <c r="PBY3" i="25"/>
  <c r="PBX3" i="25"/>
  <c r="PBW3" i="25"/>
  <c r="PBV3" i="25"/>
  <c r="PBU3" i="25"/>
  <c r="PBT3" i="25"/>
  <c r="PBS3" i="25"/>
  <c r="PBR3" i="25"/>
  <c r="PBQ3" i="25"/>
  <c r="PBP3" i="25"/>
  <c r="PBO3" i="25"/>
  <c r="PBN3" i="25"/>
  <c r="PBM3" i="25"/>
  <c r="PBL3" i="25"/>
  <c r="PBK3" i="25"/>
  <c r="PBJ3" i="25"/>
  <c r="PBI3" i="25"/>
  <c r="PBH3" i="25"/>
  <c r="PBG3" i="25"/>
  <c r="PBF3" i="25"/>
  <c r="PBE3" i="25"/>
  <c r="PBD3" i="25"/>
  <c r="PBC3" i="25"/>
  <c r="PBB3" i="25"/>
  <c r="PBA3" i="25"/>
  <c r="PAZ3" i="25"/>
  <c r="PAY3" i="25"/>
  <c r="PAX3" i="25"/>
  <c r="PAW3" i="25"/>
  <c r="PAV3" i="25"/>
  <c r="PAU3" i="25"/>
  <c r="PAT3" i="25"/>
  <c r="PAS3" i="25"/>
  <c r="PAR3" i="25"/>
  <c r="PAQ3" i="25"/>
  <c r="PAP3" i="25"/>
  <c r="PAO3" i="25"/>
  <c r="PAN3" i="25"/>
  <c r="PAM3" i="25"/>
  <c r="PAL3" i="25"/>
  <c r="PAK3" i="25"/>
  <c r="PAJ3" i="25"/>
  <c r="PAI3" i="25"/>
  <c r="PAH3" i="25"/>
  <c r="PAG3" i="25"/>
  <c r="PAF3" i="25"/>
  <c r="PAE3" i="25"/>
  <c r="PAD3" i="25"/>
  <c r="PAC3" i="25"/>
  <c r="PAB3" i="25"/>
  <c r="PAA3" i="25"/>
  <c r="OZZ3" i="25"/>
  <c r="OZY3" i="25"/>
  <c r="OZX3" i="25"/>
  <c r="OZW3" i="25"/>
  <c r="OZV3" i="25"/>
  <c r="OZU3" i="25"/>
  <c r="OZT3" i="25"/>
  <c r="OZS3" i="25"/>
  <c r="OZR3" i="25"/>
  <c r="OZQ3" i="25"/>
  <c r="OZP3" i="25"/>
  <c r="OZO3" i="25"/>
  <c r="OZN3" i="25"/>
  <c r="OZM3" i="25"/>
  <c r="OZL3" i="25"/>
  <c r="OZK3" i="25"/>
  <c r="OZJ3" i="25"/>
  <c r="OZI3" i="25"/>
  <c r="OZH3" i="25"/>
  <c r="OZG3" i="25"/>
  <c r="OZF3" i="25"/>
  <c r="OZE3" i="25"/>
  <c r="OZD3" i="25"/>
  <c r="OZC3" i="25"/>
  <c r="OZB3" i="25"/>
  <c r="OZA3" i="25"/>
  <c r="OYZ3" i="25"/>
  <c r="OYY3" i="25"/>
  <c r="OYX3" i="25"/>
  <c r="OYW3" i="25"/>
  <c r="OYV3" i="25"/>
  <c r="OYU3" i="25"/>
  <c r="OYT3" i="25"/>
  <c r="OYS3" i="25"/>
  <c r="OYR3" i="25"/>
  <c r="OYQ3" i="25"/>
  <c r="OYP3" i="25"/>
  <c r="OYO3" i="25"/>
  <c r="OYN3" i="25"/>
  <c r="OYM3" i="25"/>
  <c r="OYL3" i="25"/>
  <c r="OYK3" i="25"/>
  <c r="OYJ3" i="25"/>
  <c r="OYI3" i="25"/>
  <c r="OYH3" i="25"/>
  <c r="OYG3" i="25"/>
  <c r="OYF3" i="25"/>
  <c r="OYE3" i="25"/>
  <c r="OYD3" i="25"/>
  <c r="OYC3" i="25"/>
  <c r="OYB3" i="25"/>
  <c r="OYA3" i="25"/>
  <c r="OXZ3" i="25"/>
  <c r="OXY3" i="25"/>
  <c r="OXX3" i="25"/>
  <c r="OXW3" i="25"/>
  <c r="OXV3" i="25"/>
  <c r="OXU3" i="25"/>
  <c r="OXT3" i="25"/>
  <c r="OXS3" i="25"/>
  <c r="OXR3" i="25"/>
  <c r="OXQ3" i="25"/>
  <c r="OXP3" i="25"/>
  <c r="OXO3" i="25"/>
  <c r="OXN3" i="25"/>
  <c r="OXM3" i="25"/>
  <c r="OXL3" i="25"/>
  <c r="OXK3" i="25"/>
  <c r="OXJ3" i="25"/>
  <c r="OXI3" i="25"/>
  <c r="OXH3" i="25"/>
  <c r="OXG3" i="25"/>
  <c r="OXF3" i="25"/>
  <c r="OXE3" i="25"/>
  <c r="OXD3" i="25"/>
  <c r="OXC3" i="25"/>
  <c r="OXB3" i="25"/>
  <c r="OXA3" i="25"/>
  <c r="OWZ3" i="25"/>
  <c r="OWY3" i="25"/>
  <c r="OWX3" i="25"/>
  <c r="OWW3" i="25"/>
  <c r="OWV3" i="25"/>
  <c r="OWU3" i="25"/>
  <c r="OWT3" i="25"/>
  <c r="OWS3" i="25"/>
  <c r="OWR3" i="25"/>
  <c r="OWQ3" i="25"/>
  <c r="OWP3" i="25"/>
  <c r="OWO3" i="25"/>
  <c r="OWN3" i="25"/>
  <c r="OWM3" i="25"/>
  <c r="OWL3" i="25"/>
  <c r="OWK3" i="25"/>
  <c r="OWJ3" i="25"/>
  <c r="OWI3" i="25"/>
  <c r="OWH3" i="25"/>
  <c r="OWG3" i="25"/>
  <c r="OWF3" i="25"/>
  <c r="OWE3" i="25"/>
  <c r="OWD3" i="25"/>
  <c r="OWC3" i="25"/>
  <c r="OWB3" i="25"/>
  <c r="OWA3" i="25"/>
  <c r="OVZ3" i="25"/>
  <c r="OVY3" i="25"/>
  <c r="OVX3" i="25"/>
  <c r="OVW3" i="25"/>
  <c r="OVV3" i="25"/>
  <c r="OVU3" i="25"/>
  <c r="OVT3" i="25"/>
  <c r="OVS3" i="25"/>
  <c r="OVR3" i="25"/>
  <c r="OVQ3" i="25"/>
  <c r="OVP3" i="25"/>
  <c r="OVO3" i="25"/>
  <c r="OVN3" i="25"/>
  <c r="OVM3" i="25"/>
  <c r="OVL3" i="25"/>
  <c r="OVK3" i="25"/>
  <c r="OVJ3" i="25"/>
  <c r="OVI3" i="25"/>
  <c r="OVH3" i="25"/>
  <c r="OVG3" i="25"/>
  <c r="OVF3" i="25"/>
  <c r="OVE3" i="25"/>
  <c r="OVD3" i="25"/>
  <c r="OVC3" i="25"/>
  <c r="OVB3" i="25"/>
  <c r="OVA3" i="25"/>
  <c r="OUZ3" i="25"/>
  <c r="OUY3" i="25"/>
  <c r="OUX3" i="25"/>
  <c r="OUW3" i="25"/>
  <c r="OUV3" i="25"/>
  <c r="OUU3" i="25"/>
  <c r="OUT3" i="25"/>
  <c r="OUS3" i="25"/>
  <c r="OUR3" i="25"/>
  <c r="OUQ3" i="25"/>
  <c r="OUP3" i="25"/>
  <c r="OUO3" i="25"/>
  <c r="OUN3" i="25"/>
  <c r="OUM3" i="25"/>
  <c r="OUL3" i="25"/>
  <c r="OUK3" i="25"/>
  <c r="OUJ3" i="25"/>
  <c r="OUI3" i="25"/>
  <c r="OUH3" i="25"/>
  <c r="OUG3" i="25"/>
  <c r="OUF3" i="25"/>
  <c r="OUE3" i="25"/>
  <c r="OUD3" i="25"/>
  <c r="OUC3" i="25"/>
  <c r="OUB3" i="25"/>
  <c r="OUA3" i="25"/>
  <c r="OTZ3" i="25"/>
  <c r="OTY3" i="25"/>
  <c r="OTX3" i="25"/>
  <c r="OTW3" i="25"/>
  <c r="OTV3" i="25"/>
  <c r="OTU3" i="25"/>
  <c r="OTT3" i="25"/>
  <c r="OTS3" i="25"/>
  <c r="OTR3" i="25"/>
  <c r="OTQ3" i="25"/>
  <c r="OTP3" i="25"/>
  <c r="OTO3" i="25"/>
  <c r="OTN3" i="25"/>
  <c r="OTM3" i="25"/>
  <c r="OTL3" i="25"/>
  <c r="OTK3" i="25"/>
  <c r="OTJ3" i="25"/>
  <c r="OTI3" i="25"/>
  <c r="OTH3" i="25"/>
  <c r="OTG3" i="25"/>
  <c r="OTF3" i="25"/>
  <c r="OTE3" i="25"/>
  <c r="OTD3" i="25"/>
  <c r="OTC3" i="25"/>
  <c r="OTB3" i="25"/>
  <c r="OTA3" i="25"/>
  <c r="OSZ3" i="25"/>
  <c r="OSY3" i="25"/>
  <c r="OSX3" i="25"/>
  <c r="OSW3" i="25"/>
  <c r="OSV3" i="25"/>
  <c r="OSU3" i="25"/>
  <c r="OST3" i="25"/>
  <c r="OSS3" i="25"/>
  <c r="OSR3" i="25"/>
  <c r="OSQ3" i="25"/>
  <c r="OSP3" i="25"/>
  <c r="OSO3" i="25"/>
  <c r="OSN3" i="25"/>
  <c r="OSM3" i="25"/>
  <c r="OSL3" i="25"/>
  <c r="OSK3" i="25"/>
  <c r="OSJ3" i="25"/>
  <c r="OSI3" i="25"/>
  <c r="OSH3" i="25"/>
  <c r="OSG3" i="25"/>
  <c r="OSF3" i="25"/>
  <c r="OSE3" i="25"/>
  <c r="OSD3" i="25"/>
  <c r="OSC3" i="25"/>
  <c r="OSB3" i="25"/>
  <c r="OSA3" i="25"/>
  <c r="ORZ3" i="25"/>
  <c r="ORY3" i="25"/>
  <c r="ORX3" i="25"/>
  <c r="ORW3" i="25"/>
  <c r="ORV3" i="25"/>
  <c r="ORU3" i="25"/>
  <c r="ORT3" i="25"/>
  <c r="ORS3" i="25"/>
  <c r="ORR3" i="25"/>
  <c r="ORQ3" i="25"/>
  <c r="ORP3" i="25"/>
  <c r="ORO3" i="25"/>
  <c r="ORN3" i="25"/>
  <c r="ORM3" i="25"/>
  <c r="ORL3" i="25"/>
  <c r="ORK3" i="25"/>
  <c r="ORJ3" i="25"/>
  <c r="ORI3" i="25"/>
  <c r="ORH3" i="25"/>
  <c r="ORG3" i="25"/>
  <c r="ORF3" i="25"/>
  <c r="ORE3" i="25"/>
  <c r="ORD3" i="25"/>
  <c r="ORC3" i="25"/>
  <c r="ORB3" i="25"/>
  <c r="ORA3" i="25"/>
  <c r="OQZ3" i="25"/>
  <c r="OQY3" i="25"/>
  <c r="OQX3" i="25"/>
  <c r="OQW3" i="25"/>
  <c r="OQV3" i="25"/>
  <c r="OQU3" i="25"/>
  <c r="OQT3" i="25"/>
  <c r="OQS3" i="25"/>
  <c r="OQR3" i="25"/>
  <c r="OQQ3" i="25"/>
  <c r="OQP3" i="25"/>
  <c r="OQO3" i="25"/>
  <c r="OQN3" i="25"/>
  <c r="OQM3" i="25"/>
  <c r="OQL3" i="25"/>
  <c r="OQK3" i="25"/>
  <c r="OQJ3" i="25"/>
  <c r="OQI3" i="25"/>
  <c r="OQH3" i="25"/>
  <c r="OQG3" i="25"/>
  <c r="OQF3" i="25"/>
  <c r="OQE3" i="25"/>
  <c r="OQD3" i="25"/>
  <c r="OQC3" i="25"/>
  <c r="OQB3" i="25"/>
  <c r="OQA3" i="25"/>
  <c r="OPZ3" i="25"/>
  <c r="OPY3" i="25"/>
  <c r="OPX3" i="25"/>
  <c r="OPW3" i="25"/>
  <c r="OPV3" i="25"/>
  <c r="OPU3" i="25"/>
  <c r="OPT3" i="25"/>
  <c r="OPS3" i="25"/>
  <c r="OPR3" i="25"/>
  <c r="OPQ3" i="25"/>
  <c r="OPP3" i="25"/>
  <c r="OPO3" i="25"/>
  <c r="OPN3" i="25"/>
  <c r="OPM3" i="25"/>
  <c r="OPL3" i="25"/>
  <c r="OPK3" i="25"/>
  <c r="OPJ3" i="25"/>
  <c r="OPI3" i="25"/>
  <c r="OPH3" i="25"/>
  <c r="OPG3" i="25"/>
  <c r="OPF3" i="25"/>
  <c r="OPE3" i="25"/>
  <c r="OPD3" i="25"/>
  <c r="OPC3" i="25"/>
  <c r="OPB3" i="25"/>
  <c r="OPA3" i="25"/>
  <c r="OOZ3" i="25"/>
  <c r="OOY3" i="25"/>
  <c r="OOX3" i="25"/>
  <c r="OOW3" i="25"/>
  <c r="OOV3" i="25"/>
  <c r="OOU3" i="25"/>
  <c r="OOT3" i="25"/>
  <c r="OOS3" i="25"/>
  <c r="OOR3" i="25"/>
  <c r="OOQ3" i="25"/>
  <c r="OOP3" i="25"/>
  <c r="OOO3" i="25"/>
  <c r="OON3" i="25"/>
  <c r="OOM3" i="25"/>
  <c r="OOL3" i="25"/>
  <c r="OOK3" i="25"/>
  <c r="OOJ3" i="25"/>
  <c r="OOI3" i="25"/>
  <c r="OOH3" i="25"/>
  <c r="OOG3" i="25"/>
  <c r="OOF3" i="25"/>
  <c r="OOE3" i="25"/>
  <c r="OOD3" i="25"/>
  <c r="OOC3" i="25"/>
  <c r="OOB3" i="25"/>
  <c r="OOA3" i="25"/>
  <c r="ONZ3" i="25"/>
  <c r="ONY3" i="25"/>
  <c r="ONX3" i="25"/>
  <c r="ONW3" i="25"/>
  <c r="ONV3" i="25"/>
  <c r="ONU3" i="25"/>
  <c r="ONT3" i="25"/>
  <c r="ONS3" i="25"/>
  <c r="ONR3" i="25"/>
  <c r="ONQ3" i="25"/>
  <c r="ONP3" i="25"/>
  <c r="ONO3" i="25"/>
  <c r="ONN3" i="25"/>
  <c r="ONM3" i="25"/>
  <c r="ONL3" i="25"/>
  <c r="ONK3" i="25"/>
  <c r="ONJ3" i="25"/>
  <c r="ONI3" i="25"/>
  <c r="ONH3" i="25"/>
  <c r="ONG3" i="25"/>
  <c r="ONF3" i="25"/>
  <c r="ONE3" i="25"/>
  <c r="OND3" i="25"/>
  <c r="ONC3" i="25"/>
  <c r="ONB3" i="25"/>
  <c r="ONA3" i="25"/>
  <c r="OMZ3" i="25"/>
  <c r="OMY3" i="25"/>
  <c r="OMX3" i="25"/>
  <c r="OMW3" i="25"/>
  <c r="OMV3" i="25"/>
  <c r="OMU3" i="25"/>
  <c r="OMT3" i="25"/>
  <c r="OMS3" i="25"/>
  <c r="OMR3" i="25"/>
  <c r="OMQ3" i="25"/>
  <c r="OMP3" i="25"/>
  <c r="OMO3" i="25"/>
  <c r="OMN3" i="25"/>
  <c r="OMM3" i="25"/>
  <c r="OML3" i="25"/>
  <c r="OMK3" i="25"/>
  <c r="OMJ3" i="25"/>
  <c r="OMI3" i="25"/>
  <c r="OMH3" i="25"/>
  <c r="OMG3" i="25"/>
  <c r="OMF3" i="25"/>
  <c r="OME3" i="25"/>
  <c r="OMD3" i="25"/>
  <c r="OMC3" i="25"/>
  <c r="OMB3" i="25"/>
  <c r="OMA3" i="25"/>
  <c r="OLZ3" i="25"/>
  <c r="OLY3" i="25"/>
  <c r="OLX3" i="25"/>
  <c r="OLW3" i="25"/>
  <c r="OLV3" i="25"/>
  <c r="OLU3" i="25"/>
  <c r="OLT3" i="25"/>
  <c r="OLS3" i="25"/>
  <c r="OLR3" i="25"/>
  <c r="OLQ3" i="25"/>
  <c r="OLP3" i="25"/>
  <c r="OLO3" i="25"/>
  <c r="OLN3" i="25"/>
  <c r="OLM3" i="25"/>
  <c r="OLL3" i="25"/>
  <c r="OLK3" i="25"/>
  <c r="OLJ3" i="25"/>
  <c r="OLI3" i="25"/>
  <c r="OLH3" i="25"/>
  <c r="OLG3" i="25"/>
  <c r="OLF3" i="25"/>
  <c r="OLE3" i="25"/>
  <c r="OLD3" i="25"/>
  <c r="OLC3" i="25"/>
  <c r="OLB3" i="25"/>
  <c r="OLA3" i="25"/>
  <c r="OKZ3" i="25"/>
  <c r="OKY3" i="25"/>
  <c r="OKX3" i="25"/>
  <c r="OKW3" i="25"/>
  <c r="OKV3" i="25"/>
  <c r="OKU3" i="25"/>
  <c r="OKT3" i="25"/>
  <c r="OKS3" i="25"/>
  <c r="OKR3" i="25"/>
  <c r="OKQ3" i="25"/>
  <c r="OKP3" i="25"/>
  <c r="OKO3" i="25"/>
  <c r="OKN3" i="25"/>
  <c r="OKM3" i="25"/>
  <c r="OKL3" i="25"/>
  <c r="OKK3" i="25"/>
  <c r="OKJ3" i="25"/>
  <c r="OKI3" i="25"/>
  <c r="OKH3" i="25"/>
  <c r="OKG3" i="25"/>
  <c r="OKF3" i="25"/>
  <c r="OKE3" i="25"/>
  <c r="OKD3" i="25"/>
  <c r="OKC3" i="25"/>
  <c r="OKB3" i="25"/>
  <c r="OKA3" i="25"/>
  <c r="OJZ3" i="25"/>
  <c r="OJY3" i="25"/>
  <c r="OJX3" i="25"/>
  <c r="OJW3" i="25"/>
  <c r="OJV3" i="25"/>
  <c r="OJU3" i="25"/>
  <c r="OJT3" i="25"/>
  <c r="OJS3" i="25"/>
  <c r="OJR3" i="25"/>
  <c r="OJQ3" i="25"/>
  <c r="OJP3" i="25"/>
  <c r="OJO3" i="25"/>
  <c r="OJN3" i="25"/>
  <c r="OJM3" i="25"/>
  <c r="OJL3" i="25"/>
  <c r="OJK3" i="25"/>
  <c r="OJJ3" i="25"/>
  <c r="OJI3" i="25"/>
  <c r="OJH3" i="25"/>
  <c r="OJG3" i="25"/>
  <c r="OJF3" i="25"/>
  <c r="OJE3" i="25"/>
  <c r="OJD3" i="25"/>
  <c r="OJC3" i="25"/>
  <c r="OJB3" i="25"/>
  <c r="OJA3" i="25"/>
  <c r="OIZ3" i="25"/>
  <c r="OIY3" i="25"/>
  <c r="OIX3" i="25"/>
  <c r="OIW3" i="25"/>
  <c r="OIV3" i="25"/>
  <c r="OIU3" i="25"/>
  <c r="OIT3" i="25"/>
  <c r="OIS3" i="25"/>
  <c r="OIR3" i="25"/>
  <c r="OIQ3" i="25"/>
  <c r="OIP3" i="25"/>
  <c r="OIO3" i="25"/>
  <c r="OIN3" i="25"/>
  <c r="OIM3" i="25"/>
  <c r="OIL3" i="25"/>
  <c r="OIK3" i="25"/>
  <c r="OIJ3" i="25"/>
  <c r="OII3" i="25"/>
  <c r="OIH3" i="25"/>
  <c r="OIG3" i="25"/>
  <c r="OIF3" i="25"/>
  <c r="OIE3" i="25"/>
  <c r="OID3" i="25"/>
  <c r="OIC3" i="25"/>
  <c r="OIB3" i="25"/>
  <c r="OIA3" i="25"/>
  <c r="OHZ3" i="25"/>
  <c r="OHY3" i="25"/>
  <c r="OHX3" i="25"/>
  <c r="OHW3" i="25"/>
  <c r="OHV3" i="25"/>
  <c r="OHU3" i="25"/>
  <c r="OHT3" i="25"/>
  <c r="OHS3" i="25"/>
  <c r="OHR3" i="25"/>
  <c r="OHQ3" i="25"/>
  <c r="OHP3" i="25"/>
  <c r="OHO3" i="25"/>
  <c r="OHN3" i="25"/>
  <c r="OHM3" i="25"/>
  <c r="OHL3" i="25"/>
  <c r="OHK3" i="25"/>
  <c r="OHJ3" i="25"/>
  <c r="OHI3" i="25"/>
  <c r="OHH3" i="25"/>
  <c r="OHG3" i="25"/>
  <c r="OHF3" i="25"/>
  <c r="OHE3" i="25"/>
  <c r="OHD3" i="25"/>
  <c r="OHC3" i="25"/>
  <c r="OHB3" i="25"/>
  <c r="OHA3" i="25"/>
  <c r="OGZ3" i="25"/>
  <c r="OGY3" i="25"/>
  <c r="OGX3" i="25"/>
  <c r="OGW3" i="25"/>
  <c r="OGV3" i="25"/>
  <c r="OGU3" i="25"/>
  <c r="OGT3" i="25"/>
  <c r="OGS3" i="25"/>
  <c r="OGR3" i="25"/>
  <c r="OGQ3" i="25"/>
  <c r="OGP3" i="25"/>
  <c r="OGO3" i="25"/>
  <c r="OGN3" i="25"/>
  <c r="OGM3" i="25"/>
  <c r="OGL3" i="25"/>
  <c r="OGK3" i="25"/>
  <c r="OGJ3" i="25"/>
  <c r="OGI3" i="25"/>
  <c r="OGH3" i="25"/>
  <c r="OGG3" i="25"/>
  <c r="OGF3" i="25"/>
  <c r="OGE3" i="25"/>
  <c r="OGD3" i="25"/>
  <c r="OGC3" i="25"/>
  <c r="OGB3" i="25"/>
  <c r="OGA3" i="25"/>
  <c r="OFZ3" i="25"/>
  <c r="OFY3" i="25"/>
  <c r="OFX3" i="25"/>
  <c r="OFW3" i="25"/>
  <c r="OFV3" i="25"/>
  <c r="OFU3" i="25"/>
  <c r="OFT3" i="25"/>
  <c r="OFS3" i="25"/>
  <c r="OFR3" i="25"/>
  <c r="OFQ3" i="25"/>
  <c r="OFP3" i="25"/>
  <c r="OFO3" i="25"/>
  <c r="OFN3" i="25"/>
  <c r="OFM3" i="25"/>
  <c r="OFL3" i="25"/>
  <c r="OFK3" i="25"/>
  <c r="OFJ3" i="25"/>
  <c r="OFI3" i="25"/>
  <c r="OFH3" i="25"/>
  <c r="OFG3" i="25"/>
  <c r="OFF3" i="25"/>
  <c r="OFE3" i="25"/>
  <c r="OFD3" i="25"/>
  <c r="OFC3" i="25"/>
  <c r="OFB3" i="25"/>
  <c r="OFA3" i="25"/>
  <c r="OEZ3" i="25"/>
  <c r="OEY3" i="25"/>
  <c r="OEX3" i="25"/>
  <c r="OEW3" i="25"/>
  <c r="OEV3" i="25"/>
  <c r="OEU3" i="25"/>
  <c r="OET3" i="25"/>
  <c r="OES3" i="25"/>
  <c r="OER3" i="25"/>
  <c r="OEQ3" i="25"/>
  <c r="OEP3" i="25"/>
  <c r="OEO3" i="25"/>
  <c r="OEN3" i="25"/>
  <c r="OEM3" i="25"/>
  <c r="OEL3" i="25"/>
  <c r="OEK3" i="25"/>
  <c r="OEJ3" i="25"/>
  <c r="OEI3" i="25"/>
  <c r="OEH3" i="25"/>
  <c r="OEG3" i="25"/>
  <c r="OEF3" i="25"/>
  <c r="OEE3" i="25"/>
  <c r="OED3" i="25"/>
  <c r="OEC3" i="25"/>
  <c r="OEB3" i="25"/>
  <c r="OEA3" i="25"/>
  <c r="ODZ3" i="25"/>
  <c r="ODY3" i="25"/>
  <c r="ODX3" i="25"/>
  <c r="ODW3" i="25"/>
  <c r="ODV3" i="25"/>
  <c r="ODU3" i="25"/>
  <c r="ODT3" i="25"/>
  <c r="ODS3" i="25"/>
  <c r="ODR3" i="25"/>
  <c r="ODQ3" i="25"/>
  <c r="ODP3" i="25"/>
  <c r="ODO3" i="25"/>
  <c r="ODN3" i="25"/>
  <c r="ODM3" i="25"/>
  <c r="ODL3" i="25"/>
  <c r="ODK3" i="25"/>
  <c r="ODJ3" i="25"/>
  <c r="ODI3" i="25"/>
  <c r="ODH3" i="25"/>
  <c r="ODG3" i="25"/>
  <c r="ODF3" i="25"/>
  <c r="ODE3" i="25"/>
  <c r="ODD3" i="25"/>
  <c r="ODC3" i="25"/>
  <c r="ODB3" i="25"/>
  <c r="ODA3" i="25"/>
  <c r="OCZ3" i="25"/>
  <c r="OCY3" i="25"/>
  <c r="OCX3" i="25"/>
  <c r="OCW3" i="25"/>
  <c r="OCV3" i="25"/>
  <c r="OCU3" i="25"/>
  <c r="OCT3" i="25"/>
  <c r="OCS3" i="25"/>
  <c r="OCR3" i="25"/>
  <c r="OCQ3" i="25"/>
  <c r="OCP3" i="25"/>
  <c r="OCO3" i="25"/>
  <c r="OCN3" i="25"/>
  <c r="OCM3" i="25"/>
  <c r="OCL3" i="25"/>
  <c r="OCK3" i="25"/>
  <c r="OCJ3" i="25"/>
  <c r="OCI3" i="25"/>
  <c r="OCH3" i="25"/>
  <c r="OCG3" i="25"/>
  <c r="OCF3" i="25"/>
  <c r="OCE3" i="25"/>
  <c r="OCD3" i="25"/>
  <c r="OCC3" i="25"/>
  <c r="OCB3" i="25"/>
  <c r="OCA3" i="25"/>
  <c r="OBZ3" i="25"/>
  <c r="OBY3" i="25"/>
  <c r="OBX3" i="25"/>
  <c r="OBW3" i="25"/>
  <c r="OBV3" i="25"/>
  <c r="OBU3" i="25"/>
  <c r="OBT3" i="25"/>
  <c r="OBS3" i="25"/>
  <c r="OBR3" i="25"/>
  <c r="OBQ3" i="25"/>
  <c r="OBP3" i="25"/>
  <c r="OBO3" i="25"/>
  <c r="OBN3" i="25"/>
  <c r="OBM3" i="25"/>
  <c r="OBL3" i="25"/>
  <c r="OBK3" i="25"/>
  <c r="OBJ3" i="25"/>
  <c r="OBI3" i="25"/>
  <c r="OBH3" i="25"/>
  <c r="OBG3" i="25"/>
  <c r="OBF3" i="25"/>
  <c r="OBE3" i="25"/>
  <c r="OBD3" i="25"/>
  <c r="OBC3" i="25"/>
  <c r="OBB3" i="25"/>
  <c r="OBA3" i="25"/>
  <c r="OAZ3" i="25"/>
  <c r="OAY3" i="25"/>
  <c r="OAX3" i="25"/>
  <c r="OAW3" i="25"/>
  <c r="OAV3" i="25"/>
  <c r="OAU3" i="25"/>
  <c r="OAT3" i="25"/>
  <c r="OAS3" i="25"/>
  <c r="OAR3" i="25"/>
  <c r="OAQ3" i="25"/>
  <c r="OAP3" i="25"/>
  <c r="OAO3" i="25"/>
  <c r="OAN3" i="25"/>
  <c r="OAM3" i="25"/>
  <c r="OAL3" i="25"/>
  <c r="OAK3" i="25"/>
  <c r="OAJ3" i="25"/>
  <c r="OAI3" i="25"/>
  <c r="OAH3" i="25"/>
  <c r="OAG3" i="25"/>
  <c r="OAF3" i="25"/>
  <c r="OAE3" i="25"/>
  <c r="OAD3" i="25"/>
  <c r="OAC3" i="25"/>
  <c r="OAB3" i="25"/>
  <c r="OAA3" i="25"/>
  <c r="NZZ3" i="25"/>
  <c r="NZY3" i="25"/>
  <c r="NZX3" i="25"/>
  <c r="NZW3" i="25"/>
  <c r="NZV3" i="25"/>
  <c r="NZU3" i="25"/>
  <c r="NZT3" i="25"/>
  <c r="NZS3" i="25"/>
  <c r="NZR3" i="25"/>
  <c r="NZQ3" i="25"/>
  <c r="NZP3" i="25"/>
  <c r="NZO3" i="25"/>
  <c r="NZN3" i="25"/>
  <c r="NZM3" i="25"/>
  <c r="NZL3" i="25"/>
  <c r="NZK3" i="25"/>
  <c r="NZJ3" i="25"/>
  <c r="NZI3" i="25"/>
  <c r="NZH3" i="25"/>
  <c r="NZG3" i="25"/>
  <c r="NZF3" i="25"/>
  <c r="NZE3" i="25"/>
  <c r="NZD3" i="25"/>
  <c r="NZC3" i="25"/>
  <c r="NZB3" i="25"/>
  <c r="NZA3" i="25"/>
  <c r="NYZ3" i="25"/>
  <c r="NYY3" i="25"/>
  <c r="NYX3" i="25"/>
  <c r="NYW3" i="25"/>
  <c r="NYV3" i="25"/>
  <c r="NYU3" i="25"/>
  <c r="NYT3" i="25"/>
  <c r="NYS3" i="25"/>
  <c r="NYR3" i="25"/>
  <c r="NYQ3" i="25"/>
  <c r="NYP3" i="25"/>
  <c r="NYO3" i="25"/>
  <c r="NYN3" i="25"/>
  <c r="NYM3" i="25"/>
  <c r="NYL3" i="25"/>
  <c r="NYK3" i="25"/>
  <c r="NYJ3" i="25"/>
  <c r="NYI3" i="25"/>
  <c r="NYH3" i="25"/>
  <c r="NYG3" i="25"/>
  <c r="NYF3" i="25"/>
  <c r="NYE3" i="25"/>
  <c r="NYD3" i="25"/>
  <c r="NYC3" i="25"/>
  <c r="NYB3" i="25"/>
  <c r="NYA3" i="25"/>
  <c r="NXZ3" i="25"/>
  <c r="NXY3" i="25"/>
  <c r="NXX3" i="25"/>
  <c r="NXW3" i="25"/>
  <c r="NXV3" i="25"/>
  <c r="NXU3" i="25"/>
  <c r="NXT3" i="25"/>
  <c r="NXS3" i="25"/>
  <c r="NXR3" i="25"/>
  <c r="NXQ3" i="25"/>
  <c r="NXP3" i="25"/>
  <c r="NXO3" i="25"/>
  <c r="NXN3" i="25"/>
  <c r="NXM3" i="25"/>
  <c r="NXL3" i="25"/>
  <c r="NXK3" i="25"/>
  <c r="NXJ3" i="25"/>
  <c r="NXI3" i="25"/>
  <c r="NXH3" i="25"/>
  <c r="NXG3" i="25"/>
  <c r="NXF3" i="25"/>
  <c r="NXE3" i="25"/>
  <c r="NXD3" i="25"/>
  <c r="NXC3" i="25"/>
  <c r="NXB3" i="25"/>
  <c r="NXA3" i="25"/>
  <c r="NWZ3" i="25"/>
  <c r="NWY3" i="25"/>
  <c r="NWX3" i="25"/>
  <c r="NWW3" i="25"/>
  <c r="NWV3" i="25"/>
  <c r="NWU3" i="25"/>
  <c r="NWT3" i="25"/>
  <c r="NWS3" i="25"/>
  <c r="NWR3" i="25"/>
  <c r="NWQ3" i="25"/>
  <c r="NWP3" i="25"/>
  <c r="NWO3" i="25"/>
  <c r="NWN3" i="25"/>
  <c r="NWM3" i="25"/>
  <c r="NWL3" i="25"/>
  <c r="NWK3" i="25"/>
  <c r="NWJ3" i="25"/>
  <c r="NWI3" i="25"/>
  <c r="NWH3" i="25"/>
  <c r="NWG3" i="25"/>
  <c r="NWF3" i="25"/>
  <c r="NWE3" i="25"/>
  <c r="NWD3" i="25"/>
  <c r="NWC3" i="25"/>
  <c r="NWB3" i="25"/>
  <c r="NWA3" i="25"/>
  <c r="NVZ3" i="25"/>
  <c r="NVY3" i="25"/>
  <c r="NVX3" i="25"/>
  <c r="NVW3" i="25"/>
  <c r="NVV3" i="25"/>
  <c r="NVU3" i="25"/>
  <c r="NVT3" i="25"/>
  <c r="NVS3" i="25"/>
  <c r="NVR3" i="25"/>
  <c r="NVQ3" i="25"/>
  <c r="NVP3" i="25"/>
  <c r="NVO3" i="25"/>
  <c r="NVN3" i="25"/>
  <c r="NVM3" i="25"/>
  <c r="NVL3" i="25"/>
  <c r="NVK3" i="25"/>
  <c r="NVJ3" i="25"/>
  <c r="NVI3" i="25"/>
  <c r="NVH3" i="25"/>
  <c r="NVG3" i="25"/>
  <c r="NVF3" i="25"/>
  <c r="NVE3" i="25"/>
  <c r="NVD3" i="25"/>
  <c r="NVC3" i="25"/>
  <c r="NVB3" i="25"/>
  <c r="NVA3" i="25"/>
  <c r="NUZ3" i="25"/>
  <c r="NUY3" i="25"/>
  <c r="NUX3" i="25"/>
  <c r="NUW3" i="25"/>
  <c r="NUV3" i="25"/>
  <c r="NUU3" i="25"/>
  <c r="NUT3" i="25"/>
  <c r="NUS3" i="25"/>
  <c r="NUR3" i="25"/>
  <c r="NUQ3" i="25"/>
  <c r="NUP3" i="25"/>
  <c r="NUO3" i="25"/>
  <c r="NUN3" i="25"/>
  <c r="NUM3" i="25"/>
  <c r="NUL3" i="25"/>
  <c r="NUK3" i="25"/>
  <c r="NUJ3" i="25"/>
  <c r="NUI3" i="25"/>
  <c r="NUH3" i="25"/>
  <c r="NUG3" i="25"/>
  <c r="NUF3" i="25"/>
  <c r="NUE3" i="25"/>
  <c r="NUD3" i="25"/>
  <c r="NUC3" i="25"/>
  <c r="NUB3" i="25"/>
  <c r="NUA3" i="25"/>
  <c r="NTZ3" i="25"/>
  <c r="NTY3" i="25"/>
  <c r="NTX3" i="25"/>
  <c r="NTW3" i="25"/>
  <c r="NTV3" i="25"/>
  <c r="NTU3" i="25"/>
  <c r="NTT3" i="25"/>
  <c r="NTS3" i="25"/>
  <c r="NTR3" i="25"/>
  <c r="NTQ3" i="25"/>
  <c r="NTP3" i="25"/>
  <c r="NTO3" i="25"/>
  <c r="NTN3" i="25"/>
  <c r="NTM3" i="25"/>
  <c r="NTL3" i="25"/>
  <c r="NTK3" i="25"/>
  <c r="NTJ3" i="25"/>
  <c r="NTI3" i="25"/>
  <c r="NTH3" i="25"/>
  <c r="NTG3" i="25"/>
  <c r="NTF3" i="25"/>
  <c r="NTE3" i="25"/>
  <c r="NTD3" i="25"/>
  <c r="NTC3" i="25"/>
  <c r="NTB3" i="25"/>
  <c r="NTA3" i="25"/>
  <c r="NSZ3" i="25"/>
  <c r="NSY3" i="25"/>
  <c r="NSX3" i="25"/>
  <c r="NSW3" i="25"/>
  <c r="NSV3" i="25"/>
  <c r="NSU3" i="25"/>
  <c r="NST3" i="25"/>
  <c r="NSS3" i="25"/>
  <c r="NSR3" i="25"/>
  <c r="NSQ3" i="25"/>
  <c r="NSP3" i="25"/>
  <c r="NSO3" i="25"/>
  <c r="NSN3" i="25"/>
  <c r="NSM3" i="25"/>
  <c r="NSL3" i="25"/>
  <c r="NSK3" i="25"/>
  <c r="NSJ3" i="25"/>
  <c r="NSI3" i="25"/>
  <c r="NSH3" i="25"/>
  <c r="NSG3" i="25"/>
  <c r="NSF3" i="25"/>
  <c r="NSE3" i="25"/>
  <c r="NSD3" i="25"/>
  <c r="NSC3" i="25"/>
  <c r="NSB3" i="25"/>
  <c r="NSA3" i="25"/>
  <c r="NRZ3" i="25"/>
  <c r="NRY3" i="25"/>
  <c r="NRX3" i="25"/>
  <c r="NRW3" i="25"/>
  <c r="NRV3" i="25"/>
  <c r="NRU3" i="25"/>
  <c r="NRT3" i="25"/>
  <c r="NRS3" i="25"/>
  <c r="NRR3" i="25"/>
  <c r="NRQ3" i="25"/>
  <c r="NRP3" i="25"/>
  <c r="NRO3" i="25"/>
  <c r="NRN3" i="25"/>
  <c r="NRM3" i="25"/>
  <c r="NRL3" i="25"/>
  <c r="NRK3" i="25"/>
  <c r="NRJ3" i="25"/>
  <c r="NRI3" i="25"/>
  <c r="NRH3" i="25"/>
  <c r="NRG3" i="25"/>
  <c r="NRF3" i="25"/>
  <c r="NRE3" i="25"/>
  <c r="NRD3" i="25"/>
  <c r="NRC3" i="25"/>
  <c r="NRB3" i="25"/>
  <c r="NRA3" i="25"/>
  <c r="NQZ3" i="25"/>
  <c r="NQY3" i="25"/>
  <c r="NQX3" i="25"/>
  <c r="NQW3" i="25"/>
  <c r="NQV3" i="25"/>
  <c r="NQU3" i="25"/>
  <c r="NQT3" i="25"/>
  <c r="NQS3" i="25"/>
  <c r="NQR3" i="25"/>
  <c r="NQQ3" i="25"/>
  <c r="NQP3" i="25"/>
  <c r="NQO3" i="25"/>
  <c r="NQN3" i="25"/>
  <c r="NQM3" i="25"/>
  <c r="NQL3" i="25"/>
  <c r="NQK3" i="25"/>
  <c r="NQJ3" i="25"/>
  <c r="NQI3" i="25"/>
  <c r="NQH3" i="25"/>
  <c r="NQG3" i="25"/>
  <c r="NQF3" i="25"/>
  <c r="NQE3" i="25"/>
  <c r="NQD3" i="25"/>
  <c r="NQC3" i="25"/>
  <c r="NQB3" i="25"/>
  <c r="NQA3" i="25"/>
  <c r="NPZ3" i="25"/>
  <c r="NPY3" i="25"/>
  <c r="NPX3" i="25"/>
  <c r="NPW3" i="25"/>
  <c r="NPV3" i="25"/>
  <c r="NPU3" i="25"/>
  <c r="NPT3" i="25"/>
  <c r="NPS3" i="25"/>
  <c r="NPR3" i="25"/>
  <c r="NPQ3" i="25"/>
  <c r="NPP3" i="25"/>
  <c r="NPO3" i="25"/>
  <c r="NPN3" i="25"/>
  <c r="NPM3" i="25"/>
  <c r="NPL3" i="25"/>
  <c r="NPK3" i="25"/>
  <c r="NPJ3" i="25"/>
  <c r="NPI3" i="25"/>
  <c r="NPH3" i="25"/>
  <c r="NPG3" i="25"/>
  <c r="NPF3" i="25"/>
  <c r="NPE3" i="25"/>
  <c r="NPD3" i="25"/>
  <c r="NPC3" i="25"/>
  <c r="NPB3" i="25"/>
  <c r="NPA3" i="25"/>
  <c r="NOZ3" i="25"/>
  <c r="NOY3" i="25"/>
  <c r="NOX3" i="25"/>
  <c r="NOW3" i="25"/>
  <c r="NOV3" i="25"/>
  <c r="NOU3" i="25"/>
  <c r="NOT3" i="25"/>
  <c r="NOS3" i="25"/>
  <c r="NOR3" i="25"/>
  <c r="NOQ3" i="25"/>
  <c r="NOP3" i="25"/>
  <c r="NOO3" i="25"/>
  <c r="NON3" i="25"/>
  <c r="NOM3" i="25"/>
  <c r="NOL3" i="25"/>
  <c r="NOK3" i="25"/>
  <c r="NOJ3" i="25"/>
  <c r="NOI3" i="25"/>
  <c r="NOH3" i="25"/>
  <c r="NOG3" i="25"/>
  <c r="NOF3" i="25"/>
  <c r="NOE3" i="25"/>
  <c r="NOD3" i="25"/>
  <c r="NOC3" i="25"/>
  <c r="NOB3" i="25"/>
  <c r="NOA3" i="25"/>
  <c r="NNZ3" i="25"/>
  <c r="NNY3" i="25"/>
  <c r="NNX3" i="25"/>
  <c r="NNW3" i="25"/>
  <c r="NNV3" i="25"/>
  <c r="NNU3" i="25"/>
  <c r="NNT3" i="25"/>
  <c r="NNS3" i="25"/>
  <c r="NNR3" i="25"/>
  <c r="NNQ3" i="25"/>
  <c r="NNP3" i="25"/>
  <c r="NNO3" i="25"/>
  <c r="NNN3" i="25"/>
  <c r="NNM3" i="25"/>
  <c r="NNL3" i="25"/>
  <c r="NNK3" i="25"/>
  <c r="NNJ3" i="25"/>
  <c r="NNI3" i="25"/>
  <c r="NNH3" i="25"/>
  <c r="NNG3" i="25"/>
  <c r="NNF3" i="25"/>
  <c r="NNE3" i="25"/>
  <c r="NND3" i="25"/>
  <c r="NNC3" i="25"/>
  <c r="NNB3" i="25"/>
  <c r="NNA3" i="25"/>
  <c r="NMZ3" i="25"/>
  <c r="NMY3" i="25"/>
  <c r="NMX3" i="25"/>
  <c r="NMW3" i="25"/>
  <c r="NMV3" i="25"/>
  <c r="NMU3" i="25"/>
  <c r="NMT3" i="25"/>
  <c r="NMS3" i="25"/>
  <c r="NMR3" i="25"/>
  <c r="NMQ3" i="25"/>
  <c r="NMP3" i="25"/>
  <c r="NMO3" i="25"/>
  <c r="NMN3" i="25"/>
  <c r="NMM3" i="25"/>
  <c r="NML3" i="25"/>
  <c r="NMK3" i="25"/>
  <c r="NMJ3" i="25"/>
  <c r="NMI3" i="25"/>
  <c r="NMH3" i="25"/>
  <c r="NMG3" i="25"/>
  <c r="NMF3" i="25"/>
  <c r="NME3" i="25"/>
  <c r="NMD3" i="25"/>
  <c r="NMC3" i="25"/>
  <c r="NMB3" i="25"/>
  <c r="NMA3" i="25"/>
  <c r="NLZ3" i="25"/>
  <c r="NLY3" i="25"/>
  <c r="NLX3" i="25"/>
  <c r="NLW3" i="25"/>
  <c r="NLV3" i="25"/>
  <c r="NLU3" i="25"/>
  <c r="NLT3" i="25"/>
  <c r="NLS3" i="25"/>
  <c r="NLR3" i="25"/>
  <c r="NLQ3" i="25"/>
  <c r="NLP3" i="25"/>
  <c r="NLO3" i="25"/>
  <c r="NLN3" i="25"/>
  <c r="NLM3" i="25"/>
  <c r="NLL3" i="25"/>
  <c r="NLK3" i="25"/>
  <c r="NLJ3" i="25"/>
  <c r="NLI3" i="25"/>
  <c r="NLH3" i="25"/>
  <c r="NLG3" i="25"/>
  <c r="NLF3" i="25"/>
  <c r="NLE3" i="25"/>
  <c r="NLD3" i="25"/>
  <c r="NLC3" i="25"/>
  <c r="NLB3" i="25"/>
  <c r="NLA3" i="25"/>
  <c r="NKZ3" i="25"/>
  <c r="NKY3" i="25"/>
  <c r="NKX3" i="25"/>
  <c r="NKW3" i="25"/>
  <c r="NKV3" i="25"/>
  <c r="NKU3" i="25"/>
  <c r="NKT3" i="25"/>
  <c r="NKS3" i="25"/>
  <c r="NKR3" i="25"/>
  <c r="NKQ3" i="25"/>
  <c r="NKP3" i="25"/>
  <c r="NKO3" i="25"/>
  <c r="NKN3" i="25"/>
  <c r="NKM3" i="25"/>
  <c r="NKL3" i="25"/>
  <c r="NKK3" i="25"/>
  <c r="NKJ3" i="25"/>
  <c r="NKI3" i="25"/>
  <c r="NKH3" i="25"/>
  <c r="NKG3" i="25"/>
  <c r="NKF3" i="25"/>
  <c r="NKE3" i="25"/>
  <c r="NKD3" i="25"/>
  <c r="NKC3" i="25"/>
  <c r="NKB3" i="25"/>
  <c r="NKA3" i="25"/>
  <c r="NJZ3" i="25"/>
  <c r="NJY3" i="25"/>
  <c r="NJX3" i="25"/>
  <c r="NJW3" i="25"/>
  <c r="NJV3" i="25"/>
  <c r="NJU3" i="25"/>
  <c r="NJT3" i="25"/>
  <c r="NJS3" i="25"/>
  <c r="NJR3" i="25"/>
  <c r="NJQ3" i="25"/>
  <c r="NJP3" i="25"/>
  <c r="NJO3" i="25"/>
  <c r="NJN3" i="25"/>
  <c r="NJM3" i="25"/>
  <c r="NJL3" i="25"/>
  <c r="NJK3" i="25"/>
  <c r="NJJ3" i="25"/>
  <c r="NJI3" i="25"/>
  <c r="NJH3" i="25"/>
  <c r="NJG3" i="25"/>
  <c r="NJF3" i="25"/>
  <c r="NJE3" i="25"/>
  <c r="NJD3" i="25"/>
  <c r="NJC3" i="25"/>
  <c r="NJB3" i="25"/>
  <c r="NJA3" i="25"/>
  <c r="NIZ3" i="25"/>
  <c r="NIY3" i="25"/>
  <c r="NIX3" i="25"/>
  <c r="NIW3" i="25"/>
  <c r="NIV3" i="25"/>
  <c r="NIU3" i="25"/>
  <c r="NIT3" i="25"/>
  <c r="NIS3" i="25"/>
  <c r="NIR3" i="25"/>
  <c r="NIQ3" i="25"/>
  <c r="NIP3" i="25"/>
  <c r="NIO3" i="25"/>
  <c r="NIN3" i="25"/>
  <c r="NIM3" i="25"/>
  <c r="NIL3" i="25"/>
  <c r="NIK3" i="25"/>
  <c r="NIJ3" i="25"/>
  <c r="NII3" i="25"/>
  <c r="NIH3" i="25"/>
  <c r="NIG3" i="25"/>
  <c r="NIF3" i="25"/>
  <c r="NIE3" i="25"/>
  <c r="NID3" i="25"/>
  <c r="NIC3" i="25"/>
  <c r="NIB3" i="25"/>
  <c r="NIA3" i="25"/>
  <c r="NHZ3" i="25"/>
  <c r="NHY3" i="25"/>
  <c r="NHX3" i="25"/>
  <c r="NHW3" i="25"/>
  <c r="NHV3" i="25"/>
  <c r="NHU3" i="25"/>
  <c r="NHT3" i="25"/>
  <c r="NHS3" i="25"/>
  <c r="NHR3" i="25"/>
  <c r="NHQ3" i="25"/>
  <c r="NHP3" i="25"/>
  <c r="NHO3" i="25"/>
  <c r="NHN3" i="25"/>
  <c r="NHM3" i="25"/>
  <c r="NHL3" i="25"/>
  <c r="NHK3" i="25"/>
  <c r="NHJ3" i="25"/>
  <c r="NHI3" i="25"/>
  <c r="NHH3" i="25"/>
  <c r="NHG3" i="25"/>
  <c r="NHF3" i="25"/>
  <c r="NHE3" i="25"/>
  <c r="NHD3" i="25"/>
  <c r="NHC3" i="25"/>
  <c r="NHB3" i="25"/>
  <c r="NHA3" i="25"/>
  <c r="NGZ3" i="25"/>
  <c r="NGY3" i="25"/>
  <c r="NGX3" i="25"/>
  <c r="NGW3" i="25"/>
  <c r="NGV3" i="25"/>
  <c r="NGU3" i="25"/>
  <c r="NGT3" i="25"/>
  <c r="NGS3" i="25"/>
  <c r="NGR3" i="25"/>
  <c r="NGQ3" i="25"/>
  <c r="NGP3" i="25"/>
  <c r="NGO3" i="25"/>
  <c r="NGN3" i="25"/>
  <c r="NGM3" i="25"/>
  <c r="NGL3" i="25"/>
  <c r="NGK3" i="25"/>
  <c r="NGJ3" i="25"/>
  <c r="NGI3" i="25"/>
  <c r="NGH3" i="25"/>
  <c r="NGG3" i="25"/>
  <c r="NGF3" i="25"/>
  <c r="NGE3" i="25"/>
  <c r="NGD3" i="25"/>
  <c r="NGC3" i="25"/>
  <c r="NGB3" i="25"/>
  <c r="NGA3" i="25"/>
  <c r="NFZ3" i="25"/>
  <c r="NFY3" i="25"/>
  <c r="NFX3" i="25"/>
  <c r="NFW3" i="25"/>
  <c r="NFV3" i="25"/>
  <c r="NFU3" i="25"/>
  <c r="NFT3" i="25"/>
  <c r="NFS3" i="25"/>
  <c r="NFR3" i="25"/>
  <c r="NFQ3" i="25"/>
  <c r="NFP3" i="25"/>
  <c r="NFO3" i="25"/>
  <c r="NFN3" i="25"/>
  <c r="NFM3" i="25"/>
  <c r="NFL3" i="25"/>
  <c r="NFK3" i="25"/>
  <c r="NFJ3" i="25"/>
  <c r="NFI3" i="25"/>
  <c r="NFH3" i="25"/>
  <c r="NFG3" i="25"/>
  <c r="NFF3" i="25"/>
  <c r="NFE3" i="25"/>
  <c r="NFD3" i="25"/>
  <c r="NFC3" i="25"/>
  <c r="NFB3" i="25"/>
  <c r="NFA3" i="25"/>
  <c r="NEZ3" i="25"/>
  <c r="NEY3" i="25"/>
  <c r="NEX3" i="25"/>
  <c r="NEW3" i="25"/>
  <c r="NEV3" i="25"/>
  <c r="NEU3" i="25"/>
  <c r="NET3" i="25"/>
  <c r="NES3" i="25"/>
  <c r="NER3" i="25"/>
  <c r="NEQ3" i="25"/>
  <c r="NEP3" i="25"/>
  <c r="NEO3" i="25"/>
  <c r="NEN3" i="25"/>
  <c r="NEM3" i="25"/>
  <c r="NEL3" i="25"/>
  <c r="NEK3" i="25"/>
  <c r="NEJ3" i="25"/>
  <c r="NEI3" i="25"/>
  <c r="NEH3" i="25"/>
  <c r="NEG3" i="25"/>
  <c r="NEF3" i="25"/>
  <c r="NEE3" i="25"/>
  <c r="NED3" i="25"/>
  <c r="NEC3" i="25"/>
  <c r="NEB3" i="25"/>
  <c r="NEA3" i="25"/>
  <c r="NDZ3" i="25"/>
  <c r="NDY3" i="25"/>
  <c r="NDX3" i="25"/>
  <c r="NDW3" i="25"/>
  <c r="NDV3" i="25"/>
  <c r="NDU3" i="25"/>
  <c r="NDT3" i="25"/>
  <c r="NDS3" i="25"/>
  <c r="NDR3" i="25"/>
  <c r="NDQ3" i="25"/>
  <c r="NDP3" i="25"/>
  <c r="NDO3" i="25"/>
  <c r="NDN3" i="25"/>
  <c r="NDM3" i="25"/>
  <c r="NDL3" i="25"/>
  <c r="NDK3" i="25"/>
  <c r="NDJ3" i="25"/>
  <c r="NDI3" i="25"/>
  <c r="NDH3" i="25"/>
  <c r="NDG3" i="25"/>
  <c r="NDF3" i="25"/>
  <c r="NDE3" i="25"/>
  <c r="NDD3" i="25"/>
  <c r="NDC3" i="25"/>
  <c r="NDB3" i="25"/>
  <c r="NDA3" i="25"/>
  <c r="NCZ3" i="25"/>
  <c r="NCY3" i="25"/>
  <c r="NCX3" i="25"/>
  <c r="NCW3" i="25"/>
  <c r="NCV3" i="25"/>
  <c r="NCU3" i="25"/>
  <c r="NCT3" i="25"/>
  <c r="NCS3" i="25"/>
  <c r="NCR3" i="25"/>
  <c r="NCQ3" i="25"/>
  <c r="NCP3" i="25"/>
  <c r="NCO3" i="25"/>
  <c r="NCN3" i="25"/>
  <c r="NCM3" i="25"/>
  <c r="NCL3" i="25"/>
  <c r="NCK3" i="25"/>
  <c r="NCJ3" i="25"/>
  <c r="NCI3" i="25"/>
  <c r="NCH3" i="25"/>
  <c r="NCG3" i="25"/>
  <c r="NCF3" i="25"/>
  <c r="NCE3" i="25"/>
  <c r="NCD3" i="25"/>
  <c r="NCC3" i="25"/>
  <c r="NCB3" i="25"/>
  <c r="NCA3" i="25"/>
  <c r="NBZ3" i="25"/>
  <c r="NBY3" i="25"/>
  <c r="NBX3" i="25"/>
  <c r="NBW3" i="25"/>
  <c r="NBV3" i="25"/>
  <c r="NBU3" i="25"/>
  <c r="NBT3" i="25"/>
  <c r="NBS3" i="25"/>
  <c r="NBR3" i="25"/>
  <c r="NBQ3" i="25"/>
  <c r="NBP3" i="25"/>
  <c r="NBO3" i="25"/>
  <c r="NBN3" i="25"/>
  <c r="NBM3" i="25"/>
  <c r="NBL3" i="25"/>
  <c r="NBK3" i="25"/>
  <c r="NBJ3" i="25"/>
  <c r="NBI3" i="25"/>
  <c r="NBH3" i="25"/>
  <c r="NBG3" i="25"/>
  <c r="NBF3" i="25"/>
  <c r="NBE3" i="25"/>
  <c r="NBD3" i="25"/>
  <c r="NBC3" i="25"/>
  <c r="NBB3" i="25"/>
  <c r="NBA3" i="25"/>
  <c r="NAZ3" i="25"/>
  <c r="NAY3" i="25"/>
  <c r="NAX3" i="25"/>
  <c r="NAW3" i="25"/>
  <c r="NAV3" i="25"/>
  <c r="NAU3" i="25"/>
  <c r="NAT3" i="25"/>
  <c r="NAS3" i="25"/>
  <c r="NAR3" i="25"/>
  <c r="NAQ3" i="25"/>
  <c r="NAP3" i="25"/>
  <c r="NAO3" i="25"/>
  <c r="NAN3" i="25"/>
  <c r="NAM3" i="25"/>
  <c r="NAL3" i="25"/>
  <c r="NAK3" i="25"/>
  <c r="NAJ3" i="25"/>
  <c r="NAI3" i="25"/>
  <c r="NAH3" i="25"/>
  <c r="NAG3" i="25"/>
  <c r="NAF3" i="25"/>
  <c r="NAE3" i="25"/>
  <c r="NAD3" i="25"/>
  <c r="NAC3" i="25"/>
  <c r="NAB3" i="25"/>
  <c r="NAA3" i="25"/>
  <c r="MZZ3" i="25"/>
  <c r="MZY3" i="25"/>
  <c r="MZX3" i="25"/>
  <c r="MZW3" i="25"/>
  <c r="MZV3" i="25"/>
  <c r="MZU3" i="25"/>
  <c r="MZT3" i="25"/>
  <c r="MZS3" i="25"/>
  <c r="MZR3" i="25"/>
  <c r="MZQ3" i="25"/>
  <c r="MZP3" i="25"/>
  <c r="MZO3" i="25"/>
  <c r="MZN3" i="25"/>
  <c r="MZM3" i="25"/>
  <c r="MZL3" i="25"/>
  <c r="MZK3" i="25"/>
  <c r="MZJ3" i="25"/>
  <c r="MZI3" i="25"/>
  <c r="MZH3" i="25"/>
  <c r="MZG3" i="25"/>
  <c r="MZF3" i="25"/>
  <c r="MZE3" i="25"/>
  <c r="MZD3" i="25"/>
  <c r="MZC3" i="25"/>
  <c r="MZB3" i="25"/>
  <c r="MZA3" i="25"/>
  <c r="MYZ3" i="25"/>
  <c r="MYY3" i="25"/>
  <c r="MYX3" i="25"/>
  <c r="MYW3" i="25"/>
  <c r="MYV3" i="25"/>
  <c r="MYU3" i="25"/>
  <c r="MYT3" i="25"/>
  <c r="MYS3" i="25"/>
  <c r="MYR3" i="25"/>
  <c r="MYQ3" i="25"/>
  <c r="MYP3" i="25"/>
  <c r="MYO3" i="25"/>
  <c r="MYN3" i="25"/>
  <c r="MYM3" i="25"/>
  <c r="MYL3" i="25"/>
  <c r="MYK3" i="25"/>
  <c r="MYJ3" i="25"/>
  <c r="MYI3" i="25"/>
  <c r="MYH3" i="25"/>
  <c r="MYG3" i="25"/>
  <c r="MYF3" i="25"/>
  <c r="MYE3" i="25"/>
  <c r="MYD3" i="25"/>
  <c r="MYC3" i="25"/>
  <c r="MYB3" i="25"/>
  <c r="MYA3" i="25"/>
  <c r="MXZ3" i="25"/>
  <c r="MXY3" i="25"/>
  <c r="MXX3" i="25"/>
  <c r="MXW3" i="25"/>
  <c r="MXV3" i="25"/>
  <c r="MXU3" i="25"/>
  <c r="MXT3" i="25"/>
  <c r="MXS3" i="25"/>
  <c r="MXR3" i="25"/>
  <c r="MXQ3" i="25"/>
  <c r="MXP3" i="25"/>
  <c r="MXO3" i="25"/>
  <c r="MXN3" i="25"/>
  <c r="MXM3" i="25"/>
  <c r="MXL3" i="25"/>
  <c r="MXK3" i="25"/>
  <c r="MXJ3" i="25"/>
  <c r="MXI3" i="25"/>
  <c r="MXH3" i="25"/>
  <c r="MXG3" i="25"/>
  <c r="MXF3" i="25"/>
  <c r="MXE3" i="25"/>
  <c r="MXD3" i="25"/>
  <c r="MXC3" i="25"/>
  <c r="MXB3" i="25"/>
  <c r="MXA3" i="25"/>
  <c r="MWZ3" i="25"/>
  <c r="MWY3" i="25"/>
  <c r="MWX3" i="25"/>
  <c r="MWW3" i="25"/>
  <c r="MWV3" i="25"/>
  <c r="MWU3" i="25"/>
  <c r="MWT3" i="25"/>
  <c r="MWS3" i="25"/>
  <c r="MWR3" i="25"/>
  <c r="MWQ3" i="25"/>
  <c r="MWP3" i="25"/>
  <c r="MWO3" i="25"/>
  <c r="MWN3" i="25"/>
  <c r="MWM3" i="25"/>
  <c r="MWL3" i="25"/>
  <c r="MWK3" i="25"/>
  <c r="MWJ3" i="25"/>
  <c r="MWI3" i="25"/>
  <c r="MWH3" i="25"/>
  <c r="MWG3" i="25"/>
  <c r="MWF3" i="25"/>
  <c r="MWE3" i="25"/>
  <c r="MWD3" i="25"/>
  <c r="MWC3" i="25"/>
  <c r="MWB3" i="25"/>
  <c r="MWA3" i="25"/>
  <c r="MVZ3" i="25"/>
  <c r="MVY3" i="25"/>
  <c r="MVX3" i="25"/>
  <c r="MVW3" i="25"/>
  <c r="MVV3" i="25"/>
  <c r="MVU3" i="25"/>
  <c r="MVT3" i="25"/>
  <c r="MVS3" i="25"/>
  <c r="MVR3" i="25"/>
  <c r="MVQ3" i="25"/>
  <c r="MVP3" i="25"/>
  <c r="MVO3" i="25"/>
  <c r="MVN3" i="25"/>
  <c r="MVM3" i="25"/>
  <c r="MVL3" i="25"/>
  <c r="MVK3" i="25"/>
  <c r="MVJ3" i="25"/>
  <c r="MVI3" i="25"/>
  <c r="MVH3" i="25"/>
  <c r="MVG3" i="25"/>
  <c r="MVF3" i="25"/>
  <c r="MVE3" i="25"/>
  <c r="MVD3" i="25"/>
  <c r="MVC3" i="25"/>
  <c r="MVB3" i="25"/>
  <c r="MVA3" i="25"/>
  <c r="MUZ3" i="25"/>
  <c r="MUY3" i="25"/>
  <c r="MUX3" i="25"/>
  <c r="MUW3" i="25"/>
  <c r="MUV3" i="25"/>
  <c r="MUU3" i="25"/>
  <c r="MUT3" i="25"/>
  <c r="MUS3" i="25"/>
  <c r="MUR3" i="25"/>
  <c r="MUQ3" i="25"/>
  <c r="MUP3" i="25"/>
  <c r="MUO3" i="25"/>
  <c r="MUN3" i="25"/>
  <c r="MUM3" i="25"/>
  <c r="MUL3" i="25"/>
  <c r="MUK3" i="25"/>
  <c r="MUJ3" i="25"/>
  <c r="MUI3" i="25"/>
  <c r="MUH3" i="25"/>
  <c r="MUG3" i="25"/>
  <c r="MUF3" i="25"/>
  <c r="MUE3" i="25"/>
  <c r="MUD3" i="25"/>
  <c r="MUC3" i="25"/>
  <c r="MUB3" i="25"/>
  <c r="MUA3" i="25"/>
  <c r="MTZ3" i="25"/>
  <c r="MTY3" i="25"/>
  <c r="MTX3" i="25"/>
  <c r="MTW3" i="25"/>
  <c r="MTV3" i="25"/>
  <c r="MTU3" i="25"/>
  <c r="MTT3" i="25"/>
  <c r="MTS3" i="25"/>
  <c r="MTR3" i="25"/>
  <c r="MTQ3" i="25"/>
  <c r="MTP3" i="25"/>
  <c r="MTO3" i="25"/>
  <c r="MTN3" i="25"/>
  <c r="MTM3" i="25"/>
  <c r="MTL3" i="25"/>
  <c r="MTK3" i="25"/>
  <c r="MTJ3" i="25"/>
  <c r="MTI3" i="25"/>
  <c r="MTH3" i="25"/>
  <c r="MTG3" i="25"/>
  <c r="MTF3" i="25"/>
  <c r="MTE3" i="25"/>
  <c r="MTD3" i="25"/>
  <c r="MTC3" i="25"/>
  <c r="MTB3" i="25"/>
  <c r="MTA3" i="25"/>
  <c r="MSZ3" i="25"/>
  <c r="MSY3" i="25"/>
  <c r="MSX3" i="25"/>
  <c r="MSW3" i="25"/>
  <c r="MSV3" i="25"/>
  <c r="MSU3" i="25"/>
  <c r="MST3" i="25"/>
  <c r="MSS3" i="25"/>
  <c r="MSR3" i="25"/>
  <c r="MSQ3" i="25"/>
  <c r="MSP3" i="25"/>
  <c r="MSO3" i="25"/>
  <c r="MSN3" i="25"/>
  <c r="MSM3" i="25"/>
  <c r="MSL3" i="25"/>
  <c r="MSK3" i="25"/>
  <c r="MSJ3" i="25"/>
  <c r="MSI3" i="25"/>
  <c r="MSH3" i="25"/>
  <c r="MSG3" i="25"/>
  <c r="MSF3" i="25"/>
  <c r="MSE3" i="25"/>
  <c r="MSD3" i="25"/>
  <c r="MSC3" i="25"/>
  <c r="MSB3" i="25"/>
  <c r="MSA3" i="25"/>
  <c r="MRZ3" i="25"/>
  <c r="MRY3" i="25"/>
  <c r="MRX3" i="25"/>
  <c r="MRW3" i="25"/>
  <c r="MRV3" i="25"/>
  <c r="MRU3" i="25"/>
  <c r="MRT3" i="25"/>
  <c r="MRS3" i="25"/>
  <c r="MRR3" i="25"/>
  <c r="MRQ3" i="25"/>
  <c r="MRP3" i="25"/>
  <c r="MRO3" i="25"/>
  <c r="MRN3" i="25"/>
  <c r="MRM3" i="25"/>
  <c r="MRL3" i="25"/>
  <c r="MRK3" i="25"/>
  <c r="MRJ3" i="25"/>
  <c r="MRI3" i="25"/>
  <c r="MRH3" i="25"/>
  <c r="MRG3" i="25"/>
  <c r="MRF3" i="25"/>
  <c r="MRE3" i="25"/>
  <c r="MRD3" i="25"/>
  <c r="MRC3" i="25"/>
  <c r="MRB3" i="25"/>
  <c r="MRA3" i="25"/>
  <c r="MQZ3" i="25"/>
  <c r="MQY3" i="25"/>
  <c r="MQX3" i="25"/>
  <c r="MQW3" i="25"/>
  <c r="MQV3" i="25"/>
  <c r="MQU3" i="25"/>
  <c r="MQT3" i="25"/>
  <c r="MQS3" i="25"/>
  <c r="MQR3" i="25"/>
  <c r="MQQ3" i="25"/>
  <c r="MQP3" i="25"/>
  <c r="MQO3" i="25"/>
  <c r="MQN3" i="25"/>
  <c r="MQM3" i="25"/>
  <c r="MQL3" i="25"/>
  <c r="MQK3" i="25"/>
  <c r="MQJ3" i="25"/>
  <c r="MQI3" i="25"/>
  <c r="MQH3" i="25"/>
  <c r="MQG3" i="25"/>
  <c r="MQF3" i="25"/>
  <c r="MQE3" i="25"/>
  <c r="MQD3" i="25"/>
  <c r="MQC3" i="25"/>
  <c r="MQB3" i="25"/>
  <c r="MQA3" i="25"/>
  <c r="MPZ3" i="25"/>
  <c r="MPY3" i="25"/>
  <c r="MPX3" i="25"/>
  <c r="MPW3" i="25"/>
  <c r="MPV3" i="25"/>
  <c r="MPU3" i="25"/>
  <c r="MPT3" i="25"/>
  <c r="MPS3" i="25"/>
  <c r="MPR3" i="25"/>
  <c r="MPQ3" i="25"/>
  <c r="MPP3" i="25"/>
  <c r="MPO3" i="25"/>
  <c r="MPN3" i="25"/>
  <c r="MPM3" i="25"/>
  <c r="MPL3" i="25"/>
  <c r="MPK3" i="25"/>
  <c r="MPJ3" i="25"/>
  <c r="MPI3" i="25"/>
  <c r="MPH3" i="25"/>
  <c r="MPG3" i="25"/>
  <c r="MPF3" i="25"/>
  <c r="MPE3" i="25"/>
  <c r="MPD3" i="25"/>
  <c r="MPC3" i="25"/>
  <c r="MPB3" i="25"/>
  <c r="MPA3" i="25"/>
  <c r="MOZ3" i="25"/>
  <c r="MOY3" i="25"/>
  <c r="MOX3" i="25"/>
  <c r="MOW3" i="25"/>
  <c r="MOV3" i="25"/>
  <c r="MOU3" i="25"/>
  <c r="MOT3" i="25"/>
  <c r="MOS3" i="25"/>
  <c r="MOR3" i="25"/>
  <c r="MOQ3" i="25"/>
  <c r="MOP3" i="25"/>
  <c r="MOO3" i="25"/>
  <c r="MON3" i="25"/>
  <c r="MOM3" i="25"/>
  <c r="MOL3" i="25"/>
  <c r="MOK3" i="25"/>
  <c r="MOJ3" i="25"/>
  <c r="MOI3" i="25"/>
  <c r="MOH3" i="25"/>
  <c r="MOG3" i="25"/>
  <c r="MOF3" i="25"/>
  <c r="MOE3" i="25"/>
  <c r="MOD3" i="25"/>
  <c r="MOC3" i="25"/>
  <c r="MOB3" i="25"/>
  <c r="MOA3" i="25"/>
  <c r="MNZ3" i="25"/>
  <c r="MNY3" i="25"/>
  <c r="MNX3" i="25"/>
  <c r="MNW3" i="25"/>
  <c r="MNV3" i="25"/>
  <c r="MNU3" i="25"/>
  <c r="MNT3" i="25"/>
  <c r="MNS3" i="25"/>
  <c r="MNR3" i="25"/>
  <c r="MNQ3" i="25"/>
  <c r="MNP3" i="25"/>
  <c r="MNO3" i="25"/>
  <c r="MNN3" i="25"/>
  <c r="MNM3" i="25"/>
  <c r="MNL3" i="25"/>
  <c r="MNK3" i="25"/>
  <c r="MNJ3" i="25"/>
  <c r="MNI3" i="25"/>
  <c r="MNH3" i="25"/>
  <c r="MNG3" i="25"/>
  <c r="MNF3" i="25"/>
  <c r="MNE3" i="25"/>
  <c r="MND3" i="25"/>
  <c r="MNC3" i="25"/>
  <c r="MNB3" i="25"/>
  <c r="MNA3" i="25"/>
  <c r="MMZ3" i="25"/>
  <c r="MMY3" i="25"/>
  <c r="MMX3" i="25"/>
  <c r="MMW3" i="25"/>
  <c r="MMV3" i="25"/>
  <c r="MMU3" i="25"/>
  <c r="MMT3" i="25"/>
  <c r="MMS3" i="25"/>
  <c r="MMR3" i="25"/>
  <c r="MMQ3" i="25"/>
  <c r="MMP3" i="25"/>
  <c r="MMO3" i="25"/>
  <c r="MMN3" i="25"/>
  <c r="MMM3" i="25"/>
  <c r="MML3" i="25"/>
  <c r="MMK3" i="25"/>
  <c r="MMJ3" i="25"/>
  <c r="MMI3" i="25"/>
  <c r="MMH3" i="25"/>
  <c r="MMG3" i="25"/>
  <c r="MMF3" i="25"/>
  <c r="MME3" i="25"/>
  <c r="MMD3" i="25"/>
  <c r="MMC3" i="25"/>
  <c r="MMB3" i="25"/>
  <c r="MMA3" i="25"/>
  <c r="MLZ3" i="25"/>
  <c r="MLY3" i="25"/>
  <c r="MLX3" i="25"/>
  <c r="MLW3" i="25"/>
  <c r="MLV3" i="25"/>
  <c r="MLU3" i="25"/>
  <c r="MLT3" i="25"/>
  <c r="MLS3" i="25"/>
  <c r="MLR3" i="25"/>
  <c r="MLQ3" i="25"/>
  <c r="MLP3" i="25"/>
  <c r="MLO3" i="25"/>
  <c r="MLN3" i="25"/>
  <c r="MLM3" i="25"/>
  <c r="MLL3" i="25"/>
  <c r="MLK3" i="25"/>
  <c r="MLJ3" i="25"/>
  <c r="MLI3" i="25"/>
  <c r="MLH3" i="25"/>
  <c r="MLG3" i="25"/>
  <c r="MLF3" i="25"/>
  <c r="MLE3" i="25"/>
  <c r="MLD3" i="25"/>
  <c r="MLC3" i="25"/>
  <c r="MLB3" i="25"/>
  <c r="MLA3" i="25"/>
  <c r="MKZ3" i="25"/>
  <c r="MKY3" i="25"/>
  <c r="MKX3" i="25"/>
  <c r="MKW3" i="25"/>
  <c r="MKV3" i="25"/>
  <c r="MKU3" i="25"/>
  <c r="MKT3" i="25"/>
  <c r="MKS3" i="25"/>
  <c r="MKR3" i="25"/>
  <c r="MKQ3" i="25"/>
  <c r="MKP3" i="25"/>
  <c r="MKO3" i="25"/>
  <c r="MKN3" i="25"/>
  <c r="MKM3" i="25"/>
  <c r="MKL3" i="25"/>
  <c r="MKK3" i="25"/>
  <c r="MKJ3" i="25"/>
  <c r="MKI3" i="25"/>
  <c r="MKH3" i="25"/>
  <c r="MKG3" i="25"/>
  <c r="MKF3" i="25"/>
  <c r="MKE3" i="25"/>
  <c r="MKD3" i="25"/>
  <c r="MKC3" i="25"/>
  <c r="MKB3" i="25"/>
  <c r="MKA3" i="25"/>
  <c r="MJZ3" i="25"/>
  <c r="MJY3" i="25"/>
  <c r="MJX3" i="25"/>
  <c r="MJW3" i="25"/>
  <c r="MJV3" i="25"/>
  <c r="MJU3" i="25"/>
  <c r="MJT3" i="25"/>
  <c r="MJS3" i="25"/>
  <c r="MJR3" i="25"/>
  <c r="MJQ3" i="25"/>
  <c r="MJP3" i="25"/>
  <c r="MJO3" i="25"/>
  <c r="MJN3" i="25"/>
  <c r="MJM3" i="25"/>
  <c r="MJL3" i="25"/>
  <c r="MJK3" i="25"/>
  <c r="MJJ3" i="25"/>
  <c r="MJI3" i="25"/>
  <c r="MJH3" i="25"/>
  <c r="MJG3" i="25"/>
  <c r="MJF3" i="25"/>
  <c r="MJE3" i="25"/>
  <c r="MJD3" i="25"/>
  <c r="MJC3" i="25"/>
  <c r="MJB3" i="25"/>
  <c r="MJA3" i="25"/>
  <c r="MIZ3" i="25"/>
  <c r="MIY3" i="25"/>
  <c r="MIX3" i="25"/>
  <c r="MIW3" i="25"/>
  <c r="MIV3" i="25"/>
  <c r="MIU3" i="25"/>
  <c r="MIT3" i="25"/>
  <c r="MIS3" i="25"/>
  <c r="MIR3" i="25"/>
  <c r="MIQ3" i="25"/>
  <c r="MIP3" i="25"/>
  <c r="MIO3" i="25"/>
  <c r="MIN3" i="25"/>
  <c r="MIM3" i="25"/>
  <c r="MIL3" i="25"/>
  <c r="MIK3" i="25"/>
  <c r="MIJ3" i="25"/>
  <c r="MII3" i="25"/>
  <c r="MIH3" i="25"/>
  <c r="MIG3" i="25"/>
  <c r="MIF3" i="25"/>
  <c r="MIE3" i="25"/>
  <c r="MID3" i="25"/>
  <c r="MIC3" i="25"/>
  <c r="MIB3" i="25"/>
  <c r="MIA3" i="25"/>
  <c r="MHZ3" i="25"/>
  <c r="MHY3" i="25"/>
  <c r="MHX3" i="25"/>
  <c r="MHW3" i="25"/>
  <c r="MHV3" i="25"/>
  <c r="MHU3" i="25"/>
  <c r="MHT3" i="25"/>
  <c r="MHS3" i="25"/>
  <c r="MHR3" i="25"/>
  <c r="MHQ3" i="25"/>
  <c r="MHP3" i="25"/>
  <c r="MHO3" i="25"/>
  <c r="MHN3" i="25"/>
  <c r="MHM3" i="25"/>
  <c r="MHL3" i="25"/>
  <c r="MHK3" i="25"/>
  <c r="MHJ3" i="25"/>
  <c r="MHI3" i="25"/>
  <c r="MHH3" i="25"/>
  <c r="MHG3" i="25"/>
  <c r="MHF3" i="25"/>
  <c r="MHE3" i="25"/>
  <c r="MHD3" i="25"/>
  <c r="MHC3" i="25"/>
  <c r="MHB3" i="25"/>
  <c r="MHA3" i="25"/>
  <c r="MGZ3" i="25"/>
  <c r="MGY3" i="25"/>
  <c r="MGX3" i="25"/>
  <c r="MGW3" i="25"/>
  <c r="MGV3" i="25"/>
  <c r="MGU3" i="25"/>
  <c r="MGT3" i="25"/>
  <c r="MGS3" i="25"/>
  <c r="MGR3" i="25"/>
  <c r="MGQ3" i="25"/>
  <c r="MGP3" i="25"/>
  <c r="MGO3" i="25"/>
  <c r="MGN3" i="25"/>
  <c r="MGM3" i="25"/>
  <c r="MGL3" i="25"/>
  <c r="MGK3" i="25"/>
  <c r="MGJ3" i="25"/>
  <c r="MGI3" i="25"/>
  <c r="MGH3" i="25"/>
  <c r="MGG3" i="25"/>
  <c r="MGF3" i="25"/>
  <c r="MGE3" i="25"/>
  <c r="MGD3" i="25"/>
  <c r="MGC3" i="25"/>
  <c r="MGB3" i="25"/>
  <c r="MGA3" i="25"/>
  <c r="MFZ3" i="25"/>
  <c r="MFY3" i="25"/>
  <c r="MFX3" i="25"/>
  <c r="MFW3" i="25"/>
  <c r="MFV3" i="25"/>
  <c r="MFU3" i="25"/>
  <c r="MFT3" i="25"/>
  <c r="MFS3" i="25"/>
  <c r="MFR3" i="25"/>
  <c r="MFQ3" i="25"/>
  <c r="MFP3" i="25"/>
  <c r="MFO3" i="25"/>
  <c r="MFN3" i="25"/>
  <c r="MFM3" i="25"/>
  <c r="MFL3" i="25"/>
  <c r="MFK3" i="25"/>
  <c r="MFJ3" i="25"/>
  <c r="MFI3" i="25"/>
  <c r="MFH3" i="25"/>
  <c r="MFG3" i="25"/>
  <c r="MFF3" i="25"/>
  <c r="MFE3" i="25"/>
  <c r="MFD3" i="25"/>
  <c r="MFC3" i="25"/>
  <c r="MFB3" i="25"/>
  <c r="MFA3" i="25"/>
  <c r="MEZ3" i="25"/>
  <c r="MEY3" i="25"/>
  <c r="MEX3" i="25"/>
  <c r="MEW3" i="25"/>
  <c r="MEV3" i="25"/>
  <c r="MEU3" i="25"/>
  <c r="MET3" i="25"/>
  <c r="MES3" i="25"/>
  <c r="MER3" i="25"/>
  <c r="MEQ3" i="25"/>
  <c r="MEP3" i="25"/>
  <c r="MEO3" i="25"/>
  <c r="MEN3" i="25"/>
  <c r="MEM3" i="25"/>
  <c r="MEL3" i="25"/>
  <c r="MEK3" i="25"/>
  <c r="MEJ3" i="25"/>
  <c r="MEI3" i="25"/>
  <c r="MEH3" i="25"/>
  <c r="MEG3" i="25"/>
  <c r="MEF3" i="25"/>
  <c r="MEE3" i="25"/>
  <c r="MED3" i="25"/>
  <c r="MEC3" i="25"/>
  <c r="MEB3" i="25"/>
  <c r="MEA3" i="25"/>
  <c r="MDZ3" i="25"/>
  <c r="MDY3" i="25"/>
  <c r="MDX3" i="25"/>
  <c r="MDW3" i="25"/>
  <c r="MDV3" i="25"/>
  <c r="MDU3" i="25"/>
  <c r="MDT3" i="25"/>
  <c r="MDS3" i="25"/>
  <c r="MDR3" i="25"/>
  <c r="MDQ3" i="25"/>
  <c r="MDP3" i="25"/>
  <c r="MDO3" i="25"/>
  <c r="MDN3" i="25"/>
  <c r="MDM3" i="25"/>
  <c r="MDL3" i="25"/>
  <c r="MDK3" i="25"/>
  <c r="MDJ3" i="25"/>
  <c r="MDI3" i="25"/>
  <c r="MDH3" i="25"/>
  <c r="MDG3" i="25"/>
  <c r="MDF3" i="25"/>
  <c r="MDE3" i="25"/>
  <c r="MDD3" i="25"/>
  <c r="MDC3" i="25"/>
  <c r="MDB3" i="25"/>
  <c r="MDA3" i="25"/>
  <c r="MCZ3" i="25"/>
  <c r="MCY3" i="25"/>
  <c r="MCX3" i="25"/>
  <c r="MCW3" i="25"/>
  <c r="MCV3" i="25"/>
  <c r="MCU3" i="25"/>
  <c r="MCT3" i="25"/>
  <c r="MCS3" i="25"/>
  <c r="MCR3" i="25"/>
  <c r="MCQ3" i="25"/>
  <c r="MCP3" i="25"/>
  <c r="MCO3" i="25"/>
  <c r="MCN3" i="25"/>
  <c r="MCM3" i="25"/>
  <c r="MCL3" i="25"/>
  <c r="MCK3" i="25"/>
  <c r="MCJ3" i="25"/>
  <c r="MCI3" i="25"/>
  <c r="MCH3" i="25"/>
  <c r="MCG3" i="25"/>
  <c r="MCF3" i="25"/>
  <c r="MCE3" i="25"/>
  <c r="MCD3" i="25"/>
  <c r="MCC3" i="25"/>
  <c r="MCB3" i="25"/>
  <c r="MCA3" i="25"/>
  <c r="MBZ3" i="25"/>
  <c r="MBY3" i="25"/>
  <c r="MBX3" i="25"/>
  <c r="MBW3" i="25"/>
  <c r="MBV3" i="25"/>
  <c r="MBU3" i="25"/>
  <c r="MBT3" i="25"/>
  <c r="MBS3" i="25"/>
  <c r="MBR3" i="25"/>
  <c r="MBQ3" i="25"/>
  <c r="MBP3" i="25"/>
  <c r="MBO3" i="25"/>
  <c r="MBN3" i="25"/>
  <c r="MBM3" i="25"/>
  <c r="MBL3" i="25"/>
  <c r="MBK3" i="25"/>
  <c r="MBJ3" i="25"/>
  <c r="MBI3" i="25"/>
  <c r="MBH3" i="25"/>
  <c r="MBG3" i="25"/>
  <c r="MBF3" i="25"/>
  <c r="MBE3" i="25"/>
  <c r="MBD3" i="25"/>
  <c r="MBC3" i="25"/>
  <c r="MBB3" i="25"/>
  <c r="MBA3" i="25"/>
  <c r="MAZ3" i="25"/>
  <c r="MAY3" i="25"/>
  <c r="MAX3" i="25"/>
  <c r="MAW3" i="25"/>
  <c r="MAV3" i="25"/>
  <c r="MAU3" i="25"/>
  <c r="MAT3" i="25"/>
  <c r="MAS3" i="25"/>
  <c r="MAR3" i="25"/>
  <c r="MAQ3" i="25"/>
  <c r="MAP3" i="25"/>
  <c r="MAO3" i="25"/>
  <c r="MAN3" i="25"/>
  <c r="MAM3" i="25"/>
  <c r="MAL3" i="25"/>
  <c r="MAK3" i="25"/>
  <c r="MAJ3" i="25"/>
  <c r="MAI3" i="25"/>
  <c r="MAH3" i="25"/>
  <c r="MAG3" i="25"/>
  <c r="MAF3" i="25"/>
  <c r="MAE3" i="25"/>
  <c r="MAD3" i="25"/>
  <c r="MAC3" i="25"/>
  <c r="MAB3" i="25"/>
  <c r="MAA3" i="25"/>
  <c r="LZZ3" i="25"/>
  <c r="LZY3" i="25"/>
  <c r="LZX3" i="25"/>
  <c r="LZW3" i="25"/>
  <c r="LZV3" i="25"/>
  <c r="LZU3" i="25"/>
  <c r="LZT3" i="25"/>
  <c r="LZS3" i="25"/>
  <c r="LZR3" i="25"/>
  <c r="LZQ3" i="25"/>
  <c r="LZP3" i="25"/>
  <c r="LZO3" i="25"/>
  <c r="LZN3" i="25"/>
  <c r="LZM3" i="25"/>
  <c r="LZL3" i="25"/>
  <c r="LZK3" i="25"/>
  <c r="LZJ3" i="25"/>
  <c r="LZI3" i="25"/>
  <c r="LZH3" i="25"/>
  <c r="LZG3" i="25"/>
  <c r="LZF3" i="25"/>
  <c r="LZE3" i="25"/>
  <c r="LZD3" i="25"/>
  <c r="LZC3" i="25"/>
  <c r="LZB3" i="25"/>
  <c r="LZA3" i="25"/>
  <c r="LYZ3" i="25"/>
  <c r="LYY3" i="25"/>
  <c r="LYX3" i="25"/>
  <c r="LYW3" i="25"/>
  <c r="LYV3" i="25"/>
  <c r="LYU3" i="25"/>
  <c r="LYT3" i="25"/>
  <c r="LYS3" i="25"/>
  <c r="LYR3" i="25"/>
  <c r="LYQ3" i="25"/>
  <c r="LYP3" i="25"/>
  <c r="LYO3" i="25"/>
  <c r="LYN3" i="25"/>
  <c r="LYM3" i="25"/>
  <c r="LYL3" i="25"/>
  <c r="LYK3" i="25"/>
  <c r="LYJ3" i="25"/>
  <c r="LYI3" i="25"/>
  <c r="LYH3" i="25"/>
  <c r="LYG3" i="25"/>
  <c r="LYF3" i="25"/>
  <c r="LYE3" i="25"/>
  <c r="LYD3" i="25"/>
  <c r="LYC3" i="25"/>
  <c r="LYB3" i="25"/>
  <c r="LYA3" i="25"/>
  <c r="LXZ3" i="25"/>
  <c r="LXY3" i="25"/>
  <c r="LXX3" i="25"/>
  <c r="LXW3" i="25"/>
  <c r="LXV3" i="25"/>
  <c r="LXU3" i="25"/>
  <c r="LXT3" i="25"/>
  <c r="LXS3" i="25"/>
  <c r="LXR3" i="25"/>
  <c r="LXQ3" i="25"/>
  <c r="LXP3" i="25"/>
  <c r="LXO3" i="25"/>
  <c r="LXN3" i="25"/>
  <c r="LXM3" i="25"/>
  <c r="LXL3" i="25"/>
  <c r="LXK3" i="25"/>
  <c r="LXJ3" i="25"/>
  <c r="LXI3" i="25"/>
  <c r="LXH3" i="25"/>
  <c r="LXG3" i="25"/>
  <c r="LXF3" i="25"/>
  <c r="LXE3" i="25"/>
  <c r="LXD3" i="25"/>
  <c r="LXC3" i="25"/>
  <c r="LXB3" i="25"/>
  <c r="LXA3" i="25"/>
  <c r="LWZ3" i="25"/>
  <c r="LWY3" i="25"/>
  <c r="LWX3" i="25"/>
  <c r="LWW3" i="25"/>
  <c r="LWV3" i="25"/>
  <c r="LWU3" i="25"/>
  <c r="LWT3" i="25"/>
  <c r="LWS3" i="25"/>
  <c r="LWR3" i="25"/>
  <c r="LWQ3" i="25"/>
  <c r="LWP3" i="25"/>
  <c r="LWO3" i="25"/>
  <c r="LWN3" i="25"/>
  <c r="LWM3" i="25"/>
  <c r="LWL3" i="25"/>
  <c r="LWK3" i="25"/>
  <c r="LWJ3" i="25"/>
  <c r="LWI3" i="25"/>
  <c r="LWH3" i="25"/>
  <c r="LWG3" i="25"/>
  <c r="LWF3" i="25"/>
  <c r="LWE3" i="25"/>
  <c r="LWD3" i="25"/>
  <c r="LWC3" i="25"/>
  <c r="LWB3" i="25"/>
  <c r="LWA3" i="25"/>
  <c r="LVZ3" i="25"/>
  <c r="LVY3" i="25"/>
  <c r="LVX3" i="25"/>
  <c r="LVW3" i="25"/>
  <c r="LVV3" i="25"/>
  <c r="LVU3" i="25"/>
  <c r="LVT3" i="25"/>
  <c r="LVS3" i="25"/>
  <c r="LVR3" i="25"/>
  <c r="LVQ3" i="25"/>
  <c r="LVP3" i="25"/>
  <c r="LVO3" i="25"/>
  <c r="LVN3" i="25"/>
  <c r="LVM3" i="25"/>
  <c r="LVL3" i="25"/>
  <c r="LVK3" i="25"/>
  <c r="LVJ3" i="25"/>
  <c r="LVI3" i="25"/>
  <c r="LVH3" i="25"/>
  <c r="LVG3" i="25"/>
  <c r="LVF3" i="25"/>
  <c r="LVE3" i="25"/>
  <c r="LVD3" i="25"/>
  <c r="LVC3" i="25"/>
  <c r="LVB3" i="25"/>
  <c r="LVA3" i="25"/>
  <c r="LUZ3" i="25"/>
  <c r="LUY3" i="25"/>
  <c r="LUX3" i="25"/>
  <c r="LUW3" i="25"/>
  <c r="LUV3" i="25"/>
  <c r="LUU3" i="25"/>
  <c r="LUT3" i="25"/>
  <c r="LUS3" i="25"/>
  <c r="LUR3" i="25"/>
  <c r="LUQ3" i="25"/>
  <c r="LUP3" i="25"/>
  <c r="LUO3" i="25"/>
  <c r="LUN3" i="25"/>
  <c r="LUM3" i="25"/>
  <c r="LUL3" i="25"/>
  <c r="LUK3" i="25"/>
  <c r="LUJ3" i="25"/>
  <c r="LUI3" i="25"/>
  <c r="LUH3" i="25"/>
  <c r="LUG3" i="25"/>
  <c r="LUF3" i="25"/>
  <c r="LUE3" i="25"/>
  <c r="LUD3" i="25"/>
  <c r="LUC3" i="25"/>
  <c r="LUB3" i="25"/>
  <c r="LUA3" i="25"/>
  <c r="LTZ3" i="25"/>
  <c r="LTY3" i="25"/>
  <c r="LTX3" i="25"/>
  <c r="LTW3" i="25"/>
  <c r="LTV3" i="25"/>
  <c r="LTU3" i="25"/>
  <c r="LTT3" i="25"/>
  <c r="LTS3" i="25"/>
  <c r="LTR3" i="25"/>
  <c r="LTQ3" i="25"/>
  <c r="LTP3" i="25"/>
  <c r="LTO3" i="25"/>
  <c r="LTN3" i="25"/>
  <c r="LTM3" i="25"/>
  <c r="LTL3" i="25"/>
  <c r="LTK3" i="25"/>
  <c r="LTJ3" i="25"/>
  <c r="LTI3" i="25"/>
  <c r="LTH3" i="25"/>
  <c r="LTG3" i="25"/>
  <c r="LTF3" i="25"/>
  <c r="LTE3" i="25"/>
  <c r="LTD3" i="25"/>
  <c r="LTC3" i="25"/>
  <c r="LTB3" i="25"/>
  <c r="LTA3" i="25"/>
  <c r="LSZ3" i="25"/>
  <c r="LSY3" i="25"/>
  <c r="LSX3" i="25"/>
  <c r="LSW3" i="25"/>
  <c r="LSV3" i="25"/>
  <c r="LSU3" i="25"/>
  <c r="LST3" i="25"/>
  <c r="LSS3" i="25"/>
  <c r="LSR3" i="25"/>
  <c r="LSQ3" i="25"/>
  <c r="LSP3" i="25"/>
  <c r="LSO3" i="25"/>
  <c r="LSN3" i="25"/>
  <c r="LSM3" i="25"/>
  <c r="LSL3" i="25"/>
  <c r="LSK3" i="25"/>
  <c r="LSJ3" i="25"/>
  <c r="LSI3" i="25"/>
  <c r="LSH3" i="25"/>
  <c r="LSG3" i="25"/>
  <c r="LSF3" i="25"/>
  <c r="LSE3" i="25"/>
  <c r="LSD3" i="25"/>
  <c r="LSC3" i="25"/>
  <c r="LSB3" i="25"/>
  <c r="LSA3" i="25"/>
  <c r="LRZ3" i="25"/>
  <c r="LRY3" i="25"/>
  <c r="LRX3" i="25"/>
  <c r="LRW3" i="25"/>
  <c r="LRV3" i="25"/>
  <c r="LRU3" i="25"/>
  <c r="LRT3" i="25"/>
  <c r="LRS3" i="25"/>
  <c r="LRR3" i="25"/>
  <c r="LRQ3" i="25"/>
  <c r="LRP3" i="25"/>
  <c r="LRO3" i="25"/>
  <c r="LRN3" i="25"/>
  <c r="LRM3" i="25"/>
  <c r="LRL3" i="25"/>
  <c r="LRK3" i="25"/>
  <c r="LRJ3" i="25"/>
  <c r="LRI3" i="25"/>
  <c r="LRH3" i="25"/>
  <c r="LRG3" i="25"/>
  <c r="LRF3" i="25"/>
  <c r="LRE3" i="25"/>
  <c r="LRD3" i="25"/>
  <c r="LRC3" i="25"/>
  <c r="LRB3" i="25"/>
  <c r="LRA3" i="25"/>
  <c r="LQZ3" i="25"/>
  <c r="LQY3" i="25"/>
  <c r="LQX3" i="25"/>
  <c r="LQW3" i="25"/>
  <c r="LQV3" i="25"/>
  <c r="LQU3" i="25"/>
  <c r="LQT3" i="25"/>
  <c r="LQS3" i="25"/>
  <c r="LQR3" i="25"/>
  <c r="LQQ3" i="25"/>
  <c r="LQP3" i="25"/>
  <c r="LQO3" i="25"/>
  <c r="LQN3" i="25"/>
  <c r="LQM3" i="25"/>
  <c r="LQL3" i="25"/>
  <c r="LQK3" i="25"/>
  <c r="LQJ3" i="25"/>
  <c r="LQI3" i="25"/>
  <c r="LQH3" i="25"/>
  <c r="LQG3" i="25"/>
  <c r="LQF3" i="25"/>
  <c r="LQE3" i="25"/>
  <c r="LQD3" i="25"/>
  <c r="LQC3" i="25"/>
  <c r="LQB3" i="25"/>
  <c r="LQA3" i="25"/>
  <c r="LPZ3" i="25"/>
  <c r="LPY3" i="25"/>
  <c r="LPX3" i="25"/>
  <c r="LPW3" i="25"/>
  <c r="LPV3" i="25"/>
  <c r="LPU3" i="25"/>
  <c r="LPT3" i="25"/>
  <c r="LPS3" i="25"/>
  <c r="LPR3" i="25"/>
  <c r="LPQ3" i="25"/>
  <c r="LPP3" i="25"/>
  <c r="LPO3" i="25"/>
  <c r="LPN3" i="25"/>
  <c r="LPM3" i="25"/>
  <c r="LPL3" i="25"/>
  <c r="LPK3" i="25"/>
  <c r="LPJ3" i="25"/>
  <c r="LPI3" i="25"/>
  <c r="LPH3" i="25"/>
  <c r="LPG3" i="25"/>
  <c r="LPF3" i="25"/>
  <c r="LPE3" i="25"/>
  <c r="LPD3" i="25"/>
  <c r="LPC3" i="25"/>
  <c r="LPB3" i="25"/>
  <c r="LPA3" i="25"/>
  <c r="LOZ3" i="25"/>
  <c r="LOY3" i="25"/>
  <c r="LOX3" i="25"/>
  <c r="LOW3" i="25"/>
  <c r="LOV3" i="25"/>
  <c r="LOU3" i="25"/>
  <c r="LOT3" i="25"/>
  <c r="LOS3" i="25"/>
  <c r="LOR3" i="25"/>
  <c r="LOQ3" i="25"/>
  <c r="LOP3" i="25"/>
  <c r="LOO3" i="25"/>
  <c r="LON3" i="25"/>
  <c r="LOM3" i="25"/>
  <c r="LOL3" i="25"/>
  <c r="LOK3" i="25"/>
  <c r="LOJ3" i="25"/>
  <c r="LOI3" i="25"/>
  <c r="LOH3" i="25"/>
  <c r="LOG3" i="25"/>
  <c r="LOF3" i="25"/>
  <c r="LOE3" i="25"/>
  <c r="LOD3" i="25"/>
  <c r="LOC3" i="25"/>
  <c r="LOB3" i="25"/>
  <c r="LOA3" i="25"/>
  <c r="LNZ3" i="25"/>
  <c r="LNY3" i="25"/>
  <c r="LNX3" i="25"/>
  <c r="LNW3" i="25"/>
  <c r="LNV3" i="25"/>
  <c r="LNU3" i="25"/>
  <c r="LNT3" i="25"/>
  <c r="LNS3" i="25"/>
  <c r="LNR3" i="25"/>
  <c r="LNQ3" i="25"/>
  <c r="LNP3" i="25"/>
  <c r="LNO3" i="25"/>
  <c r="LNN3" i="25"/>
  <c r="LNM3" i="25"/>
  <c r="LNL3" i="25"/>
  <c r="LNK3" i="25"/>
  <c r="LNJ3" i="25"/>
  <c r="LNI3" i="25"/>
  <c r="LNH3" i="25"/>
  <c r="LNG3" i="25"/>
  <c r="LNF3" i="25"/>
  <c r="LNE3" i="25"/>
  <c r="LND3" i="25"/>
  <c r="LNC3" i="25"/>
  <c r="LNB3" i="25"/>
  <c r="LNA3" i="25"/>
  <c r="LMZ3" i="25"/>
  <c r="LMY3" i="25"/>
  <c r="LMX3" i="25"/>
  <c r="LMW3" i="25"/>
  <c r="LMV3" i="25"/>
  <c r="LMU3" i="25"/>
  <c r="LMT3" i="25"/>
  <c r="LMS3" i="25"/>
  <c r="LMR3" i="25"/>
  <c r="LMQ3" i="25"/>
  <c r="LMP3" i="25"/>
  <c r="LMO3" i="25"/>
  <c r="LMN3" i="25"/>
  <c r="LMM3" i="25"/>
  <c r="LML3" i="25"/>
  <c r="LMK3" i="25"/>
  <c r="LMJ3" i="25"/>
  <c r="LMI3" i="25"/>
  <c r="LMH3" i="25"/>
  <c r="LMG3" i="25"/>
  <c r="LMF3" i="25"/>
  <c r="LME3" i="25"/>
  <c r="LMD3" i="25"/>
  <c r="LMC3" i="25"/>
  <c r="LMB3" i="25"/>
  <c r="LMA3" i="25"/>
  <c r="LLZ3" i="25"/>
  <c r="LLY3" i="25"/>
  <c r="LLX3" i="25"/>
  <c r="LLW3" i="25"/>
  <c r="LLV3" i="25"/>
  <c r="LLU3" i="25"/>
  <c r="LLT3" i="25"/>
  <c r="LLS3" i="25"/>
  <c r="LLR3" i="25"/>
  <c r="LLQ3" i="25"/>
  <c r="LLP3" i="25"/>
  <c r="LLO3" i="25"/>
  <c r="LLN3" i="25"/>
  <c r="LLM3" i="25"/>
  <c r="LLL3" i="25"/>
  <c r="LLK3" i="25"/>
  <c r="LLJ3" i="25"/>
  <c r="LLI3" i="25"/>
  <c r="LLH3" i="25"/>
  <c r="LLG3" i="25"/>
  <c r="LLF3" i="25"/>
  <c r="LLE3" i="25"/>
  <c r="LLD3" i="25"/>
  <c r="LLC3" i="25"/>
  <c r="LLB3" i="25"/>
  <c r="LLA3" i="25"/>
  <c r="LKZ3" i="25"/>
  <c r="LKY3" i="25"/>
  <c r="LKX3" i="25"/>
  <c r="LKW3" i="25"/>
  <c r="LKV3" i="25"/>
  <c r="LKU3" i="25"/>
  <c r="LKT3" i="25"/>
  <c r="LKS3" i="25"/>
  <c r="LKR3" i="25"/>
  <c r="LKQ3" i="25"/>
  <c r="LKP3" i="25"/>
  <c r="LKO3" i="25"/>
  <c r="LKN3" i="25"/>
  <c r="LKM3" i="25"/>
  <c r="LKL3" i="25"/>
  <c r="LKK3" i="25"/>
  <c r="LKJ3" i="25"/>
  <c r="LKI3" i="25"/>
  <c r="LKH3" i="25"/>
  <c r="LKG3" i="25"/>
  <c r="LKF3" i="25"/>
  <c r="LKE3" i="25"/>
  <c r="LKD3" i="25"/>
  <c r="LKC3" i="25"/>
  <c r="LKB3" i="25"/>
  <c r="LKA3" i="25"/>
  <c r="LJZ3" i="25"/>
  <c r="LJY3" i="25"/>
  <c r="LJX3" i="25"/>
  <c r="LJW3" i="25"/>
  <c r="LJV3" i="25"/>
  <c r="LJU3" i="25"/>
  <c r="LJT3" i="25"/>
  <c r="LJS3" i="25"/>
  <c r="LJR3" i="25"/>
  <c r="LJQ3" i="25"/>
  <c r="LJP3" i="25"/>
  <c r="LJO3" i="25"/>
  <c r="LJN3" i="25"/>
  <c r="LJM3" i="25"/>
  <c r="LJL3" i="25"/>
  <c r="LJK3" i="25"/>
  <c r="LJJ3" i="25"/>
  <c r="LJI3" i="25"/>
  <c r="LJH3" i="25"/>
  <c r="LJG3" i="25"/>
  <c r="LJF3" i="25"/>
  <c r="LJE3" i="25"/>
  <c r="LJD3" i="25"/>
  <c r="LJC3" i="25"/>
  <c r="LJB3" i="25"/>
  <c r="LJA3" i="25"/>
  <c r="LIZ3" i="25"/>
  <c r="LIY3" i="25"/>
  <c r="LIX3" i="25"/>
  <c r="LIW3" i="25"/>
  <c r="LIV3" i="25"/>
  <c r="LIU3" i="25"/>
  <c r="LIT3" i="25"/>
  <c r="LIS3" i="25"/>
  <c r="LIR3" i="25"/>
  <c r="LIQ3" i="25"/>
  <c r="LIP3" i="25"/>
  <c r="LIO3" i="25"/>
  <c r="LIN3" i="25"/>
  <c r="LIM3" i="25"/>
  <c r="LIL3" i="25"/>
  <c r="LIK3" i="25"/>
  <c r="LIJ3" i="25"/>
  <c r="LII3" i="25"/>
  <c r="LIH3" i="25"/>
  <c r="LIG3" i="25"/>
  <c r="LIF3" i="25"/>
  <c r="LIE3" i="25"/>
  <c r="LID3" i="25"/>
  <c r="LIC3" i="25"/>
  <c r="LIB3" i="25"/>
  <c r="LIA3" i="25"/>
  <c r="LHZ3" i="25"/>
  <c r="LHY3" i="25"/>
  <c r="LHX3" i="25"/>
  <c r="LHW3" i="25"/>
  <c r="LHV3" i="25"/>
  <c r="LHU3" i="25"/>
  <c r="LHT3" i="25"/>
  <c r="LHS3" i="25"/>
  <c r="LHR3" i="25"/>
  <c r="LHQ3" i="25"/>
  <c r="LHP3" i="25"/>
  <c r="LHO3" i="25"/>
  <c r="LHN3" i="25"/>
  <c r="LHM3" i="25"/>
  <c r="LHL3" i="25"/>
  <c r="LHK3" i="25"/>
  <c r="LHJ3" i="25"/>
  <c r="LHI3" i="25"/>
  <c r="LHH3" i="25"/>
  <c r="LHG3" i="25"/>
  <c r="LHF3" i="25"/>
  <c r="LHE3" i="25"/>
  <c r="LHD3" i="25"/>
  <c r="LHC3" i="25"/>
  <c r="LHB3" i="25"/>
  <c r="LHA3" i="25"/>
  <c r="LGZ3" i="25"/>
  <c r="LGY3" i="25"/>
  <c r="LGX3" i="25"/>
  <c r="LGW3" i="25"/>
  <c r="LGV3" i="25"/>
  <c r="LGU3" i="25"/>
  <c r="LGT3" i="25"/>
  <c r="LGS3" i="25"/>
  <c r="LGR3" i="25"/>
  <c r="LGQ3" i="25"/>
  <c r="LGP3" i="25"/>
  <c r="LGO3" i="25"/>
  <c r="LGN3" i="25"/>
  <c r="LGM3" i="25"/>
  <c r="LGL3" i="25"/>
  <c r="LGK3" i="25"/>
  <c r="LGJ3" i="25"/>
  <c r="LGI3" i="25"/>
  <c r="LGH3" i="25"/>
  <c r="LGG3" i="25"/>
  <c r="LGF3" i="25"/>
  <c r="LGE3" i="25"/>
  <c r="LGD3" i="25"/>
  <c r="LGC3" i="25"/>
  <c r="LGB3" i="25"/>
  <c r="LGA3" i="25"/>
  <c r="LFZ3" i="25"/>
  <c r="LFY3" i="25"/>
  <c r="LFX3" i="25"/>
  <c r="LFW3" i="25"/>
  <c r="LFV3" i="25"/>
  <c r="LFU3" i="25"/>
  <c r="LFT3" i="25"/>
  <c r="LFS3" i="25"/>
  <c r="LFR3" i="25"/>
  <c r="LFQ3" i="25"/>
  <c r="LFP3" i="25"/>
  <c r="LFO3" i="25"/>
  <c r="LFN3" i="25"/>
  <c r="LFM3" i="25"/>
  <c r="LFL3" i="25"/>
  <c r="LFK3" i="25"/>
  <c r="LFJ3" i="25"/>
  <c r="LFI3" i="25"/>
  <c r="LFH3" i="25"/>
  <c r="LFG3" i="25"/>
  <c r="LFF3" i="25"/>
  <c r="LFE3" i="25"/>
  <c r="LFD3" i="25"/>
  <c r="LFC3" i="25"/>
  <c r="LFB3" i="25"/>
  <c r="LFA3" i="25"/>
  <c r="LEZ3" i="25"/>
  <c r="LEY3" i="25"/>
  <c r="LEX3" i="25"/>
  <c r="LEW3" i="25"/>
  <c r="LEV3" i="25"/>
  <c r="LEU3" i="25"/>
  <c r="LET3" i="25"/>
  <c r="LES3" i="25"/>
  <c r="LER3" i="25"/>
  <c r="LEQ3" i="25"/>
  <c r="LEP3" i="25"/>
  <c r="LEO3" i="25"/>
  <c r="LEN3" i="25"/>
  <c r="LEM3" i="25"/>
  <c r="LEL3" i="25"/>
  <c r="LEK3" i="25"/>
  <c r="LEJ3" i="25"/>
  <c r="LEI3" i="25"/>
  <c r="LEH3" i="25"/>
  <c r="LEG3" i="25"/>
  <c r="LEF3" i="25"/>
  <c r="LEE3" i="25"/>
  <c r="LED3" i="25"/>
  <c r="LEC3" i="25"/>
  <c r="LEB3" i="25"/>
  <c r="LEA3" i="25"/>
  <c r="LDZ3" i="25"/>
  <c r="LDY3" i="25"/>
  <c r="LDX3" i="25"/>
  <c r="LDW3" i="25"/>
  <c r="LDV3" i="25"/>
  <c r="LDU3" i="25"/>
  <c r="LDT3" i="25"/>
  <c r="LDS3" i="25"/>
  <c r="LDR3" i="25"/>
  <c r="LDQ3" i="25"/>
  <c r="LDP3" i="25"/>
  <c r="LDO3" i="25"/>
  <c r="LDN3" i="25"/>
  <c r="LDM3" i="25"/>
  <c r="LDL3" i="25"/>
  <c r="LDK3" i="25"/>
  <c r="LDJ3" i="25"/>
  <c r="LDI3" i="25"/>
  <c r="LDH3" i="25"/>
  <c r="LDG3" i="25"/>
  <c r="LDF3" i="25"/>
  <c r="LDE3" i="25"/>
  <c r="LDD3" i="25"/>
  <c r="LDC3" i="25"/>
  <c r="LDB3" i="25"/>
  <c r="LDA3" i="25"/>
  <c r="LCZ3" i="25"/>
  <c r="LCY3" i="25"/>
  <c r="LCX3" i="25"/>
  <c r="LCW3" i="25"/>
  <c r="LCV3" i="25"/>
  <c r="LCU3" i="25"/>
  <c r="LCT3" i="25"/>
  <c r="LCS3" i="25"/>
  <c r="LCR3" i="25"/>
  <c r="LCQ3" i="25"/>
  <c r="LCP3" i="25"/>
  <c r="LCO3" i="25"/>
  <c r="LCN3" i="25"/>
  <c r="LCM3" i="25"/>
  <c r="LCL3" i="25"/>
  <c r="LCK3" i="25"/>
  <c r="LCJ3" i="25"/>
  <c r="LCI3" i="25"/>
  <c r="LCH3" i="25"/>
  <c r="LCG3" i="25"/>
  <c r="LCF3" i="25"/>
  <c r="LCE3" i="25"/>
  <c r="LCD3" i="25"/>
  <c r="LCC3" i="25"/>
  <c r="LCB3" i="25"/>
  <c r="LCA3" i="25"/>
  <c r="LBZ3" i="25"/>
  <c r="LBY3" i="25"/>
  <c r="LBX3" i="25"/>
  <c r="LBW3" i="25"/>
  <c r="LBV3" i="25"/>
  <c r="LBU3" i="25"/>
  <c r="LBT3" i="25"/>
  <c r="LBS3" i="25"/>
  <c r="LBR3" i="25"/>
  <c r="LBQ3" i="25"/>
  <c r="LBP3" i="25"/>
  <c r="LBO3" i="25"/>
  <c r="LBN3" i="25"/>
  <c r="LBM3" i="25"/>
  <c r="LBL3" i="25"/>
  <c r="LBK3" i="25"/>
  <c r="LBJ3" i="25"/>
  <c r="LBI3" i="25"/>
  <c r="LBH3" i="25"/>
  <c r="LBG3" i="25"/>
  <c r="LBF3" i="25"/>
  <c r="LBE3" i="25"/>
  <c r="LBD3" i="25"/>
  <c r="LBC3" i="25"/>
  <c r="LBB3" i="25"/>
  <c r="LBA3" i="25"/>
  <c r="LAZ3" i="25"/>
  <c r="LAY3" i="25"/>
  <c r="LAX3" i="25"/>
  <c r="LAW3" i="25"/>
  <c r="LAV3" i="25"/>
  <c r="LAU3" i="25"/>
  <c r="LAT3" i="25"/>
  <c r="LAS3" i="25"/>
  <c r="LAR3" i="25"/>
  <c r="LAQ3" i="25"/>
  <c r="LAP3" i="25"/>
  <c r="LAO3" i="25"/>
  <c r="LAN3" i="25"/>
  <c r="LAM3" i="25"/>
  <c r="LAL3" i="25"/>
  <c r="LAK3" i="25"/>
  <c r="LAJ3" i="25"/>
  <c r="LAI3" i="25"/>
  <c r="LAH3" i="25"/>
  <c r="LAG3" i="25"/>
  <c r="LAF3" i="25"/>
  <c r="LAE3" i="25"/>
  <c r="LAD3" i="25"/>
  <c r="LAC3" i="25"/>
  <c r="LAB3" i="25"/>
  <c r="LAA3" i="25"/>
  <c r="KZZ3" i="25"/>
  <c r="KZY3" i="25"/>
  <c r="KZX3" i="25"/>
  <c r="KZW3" i="25"/>
  <c r="KZV3" i="25"/>
  <c r="KZU3" i="25"/>
  <c r="KZT3" i="25"/>
  <c r="KZS3" i="25"/>
  <c r="KZR3" i="25"/>
  <c r="KZQ3" i="25"/>
  <c r="KZP3" i="25"/>
  <c r="KZO3" i="25"/>
  <c r="KZN3" i="25"/>
  <c r="KZM3" i="25"/>
  <c r="KZL3" i="25"/>
  <c r="KZK3" i="25"/>
  <c r="KZJ3" i="25"/>
  <c r="KZI3" i="25"/>
  <c r="KZH3" i="25"/>
  <c r="KZG3" i="25"/>
  <c r="KZF3" i="25"/>
  <c r="KZE3" i="25"/>
  <c r="KZD3" i="25"/>
  <c r="KZC3" i="25"/>
  <c r="KZB3" i="25"/>
  <c r="KZA3" i="25"/>
  <c r="KYZ3" i="25"/>
  <c r="KYY3" i="25"/>
  <c r="KYX3" i="25"/>
  <c r="KYW3" i="25"/>
  <c r="KYV3" i="25"/>
  <c r="KYU3" i="25"/>
  <c r="KYT3" i="25"/>
  <c r="KYS3" i="25"/>
  <c r="KYR3" i="25"/>
  <c r="KYQ3" i="25"/>
  <c r="KYP3" i="25"/>
  <c r="KYO3" i="25"/>
  <c r="KYN3" i="25"/>
  <c r="KYM3" i="25"/>
  <c r="KYL3" i="25"/>
  <c r="KYK3" i="25"/>
  <c r="KYJ3" i="25"/>
  <c r="KYI3" i="25"/>
  <c r="KYH3" i="25"/>
  <c r="KYG3" i="25"/>
  <c r="KYF3" i="25"/>
  <c r="KYE3" i="25"/>
  <c r="KYD3" i="25"/>
  <c r="KYC3" i="25"/>
  <c r="KYB3" i="25"/>
  <c r="KYA3" i="25"/>
  <c r="KXZ3" i="25"/>
  <c r="KXY3" i="25"/>
  <c r="KXX3" i="25"/>
  <c r="KXW3" i="25"/>
  <c r="KXV3" i="25"/>
  <c r="KXU3" i="25"/>
  <c r="KXT3" i="25"/>
  <c r="KXS3" i="25"/>
  <c r="KXR3" i="25"/>
  <c r="KXQ3" i="25"/>
  <c r="KXP3" i="25"/>
  <c r="KXO3" i="25"/>
  <c r="KXN3" i="25"/>
  <c r="KXM3" i="25"/>
  <c r="KXL3" i="25"/>
  <c r="KXK3" i="25"/>
  <c r="KXJ3" i="25"/>
  <c r="KXI3" i="25"/>
  <c r="KXH3" i="25"/>
  <c r="KXG3" i="25"/>
  <c r="KXF3" i="25"/>
  <c r="KXE3" i="25"/>
  <c r="KXD3" i="25"/>
  <c r="KXC3" i="25"/>
  <c r="KXB3" i="25"/>
  <c r="KXA3" i="25"/>
  <c r="KWZ3" i="25"/>
  <c r="KWY3" i="25"/>
  <c r="KWX3" i="25"/>
  <c r="KWW3" i="25"/>
  <c r="KWV3" i="25"/>
  <c r="KWU3" i="25"/>
  <c r="KWT3" i="25"/>
  <c r="KWS3" i="25"/>
  <c r="KWR3" i="25"/>
  <c r="KWQ3" i="25"/>
  <c r="KWP3" i="25"/>
  <c r="KWO3" i="25"/>
  <c r="KWN3" i="25"/>
  <c r="KWM3" i="25"/>
  <c r="KWL3" i="25"/>
  <c r="KWK3" i="25"/>
  <c r="KWJ3" i="25"/>
  <c r="KWI3" i="25"/>
  <c r="KWH3" i="25"/>
  <c r="KWG3" i="25"/>
  <c r="KWF3" i="25"/>
  <c r="KWE3" i="25"/>
  <c r="KWD3" i="25"/>
  <c r="KWC3" i="25"/>
  <c r="KWB3" i="25"/>
  <c r="KWA3" i="25"/>
  <c r="KVZ3" i="25"/>
  <c r="KVY3" i="25"/>
  <c r="KVX3" i="25"/>
  <c r="KVW3" i="25"/>
  <c r="KVV3" i="25"/>
  <c r="KVU3" i="25"/>
  <c r="KVT3" i="25"/>
  <c r="KVS3" i="25"/>
  <c r="KVR3" i="25"/>
  <c r="KVQ3" i="25"/>
  <c r="KVP3" i="25"/>
  <c r="KVO3" i="25"/>
  <c r="KVN3" i="25"/>
  <c r="KVM3" i="25"/>
  <c r="KVL3" i="25"/>
  <c r="KVK3" i="25"/>
  <c r="KVJ3" i="25"/>
  <c r="KVI3" i="25"/>
  <c r="KVH3" i="25"/>
  <c r="KVG3" i="25"/>
  <c r="KVF3" i="25"/>
  <c r="KVE3" i="25"/>
  <c r="KVD3" i="25"/>
  <c r="KVC3" i="25"/>
  <c r="KVB3" i="25"/>
  <c r="KVA3" i="25"/>
  <c r="KUZ3" i="25"/>
  <c r="KUY3" i="25"/>
  <c r="KUX3" i="25"/>
  <c r="KUW3" i="25"/>
  <c r="KUV3" i="25"/>
  <c r="KUU3" i="25"/>
  <c r="KUT3" i="25"/>
  <c r="KUS3" i="25"/>
  <c r="KUR3" i="25"/>
  <c r="KUQ3" i="25"/>
  <c r="KUP3" i="25"/>
  <c r="KUO3" i="25"/>
  <c r="KUN3" i="25"/>
  <c r="KUM3" i="25"/>
  <c r="KUL3" i="25"/>
  <c r="KUK3" i="25"/>
  <c r="KUJ3" i="25"/>
  <c r="KUI3" i="25"/>
  <c r="KUH3" i="25"/>
  <c r="KUG3" i="25"/>
  <c r="KUF3" i="25"/>
  <c r="KUE3" i="25"/>
  <c r="KUD3" i="25"/>
  <c r="KUC3" i="25"/>
  <c r="KUB3" i="25"/>
  <c r="KUA3" i="25"/>
  <c r="KTZ3" i="25"/>
  <c r="KTY3" i="25"/>
  <c r="KTX3" i="25"/>
  <c r="KTW3" i="25"/>
  <c r="KTV3" i="25"/>
  <c r="KTU3" i="25"/>
  <c r="KTT3" i="25"/>
  <c r="KTS3" i="25"/>
  <c r="KTR3" i="25"/>
  <c r="KTQ3" i="25"/>
  <c r="KTP3" i="25"/>
  <c r="KTO3" i="25"/>
  <c r="KTN3" i="25"/>
  <c r="KTM3" i="25"/>
  <c r="KTL3" i="25"/>
  <c r="KTK3" i="25"/>
  <c r="KTJ3" i="25"/>
  <c r="KTI3" i="25"/>
  <c r="KTH3" i="25"/>
  <c r="KTG3" i="25"/>
  <c r="KTF3" i="25"/>
  <c r="KTE3" i="25"/>
  <c r="KTD3" i="25"/>
  <c r="KTC3" i="25"/>
  <c r="KTB3" i="25"/>
  <c r="KTA3" i="25"/>
  <c r="KSZ3" i="25"/>
  <c r="KSY3" i="25"/>
  <c r="KSX3" i="25"/>
  <c r="KSW3" i="25"/>
  <c r="KSV3" i="25"/>
  <c r="KSU3" i="25"/>
  <c r="KST3" i="25"/>
  <c r="KSS3" i="25"/>
  <c r="KSR3" i="25"/>
  <c r="KSQ3" i="25"/>
  <c r="KSP3" i="25"/>
  <c r="KSO3" i="25"/>
  <c r="KSN3" i="25"/>
  <c r="KSM3" i="25"/>
  <c r="KSL3" i="25"/>
  <c r="KSK3" i="25"/>
  <c r="KSJ3" i="25"/>
  <c r="KSI3" i="25"/>
  <c r="KSH3" i="25"/>
  <c r="KSG3" i="25"/>
  <c r="KSF3" i="25"/>
  <c r="KSE3" i="25"/>
  <c r="KSD3" i="25"/>
  <c r="KSC3" i="25"/>
  <c r="KSB3" i="25"/>
  <c r="KSA3" i="25"/>
  <c r="KRZ3" i="25"/>
  <c r="KRY3" i="25"/>
  <c r="KRX3" i="25"/>
  <c r="KRW3" i="25"/>
  <c r="KRV3" i="25"/>
  <c r="KRU3" i="25"/>
  <c r="KRT3" i="25"/>
  <c r="KRS3" i="25"/>
  <c r="KRR3" i="25"/>
  <c r="KRQ3" i="25"/>
  <c r="KRP3" i="25"/>
  <c r="KRO3" i="25"/>
  <c r="KRN3" i="25"/>
  <c r="KRM3" i="25"/>
  <c r="KRL3" i="25"/>
  <c r="KRK3" i="25"/>
  <c r="KRJ3" i="25"/>
  <c r="KRI3" i="25"/>
  <c r="KRH3" i="25"/>
  <c r="KRG3" i="25"/>
  <c r="KRF3" i="25"/>
  <c r="KRE3" i="25"/>
  <c r="KRD3" i="25"/>
  <c r="KRC3" i="25"/>
  <c r="KRB3" i="25"/>
  <c r="KRA3" i="25"/>
  <c r="KQZ3" i="25"/>
  <c r="KQY3" i="25"/>
  <c r="KQX3" i="25"/>
  <c r="KQW3" i="25"/>
  <c r="KQV3" i="25"/>
  <c r="KQU3" i="25"/>
  <c r="KQT3" i="25"/>
  <c r="KQS3" i="25"/>
  <c r="KQR3" i="25"/>
  <c r="KQQ3" i="25"/>
  <c r="KQP3" i="25"/>
  <c r="KQO3" i="25"/>
  <c r="KQN3" i="25"/>
  <c r="KQM3" i="25"/>
  <c r="KQL3" i="25"/>
  <c r="KQK3" i="25"/>
  <c r="KQJ3" i="25"/>
  <c r="KQI3" i="25"/>
  <c r="KQH3" i="25"/>
  <c r="KQG3" i="25"/>
  <c r="KQF3" i="25"/>
  <c r="KQE3" i="25"/>
  <c r="KQD3" i="25"/>
  <c r="KQC3" i="25"/>
  <c r="KQB3" i="25"/>
  <c r="KQA3" i="25"/>
  <c r="KPZ3" i="25"/>
  <c r="KPY3" i="25"/>
  <c r="KPX3" i="25"/>
  <c r="KPW3" i="25"/>
  <c r="KPV3" i="25"/>
  <c r="KPU3" i="25"/>
  <c r="KPT3" i="25"/>
  <c r="KPS3" i="25"/>
  <c r="KPR3" i="25"/>
  <c r="KPQ3" i="25"/>
  <c r="KPP3" i="25"/>
  <c r="KPO3" i="25"/>
  <c r="KPN3" i="25"/>
  <c r="KPM3" i="25"/>
  <c r="KPL3" i="25"/>
  <c r="KPK3" i="25"/>
  <c r="KPJ3" i="25"/>
  <c r="KPI3" i="25"/>
  <c r="KPH3" i="25"/>
  <c r="KPG3" i="25"/>
  <c r="KPF3" i="25"/>
  <c r="KPE3" i="25"/>
  <c r="KPD3" i="25"/>
  <c r="KPC3" i="25"/>
  <c r="KPB3" i="25"/>
  <c r="KPA3" i="25"/>
  <c r="KOZ3" i="25"/>
  <c r="KOY3" i="25"/>
  <c r="KOX3" i="25"/>
  <c r="KOW3" i="25"/>
  <c r="KOV3" i="25"/>
  <c r="KOU3" i="25"/>
  <c r="KOT3" i="25"/>
  <c r="KOS3" i="25"/>
  <c r="KOR3" i="25"/>
  <c r="KOQ3" i="25"/>
  <c r="KOP3" i="25"/>
  <c r="KOO3" i="25"/>
  <c r="KON3" i="25"/>
  <c r="KOM3" i="25"/>
  <c r="KOL3" i="25"/>
  <c r="KOK3" i="25"/>
  <c r="KOJ3" i="25"/>
  <c r="KOI3" i="25"/>
  <c r="KOH3" i="25"/>
  <c r="KOG3" i="25"/>
  <c r="KOF3" i="25"/>
  <c r="KOE3" i="25"/>
  <c r="KOD3" i="25"/>
  <c r="KOC3" i="25"/>
  <c r="KOB3" i="25"/>
  <c r="KOA3" i="25"/>
  <c r="KNZ3" i="25"/>
  <c r="KNY3" i="25"/>
  <c r="KNX3" i="25"/>
  <c r="KNW3" i="25"/>
  <c r="KNV3" i="25"/>
  <c r="KNU3" i="25"/>
  <c r="KNT3" i="25"/>
  <c r="KNS3" i="25"/>
  <c r="KNR3" i="25"/>
  <c r="KNQ3" i="25"/>
  <c r="KNP3" i="25"/>
  <c r="KNO3" i="25"/>
  <c r="KNN3" i="25"/>
  <c r="KNM3" i="25"/>
  <c r="KNL3" i="25"/>
  <c r="KNK3" i="25"/>
  <c r="KNJ3" i="25"/>
  <c r="KNI3" i="25"/>
  <c r="KNH3" i="25"/>
  <c r="KNG3" i="25"/>
  <c r="KNF3" i="25"/>
  <c r="KNE3" i="25"/>
  <c r="KND3" i="25"/>
  <c r="KNC3" i="25"/>
  <c r="KNB3" i="25"/>
  <c r="KNA3" i="25"/>
  <c r="KMZ3" i="25"/>
  <c r="KMY3" i="25"/>
  <c r="KMX3" i="25"/>
  <c r="KMW3" i="25"/>
  <c r="KMV3" i="25"/>
  <c r="KMU3" i="25"/>
  <c r="KMT3" i="25"/>
  <c r="KMS3" i="25"/>
  <c r="KMR3" i="25"/>
  <c r="KMQ3" i="25"/>
  <c r="KMP3" i="25"/>
  <c r="KMO3" i="25"/>
  <c r="KMN3" i="25"/>
  <c r="KMM3" i="25"/>
  <c r="KML3" i="25"/>
  <c r="KMK3" i="25"/>
  <c r="KMJ3" i="25"/>
  <c r="KMI3" i="25"/>
  <c r="KMH3" i="25"/>
  <c r="KMG3" i="25"/>
  <c r="KMF3" i="25"/>
  <c r="KME3" i="25"/>
  <c r="KMD3" i="25"/>
  <c r="KMC3" i="25"/>
  <c r="KMB3" i="25"/>
  <c r="KMA3" i="25"/>
  <c r="KLZ3" i="25"/>
  <c r="KLY3" i="25"/>
  <c r="KLX3" i="25"/>
  <c r="KLW3" i="25"/>
  <c r="KLV3" i="25"/>
  <c r="KLU3" i="25"/>
  <c r="KLT3" i="25"/>
  <c r="KLS3" i="25"/>
  <c r="KLR3" i="25"/>
  <c r="KLQ3" i="25"/>
  <c r="KLP3" i="25"/>
  <c r="KLO3" i="25"/>
  <c r="KLN3" i="25"/>
  <c r="KLM3" i="25"/>
  <c r="KLL3" i="25"/>
  <c r="KLK3" i="25"/>
  <c r="KLJ3" i="25"/>
  <c r="KLI3" i="25"/>
  <c r="KLH3" i="25"/>
  <c r="KLG3" i="25"/>
  <c r="KLF3" i="25"/>
  <c r="KLE3" i="25"/>
  <c r="KLD3" i="25"/>
  <c r="KLC3" i="25"/>
  <c r="KLB3" i="25"/>
  <c r="KLA3" i="25"/>
  <c r="KKZ3" i="25"/>
  <c r="KKY3" i="25"/>
  <c r="KKX3" i="25"/>
  <c r="KKW3" i="25"/>
  <c r="KKV3" i="25"/>
  <c r="KKU3" i="25"/>
  <c r="KKT3" i="25"/>
  <c r="KKS3" i="25"/>
  <c r="KKR3" i="25"/>
  <c r="KKQ3" i="25"/>
  <c r="KKP3" i="25"/>
  <c r="KKO3" i="25"/>
  <c r="KKN3" i="25"/>
  <c r="KKM3" i="25"/>
  <c r="KKL3" i="25"/>
  <c r="KKK3" i="25"/>
  <c r="KKJ3" i="25"/>
  <c r="KKI3" i="25"/>
  <c r="KKH3" i="25"/>
  <c r="KKG3" i="25"/>
  <c r="KKF3" i="25"/>
  <c r="KKE3" i="25"/>
  <c r="KKD3" i="25"/>
  <c r="KKC3" i="25"/>
  <c r="KKB3" i="25"/>
  <c r="KKA3" i="25"/>
  <c r="KJZ3" i="25"/>
  <c r="KJY3" i="25"/>
  <c r="KJX3" i="25"/>
  <c r="KJW3" i="25"/>
  <c r="KJV3" i="25"/>
  <c r="KJU3" i="25"/>
  <c r="KJT3" i="25"/>
  <c r="KJS3" i="25"/>
  <c r="KJR3" i="25"/>
  <c r="KJQ3" i="25"/>
  <c r="KJP3" i="25"/>
  <c r="KJO3" i="25"/>
  <c r="KJN3" i="25"/>
  <c r="KJM3" i="25"/>
  <c r="KJL3" i="25"/>
  <c r="KJK3" i="25"/>
  <c r="KJJ3" i="25"/>
  <c r="KJI3" i="25"/>
  <c r="KJH3" i="25"/>
  <c r="KJG3" i="25"/>
  <c r="KJF3" i="25"/>
  <c r="KJE3" i="25"/>
  <c r="KJD3" i="25"/>
  <c r="KJC3" i="25"/>
  <c r="KJB3" i="25"/>
  <c r="KJA3" i="25"/>
  <c r="KIZ3" i="25"/>
  <c r="KIY3" i="25"/>
  <c r="KIX3" i="25"/>
  <c r="KIW3" i="25"/>
  <c r="KIV3" i="25"/>
  <c r="KIU3" i="25"/>
  <c r="KIT3" i="25"/>
  <c r="KIS3" i="25"/>
  <c r="KIR3" i="25"/>
  <c r="KIQ3" i="25"/>
  <c r="KIP3" i="25"/>
  <c r="KIO3" i="25"/>
  <c r="KIN3" i="25"/>
  <c r="KIM3" i="25"/>
  <c r="KIL3" i="25"/>
  <c r="KIK3" i="25"/>
  <c r="KIJ3" i="25"/>
  <c r="KII3" i="25"/>
  <c r="KIH3" i="25"/>
  <c r="KIG3" i="25"/>
  <c r="KIF3" i="25"/>
  <c r="KIE3" i="25"/>
  <c r="KID3" i="25"/>
  <c r="KIC3" i="25"/>
  <c r="KIB3" i="25"/>
  <c r="KIA3" i="25"/>
  <c r="KHZ3" i="25"/>
  <c r="KHY3" i="25"/>
  <c r="KHX3" i="25"/>
  <c r="KHW3" i="25"/>
  <c r="KHV3" i="25"/>
  <c r="KHU3" i="25"/>
  <c r="KHT3" i="25"/>
  <c r="KHS3" i="25"/>
  <c r="KHR3" i="25"/>
  <c r="KHQ3" i="25"/>
  <c r="KHP3" i="25"/>
  <c r="KHO3" i="25"/>
  <c r="KHN3" i="25"/>
  <c r="KHM3" i="25"/>
  <c r="KHL3" i="25"/>
  <c r="KHK3" i="25"/>
  <c r="KHJ3" i="25"/>
  <c r="KHI3" i="25"/>
  <c r="KHH3" i="25"/>
  <c r="KHG3" i="25"/>
  <c r="KHF3" i="25"/>
  <c r="KHE3" i="25"/>
  <c r="KHD3" i="25"/>
  <c r="KHC3" i="25"/>
  <c r="KHB3" i="25"/>
  <c r="KHA3" i="25"/>
  <c r="KGZ3" i="25"/>
  <c r="KGY3" i="25"/>
  <c r="KGX3" i="25"/>
  <c r="KGW3" i="25"/>
  <c r="KGV3" i="25"/>
  <c r="KGU3" i="25"/>
  <c r="KGT3" i="25"/>
  <c r="KGS3" i="25"/>
  <c r="KGR3" i="25"/>
  <c r="KGQ3" i="25"/>
  <c r="KGP3" i="25"/>
  <c r="KGO3" i="25"/>
  <c r="KGN3" i="25"/>
  <c r="KGM3" i="25"/>
  <c r="KGL3" i="25"/>
  <c r="KGK3" i="25"/>
  <c r="KGJ3" i="25"/>
  <c r="KGI3" i="25"/>
  <c r="KGH3" i="25"/>
  <c r="KGG3" i="25"/>
  <c r="KGF3" i="25"/>
  <c r="KGE3" i="25"/>
  <c r="KGD3" i="25"/>
  <c r="KGC3" i="25"/>
  <c r="KGB3" i="25"/>
  <c r="KGA3" i="25"/>
  <c r="KFZ3" i="25"/>
  <c r="KFY3" i="25"/>
  <c r="KFX3" i="25"/>
  <c r="KFW3" i="25"/>
  <c r="KFV3" i="25"/>
  <c r="KFU3" i="25"/>
  <c r="KFT3" i="25"/>
  <c r="KFS3" i="25"/>
  <c r="KFR3" i="25"/>
  <c r="KFQ3" i="25"/>
  <c r="KFP3" i="25"/>
  <c r="KFO3" i="25"/>
  <c r="KFN3" i="25"/>
  <c r="KFM3" i="25"/>
  <c r="KFL3" i="25"/>
  <c r="KFK3" i="25"/>
  <c r="KFJ3" i="25"/>
  <c r="KFI3" i="25"/>
  <c r="KFH3" i="25"/>
  <c r="KFG3" i="25"/>
  <c r="KFF3" i="25"/>
  <c r="KFE3" i="25"/>
  <c r="KFD3" i="25"/>
  <c r="KFC3" i="25"/>
  <c r="KFB3" i="25"/>
  <c r="KFA3" i="25"/>
  <c r="KEZ3" i="25"/>
  <c r="KEY3" i="25"/>
  <c r="KEX3" i="25"/>
  <c r="KEW3" i="25"/>
  <c r="KEV3" i="25"/>
  <c r="KEU3" i="25"/>
  <c r="KET3" i="25"/>
  <c r="KES3" i="25"/>
  <c r="KER3" i="25"/>
  <c r="KEQ3" i="25"/>
  <c r="KEP3" i="25"/>
  <c r="KEO3" i="25"/>
  <c r="KEN3" i="25"/>
  <c r="KEM3" i="25"/>
  <c r="KEL3" i="25"/>
  <c r="KEK3" i="25"/>
  <c r="KEJ3" i="25"/>
  <c r="KEI3" i="25"/>
  <c r="KEH3" i="25"/>
  <c r="KEG3" i="25"/>
  <c r="KEF3" i="25"/>
  <c r="KEE3" i="25"/>
  <c r="KED3" i="25"/>
  <c r="KEC3" i="25"/>
  <c r="KEB3" i="25"/>
  <c r="KEA3" i="25"/>
  <c r="KDZ3" i="25"/>
  <c r="KDY3" i="25"/>
  <c r="KDX3" i="25"/>
  <c r="KDW3" i="25"/>
  <c r="KDV3" i="25"/>
  <c r="KDU3" i="25"/>
  <c r="KDT3" i="25"/>
  <c r="KDS3" i="25"/>
  <c r="KDR3" i="25"/>
  <c r="KDQ3" i="25"/>
  <c r="KDP3" i="25"/>
  <c r="KDO3" i="25"/>
  <c r="KDN3" i="25"/>
  <c r="KDM3" i="25"/>
  <c r="KDL3" i="25"/>
  <c r="KDK3" i="25"/>
  <c r="KDJ3" i="25"/>
  <c r="KDI3" i="25"/>
  <c r="KDH3" i="25"/>
  <c r="KDG3" i="25"/>
  <c r="KDF3" i="25"/>
  <c r="KDE3" i="25"/>
  <c r="KDD3" i="25"/>
  <c r="KDC3" i="25"/>
  <c r="KDB3" i="25"/>
  <c r="KDA3" i="25"/>
  <c r="KCZ3" i="25"/>
  <c r="KCY3" i="25"/>
  <c r="KCX3" i="25"/>
  <c r="KCW3" i="25"/>
  <c r="KCV3" i="25"/>
  <c r="KCU3" i="25"/>
  <c r="KCT3" i="25"/>
  <c r="KCS3" i="25"/>
  <c r="KCR3" i="25"/>
  <c r="KCQ3" i="25"/>
  <c r="KCP3" i="25"/>
  <c r="KCO3" i="25"/>
  <c r="KCN3" i="25"/>
  <c r="KCM3" i="25"/>
  <c r="KCL3" i="25"/>
  <c r="KCK3" i="25"/>
  <c r="KCJ3" i="25"/>
  <c r="KCI3" i="25"/>
  <c r="KCH3" i="25"/>
  <c r="KCG3" i="25"/>
  <c r="KCF3" i="25"/>
  <c r="KCE3" i="25"/>
  <c r="KCD3" i="25"/>
  <c r="KCC3" i="25"/>
  <c r="KCB3" i="25"/>
  <c r="KCA3" i="25"/>
  <c r="KBZ3" i="25"/>
  <c r="KBY3" i="25"/>
  <c r="KBX3" i="25"/>
  <c r="KBW3" i="25"/>
  <c r="KBV3" i="25"/>
  <c r="KBU3" i="25"/>
  <c r="KBT3" i="25"/>
  <c r="KBS3" i="25"/>
  <c r="KBR3" i="25"/>
  <c r="KBQ3" i="25"/>
  <c r="KBP3" i="25"/>
  <c r="KBO3" i="25"/>
  <c r="KBN3" i="25"/>
  <c r="KBM3" i="25"/>
  <c r="KBL3" i="25"/>
  <c r="KBK3" i="25"/>
  <c r="KBJ3" i="25"/>
  <c r="KBI3" i="25"/>
  <c r="KBH3" i="25"/>
  <c r="KBG3" i="25"/>
  <c r="KBF3" i="25"/>
  <c r="KBE3" i="25"/>
  <c r="KBD3" i="25"/>
  <c r="KBC3" i="25"/>
  <c r="KBB3" i="25"/>
  <c r="KBA3" i="25"/>
  <c r="KAZ3" i="25"/>
  <c r="KAY3" i="25"/>
  <c r="KAX3" i="25"/>
  <c r="KAW3" i="25"/>
  <c r="KAV3" i="25"/>
  <c r="KAU3" i="25"/>
  <c r="KAT3" i="25"/>
  <c r="KAS3" i="25"/>
  <c r="KAR3" i="25"/>
  <c r="KAQ3" i="25"/>
  <c r="KAP3" i="25"/>
  <c r="KAO3" i="25"/>
  <c r="KAN3" i="25"/>
  <c r="KAM3" i="25"/>
  <c r="KAL3" i="25"/>
  <c r="KAK3" i="25"/>
  <c r="KAJ3" i="25"/>
  <c r="KAI3" i="25"/>
  <c r="KAH3" i="25"/>
  <c r="KAG3" i="25"/>
  <c r="KAF3" i="25"/>
  <c r="KAE3" i="25"/>
  <c r="KAD3" i="25"/>
  <c r="KAC3" i="25"/>
  <c r="KAB3" i="25"/>
  <c r="KAA3" i="25"/>
  <c r="JZZ3" i="25"/>
  <c r="JZY3" i="25"/>
  <c r="JZX3" i="25"/>
  <c r="JZW3" i="25"/>
  <c r="JZV3" i="25"/>
  <c r="JZU3" i="25"/>
  <c r="JZT3" i="25"/>
  <c r="JZS3" i="25"/>
  <c r="JZR3" i="25"/>
  <c r="JZQ3" i="25"/>
  <c r="JZP3" i="25"/>
  <c r="JZO3" i="25"/>
  <c r="JZN3" i="25"/>
  <c r="JZM3" i="25"/>
  <c r="JZL3" i="25"/>
  <c r="JZK3" i="25"/>
  <c r="JZJ3" i="25"/>
  <c r="JZI3" i="25"/>
  <c r="JZH3" i="25"/>
  <c r="JZG3" i="25"/>
  <c r="JZF3" i="25"/>
  <c r="JZE3" i="25"/>
  <c r="JZD3" i="25"/>
  <c r="JZC3" i="25"/>
  <c r="JZB3" i="25"/>
  <c r="JZA3" i="25"/>
  <c r="JYZ3" i="25"/>
  <c r="JYY3" i="25"/>
  <c r="JYX3" i="25"/>
  <c r="JYW3" i="25"/>
  <c r="JYV3" i="25"/>
  <c r="JYU3" i="25"/>
  <c r="JYT3" i="25"/>
  <c r="JYS3" i="25"/>
  <c r="JYR3" i="25"/>
  <c r="JYQ3" i="25"/>
  <c r="JYP3" i="25"/>
  <c r="JYO3" i="25"/>
  <c r="JYN3" i="25"/>
  <c r="JYM3" i="25"/>
  <c r="JYL3" i="25"/>
  <c r="JYK3" i="25"/>
  <c r="JYJ3" i="25"/>
  <c r="JYI3" i="25"/>
  <c r="JYH3" i="25"/>
  <c r="JYG3" i="25"/>
  <c r="JYF3" i="25"/>
  <c r="JYE3" i="25"/>
  <c r="JYD3" i="25"/>
  <c r="JYC3" i="25"/>
  <c r="JYB3" i="25"/>
  <c r="JYA3" i="25"/>
  <c r="JXZ3" i="25"/>
  <c r="JXY3" i="25"/>
  <c r="JXX3" i="25"/>
  <c r="JXW3" i="25"/>
  <c r="JXV3" i="25"/>
  <c r="JXU3" i="25"/>
  <c r="JXT3" i="25"/>
  <c r="JXS3" i="25"/>
  <c r="JXR3" i="25"/>
  <c r="JXQ3" i="25"/>
  <c r="JXP3" i="25"/>
  <c r="JXO3" i="25"/>
  <c r="JXN3" i="25"/>
  <c r="JXM3" i="25"/>
  <c r="JXL3" i="25"/>
  <c r="JXK3" i="25"/>
  <c r="JXJ3" i="25"/>
  <c r="JXI3" i="25"/>
  <c r="JXH3" i="25"/>
  <c r="JXG3" i="25"/>
  <c r="JXF3" i="25"/>
  <c r="JXE3" i="25"/>
  <c r="JXD3" i="25"/>
  <c r="JXC3" i="25"/>
  <c r="JXB3" i="25"/>
  <c r="JXA3" i="25"/>
  <c r="JWZ3" i="25"/>
  <c r="JWY3" i="25"/>
  <c r="JWX3" i="25"/>
  <c r="JWW3" i="25"/>
  <c r="JWV3" i="25"/>
  <c r="JWU3" i="25"/>
  <c r="JWT3" i="25"/>
  <c r="JWS3" i="25"/>
  <c r="JWR3" i="25"/>
  <c r="JWQ3" i="25"/>
  <c r="JWP3" i="25"/>
  <c r="JWO3" i="25"/>
  <c r="JWN3" i="25"/>
  <c r="JWM3" i="25"/>
  <c r="JWL3" i="25"/>
  <c r="JWK3" i="25"/>
  <c r="JWJ3" i="25"/>
  <c r="JWI3" i="25"/>
  <c r="JWH3" i="25"/>
  <c r="JWG3" i="25"/>
  <c r="JWF3" i="25"/>
  <c r="JWE3" i="25"/>
  <c r="JWD3" i="25"/>
  <c r="JWC3" i="25"/>
  <c r="JWB3" i="25"/>
  <c r="JWA3" i="25"/>
  <c r="JVZ3" i="25"/>
  <c r="JVY3" i="25"/>
  <c r="JVX3" i="25"/>
  <c r="JVW3" i="25"/>
  <c r="JVV3" i="25"/>
  <c r="JVU3" i="25"/>
  <c r="JVT3" i="25"/>
  <c r="JVS3" i="25"/>
  <c r="JVR3" i="25"/>
  <c r="JVQ3" i="25"/>
  <c r="JVP3" i="25"/>
  <c r="JVO3" i="25"/>
  <c r="JVN3" i="25"/>
  <c r="JVM3" i="25"/>
  <c r="JVL3" i="25"/>
  <c r="JVK3" i="25"/>
  <c r="JVJ3" i="25"/>
  <c r="JVI3" i="25"/>
  <c r="JVH3" i="25"/>
  <c r="JVG3" i="25"/>
  <c r="JVF3" i="25"/>
  <c r="JVE3" i="25"/>
  <c r="JVD3" i="25"/>
  <c r="JVC3" i="25"/>
  <c r="JVB3" i="25"/>
  <c r="JVA3" i="25"/>
  <c r="JUZ3" i="25"/>
  <c r="JUY3" i="25"/>
  <c r="JUX3" i="25"/>
  <c r="JUW3" i="25"/>
  <c r="JUV3" i="25"/>
  <c r="JUU3" i="25"/>
  <c r="JUT3" i="25"/>
  <c r="JUS3" i="25"/>
  <c r="JUR3" i="25"/>
  <c r="JUQ3" i="25"/>
  <c r="JUP3" i="25"/>
  <c r="JUO3" i="25"/>
  <c r="JUN3" i="25"/>
  <c r="JUM3" i="25"/>
  <c r="JUL3" i="25"/>
  <c r="JUK3" i="25"/>
  <c r="JUJ3" i="25"/>
  <c r="JUI3" i="25"/>
  <c r="JUH3" i="25"/>
  <c r="JUG3" i="25"/>
  <c r="JUF3" i="25"/>
  <c r="JUE3" i="25"/>
  <c r="JUD3" i="25"/>
  <c r="JUC3" i="25"/>
  <c r="JUB3" i="25"/>
  <c r="JUA3" i="25"/>
  <c r="JTZ3" i="25"/>
  <c r="JTY3" i="25"/>
  <c r="JTX3" i="25"/>
  <c r="JTW3" i="25"/>
  <c r="JTV3" i="25"/>
  <c r="JTU3" i="25"/>
  <c r="JTT3" i="25"/>
  <c r="JTS3" i="25"/>
  <c r="JTR3" i="25"/>
  <c r="JTQ3" i="25"/>
  <c r="JTP3" i="25"/>
  <c r="JTO3" i="25"/>
  <c r="JTN3" i="25"/>
  <c r="JTM3" i="25"/>
  <c r="JTL3" i="25"/>
  <c r="JTK3" i="25"/>
  <c r="JTJ3" i="25"/>
  <c r="JTI3" i="25"/>
  <c r="JTH3" i="25"/>
  <c r="JTG3" i="25"/>
  <c r="JTF3" i="25"/>
  <c r="JTE3" i="25"/>
  <c r="JTD3" i="25"/>
  <c r="JTC3" i="25"/>
  <c r="JTB3" i="25"/>
  <c r="JTA3" i="25"/>
  <c r="JSZ3" i="25"/>
  <c r="JSY3" i="25"/>
  <c r="JSX3" i="25"/>
  <c r="JSW3" i="25"/>
  <c r="JSV3" i="25"/>
  <c r="JSU3" i="25"/>
  <c r="JST3" i="25"/>
  <c r="JSS3" i="25"/>
  <c r="JSR3" i="25"/>
  <c r="JSQ3" i="25"/>
  <c r="JSP3" i="25"/>
  <c r="JSO3" i="25"/>
  <c r="JSN3" i="25"/>
  <c r="JSM3" i="25"/>
  <c r="JSL3" i="25"/>
  <c r="JSK3" i="25"/>
  <c r="JSJ3" i="25"/>
  <c r="JSI3" i="25"/>
  <c r="JSH3" i="25"/>
  <c r="JSG3" i="25"/>
  <c r="JSF3" i="25"/>
  <c r="JSE3" i="25"/>
  <c r="JSD3" i="25"/>
  <c r="JSC3" i="25"/>
  <c r="JSB3" i="25"/>
  <c r="JSA3" i="25"/>
  <c r="JRZ3" i="25"/>
  <c r="JRY3" i="25"/>
  <c r="JRX3" i="25"/>
  <c r="JRW3" i="25"/>
  <c r="JRV3" i="25"/>
  <c r="JRU3" i="25"/>
  <c r="JRT3" i="25"/>
  <c r="JRS3" i="25"/>
  <c r="JRR3" i="25"/>
  <c r="JRQ3" i="25"/>
  <c r="JRP3" i="25"/>
  <c r="JRO3" i="25"/>
  <c r="JRN3" i="25"/>
  <c r="JRM3" i="25"/>
  <c r="JRL3" i="25"/>
  <c r="JRK3" i="25"/>
  <c r="JRJ3" i="25"/>
  <c r="JRI3" i="25"/>
  <c r="JRH3" i="25"/>
  <c r="JRG3" i="25"/>
  <c r="JRF3" i="25"/>
  <c r="JRE3" i="25"/>
  <c r="JRD3" i="25"/>
  <c r="JRC3" i="25"/>
  <c r="JRB3" i="25"/>
  <c r="JRA3" i="25"/>
  <c r="JQZ3" i="25"/>
  <c r="JQY3" i="25"/>
  <c r="JQX3" i="25"/>
  <c r="JQW3" i="25"/>
  <c r="JQV3" i="25"/>
  <c r="JQU3" i="25"/>
  <c r="JQT3" i="25"/>
  <c r="JQS3" i="25"/>
  <c r="JQR3" i="25"/>
  <c r="JQQ3" i="25"/>
  <c r="JQP3" i="25"/>
  <c r="JQO3" i="25"/>
  <c r="JQN3" i="25"/>
  <c r="JQM3" i="25"/>
  <c r="JQL3" i="25"/>
  <c r="JQK3" i="25"/>
  <c r="JQJ3" i="25"/>
  <c r="JQI3" i="25"/>
  <c r="JQH3" i="25"/>
  <c r="JQG3" i="25"/>
  <c r="JQF3" i="25"/>
  <c r="JQE3" i="25"/>
  <c r="JQD3" i="25"/>
  <c r="JQC3" i="25"/>
  <c r="JQB3" i="25"/>
  <c r="JQA3" i="25"/>
  <c r="JPZ3" i="25"/>
  <c r="JPY3" i="25"/>
  <c r="JPX3" i="25"/>
  <c r="JPW3" i="25"/>
  <c r="JPV3" i="25"/>
  <c r="JPU3" i="25"/>
  <c r="JPT3" i="25"/>
  <c r="JPS3" i="25"/>
  <c r="JPR3" i="25"/>
  <c r="JPQ3" i="25"/>
  <c r="JPP3" i="25"/>
  <c r="JPO3" i="25"/>
  <c r="JPN3" i="25"/>
  <c r="JPM3" i="25"/>
  <c r="JPL3" i="25"/>
  <c r="JPK3" i="25"/>
  <c r="JPJ3" i="25"/>
  <c r="JPI3" i="25"/>
  <c r="JPH3" i="25"/>
  <c r="JPG3" i="25"/>
  <c r="JPF3" i="25"/>
  <c r="JPE3" i="25"/>
  <c r="JPD3" i="25"/>
  <c r="JPC3" i="25"/>
  <c r="JPB3" i="25"/>
  <c r="JPA3" i="25"/>
  <c r="JOZ3" i="25"/>
  <c r="JOY3" i="25"/>
  <c r="JOX3" i="25"/>
  <c r="JOW3" i="25"/>
  <c r="JOV3" i="25"/>
  <c r="JOU3" i="25"/>
  <c r="JOT3" i="25"/>
  <c r="JOS3" i="25"/>
  <c r="JOR3" i="25"/>
  <c r="JOQ3" i="25"/>
  <c r="JOP3" i="25"/>
  <c r="JOO3" i="25"/>
  <c r="JON3" i="25"/>
  <c r="JOM3" i="25"/>
  <c r="JOL3" i="25"/>
  <c r="JOK3" i="25"/>
  <c r="JOJ3" i="25"/>
  <c r="JOI3" i="25"/>
  <c r="JOH3" i="25"/>
  <c r="JOG3" i="25"/>
  <c r="JOF3" i="25"/>
  <c r="JOE3" i="25"/>
  <c r="JOD3" i="25"/>
  <c r="JOC3" i="25"/>
  <c r="JOB3" i="25"/>
  <c r="JOA3" i="25"/>
  <c r="JNZ3" i="25"/>
  <c r="JNY3" i="25"/>
  <c r="JNX3" i="25"/>
  <c r="JNW3" i="25"/>
  <c r="JNV3" i="25"/>
  <c r="JNU3" i="25"/>
  <c r="JNT3" i="25"/>
  <c r="JNS3" i="25"/>
  <c r="JNR3" i="25"/>
  <c r="JNQ3" i="25"/>
  <c r="JNP3" i="25"/>
  <c r="JNO3" i="25"/>
  <c r="JNN3" i="25"/>
  <c r="JNM3" i="25"/>
  <c r="JNL3" i="25"/>
  <c r="JNK3" i="25"/>
  <c r="JNJ3" i="25"/>
  <c r="JNI3" i="25"/>
  <c r="JNH3" i="25"/>
  <c r="JNG3" i="25"/>
  <c r="JNF3" i="25"/>
  <c r="JNE3" i="25"/>
  <c r="JND3" i="25"/>
  <c r="JNC3" i="25"/>
  <c r="JNB3" i="25"/>
  <c r="JNA3" i="25"/>
  <c r="JMZ3" i="25"/>
  <c r="JMY3" i="25"/>
  <c r="JMX3" i="25"/>
  <c r="JMW3" i="25"/>
  <c r="JMV3" i="25"/>
  <c r="JMU3" i="25"/>
  <c r="JMT3" i="25"/>
  <c r="JMS3" i="25"/>
  <c r="JMR3" i="25"/>
  <c r="JMQ3" i="25"/>
  <c r="JMP3" i="25"/>
  <c r="JMO3" i="25"/>
  <c r="JMN3" i="25"/>
  <c r="JMM3" i="25"/>
  <c r="JML3" i="25"/>
  <c r="JMK3" i="25"/>
  <c r="JMJ3" i="25"/>
  <c r="JMI3" i="25"/>
  <c r="JMH3" i="25"/>
  <c r="JMG3" i="25"/>
  <c r="JMF3" i="25"/>
  <c r="JME3" i="25"/>
  <c r="JMD3" i="25"/>
  <c r="JMC3" i="25"/>
  <c r="JMB3" i="25"/>
  <c r="JMA3" i="25"/>
  <c r="JLZ3" i="25"/>
  <c r="JLY3" i="25"/>
  <c r="JLX3" i="25"/>
  <c r="JLW3" i="25"/>
  <c r="JLV3" i="25"/>
  <c r="JLU3" i="25"/>
  <c r="JLT3" i="25"/>
  <c r="JLS3" i="25"/>
  <c r="JLR3" i="25"/>
  <c r="JLQ3" i="25"/>
  <c r="JLP3" i="25"/>
  <c r="JLO3" i="25"/>
  <c r="JLN3" i="25"/>
  <c r="JLM3" i="25"/>
  <c r="JLL3" i="25"/>
  <c r="JLK3" i="25"/>
  <c r="JLJ3" i="25"/>
  <c r="JLI3" i="25"/>
  <c r="JLH3" i="25"/>
  <c r="JLG3" i="25"/>
  <c r="JLF3" i="25"/>
  <c r="JLE3" i="25"/>
  <c r="JLD3" i="25"/>
  <c r="JLC3" i="25"/>
  <c r="JLB3" i="25"/>
  <c r="JLA3" i="25"/>
  <c r="JKZ3" i="25"/>
  <c r="JKY3" i="25"/>
  <c r="JKX3" i="25"/>
  <c r="JKW3" i="25"/>
  <c r="JKV3" i="25"/>
  <c r="JKU3" i="25"/>
  <c r="JKT3" i="25"/>
  <c r="JKS3" i="25"/>
  <c r="JKR3" i="25"/>
  <c r="JKQ3" i="25"/>
  <c r="JKP3" i="25"/>
  <c r="JKO3" i="25"/>
  <c r="JKN3" i="25"/>
  <c r="JKM3" i="25"/>
  <c r="JKL3" i="25"/>
  <c r="JKK3" i="25"/>
  <c r="JKJ3" i="25"/>
  <c r="JKI3" i="25"/>
  <c r="JKH3" i="25"/>
  <c r="JKG3" i="25"/>
  <c r="JKF3" i="25"/>
  <c r="JKE3" i="25"/>
  <c r="JKD3" i="25"/>
  <c r="JKC3" i="25"/>
  <c r="JKB3" i="25"/>
  <c r="JKA3" i="25"/>
  <c r="JJZ3" i="25"/>
  <c r="JJY3" i="25"/>
  <c r="JJX3" i="25"/>
  <c r="JJW3" i="25"/>
  <c r="JJV3" i="25"/>
  <c r="JJU3" i="25"/>
  <c r="JJT3" i="25"/>
  <c r="JJS3" i="25"/>
  <c r="JJR3" i="25"/>
  <c r="JJQ3" i="25"/>
  <c r="JJP3" i="25"/>
  <c r="JJO3" i="25"/>
  <c r="JJN3" i="25"/>
  <c r="JJM3" i="25"/>
  <c r="JJL3" i="25"/>
  <c r="JJK3" i="25"/>
  <c r="JJJ3" i="25"/>
  <c r="JJI3" i="25"/>
  <c r="JJH3" i="25"/>
  <c r="JJG3" i="25"/>
  <c r="JJF3" i="25"/>
  <c r="JJE3" i="25"/>
  <c r="JJD3" i="25"/>
  <c r="JJC3" i="25"/>
  <c r="JJB3" i="25"/>
  <c r="JJA3" i="25"/>
  <c r="JIZ3" i="25"/>
  <c r="JIY3" i="25"/>
  <c r="JIX3" i="25"/>
  <c r="JIW3" i="25"/>
  <c r="JIV3" i="25"/>
  <c r="JIU3" i="25"/>
  <c r="JIT3" i="25"/>
  <c r="JIS3" i="25"/>
  <c r="JIR3" i="25"/>
  <c r="JIQ3" i="25"/>
  <c r="JIP3" i="25"/>
  <c r="JIO3" i="25"/>
  <c r="JIN3" i="25"/>
  <c r="JIM3" i="25"/>
  <c r="JIL3" i="25"/>
  <c r="JIK3" i="25"/>
  <c r="JIJ3" i="25"/>
  <c r="JII3" i="25"/>
  <c r="JIH3" i="25"/>
  <c r="JIG3" i="25"/>
  <c r="JIF3" i="25"/>
  <c r="JIE3" i="25"/>
  <c r="JID3" i="25"/>
  <c r="JIC3" i="25"/>
  <c r="JIB3" i="25"/>
  <c r="JIA3" i="25"/>
  <c r="JHZ3" i="25"/>
  <c r="JHY3" i="25"/>
  <c r="JHX3" i="25"/>
  <c r="JHW3" i="25"/>
  <c r="JHV3" i="25"/>
  <c r="JHU3" i="25"/>
  <c r="JHT3" i="25"/>
  <c r="JHS3" i="25"/>
  <c r="JHR3" i="25"/>
  <c r="JHQ3" i="25"/>
  <c r="JHP3" i="25"/>
  <c r="JHO3" i="25"/>
  <c r="JHN3" i="25"/>
  <c r="JHM3" i="25"/>
  <c r="JHL3" i="25"/>
  <c r="JHK3" i="25"/>
  <c r="JHJ3" i="25"/>
  <c r="JHI3" i="25"/>
  <c r="JHH3" i="25"/>
  <c r="JHG3" i="25"/>
  <c r="JHF3" i="25"/>
  <c r="JHE3" i="25"/>
  <c r="JHD3" i="25"/>
  <c r="JHC3" i="25"/>
  <c r="JHB3" i="25"/>
  <c r="JHA3" i="25"/>
  <c r="JGZ3" i="25"/>
  <c r="JGY3" i="25"/>
  <c r="JGX3" i="25"/>
  <c r="JGW3" i="25"/>
  <c r="JGV3" i="25"/>
  <c r="JGU3" i="25"/>
  <c r="JGT3" i="25"/>
  <c r="JGS3" i="25"/>
  <c r="JGR3" i="25"/>
  <c r="JGQ3" i="25"/>
  <c r="JGP3" i="25"/>
  <c r="JGO3" i="25"/>
  <c r="JGN3" i="25"/>
  <c r="JGM3" i="25"/>
  <c r="JGL3" i="25"/>
  <c r="JGK3" i="25"/>
  <c r="JGJ3" i="25"/>
  <c r="JGI3" i="25"/>
  <c r="JGH3" i="25"/>
  <c r="JGG3" i="25"/>
  <c r="JGF3" i="25"/>
  <c r="JGE3" i="25"/>
  <c r="JGD3" i="25"/>
  <c r="JGC3" i="25"/>
  <c r="JGB3" i="25"/>
  <c r="JGA3" i="25"/>
  <c r="JFZ3" i="25"/>
  <c r="JFY3" i="25"/>
  <c r="JFX3" i="25"/>
  <c r="JFW3" i="25"/>
  <c r="JFV3" i="25"/>
  <c r="JFU3" i="25"/>
  <c r="JFT3" i="25"/>
  <c r="JFS3" i="25"/>
  <c r="JFR3" i="25"/>
  <c r="JFQ3" i="25"/>
  <c r="JFP3" i="25"/>
  <c r="JFO3" i="25"/>
  <c r="JFN3" i="25"/>
  <c r="JFM3" i="25"/>
  <c r="JFL3" i="25"/>
  <c r="JFK3" i="25"/>
  <c r="JFJ3" i="25"/>
  <c r="JFI3" i="25"/>
  <c r="JFH3" i="25"/>
  <c r="JFG3" i="25"/>
  <c r="JFF3" i="25"/>
  <c r="JFE3" i="25"/>
  <c r="JFD3" i="25"/>
  <c r="JFC3" i="25"/>
  <c r="JFB3" i="25"/>
  <c r="JFA3" i="25"/>
  <c r="JEZ3" i="25"/>
  <c r="JEY3" i="25"/>
  <c r="JEX3" i="25"/>
  <c r="JEW3" i="25"/>
  <c r="JEV3" i="25"/>
  <c r="JEU3" i="25"/>
  <c r="JET3" i="25"/>
  <c r="JES3" i="25"/>
  <c r="JER3" i="25"/>
  <c r="JEQ3" i="25"/>
  <c r="JEP3" i="25"/>
  <c r="JEO3" i="25"/>
  <c r="JEN3" i="25"/>
  <c r="JEM3" i="25"/>
  <c r="JEL3" i="25"/>
  <c r="JEK3" i="25"/>
  <c r="JEJ3" i="25"/>
  <c r="JEI3" i="25"/>
  <c r="JEH3" i="25"/>
  <c r="JEG3" i="25"/>
  <c r="JEF3" i="25"/>
  <c r="JEE3" i="25"/>
  <c r="JED3" i="25"/>
  <c r="JEC3" i="25"/>
  <c r="JEB3" i="25"/>
  <c r="JEA3" i="25"/>
  <c r="JDZ3" i="25"/>
  <c r="JDY3" i="25"/>
  <c r="JDX3" i="25"/>
  <c r="JDW3" i="25"/>
  <c r="JDV3" i="25"/>
  <c r="JDU3" i="25"/>
  <c r="JDT3" i="25"/>
  <c r="JDS3" i="25"/>
  <c r="JDR3" i="25"/>
  <c r="JDQ3" i="25"/>
  <c r="JDP3" i="25"/>
  <c r="JDO3" i="25"/>
  <c r="JDN3" i="25"/>
  <c r="JDM3" i="25"/>
  <c r="JDL3" i="25"/>
  <c r="JDK3" i="25"/>
  <c r="JDJ3" i="25"/>
  <c r="JDI3" i="25"/>
  <c r="JDH3" i="25"/>
  <c r="JDG3" i="25"/>
  <c r="JDF3" i="25"/>
  <c r="JDE3" i="25"/>
  <c r="JDD3" i="25"/>
  <c r="JDC3" i="25"/>
  <c r="JDB3" i="25"/>
  <c r="JDA3" i="25"/>
  <c r="JCZ3" i="25"/>
  <c r="JCY3" i="25"/>
  <c r="JCX3" i="25"/>
  <c r="JCW3" i="25"/>
  <c r="JCV3" i="25"/>
  <c r="JCU3" i="25"/>
  <c r="JCT3" i="25"/>
  <c r="JCS3" i="25"/>
  <c r="JCR3" i="25"/>
  <c r="JCQ3" i="25"/>
  <c r="JCP3" i="25"/>
  <c r="JCO3" i="25"/>
  <c r="JCN3" i="25"/>
  <c r="JCM3" i="25"/>
  <c r="JCL3" i="25"/>
  <c r="JCK3" i="25"/>
  <c r="JCJ3" i="25"/>
  <c r="JCI3" i="25"/>
  <c r="JCH3" i="25"/>
  <c r="JCG3" i="25"/>
  <c r="JCF3" i="25"/>
  <c r="JCE3" i="25"/>
  <c r="JCD3" i="25"/>
  <c r="JCC3" i="25"/>
  <c r="JCB3" i="25"/>
  <c r="JCA3" i="25"/>
  <c r="JBZ3" i="25"/>
  <c r="JBY3" i="25"/>
  <c r="JBX3" i="25"/>
  <c r="JBW3" i="25"/>
  <c r="JBV3" i="25"/>
  <c r="JBU3" i="25"/>
  <c r="JBT3" i="25"/>
  <c r="JBS3" i="25"/>
  <c r="JBR3" i="25"/>
  <c r="JBQ3" i="25"/>
  <c r="JBP3" i="25"/>
  <c r="JBO3" i="25"/>
  <c r="JBN3" i="25"/>
  <c r="JBM3" i="25"/>
  <c r="JBL3" i="25"/>
  <c r="JBK3" i="25"/>
  <c r="JBJ3" i="25"/>
  <c r="JBI3" i="25"/>
  <c r="JBH3" i="25"/>
  <c r="JBG3" i="25"/>
  <c r="JBF3" i="25"/>
  <c r="JBE3" i="25"/>
  <c r="JBD3" i="25"/>
  <c r="JBC3" i="25"/>
  <c r="JBB3" i="25"/>
  <c r="JBA3" i="25"/>
  <c r="JAZ3" i="25"/>
  <c r="JAY3" i="25"/>
  <c r="JAX3" i="25"/>
  <c r="JAW3" i="25"/>
  <c r="JAV3" i="25"/>
  <c r="JAU3" i="25"/>
  <c r="JAT3" i="25"/>
  <c r="JAS3" i="25"/>
  <c r="JAR3" i="25"/>
  <c r="JAQ3" i="25"/>
  <c r="JAP3" i="25"/>
  <c r="JAO3" i="25"/>
  <c r="JAN3" i="25"/>
  <c r="JAM3" i="25"/>
  <c r="JAL3" i="25"/>
  <c r="JAK3" i="25"/>
  <c r="JAJ3" i="25"/>
  <c r="JAI3" i="25"/>
  <c r="JAH3" i="25"/>
  <c r="JAG3" i="25"/>
  <c r="JAF3" i="25"/>
  <c r="JAE3" i="25"/>
  <c r="JAD3" i="25"/>
  <c r="JAC3" i="25"/>
  <c r="JAB3" i="25"/>
  <c r="JAA3" i="25"/>
  <c r="IZZ3" i="25"/>
  <c r="IZY3" i="25"/>
  <c r="IZX3" i="25"/>
  <c r="IZW3" i="25"/>
  <c r="IZV3" i="25"/>
  <c r="IZU3" i="25"/>
  <c r="IZT3" i="25"/>
  <c r="IZS3" i="25"/>
  <c r="IZR3" i="25"/>
  <c r="IZQ3" i="25"/>
  <c r="IZP3" i="25"/>
  <c r="IZO3" i="25"/>
  <c r="IZN3" i="25"/>
  <c r="IZM3" i="25"/>
  <c r="IZL3" i="25"/>
  <c r="IZK3" i="25"/>
  <c r="IZJ3" i="25"/>
  <c r="IZI3" i="25"/>
  <c r="IZH3" i="25"/>
  <c r="IZG3" i="25"/>
  <c r="IZF3" i="25"/>
  <c r="IZE3" i="25"/>
  <c r="IZD3" i="25"/>
  <c r="IZC3" i="25"/>
  <c r="IZB3" i="25"/>
  <c r="IZA3" i="25"/>
  <c r="IYZ3" i="25"/>
  <c r="IYY3" i="25"/>
  <c r="IYX3" i="25"/>
  <c r="IYW3" i="25"/>
  <c r="IYV3" i="25"/>
  <c r="IYU3" i="25"/>
  <c r="IYT3" i="25"/>
  <c r="IYS3" i="25"/>
  <c r="IYR3" i="25"/>
  <c r="IYQ3" i="25"/>
  <c r="IYP3" i="25"/>
  <c r="IYO3" i="25"/>
  <c r="IYN3" i="25"/>
  <c r="IYM3" i="25"/>
  <c r="IYL3" i="25"/>
  <c r="IYK3" i="25"/>
  <c r="IYJ3" i="25"/>
  <c r="IYI3" i="25"/>
  <c r="IYH3" i="25"/>
  <c r="IYG3" i="25"/>
  <c r="IYF3" i="25"/>
  <c r="IYE3" i="25"/>
  <c r="IYD3" i="25"/>
  <c r="IYC3" i="25"/>
  <c r="IYB3" i="25"/>
  <c r="IYA3" i="25"/>
  <c r="IXZ3" i="25"/>
  <c r="IXY3" i="25"/>
  <c r="IXX3" i="25"/>
  <c r="IXW3" i="25"/>
  <c r="IXV3" i="25"/>
  <c r="IXU3" i="25"/>
  <c r="IXT3" i="25"/>
  <c r="IXS3" i="25"/>
  <c r="IXR3" i="25"/>
  <c r="IXQ3" i="25"/>
  <c r="IXP3" i="25"/>
  <c r="IXO3" i="25"/>
  <c r="IXN3" i="25"/>
  <c r="IXM3" i="25"/>
  <c r="IXL3" i="25"/>
  <c r="IXK3" i="25"/>
  <c r="IXJ3" i="25"/>
  <c r="IXI3" i="25"/>
  <c r="IXH3" i="25"/>
  <c r="IXG3" i="25"/>
  <c r="IXF3" i="25"/>
  <c r="IXE3" i="25"/>
  <c r="IXD3" i="25"/>
  <c r="IXC3" i="25"/>
  <c r="IXB3" i="25"/>
  <c r="IXA3" i="25"/>
  <c r="IWZ3" i="25"/>
  <c r="IWY3" i="25"/>
  <c r="IWX3" i="25"/>
  <c r="IWW3" i="25"/>
  <c r="IWV3" i="25"/>
  <c r="IWU3" i="25"/>
  <c r="IWT3" i="25"/>
  <c r="IWS3" i="25"/>
  <c r="IWR3" i="25"/>
  <c r="IWQ3" i="25"/>
  <c r="IWP3" i="25"/>
  <c r="IWO3" i="25"/>
  <c r="IWN3" i="25"/>
  <c r="IWM3" i="25"/>
  <c r="IWL3" i="25"/>
  <c r="IWK3" i="25"/>
  <c r="IWJ3" i="25"/>
  <c r="IWI3" i="25"/>
  <c r="IWH3" i="25"/>
  <c r="IWG3" i="25"/>
  <c r="IWF3" i="25"/>
  <c r="IWE3" i="25"/>
  <c r="IWD3" i="25"/>
  <c r="IWC3" i="25"/>
  <c r="IWB3" i="25"/>
  <c r="IWA3" i="25"/>
  <c r="IVZ3" i="25"/>
  <c r="IVY3" i="25"/>
  <c r="IVX3" i="25"/>
  <c r="IVW3" i="25"/>
  <c r="IVV3" i="25"/>
  <c r="IVU3" i="25"/>
  <c r="IVT3" i="25"/>
  <c r="IVS3" i="25"/>
  <c r="IVR3" i="25"/>
  <c r="IVQ3" i="25"/>
  <c r="IVP3" i="25"/>
  <c r="IVO3" i="25"/>
  <c r="IVN3" i="25"/>
  <c r="IVM3" i="25"/>
  <c r="IVL3" i="25"/>
  <c r="IVK3" i="25"/>
  <c r="IVJ3" i="25"/>
  <c r="IVI3" i="25"/>
  <c r="IVH3" i="25"/>
  <c r="IVG3" i="25"/>
  <c r="IVF3" i="25"/>
  <c r="IVE3" i="25"/>
  <c r="IVD3" i="25"/>
  <c r="IVC3" i="25"/>
  <c r="IVB3" i="25"/>
  <c r="IVA3" i="25"/>
  <c r="IUZ3" i="25"/>
  <c r="IUY3" i="25"/>
  <c r="IUX3" i="25"/>
  <c r="IUW3" i="25"/>
  <c r="IUV3" i="25"/>
  <c r="IUU3" i="25"/>
  <c r="IUT3" i="25"/>
  <c r="IUS3" i="25"/>
  <c r="IUR3" i="25"/>
  <c r="IUQ3" i="25"/>
  <c r="IUP3" i="25"/>
  <c r="IUO3" i="25"/>
  <c r="IUN3" i="25"/>
  <c r="IUM3" i="25"/>
  <c r="IUL3" i="25"/>
  <c r="IUK3" i="25"/>
  <c r="IUJ3" i="25"/>
  <c r="IUI3" i="25"/>
  <c r="IUH3" i="25"/>
  <c r="IUG3" i="25"/>
  <c r="IUF3" i="25"/>
  <c r="IUE3" i="25"/>
  <c r="IUD3" i="25"/>
  <c r="IUC3" i="25"/>
  <c r="IUB3" i="25"/>
  <c r="IUA3" i="25"/>
  <c r="ITZ3" i="25"/>
  <c r="ITY3" i="25"/>
  <c r="ITX3" i="25"/>
  <c r="ITW3" i="25"/>
  <c r="ITV3" i="25"/>
  <c r="ITU3" i="25"/>
  <c r="ITT3" i="25"/>
  <c r="ITS3" i="25"/>
  <c r="ITR3" i="25"/>
  <c r="ITQ3" i="25"/>
  <c r="ITP3" i="25"/>
  <c r="ITO3" i="25"/>
  <c r="ITN3" i="25"/>
  <c r="ITM3" i="25"/>
  <c r="ITL3" i="25"/>
  <c r="ITK3" i="25"/>
  <c r="ITJ3" i="25"/>
  <c r="ITI3" i="25"/>
  <c r="ITH3" i="25"/>
  <c r="ITG3" i="25"/>
  <c r="ITF3" i="25"/>
  <c r="ITE3" i="25"/>
  <c r="ITD3" i="25"/>
  <c r="ITC3" i="25"/>
  <c r="ITB3" i="25"/>
  <c r="ITA3" i="25"/>
  <c r="ISZ3" i="25"/>
  <c r="ISY3" i="25"/>
  <c r="ISX3" i="25"/>
  <c r="ISW3" i="25"/>
  <c r="ISV3" i="25"/>
  <c r="ISU3" i="25"/>
  <c r="IST3" i="25"/>
  <c r="ISS3" i="25"/>
  <c r="ISR3" i="25"/>
  <c r="ISQ3" i="25"/>
  <c r="ISP3" i="25"/>
  <c r="ISO3" i="25"/>
  <c r="ISN3" i="25"/>
  <c r="ISM3" i="25"/>
  <c r="ISL3" i="25"/>
  <c r="ISK3" i="25"/>
  <c r="ISJ3" i="25"/>
  <c r="ISI3" i="25"/>
  <c r="ISH3" i="25"/>
  <c r="ISG3" i="25"/>
  <c r="ISF3" i="25"/>
  <c r="ISE3" i="25"/>
  <c r="ISD3" i="25"/>
  <c r="ISC3" i="25"/>
  <c r="ISB3" i="25"/>
  <c r="ISA3" i="25"/>
  <c r="IRZ3" i="25"/>
  <c r="IRY3" i="25"/>
  <c r="IRX3" i="25"/>
  <c r="IRW3" i="25"/>
  <c r="IRV3" i="25"/>
  <c r="IRU3" i="25"/>
  <c r="IRT3" i="25"/>
  <c r="IRS3" i="25"/>
  <c r="IRR3" i="25"/>
  <c r="IRQ3" i="25"/>
  <c r="IRP3" i="25"/>
  <c r="IRO3" i="25"/>
  <c r="IRN3" i="25"/>
  <c r="IRM3" i="25"/>
  <c r="IRL3" i="25"/>
  <c r="IRK3" i="25"/>
  <c r="IRJ3" i="25"/>
  <c r="IRI3" i="25"/>
  <c r="IRH3" i="25"/>
  <c r="IRG3" i="25"/>
  <c r="IRF3" i="25"/>
  <c r="IRE3" i="25"/>
  <c r="IRD3" i="25"/>
  <c r="IRC3" i="25"/>
  <c r="IRB3" i="25"/>
  <c r="IRA3" i="25"/>
  <c r="IQZ3" i="25"/>
  <c r="IQY3" i="25"/>
  <c r="IQX3" i="25"/>
  <c r="IQW3" i="25"/>
  <c r="IQV3" i="25"/>
  <c r="IQU3" i="25"/>
  <c r="IQT3" i="25"/>
  <c r="IQS3" i="25"/>
  <c r="IQR3" i="25"/>
  <c r="IQQ3" i="25"/>
  <c r="IQP3" i="25"/>
  <c r="IQO3" i="25"/>
  <c r="IQN3" i="25"/>
  <c r="IQM3" i="25"/>
  <c r="IQL3" i="25"/>
  <c r="IQK3" i="25"/>
  <c r="IQJ3" i="25"/>
  <c r="IQI3" i="25"/>
  <c r="IQH3" i="25"/>
  <c r="IQG3" i="25"/>
  <c r="IQF3" i="25"/>
  <c r="IQE3" i="25"/>
  <c r="IQD3" i="25"/>
  <c r="IQC3" i="25"/>
  <c r="IQB3" i="25"/>
  <c r="IQA3" i="25"/>
  <c r="IPZ3" i="25"/>
  <c r="IPY3" i="25"/>
  <c r="IPX3" i="25"/>
  <c r="IPW3" i="25"/>
  <c r="IPV3" i="25"/>
  <c r="IPU3" i="25"/>
  <c r="IPT3" i="25"/>
  <c r="IPS3" i="25"/>
  <c r="IPR3" i="25"/>
  <c r="IPQ3" i="25"/>
  <c r="IPP3" i="25"/>
  <c r="IPO3" i="25"/>
  <c r="IPN3" i="25"/>
  <c r="IPM3" i="25"/>
  <c r="IPL3" i="25"/>
  <c r="IPK3" i="25"/>
  <c r="IPJ3" i="25"/>
  <c r="IPI3" i="25"/>
  <c r="IPH3" i="25"/>
  <c r="IPG3" i="25"/>
  <c r="IPF3" i="25"/>
  <c r="IPE3" i="25"/>
  <c r="IPD3" i="25"/>
  <c r="IPC3" i="25"/>
  <c r="IPB3" i="25"/>
  <c r="IPA3" i="25"/>
  <c r="IOZ3" i="25"/>
  <c r="IOY3" i="25"/>
  <c r="IOX3" i="25"/>
  <c r="IOW3" i="25"/>
  <c r="IOV3" i="25"/>
  <c r="IOU3" i="25"/>
  <c r="IOT3" i="25"/>
  <c r="IOS3" i="25"/>
  <c r="IOR3" i="25"/>
  <c r="IOQ3" i="25"/>
  <c r="IOP3" i="25"/>
  <c r="IOO3" i="25"/>
  <c r="ION3" i="25"/>
  <c r="IOM3" i="25"/>
  <c r="IOL3" i="25"/>
  <c r="IOK3" i="25"/>
  <c r="IOJ3" i="25"/>
  <c r="IOI3" i="25"/>
  <c r="IOH3" i="25"/>
  <c r="IOG3" i="25"/>
  <c r="IOF3" i="25"/>
  <c r="IOE3" i="25"/>
  <c r="IOD3" i="25"/>
  <c r="IOC3" i="25"/>
  <c r="IOB3" i="25"/>
  <c r="IOA3" i="25"/>
  <c r="INZ3" i="25"/>
  <c r="INY3" i="25"/>
  <c r="INX3" i="25"/>
  <c r="INW3" i="25"/>
  <c r="INV3" i="25"/>
  <c r="INU3" i="25"/>
  <c r="INT3" i="25"/>
  <c r="INS3" i="25"/>
  <c r="INR3" i="25"/>
  <c r="INQ3" i="25"/>
  <c r="INP3" i="25"/>
  <c r="INO3" i="25"/>
  <c r="INN3" i="25"/>
  <c r="INM3" i="25"/>
  <c r="INL3" i="25"/>
  <c r="INK3" i="25"/>
  <c r="INJ3" i="25"/>
  <c r="INI3" i="25"/>
  <c r="INH3" i="25"/>
  <c r="ING3" i="25"/>
  <c r="INF3" i="25"/>
  <c r="INE3" i="25"/>
  <c r="IND3" i="25"/>
  <c r="INC3" i="25"/>
  <c r="INB3" i="25"/>
  <c r="INA3" i="25"/>
  <c r="IMZ3" i="25"/>
  <c r="IMY3" i="25"/>
  <c r="IMX3" i="25"/>
  <c r="IMW3" i="25"/>
  <c r="IMV3" i="25"/>
  <c r="IMU3" i="25"/>
  <c r="IMT3" i="25"/>
  <c r="IMS3" i="25"/>
  <c r="IMR3" i="25"/>
  <c r="IMQ3" i="25"/>
  <c r="IMP3" i="25"/>
  <c r="IMO3" i="25"/>
  <c r="IMN3" i="25"/>
  <c r="IMM3" i="25"/>
  <c r="IML3" i="25"/>
  <c r="IMK3" i="25"/>
  <c r="IMJ3" i="25"/>
  <c r="IMI3" i="25"/>
  <c r="IMH3" i="25"/>
  <c r="IMG3" i="25"/>
  <c r="IMF3" i="25"/>
  <c r="IME3" i="25"/>
  <c r="IMD3" i="25"/>
  <c r="IMC3" i="25"/>
  <c r="IMB3" i="25"/>
  <c r="IMA3" i="25"/>
  <c r="ILZ3" i="25"/>
  <c r="ILY3" i="25"/>
  <c r="ILX3" i="25"/>
  <c r="ILW3" i="25"/>
  <c r="ILV3" i="25"/>
  <c r="ILU3" i="25"/>
  <c r="ILT3" i="25"/>
  <c r="ILS3" i="25"/>
  <c r="ILR3" i="25"/>
  <c r="ILQ3" i="25"/>
  <c r="ILP3" i="25"/>
  <c r="ILO3" i="25"/>
  <c r="ILN3" i="25"/>
  <c r="ILM3" i="25"/>
  <c r="ILL3" i="25"/>
  <c r="ILK3" i="25"/>
  <c r="ILJ3" i="25"/>
  <c r="ILI3" i="25"/>
  <c r="ILH3" i="25"/>
  <c r="ILG3" i="25"/>
  <c r="ILF3" i="25"/>
  <c r="ILE3" i="25"/>
  <c r="ILD3" i="25"/>
  <c r="ILC3" i="25"/>
  <c r="ILB3" i="25"/>
  <c r="ILA3" i="25"/>
  <c r="IKZ3" i="25"/>
  <c r="IKY3" i="25"/>
  <c r="IKX3" i="25"/>
  <c r="IKW3" i="25"/>
  <c r="IKV3" i="25"/>
  <c r="IKU3" i="25"/>
  <c r="IKT3" i="25"/>
  <c r="IKS3" i="25"/>
  <c r="IKR3" i="25"/>
  <c r="IKQ3" i="25"/>
  <c r="IKP3" i="25"/>
  <c r="IKO3" i="25"/>
  <c r="IKN3" i="25"/>
  <c r="IKM3" i="25"/>
  <c r="IKL3" i="25"/>
  <c r="IKK3" i="25"/>
  <c r="IKJ3" i="25"/>
  <c r="IKI3" i="25"/>
  <c r="IKH3" i="25"/>
  <c r="IKG3" i="25"/>
  <c r="IKF3" i="25"/>
  <c r="IKE3" i="25"/>
  <c r="IKD3" i="25"/>
  <c r="IKC3" i="25"/>
  <c r="IKB3" i="25"/>
  <c r="IKA3" i="25"/>
  <c r="IJZ3" i="25"/>
  <c r="IJY3" i="25"/>
  <c r="IJX3" i="25"/>
  <c r="IJW3" i="25"/>
  <c r="IJV3" i="25"/>
  <c r="IJU3" i="25"/>
  <c r="IJT3" i="25"/>
  <c r="IJS3" i="25"/>
  <c r="IJR3" i="25"/>
  <c r="IJQ3" i="25"/>
  <c r="IJP3" i="25"/>
  <c r="IJO3" i="25"/>
  <c r="IJN3" i="25"/>
  <c r="IJM3" i="25"/>
  <c r="IJL3" i="25"/>
  <c r="IJK3" i="25"/>
  <c r="IJJ3" i="25"/>
  <c r="IJI3" i="25"/>
  <c r="IJH3" i="25"/>
  <c r="IJG3" i="25"/>
  <c r="IJF3" i="25"/>
  <c r="IJE3" i="25"/>
  <c r="IJD3" i="25"/>
  <c r="IJC3" i="25"/>
  <c r="IJB3" i="25"/>
  <c r="IJA3" i="25"/>
  <c r="IIZ3" i="25"/>
  <c r="IIY3" i="25"/>
  <c r="IIX3" i="25"/>
  <c r="IIW3" i="25"/>
  <c r="IIV3" i="25"/>
  <c r="IIU3" i="25"/>
  <c r="IIT3" i="25"/>
  <c r="IIS3" i="25"/>
  <c r="IIR3" i="25"/>
  <c r="IIQ3" i="25"/>
  <c r="IIP3" i="25"/>
  <c r="IIO3" i="25"/>
  <c r="IIN3" i="25"/>
  <c r="IIM3" i="25"/>
  <c r="IIL3" i="25"/>
  <c r="IIK3" i="25"/>
  <c r="IIJ3" i="25"/>
  <c r="III3" i="25"/>
  <c r="IIH3" i="25"/>
  <c r="IIG3" i="25"/>
  <c r="IIF3" i="25"/>
  <c r="IIE3" i="25"/>
  <c r="IID3" i="25"/>
  <c r="IIC3" i="25"/>
  <c r="IIB3" i="25"/>
  <c r="IIA3" i="25"/>
  <c r="IHZ3" i="25"/>
  <c r="IHY3" i="25"/>
  <c r="IHX3" i="25"/>
  <c r="IHW3" i="25"/>
  <c r="IHV3" i="25"/>
  <c r="IHU3" i="25"/>
  <c r="IHT3" i="25"/>
  <c r="IHS3" i="25"/>
  <c r="IHR3" i="25"/>
  <c r="IHQ3" i="25"/>
  <c r="IHP3" i="25"/>
  <c r="IHO3" i="25"/>
  <c r="IHN3" i="25"/>
  <c r="IHM3" i="25"/>
  <c r="IHL3" i="25"/>
  <c r="IHK3" i="25"/>
  <c r="IHJ3" i="25"/>
  <c r="IHI3" i="25"/>
  <c r="IHH3" i="25"/>
  <c r="IHG3" i="25"/>
  <c r="IHF3" i="25"/>
  <c r="IHE3" i="25"/>
  <c r="IHD3" i="25"/>
  <c r="IHC3" i="25"/>
  <c r="IHB3" i="25"/>
  <c r="IHA3" i="25"/>
  <c r="IGZ3" i="25"/>
  <c r="IGY3" i="25"/>
  <c r="IGX3" i="25"/>
  <c r="IGW3" i="25"/>
  <c r="IGV3" i="25"/>
  <c r="IGU3" i="25"/>
  <c r="IGT3" i="25"/>
  <c r="IGS3" i="25"/>
  <c r="IGR3" i="25"/>
  <c r="IGQ3" i="25"/>
  <c r="IGP3" i="25"/>
  <c r="IGO3" i="25"/>
  <c r="IGN3" i="25"/>
  <c r="IGM3" i="25"/>
  <c r="IGL3" i="25"/>
  <c r="IGK3" i="25"/>
  <c r="IGJ3" i="25"/>
  <c r="IGI3" i="25"/>
  <c r="IGH3" i="25"/>
  <c r="IGG3" i="25"/>
  <c r="IGF3" i="25"/>
  <c r="IGE3" i="25"/>
  <c r="IGD3" i="25"/>
  <c r="IGC3" i="25"/>
  <c r="IGB3" i="25"/>
  <c r="IGA3" i="25"/>
  <c r="IFZ3" i="25"/>
  <c r="IFY3" i="25"/>
  <c r="IFX3" i="25"/>
  <c r="IFW3" i="25"/>
  <c r="IFV3" i="25"/>
  <c r="IFU3" i="25"/>
  <c r="IFT3" i="25"/>
  <c r="IFS3" i="25"/>
  <c r="IFR3" i="25"/>
  <c r="IFQ3" i="25"/>
  <c r="IFP3" i="25"/>
  <c r="IFO3" i="25"/>
  <c r="IFN3" i="25"/>
  <c r="IFM3" i="25"/>
  <c r="IFL3" i="25"/>
  <c r="IFK3" i="25"/>
  <c r="IFJ3" i="25"/>
  <c r="IFI3" i="25"/>
  <c r="IFH3" i="25"/>
  <c r="IFG3" i="25"/>
  <c r="IFF3" i="25"/>
  <c r="IFE3" i="25"/>
  <c r="IFD3" i="25"/>
  <c r="IFC3" i="25"/>
  <c r="IFB3" i="25"/>
  <c r="IFA3" i="25"/>
  <c r="IEZ3" i="25"/>
  <c r="IEY3" i="25"/>
  <c r="IEX3" i="25"/>
  <c r="IEW3" i="25"/>
  <c r="IEV3" i="25"/>
  <c r="IEU3" i="25"/>
  <c r="IET3" i="25"/>
  <c r="IES3" i="25"/>
  <c r="IER3" i="25"/>
  <c r="IEQ3" i="25"/>
  <c r="IEP3" i="25"/>
  <c r="IEO3" i="25"/>
  <c r="IEN3" i="25"/>
  <c r="IEM3" i="25"/>
  <c r="IEL3" i="25"/>
  <c r="IEK3" i="25"/>
  <c r="IEJ3" i="25"/>
  <c r="IEI3" i="25"/>
  <c r="IEH3" i="25"/>
  <c r="IEG3" i="25"/>
  <c r="IEF3" i="25"/>
  <c r="IEE3" i="25"/>
  <c r="IED3" i="25"/>
  <c r="IEC3" i="25"/>
  <c r="IEB3" i="25"/>
  <c r="IEA3" i="25"/>
  <c r="IDZ3" i="25"/>
  <c r="IDY3" i="25"/>
  <c r="IDX3" i="25"/>
  <c r="IDW3" i="25"/>
  <c r="IDV3" i="25"/>
  <c r="IDU3" i="25"/>
  <c r="IDT3" i="25"/>
  <c r="IDS3" i="25"/>
  <c r="IDR3" i="25"/>
  <c r="IDQ3" i="25"/>
  <c r="IDP3" i="25"/>
  <c r="IDO3" i="25"/>
  <c r="IDN3" i="25"/>
  <c r="IDM3" i="25"/>
  <c r="IDL3" i="25"/>
  <c r="IDK3" i="25"/>
  <c r="IDJ3" i="25"/>
  <c r="IDI3" i="25"/>
  <c r="IDH3" i="25"/>
  <c r="IDG3" i="25"/>
  <c r="IDF3" i="25"/>
  <c r="IDE3" i="25"/>
  <c r="IDD3" i="25"/>
  <c r="IDC3" i="25"/>
  <c r="IDB3" i="25"/>
  <c r="IDA3" i="25"/>
  <c r="ICZ3" i="25"/>
  <c r="ICY3" i="25"/>
  <c r="ICX3" i="25"/>
  <c r="ICW3" i="25"/>
  <c r="ICV3" i="25"/>
  <c r="ICU3" i="25"/>
  <c r="ICT3" i="25"/>
  <c r="ICS3" i="25"/>
  <c r="ICR3" i="25"/>
  <c r="ICQ3" i="25"/>
  <c r="ICP3" i="25"/>
  <c r="ICO3" i="25"/>
  <c r="ICN3" i="25"/>
  <c r="ICM3" i="25"/>
  <c r="ICL3" i="25"/>
  <c r="ICK3" i="25"/>
  <c r="ICJ3" i="25"/>
  <c r="ICI3" i="25"/>
  <c r="ICH3" i="25"/>
  <c r="ICG3" i="25"/>
  <c r="ICF3" i="25"/>
  <c r="ICE3" i="25"/>
  <c r="ICD3" i="25"/>
  <c r="ICC3" i="25"/>
  <c r="ICB3" i="25"/>
  <c r="ICA3" i="25"/>
  <c r="IBZ3" i="25"/>
  <c r="IBY3" i="25"/>
  <c r="IBX3" i="25"/>
  <c r="IBW3" i="25"/>
  <c r="IBV3" i="25"/>
  <c r="IBU3" i="25"/>
  <c r="IBT3" i="25"/>
  <c r="IBS3" i="25"/>
  <c r="IBR3" i="25"/>
  <c r="IBQ3" i="25"/>
  <c r="IBP3" i="25"/>
  <c r="IBO3" i="25"/>
  <c r="IBN3" i="25"/>
  <c r="IBM3" i="25"/>
  <c r="IBL3" i="25"/>
  <c r="IBK3" i="25"/>
  <c r="IBJ3" i="25"/>
  <c r="IBI3" i="25"/>
  <c r="IBH3" i="25"/>
  <c r="IBG3" i="25"/>
  <c r="IBF3" i="25"/>
  <c r="IBE3" i="25"/>
  <c r="IBD3" i="25"/>
  <c r="IBC3" i="25"/>
  <c r="IBB3" i="25"/>
  <c r="IBA3" i="25"/>
  <c r="IAZ3" i="25"/>
  <c r="IAY3" i="25"/>
  <c r="IAX3" i="25"/>
  <c r="IAW3" i="25"/>
  <c r="IAV3" i="25"/>
  <c r="IAU3" i="25"/>
  <c r="IAT3" i="25"/>
  <c r="IAS3" i="25"/>
  <c r="IAR3" i="25"/>
  <c r="IAQ3" i="25"/>
  <c r="IAP3" i="25"/>
  <c r="IAO3" i="25"/>
  <c r="IAN3" i="25"/>
  <c r="IAM3" i="25"/>
  <c r="IAL3" i="25"/>
  <c r="IAK3" i="25"/>
  <c r="IAJ3" i="25"/>
  <c r="IAI3" i="25"/>
  <c r="IAH3" i="25"/>
  <c r="IAG3" i="25"/>
  <c r="IAF3" i="25"/>
  <c r="IAE3" i="25"/>
  <c r="IAD3" i="25"/>
  <c r="IAC3" i="25"/>
  <c r="IAB3" i="25"/>
  <c r="IAA3" i="25"/>
  <c r="HZZ3" i="25"/>
  <c r="HZY3" i="25"/>
  <c r="HZX3" i="25"/>
  <c r="HZW3" i="25"/>
  <c r="HZV3" i="25"/>
  <c r="HZU3" i="25"/>
  <c r="HZT3" i="25"/>
  <c r="HZS3" i="25"/>
  <c r="HZR3" i="25"/>
  <c r="HZQ3" i="25"/>
  <c r="HZP3" i="25"/>
  <c r="HZO3" i="25"/>
  <c r="HZN3" i="25"/>
  <c r="HZM3" i="25"/>
  <c r="HZL3" i="25"/>
  <c r="HZK3" i="25"/>
  <c r="HZJ3" i="25"/>
  <c r="HZI3" i="25"/>
  <c r="HZH3" i="25"/>
  <c r="HZG3" i="25"/>
  <c r="HZF3" i="25"/>
  <c r="HZE3" i="25"/>
  <c r="HZD3" i="25"/>
  <c r="HZC3" i="25"/>
  <c r="HZB3" i="25"/>
  <c r="HZA3" i="25"/>
  <c r="HYZ3" i="25"/>
  <c r="HYY3" i="25"/>
  <c r="HYX3" i="25"/>
  <c r="HYW3" i="25"/>
  <c r="HYV3" i="25"/>
  <c r="HYU3" i="25"/>
  <c r="HYT3" i="25"/>
  <c r="HYS3" i="25"/>
  <c r="HYR3" i="25"/>
  <c r="HYQ3" i="25"/>
  <c r="HYP3" i="25"/>
  <c r="HYO3" i="25"/>
  <c r="HYN3" i="25"/>
  <c r="HYM3" i="25"/>
  <c r="HYL3" i="25"/>
  <c r="HYK3" i="25"/>
  <c r="HYJ3" i="25"/>
  <c r="HYI3" i="25"/>
  <c r="HYH3" i="25"/>
  <c r="HYG3" i="25"/>
  <c r="HYF3" i="25"/>
  <c r="HYE3" i="25"/>
  <c r="HYD3" i="25"/>
  <c r="HYC3" i="25"/>
  <c r="HYB3" i="25"/>
  <c r="HYA3" i="25"/>
  <c r="HXZ3" i="25"/>
  <c r="HXY3" i="25"/>
  <c r="HXX3" i="25"/>
  <c r="HXW3" i="25"/>
  <c r="HXV3" i="25"/>
  <c r="HXU3" i="25"/>
  <c r="HXT3" i="25"/>
  <c r="HXS3" i="25"/>
  <c r="HXR3" i="25"/>
  <c r="HXQ3" i="25"/>
  <c r="HXP3" i="25"/>
  <c r="HXO3" i="25"/>
  <c r="HXN3" i="25"/>
  <c r="HXM3" i="25"/>
  <c r="HXL3" i="25"/>
  <c r="HXK3" i="25"/>
  <c r="HXJ3" i="25"/>
  <c r="HXI3" i="25"/>
  <c r="HXH3" i="25"/>
  <c r="HXG3" i="25"/>
  <c r="HXF3" i="25"/>
  <c r="HXE3" i="25"/>
  <c r="HXD3" i="25"/>
  <c r="HXC3" i="25"/>
  <c r="HXB3" i="25"/>
  <c r="HXA3" i="25"/>
  <c r="HWZ3" i="25"/>
  <c r="HWY3" i="25"/>
  <c r="HWX3" i="25"/>
  <c r="HWW3" i="25"/>
  <c r="HWV3" i="25"/>
  <c r="HWU3" i="25"/>
  <c r="HWT3" i="25"/>
  <c r="HWS3" i="25"/>
  <c r="HWR3" i="25"/>
  <c r="HWQ3" i="25"/>
  <c r="HWP3" i="25"/>
  <c r="HWO3" i="25"/>
  <c r="HWN3" i="25"/>
  <c r="HWM3" i="25"/>
  <c r="HWL3" i="25"/>
  <c r="HWK3" i="25"/>
  <c r="HWJ3" i="25"/>
  <c r="HWI3" i="25"/>
  <c r="HWH3" i="25"/>
  <c r="HWG3" i="25"/>
  <c r="HWF3" i="25"/>
  <c r="HWE3" i="25"/>
  <c r="HWD3" i="25"/>
  <c r="HWC3" i="25"/>
  <c r="HWB3" i="25"/>
  <c r="HWA3" i="25"/>
  <c r="HVZ3" i="25"/>
  <c r="HVY3" i="25"/>
  <c r="HVX3" i="25"/>
  <c r="HVW3" i="25"/>
  <c r="HVV3" i="25"/>
  <c r="HVU3" i="25"/>
  <c r="HVT3" i="25"/>
  <c r="HVS3" i="25"/>
  <c r="HVR3" i="25"/>
  <c r="HVQ3" i="25"/>
  <c r="HVP3" i="25"/>
  <c r="HVO3" i="25"/>
  <c r="HVN3" i="25"/>
  <c r="HVM3" i="25"/>
  <c r="HVL3" i="25"/>
  <c r="HVK3" i="25"/>
  <c r="HVJ3" i="25"/>
  <c r="HVI3" i="25"/>
  <c r="HVH3" i="25"/>
  <c r="HVG3" i="25"/>
  <c r="HVF3" i="25"/>
  <c r="HVE3" i="25"/>
  <c r="HVD3" i="25"/>
  <c r="HVC3" i="25"/>
  <c r="HVB3" i="25"/>
  <c r="HVA3" i="25"/>
  <c r="HUZ3" i="25"/>
  <c r="HUY3" i="25"/>
  <c r="HUX3" i="25"/>
  <c r="HUW3" i="25"/>
  <c r="HUV3" i="25"/>
  <c r="HUU3" i="25"/>
  <c r="HUT3" i="25"/>
  <c r="HUS3" i="25"/>
  <c r="HUR3" i="25"/>
  <c r="HUQ3" i="25"/>
  <c r="HUP3" i="25"/>
  <c r="HUO3" i="25"/>
  <c r="HUN3" i="25"/>
  <c r="HUM3" i="25"/>
  <c r="HUL3" i="25"/>
  <c r="HUK3" i="25"/>
  <c r="HUJ3" i="25"/>
  <c r="HUI3" i="25"/>
  <c r="HUH3" i="25"/>
  <c r="HUG3" i="25"/>
  <c r="HUF3" i="25"/>
  <c r="HUE3" i="25"/>
  <c r="HUD3" i="25"/>
  <c r="HUC3" i="25"/>
  <c r="HUB3" i="25"/>
  <c r="HUA3" i="25"/>
  <c r="HTZ3" i="25"/>
  <c r="HTY3" i="25"/>
  <c r="HTX3" i="25"/>
  <c r="HTW3" i="25"/>
  <c r="HTV3" i="25"/>
  <c r="HTU3" i="25"/>
  <c r="HTT3" i="25"/>
  <c r="HTS3" i="25"/>
  <c r="HTR3" i="25"/>
  <c r="HTQ3" i="25"/>
  <c r="HTP3" i="25"/>
  <c r="HTO3" i="25"/>
  <c r="HTN3" i="25"/>
  <c r="HTM3" i="25"/>
  <c r="HTL3" i="25"/>
  <c r="HTK3" i="25"/>
  <c r="HTJ3" i="25"/>
  <c r="HTI3" i="25"/>
  <c r="HTH3" i="25"/>
  <c r="HTG3" i="25"/>
  <c r="HTF3" i="25"/>
  <c r="HTE3" i="25"/>
  <c r="HTD3" i="25"/>
  <c r="HTC3" i="25"/>
  <c r="HTB3" i="25"/>
  <c r="HTA3" i="25"/>
  <c r="HSZ3" i="25"/>
  <c r="HSY3" i="25"/>
  <c r="HSX3" i="25"/>
  <c r="HSW3" i="25"/>
  <c r="HSV3" i="25"/>
  <c r="HSU3" i="25"/>
  <c r="HST3" i="25"/>
  <c r="HSS3" i="25"/>
  <c r="HSR3" i="25"/>
  <c r="HSQ3" i="25"/>
  <c r="HSP3" i="25"/>
  <c r="HSO3" i="25"/>
  <c r="HSN3" i="25"/>
  <c r="HSM3" i="25"/>
  <c r="HSL3" i="25"/>
  <c r="HSK3" i="25"/>
  <c r="HSJ3" i="25"/>
  <c r="HSI3" i="25"/>
  <c r="HSH3" i="25"/>
  <c r="HSG3" i="25"/>
  <c r="HSF3" i="25"/>
  <c r="HSE3" i="25"/>
  <c r="HSD3" i="25"/>
  <c r="HSC3" i="25"/>
  <c r="HSB3" i="25"/>
  <c r="HSA3" i="25"/>
  <c r="HRZ3" i="25"/>
  <c r="HRY3" i="25"/>
  <c r="HRX3" i="25"/>
  <c r="HRW3" i="25"/>
  <c r="HRV3" i="25"/>
  <c r="HRU3" i="25"/>
  <c r="HRT3" i="25"/>
  <c r="HRS3" i="25"/>
  <c r="HRR3" i="25"/>
  <c r="HRQ3" i="25"/>
  <c r="HRP3" i="25"/>
  <c r="HRO3" i="25"/>
  <c r="HRN3" i="25"/>
  <c r="HRM3" i="25"/>
  <c r="HRL3" i="25"/>
  <c r="HRK3" i="25"/>
  <c r="HRJ3" i="25"/>
  <c r="HRI3" i="25"/>
  <c r="HRH3" i="25"/>
  <c r="HRG3" i="25"/>
  <c r="HRF3" i="25"/>
  <c r="HRE3" i="25"/>
  <c r="HRD3" i="25"/>
  <c r="HRC3" i="25"/>
  <c r="HRB3" i="25"/>
  <c r="HRA3" i="25"/>
  <c r="HQZ3" i="25"/>
  <c r="HQY3" i="25"/>
  <c r="HQX3" i="25"/>
  <c r="HQW3" i="25"/>
  <c r="HQV3" i="25"/>
  <c r="HQU3" i="25"/>
  <c r="HQT3" i="25"/>
  <c r="HQS3" i="25"/>
  <c r="HQR3" i="25"/>
  <c r="HQQ3" i="25"/>
  <c r="HQP3" i="25"/>
  <c r="HQO3" i="25"/>
  <c r="HQN3" i="25"/>
  <c r="HQM3" i="25"/>
  <c r="HQL3" i="25"/>
  <c r="HQK3" i="25"/>
  <c r="HQJ3" i="25"/>
  <c r="HQI3" i="25"/>
  <c r="HQH3" i="25"/>
  <c r="HQG3" i="25"/>
  <c r="HQF3" i="25"/>
  <c r="HQE3" i="25"/>
  <c r="HQD3" i="25"/>
  <c r="HQC3" i="25"/>
  <c r="HQB3" i="25"/>
  <c r="HQA3" i="25"/>
  <c r="HPZ3" i="25"/>
  <c r="HPY3" i="25"/>
  <c r="HPX3" i="25"/>
  <c r="HPW3" i="25"/>
  <c r="HPV3" i="25"/>
  <c r="HPU3" i="25"/>
  <c r="HPT3" i="25"/>
  <c r="HPS3" i="25"/>
  <c r="HPR3" i="25"/>
  <c r="HPQ3" i="25"/>
  <c r="HPP3" i="25"/>
  <c r="HPO3" i="25"/>
  <c r="HPN3" i="25"/>
  <c r="HPM3" i="25"/>
  <c r="HPL3" i="25"/>
  <c r="HPK3" i="25"/>
  <c r="HPJ3" i="25"/>
  <c r="HPI3" i="25"/>
  <c r="HPH3" i="25"/>
  <c r="HPG3" i="25"/>
  <c r="HPF3" i="25"/>
  <c r="HPE3" i="25"/>
  <c r="HPD3" i="25"/>
  <c r="HPC3" i="25"/>
  <c r="HPB3" i="25"/>
  <c r="HPA3" i="25"/>
  <c r="HOZ3" i="25"/>
  <c r="HOY3" i="25"/>
  <c r="HOX3" i="25"/>
  <c r="HOW3" i="25"/>
  <c r="HOV3" i="25"/>
  <c r="HOU3" i="25"/>
  <c r="HOT3" i="25"/>
  <c r="HOS3" i="25"/>
  <c r="HOR3" i="25"/>
  <c r="HOQ3" i="25"/>
  <c r="HOP3" i="25"/>
  <c r="HOO3" i="25"/>
  <c r="HON3" i="25"/>
  <c r="HOM3" i="25"/>
  <c r="HOL3" i="25"/>
  <c r="HOK3" i="25"/>
  <c r="HOJ3" i="25"/>
  <c r="HOI3" i="25"/>
  <c r="HOH3" i="25"/>
  <c r="HOG3" i="25"/>
  <c r="HOF3" i="25"/>
  <c r="HOE3" i="25"/>
  <c r="HOD3" i="25"/>
  <c r="HOC3" i="25"/>
  <c r="HOB3" i="25"/>
  <c r="HOA3" i="25"/>
  <c r="HNZ3" i="25"/>
  <c r="HNY3" i="25"/>
  <c r="HNX3" i="25"/>
  <c r="HNW3" i="25"/>
  <c r="HNV3" i="25"/>
  <c r="HNU3" i="25"/>
  <c r="HNT3" i="25"/>
  <c r="HNS3" i="25"/>
  <c r="HNR3" i="25"/>
  <c r="HNQ3" i="25"/>
  <c r="HNP3" i="25"/>
  <c r="HNO3" i="25"/>
  <c r="HNN3" i="25"/>
  <c r="HNM3" i="25"/>
  <c r="HNL3" i="25"/>
  <c r="HNK3" i="25"/>
  <c r="HNJ3" i="25"/>
  <c r="HNI3" i="25"/>
  <c r="HNH3" i="25"/>
  <c r="HNG3" i="25"/>
  <c r="HNF3" i="25"/>
  <c r="HNE3" i="25"/>
  <c r="HND3" i="25"/>
  <c r="HNC3" i="25"/>
  <c r="HNB3" i="25"/>
  <c r="HNA3" i="25"/>
  <c r="HMZ3" i="25"/>
  <c r="HMY3" i="25"/>
  <c r="HMX3" i="25"/>
  <c r="HMW3" i="25"/>
  <c r="HMV3" i="25"/>
  <c r="HMU3" i="25"/>
  <c r="HMT3" i="25"/>
  <c r="HMS3" i="25"/>
  <c r="HMR3" i="25"/>
  <c r="HMQ3" i="25"/>
  <c r="HMP3" i="25"/>
  <c r="HMO3" i="25"/>
  <c r="HMN3" i="25"/>
  <c r="HMM3" i="25"/>
  <c r="HML3" i="25"/>
  <c r="HMK3" i="25"/>
  <c r="HMJ3" i="25"/>
  <c r="HMI3" i="25"/>
  <c r="HMH3" i="25"/>
  <c r="HMG3" i="25"/>
  <c r="HMF3" i="25"/>
  <c r="HME3" i="25"/>
  <c r="HMD3" i="25"/>
  <c r="HMC3" i="25"/>
  <c r="HMB3" i="25"/>
  <c r="HMA3" i="25"/>
  <c r="HLZ3" i="25"/>
  <c r="HLY3" i="25"/>
  <c r="HLX3" i="25"/>
  <c r="HLW3" i="25"/>
  <c r="HLV3" i="25"/>
  <c r="HLU3" i="25"/>
  <c r="HLT3" i="25"/>
  <c r="HLS3" i="25"/>
  <c r="HLR3" i="25"/>
  <c r="HLQ3" i="25"/>
  <c r="HLP3" i="25"/>
  <c r="HLO3" i="25"/>
  <c r="HLN3" i="25"/>
  <c r="HLM3" i="25"/>
  <c r="HLL3" i="25"/>
  <c r="HLK3" i="25"/>
  <c r="HLJ3" i="25"/>
  <c r="HLI3" i="25"/>
  <c r="HLH3" i="25"/>
  <c r="HLG3" i="25"/>
  <c r="HLF3" i="25"/>
  <c r="HLE3" i="25"/>
  <c r="HLD3" i="25"/>
  <c r="HLC3" i="25"/>
  <c r="HLB3" i="25"/>
  <c r="HLA3" i="25"/>
  <c r="HKZ3" i="25"/>
  <c r="HKY3" i="25"/>
  <c r="HKX3" i="25"/>
  <c r="HKW3" i="25"/>
  <c r="HKV3" i="25"/>
  <c r="HKU3" i="25"/>
  <c r="HKT3" i="25"/>
  <c r="HKS3" i="25"/>
  <c r="HKR3" i="25"/>
  <c r="HKQ3" i="25"/>
  <c r="HKP3" i="25"/>
  <c r="HKO3" i="25"/>
  <c r="HKN3" i="25"/>
  <c r="HKM3" i="25"/>
  <c r="HKL3" i="25"/>
  <c r="HKK3" i="25"/>
  <c r="HKJ3" i="25"/>
  <c r="HKI3" i="25"/>
  <c r="HKH3" i="25"/>
  <c r="HKG3" i="25"/>
  <c r="HKF3" i="25"/>
  <c r="HKE3" i="25"/>
  <c r="HKD3" i="25"/>
  <c r="HKC3" i="25"/>
  <c r="HKB3" i="25"/>
  <c r="HKA3" i="25"/>
  <c r="HJZ3" i="25"/>
  <c r="HJY3" i="25"/>
  <c r="HJX3" i="25"/>
  <c r="HJW3" i="25"/>
  <c r="HJV3" i="25"/>
  <c r="HJU3" i="25"/>
  <c r="HJT3" i="25"/>
  <c r="HJS3" i="25"/>
  <c r="HJR3" i="25"/>
  <c r="HJQ3" i="25"/>
  <c r="HJP3" i="25"/>
  <c r="HJO3" i="25"/>
  <c r="HJN3" i="25"/>
  <c r="HJM3" i="25"/>
  <c r="HJL3" i="25"/>
  <c r="HJK3" i="25"/>
  <c r="HJJ3" i="25"/>
  <c r="HJI3" i="25"/>
  <c r="HJH3" i="25"/>
  <c r="HJG3" i="25"/>
  <c r="HJF3" i="25"/>
  <c r="HJE3" i="25"/>
  <c r="HJD3" i="25"/>
  <c r="HJC3" i="25"/>
  <c r="HJB3" i="25"/>
  <c r="HJA3" i="25"/>
  <c r="HIZ3" i="25"/>
  <c r="HIY3" i="25"/>
  <c r="HIX3" i="25"/>
  <c r="HIW3" i="25"/>
  <c r="HIV3" i="25"/>
  <c r="HIU3" i="25"/>
  <c r="HIT3" i="25"/>
  <c r="HIS3" i="25"/>
  <c r="HIR3" i="25"/>
  <c r="HIQ3" i="25"/>
  <c r="HIP3" i="25"/>
  <c r="HIO3" i="25"/>
  <c r="HIN3" i="25"/>
  <c r="HIM3" i="25"/>
  <c r="HIL3" i="25"/>
  <c r="HIK3" i="25"/>
  <c r="HIJ3" i="25"/>
  <c r="HII3" i="25"/>
  <c r="HIH3" i="25"/>
  <c r="HIG3" i="25"/>
  <c r="HIF3" i="25"/>
  <c r="HIE3" i="25"/>
  <c r="HID3" i="25"/>
  <c r="HIC3" i="25"/>
  <c r="HIB3" i="25"/>
  <c r="HIA3" i="25"/>
  <c r="HHZ3" i="25"/>
  <c r="HHY3" i="25"/>
  <c r="HHX3" i="25"/>
  <c r="HHW3" i="25"/>
  <c r="HHV3" i="25"/>
  <c r="HHU3" i="25"/>
  <c r="HHT3" i="25"/>
  <c r="HHS3" i="25"/>
  <c r="HHR3" i="25"/>
  <c r="HHQ3" i="25"/>
  <c r="HHP3" i="25"/>
  <c r="HHO3" i="25"/>
  <c r="HHN3" i="25"/>
  <c r="HHM3" i="25"/>
  <c r="HHL3" i="25"/>
  <c r="HHK3" i="25"/>
  <c r="HHJ3" i="25"/>
  <c r="HHI3" i="25"/>
  <c r="HHH3" i="25"/>
  <c r="HHG3" i="25"/>
  <c r="HHF3" i="25"/>
  <c r="HHE3" i="25"/>
  <c r="HHD3" i="25"/>
  <c r="HHC3" i="25"/>
  <c r="HHB3" i="25"/>
  <c r="HHA3" i="25"/>
  <c r="HGZ3" i="25"/>
  <c r="HGY3" i="25"/>
  <c r="HGX3" i="25"/>
  <c r="HGW3" i="25"/>
  <c r="HGV3" i="25"/>
  <c r="HGU3" i="25"/>
  <c r="HGT3" i="25"/>
  <c r="HGS3" i="25"/>
  <c r="HGR3" i="25"/>
  <c r="HGQ3" i="25"/>
  <c r="HGP3" i="25"/>
  <c r="HGO3" i="25"/>
  <c r="HGN3" i="25"/>
  <c r="HGM3" i="25"/>
  <c r="HGL3" i="25"/>
  <c r="HGK3" i="25"/>
  <c r="HGJ3" i="25"/>
  <c r="HGI3" i="25"/>
  <c r="HGH3" i="25"/>
  <c r="HGG3" i="25"/>
  <c r="HGF3" i="25"/>
  <c r="HGE3" i="25"/>
  <c r="HGD3" i="25"/>
  <c r="HGC3" i="25"/>
  <c r="HGB3" i="25"/>
  <c r="HGA3" i="25"/>
  <c r="HFZ3" i="25"/>
  <c r="HFY3" i="25"/>
  <c r="HFX3" i="25"/>
  <c r="HFW3" i="25"/>
  <c r="HFV3" i="25"/>
  <c r="HFU3" i="25"/>
  <c r="HFT3" i="25"/>
  <c r="HFS3" i="25"/>
  <c r="HFR3" i="25"/>
  <c r="HFQ3" i="25"/>
  <c r="HFP3" i="25"/>
  <c r="HFO3" i="25"/>
  <c r="HFN3" i="25"/>
  <c r="HFM3" i="25"/>
  <c r="HFL3" i="25"/>
  <c r="HFK3" i="25"/>
  <c r="HFJ3" i="25"/>
  <c r="HFI3" i="25"/>
  <c r="HFH3" i="25"/>
  <c r="HFG3" i="25"/>
  <c r="HFF3" i="25"/>
  <c r="HFE3" i="25"/>
  <c r="HFD3" i="25"/>
  <c r="HFC3" i="25"/>
  <c r="HFB3" i="25"/>
  <c r="HFA3" i="25"/>
  <c r="HEZ3" i="25"/>
  <c r="HEY3" i="25"/>
  <c r="HEX3" i="25"/>
  <c r="HEW3" i="25"/>
  <c r="HEV3" i="25"/>
  <c r="HEU3" i="25"/>
  <c r="HET3" i="25"/>
  <c r="HES3" i="25"/>
  <c r="HER3" i="25"/>
  <c r="HEQ3" i="25"/>
  <c r="HEP3" i="25"/>
  <c r="HEO3" i="25"/>
  <c r="HEN3" i="25"/>
  <c r="HEM3" i="25"/>
  <c r="HEL3" i="25"/>
  <c r="HEK3" i="25"/>
  <c r="HEJ3" i="25"/>
  <c r="HEI3" i="25"/>
  <c r="HEH3" i="25"/>
  <c r="HEG3" i="25"/>
  <c r="HEF3" i="25"/>
  <c r="HEE3" i="25"/>
  <c r="HED3" i="25"/>
  <c r="HEC3" i="25"/>
  <c r="HEB3" i="25"/>
  <c r="HEA3" i="25"/>
  <c r="HDZ3" i="25"/>
  <c r="HDY3" i="25"/>
  <c r="HDX3" i="25"/>
  <c r="HDW3" i="25"/>
  <c r="HDV3" i="25"/>
  <c r="HDU3" i="25"/>
  <c r="HDT3" i="25"/>
  <c r="HDS3" i="25"/>
  <c r="HDR3" i="25"/>
  <c r="HDQ3" i="25"/>
  <c r="HDP3" i="25"/>
  <c r="HDO3" i="25"/>
  <c r="HDN3" i="25"/>
  <c r="HDM3" i="25"/>
  <c r="HDL3" i="25"/>
  <c r="HDK3" i="25"/>
  <c r="HDJ3" i="25"/>
  <c r="HDI3" i="25"/>
  <c r="HDH3" i="25"/>
  <c r="HDG3" i="25"/>
  <c r="HDF3" i="25"/>
  <c r="HDE3" i="25"/>
  <c r="HDD3" i="25"/>
  <c r="HDC3" i="25"/>
  <c r="HDB3" i="25"/>
  <c r="HDA3" i="25"/>
  <c r="HCZ3" i="25"/>
  <c r="HCY3" i="25"/>
  <c r="HCX3" i="25"/>
  <c r="HCW3" i="25"/>
  <c r="HCV3" i="25"/>
  <c r="HCU3" i="25"/>
  <c r="HCT3" i="25"/>
  <c r="HCS3" i="25"/>
  <c r="HCR3" i="25"/>
  <c r="HCQ3" i="25"/>
  <c r="HCP3" i="25"/>
  <c r="HCO3" i="25"/>
  <c r="HCN3" i="25"/>
  <c r="HCM3" i="25"/>
  <c r="HCL3" i="25"/>
  <c r="HCK3" i="25"/>
  <c r="HCJ3" i="25"/>
  <c r="HCI3" i="25"/>
  <c r="HCH3" i="25"/>
  <c r="HCG3" i="25"/>
  <c r="HCF3" i="25"/>
  <c r="HCE3" i="25"/>
  <c r="HCD3" i="25"/>
  <c r="HCC3" i="25"/>
  <c r="HCB3" i="25"/>
  <c r="HCA3" i="25"/>
  <c r="HBZ3" i="25"/>
  <c r="HBY3" i="25"/>
  <c r="HBX3" i="25"/>
  <c r="HBW3" i="25"/>
  <c r="HBV3" i="25"/>
  <c r="HBU3" i="25"/>
  <c r="HBT3" i="25"/>
  <c r="HBS3" i="25"/>
  <c r="HBR3" i="25"/>
  <c r="HBQ3" i="25"/>
  <c r="HBP3" i="25"/>
  <c r="HBO3" i="25"/>
  <c r="HBN3" i="25"/>
  <c r="HBM3" i="25"/>
  <c r="HBL3" i="25"/>
  <c r="HBK3" i="25"/>
  <c r="HBJ3" i="25"/>
  <c r="HBI3" i="25"/>
  <c r="HBH3" i="25"/>
  <c r="HBG3" i="25"/>
  <c r="HBF3" i="25"/>
  <c r="HBE3" i="25"/>
  <c r="HBD3" i="25"/>
  <c r="HBC3" i="25"/>
  <c r="HBB3" i="25"/>
  <c r="HBA3" i="25"/>
  <c r="HAZ3" i="25"/>
  <c r="HAY3" i="25"/>
  <c r="HAX3" i="25"/>
  <c r="HAW3" i="25"/>
  <c r="HAV3" i="25"/>
  <c r="HAU3" i="25"/>
  <c r="HAT3" i="25"/>
  <c r="HAS3" i="25"/>
  <c r="HAR3" i="25"/>
  <c r="HAQ3" i="25"/>
  <c r="HAP3" i="25"/>
  <c r="HAO3" i="25"/>
  <c r="HAN3" i="25"/>
  <c r="HAM3" i="25"/>
  <c r="HAL3" i="25"/>
  <c r="HAK3" i="25"/>
  <c r="HAJ3" i="25"/>
  <c r="HAI3" i="25"/>
  <c r="HAH3" i="25"/>
  <c r="HAG3" i="25"/>
  <c r="HAF3" i="25"/>
  <c r="HAE3" i="25"/>
  <c r="HAD3" i="25"/>
  <c r="HAC3" i="25"/>
  <c r="HAB3" i="25"/>
  <c r="HAA3" i="25"/>
  <c r="GZZ3" i="25"/>
  <c r="GZY3" i="25"/>
  <c r="GZX3" i="25"/>
  <c r="GZW3" i="25"/>
  <c r="GZV3" i="25"/>
  <c r="GZU3" i="25"/>
  <c r="GZT3" i="25"/>
  <c r="GZS3" i="25"/>
  <c r="GZR3" i="25"/>
  <c r="GZQ3" i="25"/>
  <c r="GZP3" i="25"/>
  <c r="GZO3" i="25"/>
  <c r="GZN3" i="25"/>
  <c r="GZM3" i="25"/>
  <c r="GZL3" i="25"/>
  <c r="GZK3" i="25"/>
  <c r="GZJ3" i="25"/>
  <c r="GZI3" i="25"/>
  <c r="GZH3" i="25"/>
  <c r="GZG3" i="25"/>
  <c r="GZF3" i="25"/>
  <c r="GZE3" i="25"/>
  <c r="GZD3" i="25"/>
  <c r="GZC3" i="25"/>
  <c r="GZB3" i="25"/>
  <c r="GZA3" i="25"/>
  <c r="GYZ3" i="25"/>
  <c r="GYY3" i="25"/>
  <c r="GYX3" i="25"/>
  <c r="GYW3" i="25"/>
  <c r="GYV3" i="25"/>
  <c r="GYU3" i="25"/>
  <c r="GYT3" i="25"/>
  <c r="GYS3" i="25"/>
  <c r="GYR3" i="25"/>
  <c r="GYQ3" i="25"/>
  <c r="GYP3" i="25"/>
  <c r="GYO3" i="25"/>
  <c r="GYN3" i="25"/>
  <c r="GYM3" i="25"/>
  <c r="GYL3" i="25"/>
  <c r="GYK3" i="25"/>
  <c r="GYJ3" i="25"/>
  <c r="GYI3" i="25"/>
  <c r="GYH3" i="25"/>
  <c r="GYG3" i="25"/>
  <c r="GYF3" i="25"/>
  <c r="GYE3" i="25"/>
  <c r="GYD3" i="25"/>
  <c r="GYC3" i="25"/>
  <c r="GYB3" i="25"/>
  <c r="GYA3" i="25"/>
  <c r="GXZ3" i="25"/>
  <c r="GXY3" i="25"/>
  <c r="GXX3" i="25"/>
  <c r="GXW3" i="25"/>
  <c r="GXV3" i="25"/>
  <c r="GXU3" i="25"/>
  <c r="GXT3" i="25"/>
  <c r="GXS3" i="25"/>
  <c r="GXR3" i="25"/>
  <c r="GXQ3" i="25"/>
  <c r="GXP3" i="25"/>
  <c r="GXO3" i="25"/>
  <c r="GXN3" i="25"/>
  <c r="GXM3" i="25"/>
  <c r="GXL3" i="25"/>
  <c r="GXK3" i="25"/>
  <c r="GXJ3" i="25"/>
  <c r="GXI3" i="25"/>
  <c r="GXH3" i="25"/>
  <c r="GXG3" i="25"/>
  <c r="GXF3" i="25"/>
  <c r="GXE3" i="25"/>
  <c r="GXD3" i="25"/>
  <c r="GXC3" i="25"/>
  <c r="GXB3" i="25"/>
  <c r="GXA3" i="25"/>
  <c r="GWZ3" i="25"/>
  <c r="GWY3" i="25"/>
  <c r="GWX3" i="25"/>
  <c r="GWW3" i="25"/>
  <c r="GWV3" i="25"/>
  <c r="GWU3" i="25"/>
  <c r="GWT3" i="25"/>
  <c r="GWS3" i="25"/>
  <c r="GWR3" i="25"/>
  <c r="GWQ3" i="25"/>
  <c r="GWP3" i="25"/>
  <c r="GWO3" i="25"/>
  <c r="GWN3" i="25"/>
  <c r="GWM3" i="25"/>
  <c r="GWL3" i="25"/>
  <c r="GWK3" i="25"/>
  <c r="GWJ3" i="25"/>
  <c r="GWI3" i="25"/>
  <c r="GWH3" i="25"/>
  <c r="GWG3" i="25"/>
  <c r="GWF3" i="25"/>
  <c r="GWE3" i="25"/>
  <c r="GWD3" i="25"/>
  <c r="GWC3" i="25"/>
  <c r="GWB3" i="25"/>
  <c r="GWA3" i="25"/>
  <c r="GVZ3" i="25"/>
  <c r="GVY3" i="25"/>
  <c r="GVX3" i="25"/>
  <c r="GVW3" i="25"/>
  <c r="GVV3" i="25"/>
  <c r="GVU3" i="25"/>
  <c r="GVT3" i="25"/>
  <c r="GVS3" i="25"/>
  <c r="GVR3" i="25"/>
  <c r="GVQ3" i="25"/>
  <c r="GVP3" i="25"/>
  <c r="GVO3" i="25"/>
  <c r="GVN3" i="25"/>
  <c r="GVM3" i="25"/>
  <c r="GVL3" i="25"/>
  <c r="GVK3" i="25"/>
  <c r="GVJ3" i="25"/>
  <c r="GVI3" i="25"/>
  <c r="GVH3" i="25"/>
  <c r="GVG3" i="25"/>
  <c r="GVF3" i="25"/>
  <c r="GVE3" i="25"/>
  <c r="GVD3" i="25"/>
  <c r="GVC3" i="25"/>
  <c r="GVB3" i="25"/>
  <c r="GVA3" i="25"/>
  <c r="GUZ3" i="25"/>
  <c r="GUY3" i="25"/>
  <c r="GUX3" i="25"/>
  <c r="GUW3" i="25"/>
  <c r="GUV3" i="25"/>
  <c r="GUU3" i="25"/>
  <c r="GUT3" i="25"/>
  <c r="GUS3" i="25"/>
  <c r="GUR3" i="25"/>
  <c r="GUQ3" i="25"/>
  <c r="GUP3" i="25"/>
  <c r="GUO3" i="25"/>
  <c r="GUN3" i="25"/>
  <c r="GUM3" i="25"/>
  <c r="GUL3" i="25"/>
  <c r="GUK3" i="25"/>
  <c r="GUJ3" i="25"/>
  <c r="GUI3" i="25"/>
  <c r="GUH3" i="25"/>
  <c r="GUG3" i="25"/>
  <c r="GUF3" i="25"/>
  <c r="GUE3" i="25"/>
  <c r="GUD3" i="25"/>
  <c r="GUC3" i="25"/>
  <c r="GUB3" i="25"/>
  <c r="GUA3" i="25"/>
  <c r="GTZ3" i="25"/>
  <c r="GTY3" i="25"/>
  <c r="GTX3" i="25"/>
  <c r="GTW3" i="25"/>
  <c r="GTV3" i="25"/>
  <c r="GTU3" i="25"/>
  <c r="GTT3" i="25"/>
  <c r="GTS3" i="25"/>
  <c r="GTR3" i="25"/>
  <c r="GTQ3" i="25"/>
  <c r="GTP3" i="25"/>
  <c r="GTO3" i="25"/>
  <c r="GTN3" i="25"/>
  <c r="GTM3" i="25"/>
  <c r="GTL3" i="25"/>
  <c r="GTK3" i="25"/>
  <c r="GTJ3" i="25"/>
  <c r="GTI3" i="25"/>
  <c r="GTH3" i="25"/>
  <c r="GTG3" i="25"/>
  <c r="GTF3" i="25"/>
  <c r="GTE3" i="25"/>
  <c r="GTD3" i="25"/>
  <c r="GTC3" i="25"/>
  <c r="GTB3" i="25"/>
  <c r="GTA3" i="25"/>
  <c r="GSZ3" i="25"/>
  <c r="GSY3" i="25"/>
  <c r="GSX3" i="25"/>
  <c r="GSW3" i="25"/>
  <c r="GSV3" i="25"/>
  <c r="GSU3" i="25"/>
  <c r="GST3" i="25"/>
  <c r="GSS3" i="25"/>
  <c r="GSR3" i="25"/>
  <c r="GSQ3" i="25"/>
  <c r="GSP3" i="25"/>
  <c r="GSO3" i="25"/>
  <c r="GSN3" i="25"/>
  <c r="GSM3" i="25"/>
  <c r="GSL3" i="25"/>
  <c r="GSK3" i="25"/>
  <c r="GSJ3" i="25"/>
  <c r="GSI3" i="25"/>
  <c r="GSH3" i="25"/>
  <c r="GSG3" i="25"/>
  <c r="GSF3" i="25"/>
  <c r="GSE3" i="25"/>
  <c r="GSD3" i="25"/>
  <c r="GSC3" i="25"/>
  <c r="GSB3" i="25"/>
  <c r="GSA3" i="25"/>
  <c r="GRZ3" i="25"/>
  <c r="GRY3" i="25"/>
  <c r="GRX3" i="25"/>
  <c r="GRW3" i="25"/>
  <c r="GRV3" i="25"/>
  <c r="GRU3" i="25"/>
  <c r="GRT3" i="25"/>
  <c r="GRS3" i="25"/>
  <c r="GRR3" i="25"/>
  <c r="GRQ3" i="25"/>
  <c r="GRP3" i="25"/>
  <c r="GRO3" i="25"/>
  <c r="GRN3" i="25"/>
  <c r="GRM3" i="25"/>
  <c r="GRL3" i="25"/>
  <c r="GRK3" i="25"/>
  <c r="GRJ3" i="25"/>
  <c r="GRI3" i="25"/>
  <c r="GRH3" i="25"/>
  <c r="GRG3" i="25"/>
  <c r="GRF3" i="25"/>
  <c r="GRE3" i="25"/>
  <c r="GRD3" i="25"/>
  <c r="GRC3" i="25"/>
  <c r="GRB3" i="25"/>
  <c r="GRA3" i="25"/>
  <c r="GQZ3" i="25"/>
  <c r="GQY3" i="25"/>
  <c r="GQX3" i="25"/>
  <c r="GQW3" i="25"/>
  <c r="GQV3" i="25"/>
  <c r="GQU3" i="25"/>
  <c r="GQT3" i="25"/>
  <c r="GQS3" i="25"/>
  <c r="GQR3" i="25"/>
  <c r="GQQ3" i="25"/>
  <c r="GQP3" i="25"/>
  <c r="GQO3" i="25"/>
  <c r="GQN3" i="25"/>
  <c r="GQM3" i="25"/>
  <c r="GQL3" i="25"/>
  <c r="GQK3" i="25"/>
  <c r="GQJ3" i="25"/>
  <c r="GQI3" i="25"/>
  <c r="GQH3" i="25"/>
  <c r="GQG3" i="25"/>
  <c r="GQF3" i="25"/>
  <c r="GQE3" i="25"/>
  <c r="GQD3" i="25"/>
  <c r="GQC3" i="25"/>
  <c r="GQB3" i="25"/>
  <c r="GQA3" i="25"/>
  <c r="GPZ3" i="25"/>
  <c r="GPY3" i="25"/>
  <c r="GPX3" i="25"/>
  <c r="GPW3" i="25"/>
  <c r="GPV3" i="25"/>
  <c r="GPU3" i="25"/>
  <c r="GPT3" i="25"/>
  <c r="GPS3" i="25"/>
  <c r="GPR3" i="25"/>
  <c r="GPQ3" i="25"/>
  <c r="GPP3" i="25"/>
  <c r="GPO3" i="25"/>
  <c r="GPN3" i="25"/>
  <c r="GPM3" i="25"/>
  <c r="GPL3" i="25"/>
  <c r="GPK3" i="25"/>
  <c r="GPJ3" i="25"/>
  <c r="GPI3" i="25"/>
  <c r="GPH3" i="25"/>
  <c r="GPG3" i="25"/>
  <c r="GPF3" i="25"/>
  <c r="GPE3" i="25"/>
  <c r="GPD3" i="25"/>
  <c r="GPC3" i="25"/>
  <c r="GPB3" i="25"/>
  <c r="GPA3" i="25"/>
  <c r="GOZ3" i="25"/>
  <c r="GOY3" i="25"/>
  <c r="GOX3" i="25"/>
  <c r="GOW3" i="25"/>
  <c r="GOV3" i="25"/>
  <c r="GOU3" i="25"/>
  <c r="GOT3" i="25"/>
  <c r="GOS3" i="25"/>
  <c r="GOR3" i="25"/>
  <c r="GOQ3" i="25"/>
  <c r="GOP3" i="25"/>
  <c r="GOO3" i="25"/>
  <c r="GON3" i="25"/>
  <c r="GOM3" i="25"/>
  <c r="GOL3" i="25"/>
  <c r="GOK3" i="25"/>
  <c r="GOJ3" i="25"/>
  <c r="GOI3" i="25"/>
  <c r="GOH3" i="25"/>
  <c r="GOG3" i="25"/>
  <c r="GOF3" i="25"/>
  <c r="GOE3" i="25"/>
  <c r="GOD3" i="25"/>
  <c r="GOC3" i="25"/>
  <c r="GOB3" i="25"/>
  <c r="GOA3" i="25"/>
  <c r="GNZ3" i="25"/>
  <c r="GNY3" i="25"/>
  <c r="GNX3" i="25"/>
  <c r="GNW3" i="25"/>
  <c r="GNV3" i="25"/>
  <c r="GNU3" i="25"/>
  <c r="GNT3" i="25"/>
  <c r="GNS3" i="25"/>
  <c r="GNR3" i="25"/>
  <c r="GNQ3" i="25"/>
  <c r="GNP3" i="25"/>
  <c r="GNO3" i="25"/>
  <c r="GNN3" i="25"/>
  <c r="GNM3" i="25"/>
  <c r="GNL3" i="25"/>
  <c r="GNK3" i="25"/>
  <c r="GNJ3" i="25"/>
  <c r="GNI3" i="25"/>
  <c r="GNH3" i="25"/>
  <c r="GNG3" i="25"/>
  <c r="GNF3" i="25"/>
  <c r="GNE3" i="25"/>
  <c r="GND3" i="25"/>
  <c r="GNC3" i="25"/>
  <c r="GNB3" i="25"/>
  <c r="GNA3" i="25"/>
  <c r="GMZ3" i="25"/>
  <c r="GMY3" i="25"/>
  <c r="GMX3" i="25"/>
  <c r="GMW3" i="25"/>
  <c r="GMV3" i="25"/>
  <c r="GMU3" i="25"/>
  <c r="GMT3" i="25"/>
  <c r="GMS3" i="25"/>
  <c r="GMR3" i="25"/>
  <c r="GMQ3" i="25"/>
  <c r="GMP3" i="25"/>
  <c r="GMO3" i="25"/>
  <c r="GMN3" i="25"/>
  <c r="GMM3" i="25"/>
  <c r="GML3" i="25"/>
  <c r="GMK3" i="25"/>
  <c r="GMJ3" i="25"/>
  <c r="GMI3" i="25"/>
  <c r="GMH3" i="25"/>
  <c r="GMG3" i="25"/>
  <c r="GMF3" i="25"/>
  <c r="GME3" i="25"/>
  <c r="GMD3" i="25"/>
  <c r="GMC3" i="25"/>
  <c r="GMB3" i="25"/>
  <c r="GMA3" i="25"/>
  <c r="GLZ3" i="25"/>
  <c r="GLY3" i="25"/>
  <c r="GLX3" i="25"/>
  <c r="GLW3" i="25"/>
  <c r="GLV3" i="25"/>
  <c r="GLU3" i="25"/>
  <c r="GLT3" i="25"/>
  <c r="GLS3" i="25"/>
  <c r="GLR3" i="25"/>
  <c r="GLQ3" i="25"/>
  <c r="GLP3" i="25"/>
  <c r="GLO3" i="25"/>
  <c r="GLN3" i="25"/>
  <c r="GLM3" i="25"/>
  <c r="GLL3" i="25"/>
  <c r="GLK3" i="25"/>
  <c r="GLJ3" i="25"/>
  <c r="GLI3" i="25"/>
  <c r="GLH3" i="25"/>
  <c r="GLG3" i="25"/>
  <c r="GLF3" i="25"/>
  <c r="GLE3" i="25"/>
  <c r="GLD3" i="25"/>
  <c r="GLC3" i="25"/>
  <c r="GLB3" i="25"/>
  <c r="GLA3" i="25"/>
  <c r="GKZ3" i="25"/>
  <c r="GKY3" i="25"/>
  <c r="GKX3" i="25"/>
  <c r="GKW3" i="25"/>
  <c r="GKV3" i="25"/>
  <c r="GKU3" i="25"/>
  <c r="GKT3" i="25"/>
  <c r="GKS3" i="25"/>
  <c r="GKR3" i="25"/>
  <c r="GKQ3" i="25"/>
  <c r="GKP3" i="25"/>
  <c r="GKO3" i="25"/>
  <c r="GKN3" i="25"/>
  <c r="GKM3" i="25"/>
  <c r="GKL3" i="25"/>
  <c r="GKK3" i="25"/>
  <c r="GKJ3" i="25"/>
  <c r="GKI3" i="25"/>
  <c r="GKH3" i="25"/>
  <c r="GKG3" i="25"/>
  <c r="GKF3" i="25"/>
  <c r="GKE3" i="25"/>
  <c r="GKD3" i="25"/>
  <c r="GKC3" i="25"/>
  <c r="GKB3" i="25"/>
  <c r="GKA3" i="25"/>
  <c r="GJZ3" i="25"/>
  <c r="GJY3" i="25"/>
  <c r="GJX3" i="25"/>
  <c r="GJW3" i="25"/>
  <c r="GJV3" i="25"/>
  <c r="GJU3" i="25"/>
  <c r="GJT3" i="25"/>
  <c r="GJS3" i="25"/>
  <c r="GJR3" i="25"/>
  <c r="GJQ3" i="25"/>
  <c r="GJP3" i="25"/>
  <c r="GJO3" i="25"/>
  <c r="GJN3" i="25"/>
  <c r="GJM3" i="25"/>
  <c r="GJL3" i="25"/>
  <c r="GJK3" i="25"/>
  <c r="GJJ3" i="25"/>
  <c r="GJI3" i="25"/>
  <c r="GJH3" i="25"/>
  <c r="GJG3" i="25"/>
  <c r="GJF3" i="25"/>
  <c r="GJE3" i="25"/>
  <c r="GJD3" i="25"/>
  <c r="GJC3" i="25"/>
  <c r="GJB3" i="25"/>
  <c r="GJA3" i="25"/>
  <c r="GIZ3" i="25"/>
  <c r="GIY3" i="25"/>
  <c r="GIX3" i="25"/>
  <c r="GIW3" i="25"/>
  <c r="GIV3" i="25"/>
  <c r="GIU3" i="25"/>
  <c r="GIT3" i="25"/>
  <c r="GIS3" i="25"/>
  <c r="GIR3" i="25"/>
  <c r="GIQ3" i="25"/>
  <c r="GIP3" i="25"/>
  <c r="GIO3" i="25"/>
  <c r="GIN3" i="25"/>
  <c r="GIM3" i="25"/>
  <c r="GIL3" i="25"/>
  <c r="GIK3" i="25"/>
  <c r="GIJ3" i="25"/>
  <c r="GII3" i="25"/>
  <c r="GIH3" i="25"/>
  <c r="GIG3" i="25"/>
  <c r="GIF3" i="25"/>
  <c r="GIE3" i="25"/>
  <c r="GID3" i="25"/>
  <c r="GIC3" i="25"/>
  <c r="GIB3" i="25"/>
  <c r="GIA3" i="25"/>
  <c r="GHZ3" i="25"/>
  <c r="GHY3" i="25"/>
  <c r="GHX3" i="25"/>
  <c r="GHW3" i="25"/>
  <c r="GHV3" i="25"/>
  <c r="GHU3" i="25"/>
  <c r="GHT3" i="25"/>
  <c r="GHS3" i="25"/>
  <c r="GHR3" i="25"/>
  <c r="GHQ3" i="25"/>
  <c r="GHP3" i="25"/>
  <c r="GHO3" i="25"/>
  <c r="GHN3" i="25"/>
  <c r="GHM3" i="25"/>
  <c r="GHL3" i="25"/>
  <c r="GHK3" i="25"/>
  <c r="GHJ3" i="25"/>
  <c r="GHI3" i="25"/>
  <c r="GHH3" i="25"/>
  <c r="GHG3" i="25"/>
  <c r="GHF3" i="25"/>
  <c r="GHE3" i="25"/>
  <c r="GHD3" i="25"/>
  <c r="GHC3" i="25"/>
  <c r="GHB3" i="25"/>
  <c r="GHA3" i="25"/>
  <c r="GGZ3" i="25"/>
  <c r="GGY3" i="25"/>
  <c r="GGX3" i="25"/>
  <c r="GGW3" i="25"/>
  <c r="GGV3" i="25"/>
  <c r="GGU3" i="25"/>
  <c r="GGT3" i="25"/>
  <c r="GGS3" i="25"/>
  <c r="GGR3" i="25"/>
  <c r="GGQ3" i="25"/>
  <c r="GGP3" i="25"/>
  <c r="GGO3" i="25"/>
  <c r="GGN3" i="25"/>
  <c r="GGM3" i="25"/>
  <c r="GGL3" i="25"/>
  <c r="GGK3" i="25"/>
  <c r="GGJ3" i="25"/>
  <c r="GGI3" i="25"/>
  <c r="GGH3" i="25"/>
  <c r="GGG3" i="25"/>
  <c r="GGF3" i="25"/>
  <c r="GGE3" i="25"/>
  <c r="GGD3" i="25"/>
  <c r="GGC3" i="25"/>
  <c r="GGB3" i="25"/>
  <c r="GGA3" i="25"/>
  <c r="GFZ3" i="25"/>
  <c r="GFY3" i="25"/>
  <c r="GFX3" i="25"/>
  <c r="GFW3" i="25"/>
  <c r="GFV3" i="25"/>
  <c r="GFU3" i="25"/>
  <c r="GFT3" i="25"/>
  <c r="GFS3" i="25"/>
  <c r="GFR3" i="25"/>
  <c r="GFQ3" i="25"/>
  <c r="GFP3" i="25"/>
  <c r="GFO3" i="25"/>
  <c r="GFN3" i="25"/>
  <c r="GFM3" i="25"/>
  <c r="GFL3" i="25"/>
  <c r="GFK3" i="25"/>
  <c r="GFJ3" i="25"/>
  <c r="GFI3" i="25"/>
  <c r="GFH3" i="25"/>
  <c r="GFG3" i="25"/>
  <c r="GFF3" i="25"/>
  <c r="GFE3" i="25"/>
  <c r="GFD3" i="25"/>
  <c r="GFC3" i="25"/>
  <c r="GFB3" i="25"/>
  <c r="GFA3" i="25"/>
  <c r="GEZ3" i="25"/>
  <c r="GEY3" i="25"/>
  <c r="GEX3" i="25"/>
  <c r="GEW3" i="25"/>
  <c r="GEV3" i="25"/>
  <c r="GEU3" i="25"/>
  <c r="GET3" i="25"/>
  <c r="GES3" i="25"/>
  <c r="GER3" i="25"/>
  <c r="GEQ3" i="25"/>
  <c r="GEP3" i="25"/>
  <c r="GEO3" i="25"/>
  <c r="GEN3" i="25"/>
  <c r="GEM3" i="25"/>
  <c r="GEL3" i="25"/>
  <c r="GEK3" i="25"/>
  <c r="GEJ3" i="25"/>
  <c r="GEI3" i="25"/>
  <c r="GEH3" i="25"/>
  <c r="GEG3" i="25"/>
  <c r="GEF3" i="25"/>
  <c r="GEE3" i="25"/>
  <c r="GED3" i="25"/>
  <c r="GEC3" i="25"/>
  <c r="GEB3" i="25"/>
  <c r="GEA3" i="25"/>
  <c r="GDZ3" i="25"/>
  <c r="GDY3" i="25"/>
  <c r="GDX3" i="25"/>
  <c r="GDW3" i="25"/>
  <c r="GDV3" i="25"/>
  <c r="GDU3" i="25"/>
  <c r="GDT3" i="25"/>
  <c r="GDS3" i="25"/>
  <c r="GDR3" i="25"/>
  <c r="GDQ3" i="25"/>
  <c r="GDP3" i="25"/>
  <c r="GDO3" i="25"/>
  <c r="GDN3" i="25"/>
  <c r="GDM3" i="25"/>
  <c r="GDL3" i="25"/>
  <c r="GDK3" i="25"/>
  <c r="GDJ3" i="25"/>
  <c r="GDI3" i="25"/>
  <c r="GDH3" i="25"/>
  <c r="GDG3" i="25"/>
  <c r="GDF3" i="25"/>
  <c r="GDE3" i="25"/>
  <c r="GDD3" i="25"/>
  <c r="GDC3" i="25"/>
  <c r="GDB3" i="25"/>
  <c r="GDA3" i="25"/>
  <c r="GCZ3" i="25"/>
  <c r="GCY3" i="25"/>
  <c r="GCX3" i="25"/>
  <c r="GCW3" i="25"/>
  <c r="GCV3" i="25"/>
  <c r="GCU3" i="25"/>
  <c r="GCT3" i="25"/>
  <c r="GCS3" i="25"/>
  <c r="GCR3" i="25"/>
  <c r="GCQ3" i="25"/>
  <c r="GCP3" i="25"/>
  <c r="GCO3" i="25"/>
  <c r="GCN3" i="25"/>
  <c r="GCM3" i="25"/>
  <c r="GCL3" i="25"/>
  <c r="GCK3" i="25"/>
  <c r="GCJ3" i="25"/>
  <c r="GCI3" i="25"/>
  <c r="GCH3" i="25"/>
  <c r="GCG3" i="25"/>
  <c r="GCF3" i="25"/>
  <c r="GCE3" i="25"/>
  <c r="GCD3" i="25"/>
  <c r="GCC3" i="25"/>
  <c r="GCB3" i="25"/>
  <c r="GCA3" i="25"/>
  <c r="GBZ3" i="25"/>
  <c r="GBY3" i="25"/>
  <c r="GBX3" i="25"/>
  <c r="GBW3" i="25"/>
  <c r="GBV3" i="25"/>
  <c r="GBU3" i="25"/>
  <c r="GBT3" i="25"/>
  <c r="GBS3" i="25"/>
  <c r="GBR3" i="25"/>
  <c r="GBQ3" i="25"/>
  <c r="GBP3" i="25"/>
  <c r="GBO3" i="25"/>
  <c r="GBN3" i="25"/>
  <c r="GBM3" i="25"/>
  <c r="GBL3" i="25"/>
  <c r="GBK3" i="25"/>
  <c r="GBJ3" i="25"/>
  <c r="GBI3" i="25"/>
  <c r="GBH3" i="25"/>
  <c r="GBG3" i="25"/>
  <c r="GBF3" i="25"/>
  <c r="GBE3" i="25"/>
  <c r="GBD3" i="25"/>
  <c r="GBC3" i="25"/>
  <c r="GBB3" i="25"/>
  <c r="GBA3" i="25"/>
  <c r="GAZ3" i="25"/>
  <c r="GAY3" i="25"/>
  <c r="GAX3" i="25"/>
  <c r="GAW3" i="25"/>
  <c r="GAV3" i="25"/>
  <c r="GAU3" i="25"/>
  <c r="GAT3" i="25"/>
  <c r="GAS3" i="25"/>
  <c r="GAR3" i="25"/>
  <c r="GAQ3" i="25"/>
  <c r="GAP3" i="25"/>
  <c r="GAO3" i="25"/>
  <c r="GAN3" i="25"/>
  <c r="GAM3" i="25"/>
  <c r="GAL3" i="25"/>
  <c r="GAK3" i="25"/>
  <c r="GAJ3" i="25"/>
  <c r="GAI3" i="25"/>
  <c r="GAH3" i="25"/>
  <c r="GAG3" i="25"/>
  <c r="GAF3" i="25"/>
  <c r="GAE3" i="25"/>
  <c r="GAD3" i="25"/>
  <c r="GAC3" i="25"/>
  <c r="GAB3" i="25"/>
  <c r="GAA3" i="25"/>
  <c r="FZZ3" i="25"/>
  <c r="FZY3" i="25"/>
  <c r="FZX3" i="25"/>
  <c r="FZW3" i="25"/>
  <c r="FZV3" i="25"/>
  <c r="FZU3" i="25"/>
  <c r="FZT3" i="25"/>
  <c r="FZS3" i="25"/>
  <c r="FZR3" i="25"/>
  <c r="FZQ3" i="25"/>
  <c r="FZP3" i="25"/>
  <c r="FZO3" i="25"/>
  <c r="FZN3" i="25"/>
  <c r="FZM3" i="25"/>
  <c r="FZL3" i="25"/>
  <c r="FZK3" i="25"/>
  <c r="FZJ3" i="25"/>
  <c r="FZI3" i="25"/>
  <c r="FZH3" i="25"/>
  <c r="FZG3" i="25"/>
  <c r="FZF3" i="25"/>
  <c r="FZE3" i="25"/>
  <c r="FZD3" i="25"/>
  <c r="FZC3" i="25"/>
  <c r="FZB3" i="25"/>
  <c r="FZA3" i="25"/>
  <c r="FYZ3" i="25"/>
  <c r="FYY3" i="25"/>
  <c r="FYX3" i="25"/>
  <c r="FYW3" i="25"/>
  <c r="FYV3" i="25"/>
  <c r="FYU3" i="25"/>
  <c r="FYT3" i="25"/>
  <c r="FYS3" i="25"/>
  <c r="FYR3" i="25"/>
  <c r="FYQ3" i="25"/>
  <c r="FYP3" i="25"/>
  <c r="FYO3" i="25"/>
  <c r="FYN3" i="25"/>
  <c r="FYM3" i="25"/>
  <c r="FYL3" i="25"/>
  <c r="FYK3" i="25"/>
  <c r="FYJ3" i="25"/>
  <c r="FYI3" i="25"/>
  <c r="FYH3" i="25"/>
  <c r="FYG3" i="25"/>
  <c r="FYF3" i="25"/>
  <c r="FYE3" i="25"/>
  <c r="FYD3" i="25"/>
  <c r="FYC3" i="25"/>
  <c r="FYB3" i="25"/>
  <c r="FYA3" i="25"/>
  <c r="FXZ3" i="25"/>
  <c r="FXY3" i="25"/>
  <c r="FXX3" i="25"/>
  <c r="FXW3" i="25"/>
  <c r="FXV3" i="25"/>
  <c r="FXU3" i="25"/>
  <c r="FXT3" i="25"/>
  <c r="FXS3" i="25"/>
  <c r="FXR3" i="25"/>
  <c r="FXQ3" i="25"/>
  <c r="FXP3" i="25"/>
  <c r="FXO3" i="25"/>
  <c r="FXN3" i="25"/>
  <c r="FXM3" i="25"/>
  <c r="FXL3" i="25"/>
  <c r="FXK3" i="25"/>
  <c r="FXJ3" i="25"/>
  <c r="FXI3" i="25"/>
  <c r="FXH3" i="25"/>
  <c r="FXG3" i="25"/>
  <c r="FXF3" i="25"/>
  <c r="FXE3" i="25"/>
  <c r="FXD3" i="25"/>
  <c r="FXC3" i="25"/>
  <c r="FXB3" i="25"/>
  <c r="FXA3" i="25"/>
  <c r="FWZ3" i="25"/>
  <c r="FWY3" i="25"/>
  <c r="FWX3" i="25"/>
  <c r="FWW3" i="25"/>
  <c r="FWV3" i="25"/>
  <c r="FWU3" i="25"/>
  <c r="FWT3" i="25"/>
  <c r="FWS3" i="25"/>
  <c r="FWR3" i="25"/>
  <c r="FWQ3" i="25"/>
  <c r="FWP3" i="25"/>
  <c r="FWO3" i="25"/>
  <c r="FWN3" i="25"/>
  <c r="FWM3" i="25"/>
  <c r="FWL3" i="25"/>
  <c r="FWK3" i="25"/>
  <c r="FWJ3" i="25"/>
  <c r="FWI3" i="25"/>
  <c r="FWH3" i="25"/>
  <c r="FWG3" i="25"/>
  <c r="FWF3" i="25"/>
  <c r="FWE3" i="25"/>
  <c r="FWD3" i="25"/>
  <c r="FWC3" i="25"/>
  <c r="FWB3" i="25"/>
  <c r="FWA3" i="25"/>
  <c r="FVZ3" i="25"/>
  <c r="FVY3" i="25"/>
  <c r="FVX3" i="25"/>
  <c r="FVW3" i="25"/>
  <c r="FVV3" i="25"/>
  <c r="FVU3" i="25"/>
  <c r="FVT3" i="25"/>
  <c r="FVS3" i="25"/>
  <c r="FVR3" i="25"/>
  <c r="FVQ3" i="25"/>
  <c r="FVP3" i="25"/>
  <c r="FVO3" i="25"/>
  <c r="FVN3" i="25"/>
  <c r="FVM3" i="25"/>
  <c r="FVL3" i="25"/>
  <c r="FVK3" i="25"/>
  <c r="FVJ3" i="25"/>
  <c r="FVI3" i="25"/>
  <c r="FVH3" i="25"/>
  <c r="FVG3" i="25"/>
  <c r="FVF3" i="25"/>
  <c r="FVE3" i="25"/>
  <c r="FVD3" i="25"/>
  <c r="FVC3" i="25"/>
  <c r="FVB3" i="25"/>
  <c r="FVA3" i="25"/>
  <c r="FUZ3" i="25"/>
  <c r="FUY3" i="25"/>
  <c r="FUX3" i="25"/>
  <c r="FUW3" i="25"/>
  <c r="FUV3" i="25"/>
  <c r="FUU3" i="25"/>
  <c r="FUT3" i="25"/>
  <c r="FUS3" i="25"/>
  <c r="FUR3" i="25"/>
  <c r="FUQ3" i="25"/>
  <c r="FUP3" i="25"/>
  <c r="FUO3" i="25"/>
  <c r="FUN3" i="25"/>
  <c r="FUM3" i="25"/>
  <c r="FUL3" i="25"/>
  <c r="FUK3" i="25"/>
  <c r="FUJ3" i="25"/>
  <c r="FUI3" i="25"/>
  <c r="FUH3" i="25"/>
  <c r="FUG3" i="25"/>
  <c r="FUF3" i="25"/>
  <c r="FUE3" i="25"/>
  <c r="FUD3" i="25"/>
  <c r="FUC3" i="25"/>
  <c r="FUB3" i="25"/>
  <c r="FUA3" i="25"/>
  <c r="FTZ3" i="25"/>
  <c r="FTY3" i="25"/>
  <c r="FTX3" i="25"/>
  <c r="FTW3" i="25"/>
  <c r="FTV3" i="25"/>
  <c r="FTU3" i="25"/>
  <c r="FTT3" i="25"/>
  <c r="FTS3" i="25"/>
  <c r="FTR3" i="25"/>
  <c r="FTQ3" i="25"/>
  <c r="FTP3" i="25"/>
  <c r="FTO3" i="25"/>
  <c r="FTN3" i="25"/>
  <c r="FTM3" i="25"/>
  <c r="FTL3" i="25"/>
  <c r="FTK3" i="25"/>
  <c r="FTJ3" i="25"/>
  <c r="FTI3" i="25"/>
  <c r="FTH3" i="25"/>
  <c r="FTG3" i="25"/>
  <c r="FTF3" i="25"/>
  <c r="FTE3" i="25"/>
  <c r="FTD3" i="25"/>
  <c r="FTC3" i="25"/>
  <c r="FTB3" i="25"/>
  <c r="FTA3" i="25"/>
  <c r="FSZ3" i="25"/>
  <c r="FSY3" i="25"/>
  <c r="FSX3" i="25"/>
  <c r="FSW3" i="25"/>
  <c r="FSV3" i="25"/>
  <c r="FSU3" i="25"/>
  <c r="FST3" i="25"/>
  <c r="FSS3" i="25"/>
  <c r="FSR3" i="25"/>
  <c r="FSQ3" i="25"/>
  <c r="FSP3" i="25"/>
  <c r="FSO3" i="25"/>
  <c r="FSN3" i="25"/>
  <c r="FSM3" i="25"/>
  <c r="FSL3" i="25"/>
  <c r="FSK3" i="25"/>
  <c r="FSJ3" i="25"/>
  <c r="FSI3" i="25"/>
  <c r="FSH3" i="25"/>
  <c r="FSG3" i="25"/>
  <c r="FSF3" i="25"/>
  <c r="FSE3" i="25"/>
  <c r="FSD3" i="25"/>
  <c r="FSC3" i="25"/>
  <c r="FSB3" i="25"/>
  <c r="FSA3" i="25"/>
  <c r="FRZ3" i="25"/>
  <c r="FRY3" i="25"/>
  <c r="FRX3" i="25"/>
  <c r="FRW3" i="25"/>
  <c r="FRV3" i="25"/>
  <c r="FRU3" i="25"/>
  <c r="FRT3" i="25"/>
  <c r="FRS3" i="25"/>
  <c r="FRR3" i="25"/>
  <c r="FRQ3" i="25"/>
  <c r="FRP3" i="25"/>
  <c r="FRO3" i="25"/>
  <c r="FRN3" i="25"/>
  <c r="FRM3" i="25"/>
  <c r="FRL3" i="25"/>
  <c r="FRK3" i="25"/>
  <c r="FRJ3" i="25"/>
  <c r="FRI3" i="25"/>
  <c r="FRH3" i="25"/>
  <c r="FRG3" i="25"/>
  <c r="FRF3" i="25"/>
  <c r="FRE3" i="25"/>
  <c r="FRD3" i="25"/>
  <c r="FRC3" i="25"/>
  <c r="FRB3" i="25"/>
  <c r="FRA3" i="25"/>
  <c r="FQZ3" i="25"/>
  <c r="FQY3" i="25"/>
  <c r="FQX3" i="25"/>
  <c r="FQW3" i="25"/>
  <c r="FQV3" i="25"/>
  <c r="FQU3" i="25"/>
  <c r="FQT3" i="25"/>
  <c r="FQS3" i="25"/>
  <c r="FQR3" i="25"/>
  <c r="FQQ3" i="25"/>
  <c r="FQP3" i="25"/>
  <c r="FQO3" i="25"/>
  <c r="FQN3" i="25"/>
  <c r="FQM3" i="25"/>
  <c r="FQL3" i="25"/>
  <c r="FQK3" i="25"/>
  <c r="FQJ3" i="25"/>
  <c r="FQI3" i="25"/>
  <c r="FQH3" i="25"/>
  <c r="FQG3" i="25"/>
  <c r="FQF3" i="25"/>
  <c r="FQE3" i="25"/>
  <c r="FQD3" i="25"/>
  <c r="FQC3" i="25"/>
  <c r="FQB3" i="25"/>
  <c r="FQA3" i="25"/>
  <c r="FPZ3" i="25"/>
  <c r="FPY3" i="25"/>
  <c r="FPX3" i="25"/>
  <c r="FPW3" i="25"/>
  <c r="FPV3" i="25"/>
  <c r="FPU3" i="25"/>
  <c r="FPT3" i="25"/>
  <c r="FPS3" i="25"/>
  <c r="FPR3" i="25"/>
  <c r="FPQ3" i="25"/>
  <c r="FPP3" i="25"/>
  <c r="FPO3" i="25"/>
  <c r="FPN3" i="25"/>
  <c r="FPM3" i="25"/>
  <c r="FPL3" i="25"/>
  <c r="FPK3" i="25"/>
  <c r="FPJ3" i="25"/>
  <c r="FPI3" i="25"/>
  <c r="FPH3" i="25"/>
  <c r="FPG3" i="25"/>
  <c r="FPF3" i="25"/>
  <c r="FPE3" i="25"/>
  <c r="FPD3" i="25"/>
  <c r="FPC3" i="25"/>
  <c r="FPB3" i="25"/>
  <c r="FPA3" i="25"/>
  <c r="FOZ3" i="25"/>
  <c r="FOY3" i="25"/>
  <c r="FOX3" i="25"/>
  <c r="FOW3" i="25"/>
  <c r="FOV3" i="25"/>
  <c r="FOU3" i="25"/>
  <c r="FOT3" i="25"/>
  <c r="FOS3" i="25"/>
  <c r="FOR3" i="25"/>
  <c r="FOQ3" i="25"/>
  <c r="FOP3" i="25"/>
  <c r="FOO3" i="25"/>
  <c r="FON3" i="25"/>
  <c r="FOM3" i="25"/>
  <c r="FOL3" i="25"/>
  <c r="FOK3" i="25"/>
  <c r="FOJ3" i="25"/>
  <c r="FOI3" i="25"/>
  <c r="FOH3" i="25"/>
  <c r="FOG3" i="25"/>
  <c r="FOF3" i="25"/>
  <c r="FOE3" i="25"/>
  <c r="FOD3" i="25"/>
  <c r="FOC3" i="25"/>
  <c r="FOB3" i="25"/>
  <c r="FOA3" i="25"/>
  <c r="FNZ3" i="25"/>
  <c r="FNY3" i="25"/>
  <c r="FNX3" i="25"/>
  <c r="FNW3" i="25"/>
  <c r="FNV3" i="25"/>
  <c r="FNU3" i="25"/>
  <c r="FNT3" i="25"/>
  <c r="FNS3" i="25"/>
  <c r="FNR3" i="25"/>
  <c r="FNQ3" i="25"/>
  <c r="FNP3" i="25"/>
  <c r="FNO3" i="25"/>
  <c r="FNN3" i="25"/>
  <c r="FNM3" i="25"/>
  <c r="FNL3" i="25"/>
  <c r="FNK3" i="25"/>
  <c r="FNJ3" i="25"/>
  <c r="FNI3" i="25"/>
  <c r="FNH3" i="25"/>
  <c r="FNG3" i="25"/>
  <c r="FNF3" i="25"/>
  <c r="FNE3" i="25"/>
  <c r="FND3" i="25"/>
  <c r="FNC3" i="25"/>
  <c r="FNB3" i="25"/>
  <c r="FNA3" i="25"/>
  <c r="FMZ3" i="25"/>
  <c r="FMY3" i="25"/>
  <c r="FMX3" i="25"/>
  <c r="FMW3" i="25"/>
  <c r="FMV3" i="25"/>
  <c r="FMU3" i="25"/>
  <c r="FMT3" i="25"/>
  <c r="FMS3" i="25"/>
  <c r="FMR3" i="25"/>
  <c r="FMQ3" i="25"/>
  <c r="FMP3" i="25"/>
  <c r="FMO3" i="25"/>
  <c r="FMN3" i="25"/>
  <c r="FMM3" i="25"/>
  <c r="FML3" i="25"/>
  <c r="FMK3" i="25"/>
  <c r="FMJ3" i="25"/>
  <c r="FMI3" i="25"/>
  <c r="FMH3" i="25"/>
  <c r="FMG3" i="25"/>
  <c r="FMF3" i="25"/>
  <c r="FME3" i="25"/>
  <c r="FMD3" i="25"/>
  <c r="FMC3" i="25"/>
  <c r="FMB3" i="25"/>
  <c r="FMA3" i="25"/>
  <c r="FLZ3" i="25"/>
  <c r="FLY3" i="25"/>
  <c r="FLX3" i="25"/>
  <c r="FLW3" i="25"/>
  <c r="FLV3" i="25"/>
  <c r="FLU3" i="25"/>
  <c r="FLT3" i="25"/>
  <c r="FLS3" i="25"/>
  <c r="FLR3" i="25"/>
  <c r="FLQ3" i="25"/>
  <c r="FLP3" i="25"/>
  <c r="FLO3" i="25"/>
  <c r="FLN3" i="25"/>
  <c r="FLM3" i="25"/>
  <c r="FLL3" i="25"/>
  <c r="FLK3" i="25"/>
  <c r="FLJ3" i="25"/>
  <c r="FLI3" i="25"/>
  <c r="FLH3" i="25"/>
  <c r="FLG3" i="25"/>
  <c r="FLF3" i="25"/>
  <c r="FLE3" i="25"/>
  <c r="FLD3" i="25"/>
  <c r="FLC3" i="25"/>
  <c r="FLB3" i="25"/>
  <c r="FLA3" i="25"/>
  <c r="FKZ3" i="25"/>
  <c r="FKY3" i="25"/>
  <c r="FKX3" i="25"/>
  <c r="FKW3" i="25"/>
  <c r="FKV3" i="25"/>
  <c r="FKU3" i="25"/>
  <c r="FKT3" i="25"/>
  <c r="FKS3" i="25"/>
  <c r="FKR3" i="25"/>
  <c r="FKQ3" i="25"/>
  <c r="FKP3" i="25"/>
  <c r="FKO3" i="25"/>
  <c r="FKN3" i="25"/>
  <c r="FKM3" i="25"/>
  <c r="FKL3" i="25"/>
  <c r="FKK3" i="25"/>
  <c r="FKJ3" i="25"/>
  <c r="FKI3" i="25"/>
  <c r="FKH3" i="25"/>
  <c r="FKG3" i="25"/>
  <c r="FKF3" i="25"/>
  <c r="FKE3" i="25"/>
  <c r="FKD3" i="25"/>
  <c r="FKC3" i="25"/>
  <c r="FKB3" i="25"/>
  <c r="FKA3" i="25"/>
  <c r="FJZ3" i="25"/>
  <c r="FJY3" i="25"/>
  <c r="FJX3" i="25"/>
  <c r="FJW3" i="25"/>
  <c r="FJV3" i="25"/>
  <c r="FJU3" i="25"/>
  <c r="FJT3" i="25"/>
  <c r="FJS3" i="25"/>
  <c r="FJR3" i="25"/>
  <c r="FJQ3" i="25"/>
  <c r="FJP3" i="25"/>
  <c r="FJO3" i="25"/>
  <c r="FJN3" i="25"/>
  <c r="FJM3" i="25"/>
  <c r="FJL3" i="25"/>
  <c r="FJK3" i="25"/>
  <c r="FJJ3" i="25"/>
  <c r="FJI3" i="25"/>
  <c r="FJH3" i="25"/>
  <c r="FJG3" i="25"/>
  <c r="FJF3" i="25"/>
  <c r="FJE3" i="25"/>
  <c r="FJD3" i="25"/>
  <c r="FJC3" i="25"/>
  <c r="FJB3" i="25"/>
  <c r="FJA3" i="25"/>
  <c r="FIZ3" i="25"/>
  <c r="FIY3" i="25"/>
  <c r="FIX3" i="25"/>
  <c r="FIW3" i="25"/>
  <c r="FIV3" i="25"/>
  <c r="FIU3" i="25"/>
  <c r="FIT3" i="25"/>
  <c r="FIS3" i="25"/>
  <c r="FIR3" i="25"/>
  <c r="FIQ3" i="25"/>
  <c r="FIP3" i="25"/>
  <c r="FIO3" i="25"/>
  <c r="FIN3" i="25"/>
  <c r="FIM3" i="25"/>
  <c r="FIL3" i="25"/>
  <c r="FIK3" i="25"/>
  <c r="FIJ3" i="25"/>
  <c r="FII3" i="25"/>
  <c r="FIH3" i="25"/>
  <c r="FIG3" i="25"/>
  <c r="FIF3" i="25"/>
  <c r="FIE3" i="25"/>
  <c r="FID3" i="25"/>
  <c r="FIC3" i="25"/>
  <c r="FIB3" i="25"/>
  <c r="FIA3" i="25"/>
  <c r="FHZ3" i="25"/>
  <c r="FHY3" i="25"/>
  <c r="FHX3" i="25"/>
  <c r="FHW3" i="25"/>
  <c r="FHV3" i="25"/>
  <c r="FHU3" i="25"/>
  <c r="FHT3" i="25"/>
  <c r="FHS3" i="25"/>
  <c r="FHR3" i="25"/>
  <c r="FHQ3" i="25"/>
  <c r="FHP3" i="25"/>
  <c r="FHO3" i="25"/>
  <c r="FHN3" i="25"/>
  <c r="FHM3" i="25"/>
  <c r="FHL3" i="25"/>
  <c r="FHK3" i="25"/>
  <c r="FHJ3" i="25"/>
  <c r="FHI3" i="25"/>
  <c r="FHH3" i="25"/>
  <c r="FHG3" i="25"/>
  <c r="FHF3" i="25"/>
  <c r="FHE3" i="25"/>
  <c r="FHD3" i="25"/>
  <c r="FHC3" i="25"/>
  <c r="FHB3" i="25"/>
  <c r="FHA3" i="25"/>
  <c r="FGZ3" i="25"/>
  <c r="FGY3" i="25"/>
  <c r="FGX3" i="25"/>
  <c r="FGW3" i="25"/>
  <c r="FGV3" i="25"/>
  <c r="FGU3" i="25"/>
  <c r="FGT3" i="25"/>
  <c r="FGS3" i="25"/>
  <c r="FGR3" i="25"/>
  <c r="FGQ3" i="25"/>
  <c r="FGP3" i="25"/>
  <c r="FGO3" i="25"/>
  <c r="FGN3" i="25"/>
  <c r="FGM3" i="25"/>
  <c r="FGL3" i="25"/>
  <c r="FGK3" i="25"/>
  <c r="FGJ3" i="25"/>
  <c r="FGI3" i="25"/>
  <c r="FGH3" i="25"/>
  <c r="FGG3" i="25"/>
  <c r="FGF3" i="25"/>
  <c r="FGE3" i="25"/>
  <c r="FGD3" i="25"/>
  <c r="FGC3" i="25"/>
  <c r="FGB3" i="25"/>
  <c r="FGA3" i="25"/>
  <c r="FFZ3" i="25"/>
  <c r="FFY3" i="25"/>
  <c r="FFX3" i="25"/>
  <c r="FFW3" i="25"/>
  <c r="FFV3" i="25"/>
  <c r="FFU3" i="25"/>
  <c r="FFT3" i="25"/>
  <c r="FFS3" i="25"/>
  <c r="FFR3" i="25"/>
  <c r="FFQ3" i="25"/>
  <c r="FFP3" i="25"/>
  <c r="FFO3" i="25"/>
  <c r="FFN3" i="25"/>
  <c r="FFM3" i="25"/>
  <c r="FFL3" i="25"/>
  <c r="FFK3" i="25"/>
  <c r="FFJ3" i="25"/>
  <c r="FFI3" i="25"/>
  <c r="FFH3" i="25"/>
  <c r="FFG3" i="25"/>
  <c r="FFF3" i="25"/>
  <c r="FFE3" i="25"/>
  <c r="FFD3" i="25"/>
  <c r="FFC3" i="25"/>
  <c r="FFB3" i="25"/>
  <c r="FFA3" i="25"/>
  <c r="FEZ3" i="25"/>
  <c r="FEY3" i="25"/>
  <c r="FEX3" i="25"/>
  <c r="FEW3" i="25"/>
  <c r="FEV3" i="25"/>
  <c r="FEU3" i="25"/>
  <c r="FET3" i="25"/>
  <c r="FES3" i="25"/>
  <c r="FER3" i="25"/>
  <c r="FEQ3" i="25"/>
  <c r="FEP3" i="25"/>
  <c r="FEO3" i="25"/>
  <c r="FEN3" i="25"/>
  <c r="FEM3" i="25"/>
  <c r="FEL3" i="25"/>
  <c r="FEK3" i="25"/>
  <c r="FEJ3" i="25"/>
  <c r="FEI3" i="25"/>
  <c r="FEH3" i="25"/>
  <c r="FEG3" i="25"/>
  <c r="FEF3" i="25"/>
  <c r="FEE3" i="25"/>
  <c r="FED3" i="25"/>
  <c r="FEC3" i="25"/>
  <c r="FEB3" i="25"/>
  <c r="FEA3" i="25"/>
  <c r="FDZ3" i="25"/>
  <c r="FDY3" i="25"/>
  <c r="FDX3" i="25"/>
  <c r="FDW3" i="25"/>
  <c r="FDV3" i="25"/>
  <c r="FDU3" i="25"/>
  <c r="FDT3" i="25"/>
  <c r="FDS3" i="25"/>
  <c r="FDR3" i="25"/>
  <c r="FDQ3" i="25"/>
  <c r="FDP3" i="25"/>
  <c r="FDO3" i="25"/>
  <c r="FDN3" i="25"/>
  <c r="FDM3" i="25"/>
  <c r="FDL3" i="25"/>
  <c r="FDK3" i="25"/>
  <c r="FDJ3" i="25"/>
  <c r="FDI3" i="25"/>
  <c r="FDH3" i="25"/>
  <c r="FDG3" i="25"/>
  <c r="FDF3" i="25"/>
  <c r="FDE3" i="25"/>
  <c r="FDD3" i="25"/>
  <c r="FDC3" i="25"/>
  <c r="FDB3" i="25"/>
  <c r="FDA3" i="25"/>
  <c r="FCZ3" i="25"/>
  <c r="FCY3" i="25"/>
  <c r="FCX3" i="25"/>
  <c r="FCW3" i="25"/>
  <c r="FCV3" i="25"/>
  <c r="FCU3" i="25"/>
  <c r="FCT3" i="25"/>
  <c r="FCS3" i="25"/>
  <c r="FCR3" i="25"/>
  <c r="FCQ3" i="25"/>
  <c r="FCP3" i="25"/>
  <c r="FCO3" i="25"/>
  <c r="FCN3" i="25"/>
  <c r="FCM3" i="25"/>
  <c r="FCL3" i="25"/>
  <c r="FCK3" i="25"/>
  <c r="FCJ3" i="25"/>
  <c r="FCI3" i="25"/>
  <c r="FCH3" i="25"/>
  <c r="FCG3" i="25"/>
  <c r="FCF3" i="25"/>
  <c r="FCE3" i="25"/>
  <c r="FCD3" i="25"/>
  <c r="FCC3" i="25"/>
  <c r="FCB3" i="25"/>
  <c r="FCA3" i="25"/>
  <c r="FBZ3" i="25"/>
  <c r="FBY3" i="25"/>
  <c r="FBX3" i="25"/>
  <c r="FBW3" i="25"/>
  <c r="FBV3" i="25"/>
  <c r="FBU3" i="25"/>
  <c r="FBT3" i="25"/>
  <c r="FBS3" i="25"/>
  <c r="FBR3" i="25"/>
  <c r="FBQ3" i="25"/>
  <c r="FBP3" i="25"/>
  <c r="FBO3" i="25"/>
  <c r="FBN3" i="25"/>
  <c r="FBM3" i="25"/>
  <c r="FBL3" i="25"/>
  <c r="FBK3" i="25"/>
  <c r="FBJ3" i="25"/>
  <c r="FBI3" i="25"/>
  <c r="FBH3" i="25"/>
  <c r="FBG3" i="25"/>
  <c r="FBF3" i="25"/>
  <c r="FBE3" i="25"/>
  <c r="FBD3" i="25"/>
  <c r="FBC3" i="25"/>
  <c r="FBB3" i="25"/>
  <c r="FBA3" i="25"/>
  <c r="FAZ3" i="25"/>
  <c r="FAY3" i="25"/>
  <c r="FAX3" i="25"/>
  <c r="FAW3" i="25"/>
  <c r="FAV3" i="25"/>
  <c r="FAU3" i="25"/>
  <c r="FAT3" i="25"/>
  <c r="FAS3" i="25"/>
  <c r="FAR3" i="25"/>
  <c r="FAQ3" i="25"/>
  <c r="FAP3" i="25"/>
  <c r="FAO3" i="25"/>
  <c r="FAN3" i="25"/>
  <c r="FAM3" i="25"/>
  <c r="FAL3" i="25"/>
  <c r="FAK3" i="25"/>
  <c r="FAJ3" i="25"/>
  <c r="FAI3" i="25"/>
  <c r="FAH3" i="25"/>
  <c r="FAG3" i="25"/>
  <c r="FAF3" i="25"/>
  <c r="FAE3" i="25"/>
  <c r="FAD3" i="25"/>
  <c r="FAC3" i="25"/>
  <c r="FAB3" i="25"/>
  <c r="FAA3" i="25"/>
  <c r="EZZ3" i="25"/>
  <c r="EZY3" i="25"/>
  <c r="EZX3" i="25"/>
  <c r="EZW3" i="25"/>
  <c r="EZV3" i="25"/>
  <c r="EZU3" i="25"/>
  <c r="EZT3" i="25"/>
  <c r="EZS3" i="25"/>
  <c r="EZR3" i="25"/>
  <c r="EZQ3" i="25"/>
  <c r="EZP3" i="25"/>
  <c r="EZO3" i="25"/>
  <c r="EZN3" i="25"/>
  <c r="EZM3" i="25"/>
  <c r="EZL3" i="25"/>
  <c r="EZK3" i="25"/>
  <c r="EZJ3" i="25"/>
  <c r="EZI3" i="25"/>
  <c r="EZH3" i="25"/>
  <c r="EZG3" i="25"/>
  <c r="EZF3" i="25"/>
  <c r="EZE3" i="25"/>
  <c r="EZD3" i="25"/>
  <c r="EZC3" i="25"/>
  <c r="EZB3" i="25"/>
  <c r="EZA3" i="25"/>
  <c r="EYZ3" i="25"/>
  <c r="EYY3" i="25"/>
  <c r="EYX3" i="25"/>
  <c r="EYW3" i="25"/>
  <c r="EYV3" i="25"/>
  <c r="EYU3" i="25"/>
  <c r="EYT3" i="25"/>
  <c r="EYS3" i="25"/>
  <c r="EYR3" i="25"/>
  <c r="EYQ3" i="25"/>
  <c r="EYP3" i="25"/>
  <c r="EYO3" i="25"/>
  <c r="EYN3" i="25"/>
  <c r="EYM3" i="25"/>
  <c r="EYL3" i="25"/>
  <c r="EYK3" i="25"/>
  <c r="EYJ3" i="25"/>
  <c r="EYI3" i="25"/>
  <c r="EYH3" i="25"/>
  <c r="EYG3" i="25"/>
  <c r="EYF3" i="25"/>
  <c r="EYE3" i="25"/>
  <c r="EYD3" i="25"/>
  <c r="EYC3" i="25"/>
  <c r="EYB3" i="25"/>
  <c r="EYA3" i="25"/>
  <c r="EXZ3" i="25"/>
  <c r="EXY3" i="25"/>
  <c r="EXX3" i="25"/>
  <c r="EXW3" i="25"/>
  <c r="EXV3" i="25"/>
  <c r="EXU3" i="25"/>
  <c r="EXT3" i="25"/>
  <c r="EXS3" i="25"/>
  <c r="EXR3" i="25"/>
  <c r="EXQ3" i="25"/>
  <c r="EXP3" i="25"/>
  <c r="EXO3" i="25"/>
  <c r="EXN3" i="25"/>
  <c r="EXM3" i="25"/>
  <c r="EXL3" i="25"/>
  <c r="EXK3" i="25"/>
  <c r="EXJ3" i="25"/>
  <c r="EXI3" i="25"/>
  <c r="EXH3" i="25"/>
  <c r="EXG3" i="25"/>
  <c r="EXF3" i="25"/>
  <c r="EXE3" i="25"/>
  <c r="EXD3" i="25"/>
  <c r="EXC3" i="25"/>
  <c r="EXB3" i="25"/>
  <c r="EXA3" i="25"/>
  <c r="EWZ3" i="25"/>
  <c r="EWY3" i="25"/>
  <c r="EWX3" i="25"/>
  <c r="EWW3" i="25"/>
  <c r="EWV3" i="25"/>
  <c r="EWU3" i="25"/>
  <c r="EWT3" i="25"/>
  <c r="EWS3" i="25"/>
  <c r="EWR3" i="25"/>
  <c r="EWQ3" i="25"/>
  <c r="EWP3" i="25"/>
  <c r="EWO3" i="25"/>
  <c r="EWN3" i="25"/>
  <c r="EWM3" i="25"/>
  <c r="EWL3" i="25"/>
  <c r="EWK3" i="25"/>
  <c r="EWJ3" i="25"/>
  <c r="EWI3" i="25"/>
  <c r="EWH3" i="25"/>
  <c r="EWG3" i="25"/>
  <c r="EWF3" i="25"/>
  <c r="EWE3" i="25"/>
  <c r="EWD3" i="25"/>
  <c r="EWC3" i="25"/>
  <c r="EWB3" i="25"/>
  <c r="EWA3" i="25"/>
  <c r="EVZ3" i="25"/>
  <c r="EVY3" i="25"/>
  <c r="EVX3" i="25"/>
  <c r="EVW3" i="25"/>
  <c r="EVV3" i="25"/>
  <c r="EVU3" i="25"/>
  <c r="EVT3" i="25"/>
  <c r="EVS3" i="25"/>
  <c r="EVR3" i="25"/>
  <c r="EVQ3" i="25"/>
  <c r="EVP3" i="25"/>
  <c r="EVO3" i="25"/>
  <c r="EVN3" i="25"/>
  <c r="EVM3" i="25"/>
  <c r="EVL3" i="25"/>
  <c r="EVK3" i="25"/>
  <c r="EVJ3" i="25"/>
  <c r="EVI3" i="25"/>
  <c r="EVH3" i="25"/>
  <c r="EVG3" i="25"/>
  <c r="EVF3" i="25"/>
  <c r="EVE3" i="25"/>
  <c r="EVD3" i="25"/>
  <c r="EVC3" i="25"/>
  <c r="EVB3" i="25"/>
  <c r="EVA3" i="25"/>
  <c r="EUZ3" i="25"/>
  <c r="EUY3" i="25"/>
  <c r="EUX3" i="25"/>
  <c r="EUW3" i="25"/>
  <c r="EUV3" i="25"/>
  <c r="EUU3" i="25"/>
  <c r="EUT3" i="25"/>
  <c r="EUS3" i="25"/>
  <c r="EUR3" i="25"/>
  <c r="EUQ3" i="25"/>
  <c r="EUP3" i="25"/>
  <c r="EUO3" i="25"/>
  <c r="EUN3" i="25"/>
  <c r="EUM3" i="25"/>
  <c r="EUL3" i="25"/>
  <c r="EUK3" i="25"/>
  <c r="EUJ3" i="25"/>
  <c r="EUI3" i="25"/>
  <c r="EUH3" i="25"/>
  <c r="EUG3" i="25"/>
  <c r="EUF3" i="25"/>
  <c r="EUE3" i="25"/>
  <c r="EUD3" i="25"/>
  <c r="EUC3" i="25"/>
  <c r="EUB3" i="25"/>
  <c r="EUA3" i="25"/>
  <c r="ETZ3" i="25"/>
  <c r="ETY3" i="25"/>
  <c r="ETX3" i="25"/>
  <c r="ETW3" i="25"/>
  <c r="ETV3" i="25"/>
  <c r="ETU3" i="25"/>
  <c r="ETT3" i="25"/>
  <c r="ETS3" i="25"/>
  <c r="ETR3" i="25"/>
  <c r="ETQ3" i="25"/>
  <c r="ETP3" i="25"/>
  <c r="ETO3" i="25"/>
  <c r="ETN3" i="25"/>
  <c r="ETM3" i="25"/>
  <c r="ETL3" i="25"/>
  <c r="ETK3" i="25"/>
  <c r="ETJ3" i="25"/>
  <c r="ETI3" i="25"/>
  <c r="ETH3" i="25"/>
  <c r="ETG3" i="25"/>
  <c r="ETF3" i="25"/>
  <c r="ETE3" i="25"/>
  <c r="ETD3" i="25"/>
  <c r="ETC3" i="25"/>
  <c r="ETB3" i="25"/>
  <c r="ETA3" i="25"/>
  <c r="ESZ3" i="25"/>
  <c r="ESY3" i="25"/>
  <c r="ESX3" i="25"/>
  <c r="ESW3" i="25"/>
  <c r="ESV3" i="25"/>
  <c r="ESU3" i="25"/>
  <c r="EST3" i="25"/>
  <c r="ESS3" i="25"/>
  <c r="ESR3" i="25"/>
  <c r="ESQ3" i="25"/>
  <c r="ESP3" i="25"/>
  <c r="ESO3" i="25"/>
  <c r="ESN3" i="25"/>
  <c r="ESM3" i="25"/>
  <c r="ESL3" i="25"/>
  <c r="ESK3" i="25"/>
  <c r="ESJ3" i="25"/>
  <c r="ESI3" i="25"/>
  <c r="ESH3" i="25"/>
  <c r="ESG3" i="25"/>
  <c r="ESF3" i="25"/>
  <c r="ESE3" i="25"/>
  <c r="ESD3" i="25"/>
  <c r="ESC3" i="25"/>
  <c r="ESB3" i="25"/>
  <c r="ESA3" i="25"/>
  <c r="ERZ3" i="25"/>
  <c r="ERY3" i="25"/>
  <c r="ERX3" i="25"/>
  <c r="ERW3" i="25"/>
  <c r="ERV3" i="25"/>
  <c r="ERU3" i="25"/>
  <c r="ERT3" i="25"/>
  <c r="ERS3" i="25"/>
  <c r="ERR3" i="25"/>
  <c r="ERQ3" i="25"/>
  <c r="ERP3" i="25"/>
  <c r="ERO3" i="25"/>
  <c r="ERN3" i="25"/>
  <c r="ERM3" i="25"/>
  <c r="ERL3" i="25"/>
  <c r="ERK3" i="25"/>
  <c r="ERJ3" i="25"/>
  <c r="ERI3" i="25"/>
  <c r="ERH3" i="25"/>
  <c r="ERG3" i="25"/>
  <c r="ERF3" i="25"/>
  <c r="ERE3" i="25"/>
  <c r="ERD3" i="25"/>
  <c r="ERC3" i="25"/>
  <c r="ERB3" i="25"/>
  <c r="ERA3" i="25"/>
  <c r="EQZ3" i="25"/>
  <c r="EQY3" i="25"/>
  <c r="EQX3" i="25"/>
  <c r="EQW3" i="25"/>
  <c r="EQV3" i="25"/>
  <c r="EQU3" i="25"/>
  <c r="EQT3" i="25"/>
  <c r="EQS3" i="25"/>
  <c r="EQR3" i="25"/>
  <c r="EQQ3" i="25"/>
  <c r="EQP3" i="25"/>
  <c r="EQO3" i="25"/>
  <c r="EQN3" i="25"/>
  <c r="EQM3" i="25"/>
  <c r="EQL3" i="25"/>
  <c r="EQK3" i="25"/>
  <c r="EQJ3" i="25"/>
  <c r="EQI3" i="25"/>
  <c r="EQH3" i="25"/>
  <c r="EQG3" i="25"/>
  <c r="EQF3" i="25"/>
  <c r="EQE3" i="25"/>
  <c r="EQD3" i="25"/>
  <c r="EQC3" i="25"/>
  <c r="EQB3" i="25"/>
  <c r="EQA3" i="25"/>
  <c r="EPZ3" i="25"/>
  <c r="EPY3" i="25"/>
  <c r="EPX3" i="25"/>
  <c r="EPW3" i="25"/>
  <c r="EPV3" i="25"/>
  <c r="EPU3" i="25"/>
  <c r="EPT3" i="25"/>
  <c r="EPS3" i="25"/>
  <c r="EPR3" i="25"/>
  <c r="EPQ3" i="25"/>
  <c r="EPP3" i="25"/>
  <c r="EPO3" i="25"/>
  <c r="EPN3" i="25"/>
  <c r="EPM3" i="25"/>
  <c r="EPL3" i="25"/>
  <c r="EPK3" i="25"/>
  <c r="EPJ3" i="25"/>
  <c r="EPI3" i="25"/>
  <c r="EPH3" i="25"/>
  <c r="EPG3" i="25"/>
  <c r="EPF3" i="25"/>
  <c r="EPE3" i="25"/>
  <c r="EPD3" i="25"/>
  <c r="EPC3" i="25"/>
  <c r="EPB3" i="25"/>
  <c r="EPA3" i="25"/>
  <c r="EOZ3" i="25"/>
  <c r="EOY3" i="25"/>
  <c r="EOX3" i="25"/>
  <c r="EOW3" i="25"/>
  <c r="EOV3" i="25"/>
  <c r="EOU3" i="25"/>
  <c r="EOT3" i="25"/>
  <c r="EOS3" i="25"/>
  <c r="EOR3" i="25"/>
  <c r="EOQ3" i="25"/>
  <c r="EOP3" i="25"/>
  <c r="EOO3" i="25"/>
  <c r="EON3" i="25"/>
  <c r="EOM3" i="25"/>
  <c r="EOL3" i="25"/>
  <c r="EOK3" i="25"/>
  <c r="EOJ3" i="25"/>
  <c r="EOI3" i="25"/>
  <c r="EOH3" i="25"/>
  <c r="EOG3" i="25"/>
  <c r="EOF3" i="25"/>
  <c r="EOE3" i="25"/>
  <c r="EOD3" i="25"/>
  <c r="EOC3" i="25"/>
  <c r="EOB3" i="25"/>
  <c r="EOA3" i="25"/>
  <c r="ENZ3" i="25"/>
  <c r="ENY3" i="25"/>
  <c r="ENX3" i="25"/>
  <c r="ENW3" i="25"/>
  <c r="ENV3" i="25"/>
  <c r="ENU3" i="25"/>
  <c r="ENT3" i="25"/>
  <c r="ENS3" i="25"/>
  <c r="ENR3" i="25"/>
  <c r="ENQ3" i="25"/>
  <c r="ENP3" i="25"/>
  <c r="ENO3" i="25"/>
  <c r="ENN3" i="25"/>
  <c r="ENM3" i="25"/>
  <c r="ENL3" i="25"/>
  <c r="ENK3" i="25"/>
  <c r="ENJ3" i="25"/>
  <c r="ENI3" i="25"/>
  <c r="ENH3" i="25"/>
  <c r="ENG3" i="25"/>
  <c r="ENF3" i="25"/>
  <c r="ENE3" i="25"/>
  <c r="END3" i="25"/>
  <c r="ENC3" i="25"/>
  <c r="ENB3" i="25"/>
  <c r="ENA3" i="25"/>
  <c r="EMZ3" i="25"/>
  <c r="EMY3" i="25"/>
  <c r="EMX3" i="25"/>
  <c r="EMW3" i="25"/>
  <c r="EMV3" i="25"/>
  <c r="EMU3" i="25"/>
  <c r="EMT3" i="25"/>
  <c r="EMS3" i="25"/>
  <c r="EMR3" i="25"/>
  <c r="EMQ3" i="25"/>
  <c r="EMP3" i="25"/>
  <c r="EMO3" i="25"/>
  <c r="EMN3" i="25"/>
  <c r="EMM3" i="25"/>
  <c r="EML3" i="25"/>
  <c r="EMK3" i="25"/>
  <c r="EMJ3" i="25"/>
  <c r="EMI3" i="25"/>
  <c r="EMH3" i="25"/>
  <c r="EMG3" i="25"/>
  <c r="EMF3" i="25"/>
  <c r="EME3" i="25"/>
  <c r="EMD3" i="25"/>
  <c r="EMC3" i="25"/>
  <c r="EMB3" i="25"/>
  <c r="EMA3" i="25"/>
  <c r="ELZ3" i="25"/>
  <c r="ELY3" i="25"/>
  <c r="ELX3" i="25"/>
  <c r="ELW3" i="25"/>
  <c r="ELV3" i="25"/>
  <c r="ELU3" i="25"/>
  <c r="ELT3" i="25"/>
  <c r="ELS3" i="25"/>
  <c r="ELR3" i="25"/>
  <c r="ELQ3" i="25"/>
  <c r="ELP3" i="25"/>
  <c r="ELO3" i="25"/>
  <c r="ELN3" i="25"/>
  <c r="ELM3" i="25"/>
  <c r="ELL3" i="25"/>
  <c r="ELK3" i="25"/>
  <c r="ELJ3" i="25"/>
  <c r="ELI3" i="25"/>
  <c r="ELH3" i="25"/>
  <c r="ELG3" i="25"/>
  <c r="ELF3" i="25"/>
  <c r="ELE3" i="25"/>
  <c r="ELD3" i="25"/>
  <c r="ELC3" i="25"/>
  <c r="ELB3" i="25"/>
  <c r="ELA3" i="25"/>
  <c r="EKZ3" i="25"/>
  <c r="EKY3" i="25"/>
  <c r="EKX3" i="25"/>
  <c r="EKW3" i="25"/>
  <c r="EKV3" i="25"/>
  <c r="EKU3" i="25"/>
  <c r="EKT3" i="25"/>
  <c r="EKS3" i="25"/>
  <c r="EKR3" i="25"/>
  <c r="EKQ3" i="25"/>
  <c r="EKP3" i="25"/>
  <c r="EKO3" i="25"/>
  <c r="EKN3" i="25"/>
  <c r="EKM3" i="25"/>
  <c r="EKL3" i="25"/>
  <c r="EKK3" i="25"/>
  <c r="EKJ3" i="25"/>
  <c r="EKI3" i="25"/>
  <c r="EKH3" i="25"/>
  <c r="EKG3" i="25"/>
  <c r="EKF3" i="25"/>
  <c r="EKE3" i="25"/>
  <c r="EKD3" i="25"/>
  <c r="EKC3" i="25"/>
  <c r="EKB3" i="25"/>
  <c r="EKA3" i="25"/>
  <c r="EJZ3" i="25"/>
  <c r="EJY3" i="25"/>
  <c r="EJX3" i="25"/>
  <c r="EJW3" i="25"/>
  <c r="EJV3" i="25"/>
  <c r="EJU3" i="25"/>
  <c r="EJT3" i="25"/>
  <c r="EJS3" i="25"/>
  <c r="EJR3" i="25"/>
  <c r="EJQ3" i="25"/>
  <c r="EJP3" i="25"/>
  <c r="EJO3" i="25"/>
  <c r="EJN3" i="25"/>
  <c r="EJM3" i="25"/>
  <c r="EJL3" i="25"/>
  <c r="EJK3" i="25"/>
  <c r="EJJ3" i="25"/>
  <c r="EJI3" i="25"/>
  <c r="EJH3" i="25"/>
  <c r="EJG3" i="25"/>
  <c r="EJF3" i="25"/>
  <c r="EJE3" i="25"/>
  <c r="EJD3" i="25"/>
  <c r="EJC3" i="25"/>
  <c r="EJB3" i="25"/>
  <c r="EJA3" i="25"/>
  <c r="EIZ3" i="25"/>
  <c r="EIY3" i="25"/>
  <c r="EIX3" i="25"/>
  <c r="EIW3" i="25"/>
  <c r="EIV3" i="25"/>
  <c r="EIU3" i="25"/>
  <c r="EIT3" i="25"/>
  <c r="EIS3" i="25"/>
  <c r="EIR3" i="25"/>
  <c r="EIQ3" i="25"/>
  <c r="EIP3" i="25"/>
  <c r="EIO3" i="25"/>
  <c r="EIN3" i="25"/>
  <c r="EIM3" i="25"/>
  <c r="EIL3" i="25"/>
  <c r="EIK3" i="25"/>
  <c r="EIJ3" i="25"/>
  <c r="EII3" i="25"/>
  <c r="EIH3" i="25"/>
  <c r="EIG3" i="25"/>
  <c r="EIF3" i="25"/>
  <c r="EIE3" i="25"/>
  <c r="EID3" i="25"/>
  <c r="EIC3" i="25"/>
  <c r="EIB3" i="25"/>
  <c r="EIA3" i="25"/>
  <c r="EHZ3" i="25"/>
  <c r="EHY3" i="25"/>
  <c r="EHX3" i="25"/>
  <c r="EHW3" i="25"/>
  <c r="EHV3" i="25"/>
  <c r="EHU3" i="25"/>
  <c r="EHT3" i="25"/>
  <c r="EHS3" i="25"/>
  <c r="EHR3" i="25"/>
  <c r="EHQ3" i="25"/>
  <c r="EHP3" i="25"/>
  <c r="EHO3" i="25"/>
  <c r="EHN3" i="25"/>
  <c r="EHM3" i="25"/>
  <c r="EHL3" i="25"/>
  <c r="EHK3" i="25"/>
  <c r="EHJ3" i="25"/>
  <c r="EHI3" i="25"/>
  <c r="EHH3" i="25"/>
  <c r="EHG3" i="25"/>
  <c r="EHF3" i="25"/>
  <c r="EHE3" i="25"/>
  <c r="EHD3" i="25"/>
  <c r="EHC3" i="25"/>
  <c r="EHB3" i="25"/>
  <c r="EHA3" i="25"/>
  <c r="EGZ3" i="25"/>
  <c r="EGY3" i="25"/>
  <c r="EGX3" i="25"/>
  <c r="EGW3" i="25"/>
  <c r="EGV3" i="25"/>
  <c r="EGU3" i="25"/>
  <c r="EGT3" i="25"/>
  <c r="EGS3" i="25"/>
  <c r="EGR3" i="25"/>
  <c r="EGQ3" i="25"/>
  <c r="EGP3" i="25"/>
  <c r="EGO3" i="25"/>
  <c r="EGN3" i="25"/>
  <c r="EGM3" i="25"/>
  <c r="EGL3" i="25"/>
  <c r="EGK3" i="25"/>
  <c r="EGJ3" i="25"/>
  <c r="EGI3" i="25"/>
  <c r="EGH3" i="25"/>
  <c r="EGG3" i="25"/>
  <c r="EGF3" i="25"/>
  <c r="EGE3" i="25"/>
  <c r="EGD3" i="25"/>
  <c r="EGC3" i="25"/>
  <c r="EGB3" i="25"/>
  <c r="EGA3" i="25"/>
  <c r="EFZ3" i="25"/>
  <c r="EFY3" i="25"/>
  <c r="EFX3" i="25"/>
  <c r="EFW3" i="25"/>
  <c r="EFV3" i="25"/>
  <c r="EFU3" i="25"/>
  <c r="EFT3" i="25"/>
  <c r="EFS3" i="25"/>
  <c r="EFR3" i="25"/>
  <c r="EFQ3" i="25"/>
  <c r="EFP3" i="25"/>
  <c r="EFO3" i="25"/>
  <c r="EFN3" i="25"/>
  <c r="EFM3" i="25"/>
  <c r="EFL3" i="25"/>
  <c r="EFK3" i="25"/>
  <c r="EFJ3" i="25"/>
  <c r="EFI3" i="25"/>
  <c r="EFH3" i="25"/>
  <c r="EFG3" i="25"/>
  <c r="EFF3" i="25"/>
  <c r="EFE3" i="25"/>
  <c r="EFD3" i="25"/>
  <c r="EFC3" i="25"/>
  <c r="EFB3" i="25"/>
  <c r="EFA3" i="25"/>
  <c r="EEZ3" i="25"/>
  <c r="EEY3" i="25"/>
  <c r="EEX3" i="25"/>
  <c r="EEW3" i="25"/>
  <c r="EEV3" i="25"/>
  <c r="EEU3" i="25"/>
  <c r="EET3" i="25"/>
  <c r="EES3" i="25"/>
  <c r="EER3" i="25"/>
  <c r="EEQ3" i="25"/>
  <c r="EEP3" i="25"/>
  <c r="EEO3" i="25"/>
  <c r="EEN3" i="25"/>
  <c r="EEM3" i="25"/>
  <c r="EEL3" i="25"/>
  <c r="EEK3" i="25"/>
  <c r="EEJ3" i="25"/>
  <c r="EEI3" i="25"/>
  <c r="EEH3" i="25"/>
  <c r="EEG3" i="25"/>
  <c r="EEF3" i="25"/>
  <c r="EEE3" i="25"/>
  <c r="EED3" i="25"/>
  <c r="EEC3" i="25"/>
  <c r="EEB3" i="25"/>
  <c r="EEA3" i="25"/>
  <c r="EDZ3" i="25"/>
  <c r="EDY3" i="25"/>
  <c r="EDX3" i="25"/>
  <c r="EDW3" i="25"/>
  <c r="EDV3" i="25"/>
  <c r="EDU3" i="25"/>
  <c r="EDT3" i="25"/>
  <c r="EDS3" i="25"/>
  <c r="EDR3" i="25"/>
  <c r="EDQ3" i="25"/>
  <c r="EDP3" i="25"/>
  <c r="EDO3" i="25"/>
  <c r="EDN3" i="25"/>
  <c r="EDM3" i="25"/>
  <c r="EDL3" i="25"/>
  <c r="EDK3" i="25"/>
  <c r="EDJ3" i="25"/>
  <c r="EDI3" i="25"/>
  <c r="EDH3" i="25"/>
  <c r="EDG3" i="25"/>
  <c r="EDF3" i="25"/>
  <c r="EDE3" i="25"/>
  <c r="EDD3" i="25"/>
  <c r="EDC3" i="25"/>
  <c r="EDB3" i="25"/>
  <c r="EDA3" i="25"/>
  <c r="ECZ3" i="25"/>
  <c r="ECY3" i="25"/>
  <c r="ECX3" i="25"/>
  <c r="ECW3" i="25"/>
  <c r="ECV3" i="25"/>
  <c r="ECU3" i="25"/>
  <c r="ECT3" i="25"/>
  <c r="ECS3" i="25"/>
  <c r="ECR3" i="25"/>
  <c r="ECQ3" i="25"/>
  <c r="ECP3" i="25"/>
  <c r="ECO3" i="25"/>
  <c r="ECN3" i="25"/>
  <c r="ECM3" i="25"/>
  <c r="ECL3" i="25"/>
  <c r="ECK3" i="25"/>
  <c r="ECJ3" i="25"/>
  <c r="ECI3" i="25"/>
  <c r="ECH3" i="25"/>
  <c r="ECG3" i="25"/>
  <c r="ECF3" i="25"/>
  <c r="ECE3" i="25"/>
  <c r="ECD3" i="25"/>
  <c r="ECC3" i="25"/>
  <c r="ECB3" i="25"/>
  <c r="ECA3" i="25"/>
  <c r="EBZ3" i="25"/>
  <c r="EBY3" i="25"/>
  <c r="EBX3" i="25"/>
  <c r="EBW3" i="25"/>
  <c r="EBV3" i="25"/>
  <c r="EBU3" i="25"/>
  <c r="EBT3" i="25"/>
  <c r="EBS3" i="25"/>
  <c r="EBR3" i="25"/>
  <c r="EBQ3" i="25"/>
  <c r="EBP3" i="25"/>
  <c r="EBO3" i="25"/>
  <c r="EBN3" i="25"/>
  <c r="EBM3" i="25"/>
  <c r="EBL3" i="25"/>
  <c r="EBK3" i="25"/>
  <c r="EBJ3" i="25"/>
  <c r="EBI3" i="25"/>
  <c r="EBH3" i="25"/>
  <c r="EBG3" i="25"/>
  <c r="EBF3" i="25"/>
  <c r="EBE3" i="25"/>
  <c r="EBD3" i="25"/>
  <c r="EBC3" i="25"/>
  <c r="EBB3" i="25"/>
  <c r="EBA3" i="25"/>
  <c r="EAZ3" i="25"/>
  <c r="EAY3" i="25"/>
  <c r="EAX3" i="25"/>
  <c r="EAW3" i="25"/>
  <c r="EAV3" i="25"/>
  <c r="EAU3" i="25"/>
  <c r="EAT3" i="25"/>
  <c r="EAS3" i="25"/>
  <c r="EAR3" i="25"/>
  <c r="EAQ3" i="25"/>
  <c r="EAP3" i="25"/>
  <c r="EAO3" i="25"/>
  <c r="EAN3" i="25"/>
  <c r="EAM3" i="25"/>
  <c r="EAL3" i="25"/>
  <c r="EAK3" i="25"/>
  <c r="EAJ3" i="25"/>
  <c r="EAI3" i="25"/>
  <c r="EAH3" i="25"/>
  <c r="EAG3" i="25"/>
  <c r="EAF3" i="25"/>
  <c r="EAE3" i="25"/>
  <c r="EAD3" i="25"/>
  <c r="EAC3" i="25"/>
  <c r="EAB3" i="25"/>
  <c r="EAA3" i="25"/>
  <c r="DZZ3" i="25"/>
  <c r="DZY3" i="25"/>
  <c r="DZX3" i="25"/>
  <c r="DZW3" i="25"/>
  <c r="DZV3" i="25"/>
  <c r="DZU3" i="25"/>
  <c r="DZT3" i="25"/>
  <c r="DZS3" i="25"/>
  <c r="DZR3" i="25"/>
  <c r="DZQ3" i="25"/>
  <c r="DZP3" i="25"/>
  <c r="DZO3" i="25"/>
  <c r="DZN3" i="25"/>
  <c r="DZM3" i="25"/>
  <c r="DZL3" i="25"/>
  <c r="DZK3" i="25"/>
  <c r="DZJ3" i="25"/>
  <c r="DZI3" i="25"/>
  <c r="DZH3" i="25"/>
  <c r="DZG3" i="25"/>
  <c r="DZF3" i="25"/>
  <c r="DZE3" i="25"/>
  <c r="DZD3" i="25"/>
  <c r="DZC3" i="25"/>
  <c r="DZB3" i="25"/>
  <c r="DZA3" i="25"/>
  <c r="DYZ3" i="25"/>
  <c r="DYY3" i="25"/>
  <c r="DYX3" i="25"/>
  <c r="DYW3" i="25"/>
  <c r="DYV3" i="25"/>
  <c r="DYU3" i="25"/>
  <c r="DYT3" i="25"/>
  <c r="DYS3" i="25"/>
  <c r="DYR3" i="25"/>
  <c r="DYQ3" i="25"/>
  <c r="DYP3" i="25"/>
  <c r="DYO3" i="25"/>
  <c r="DYN3" i="25"/>
  <c r="DYM3" i="25"/>
  <c r="DYL3" i="25"/>
  <c r="DYK3" i="25"/>
  <c r="DYJ3" i="25"/>
  <c r="DYI3" i="25"/>
  <c r="DYH3" i="25"/>
  <c r="DYG3" i="25"/>
  <c r="DYF3" i="25"/>
  <c r="DYE3" i="25"/>
  <c r="DYD3" i="25"/>
  <c r="DYC3" i="25"/>
  <c r="DYB3" i="25"/>
  <c r="DYA3" i="25"/>
  <c r="DXZ3" i="25"/>
  <c r="DXY3" i="25"/>
  <c r="DXX3" i="25"/>
  <c r="DXW3" i="25"/>
  <c r="DXV3" i="25"/>
  <c r="DXU3" i="25"/>
  <c r="DXT3" i="25"/>
  <c r="DXS3" i="25"/>
  <c r="DXR3" i="25"/>
  <c r="DXQ3" i="25"/>
  <c r="DXP3" i="25"/>
  <c r="DXO3" i="25"/>
  <c r="DXN3" i="25"/>
  <c r="DXM3" i="25"/>
  <c r="DXL3" i="25"/>
  <c r="DXK3" i="25"/>
  <c r="DXJ3" i="25"/>
  <c r="DXI3" i="25"/>
  <c r="DXH3" i="25"/>
  <c r="DXG3" i="25"/>
  <c r="DXF3" i="25"/>
  <c r="DXE3" i="25"/>
  <c r="DXD3" i="25"/>
  <c r="DXC3" i="25"/>
  <c r="DXB3" i="25"/>
  <c r="DXA3" i="25"/>
  <c r="DWZ3" i="25"/>
  <c r="DWY3" i="25"/>
  <c r="DWX3" i="25"/>
  <c r="DWW3" i="25"/>
  <c r="DWV3" i="25"/>
  <c r="DWU3" i="25"/>
  <c r="DWT3" i="25"/>
  <c r="DWS3" i="25"/>
  <c r="DWR3" i="25"/>
  <c r="DWQ3" i="25"/>
  <c r="DWP3" i="25"/>
  <c r="DWO3" i="25"/>
  <c r="DWN3" i="25"/>
  <c r="DWM3" i="25"/>
  <c r="DWL3" i="25"/>
  <c r="DWK3" i="25"/>
  <c r="DWJ3" i="25"/>
  <c r="DWI3" i="25"/>
  <c r="DWH3" i="25"/>
  <c r="DWG3" i="25"/>
  <c r="DWF3" i="25"/>
  <c r="DWE3" i="25"/>
  <c r="DWD3" i="25"/>
  <c r="DWC3" i="25"/>
  <c r="DWB3" i="25"/>
  <c r="DWA3" i="25"/>
  <c r="DVZ3" i="25"/>
  <c r="DVY3" i="25"/>
  <c r="DVX3" i="25"/>
  <c r="DVW3" i="25"/>
  <c r="DVV3" i="25"/>
  <c r="DVU3" i="25"/>
  <c r="DVT3" i="25"/>
  <c r="DVS3" i="25"/>
  <c r="DVR3" i="25"/>
  <c r="DVQ3" i="25"/>
  <c r="DVP3" i="25"/>
  <c r="DVO3" i="25"/>
  <c r="DVN3" i="25"/>
  <c r="DVM3" i="25"/>
  <c r="DVL3" i="25"/>
  <c r="DVK3" i="25"/>
  <c r="DVJ3" i="25"/>
  <c r="DVI3" i="25"/>
  <c r="DVH3" i="25"/>
  <c r="DVG3" i="25"/>
  <c r="DVF3" i="25"/>
  <c r="DVE3" i="25"/>
  <c r="DVD3" i="25"/>
  <c r="DVC3" i="25"/>
  <c r="DVB3" i="25"/>
  <c r="DVA3" i="25"/>
  <c r="DUZ3" i="25"/>
  <c r="DUY3" i="25"/>
  <c r="DUX3" i="25"/>
  <c r="DUW3" i="25"/>
  <c r="DUV3" i="25"/>
  <c r="DUU3" i="25"/>
  <c r="DUT3" i="25"/>
  <c r="DUS3" i="25"/>
  <c r="DUR3" i="25"/>
  <c r="DUQ3" i="25"/>
  <c r="DUP3" i="25"/>
  <c r="DUO3" i="25"/>
  <c r="DUN3" i="25"/>
  <c r="DUM3" i="25"/>
  <c r="DUL3" i="25"/>
  <c r="DUK3" i="25"/>
  <c r="DUJ3" i="25"/>
  <c r="DUI3" i="25"/>
  <c r="DUH3" i="25"/>
  <c r="DUG3" i="25"/>
  <c r="DUF3" i="25"/>
  <c r="DUE3" i="25"/>
  <c r="DUD3" i="25"/>
  <c r="DUC3" i="25"/>
  <c r="DUB3" i="25"/>
  <c r="DUA3" i="25"/>
  <c r="DTZ3" i="25"/>
  <c r="DTY3" i="25"/>
  <c r="DTX3" i="25"/>
  <c r="DTW3" i="25"/>
  <c r="DTV3" i="25"/>
  <c r="DTU3" i="25"/>
  <c r="DTT3" i="25"/>
  <c r="DTS3" i="25"/>
  <c r="DTR3" i="25"/>
  <c r="DTQ3" i="25"/>
  <c r="DTP3" i="25"/>
  <c r="DTO3" i="25"/>
  <c r="DTN3" i="25"/>
  <c r="DTM3" i="25"/>
  <c r="DTL3" i="25"/>
  <c r="DTK3" i="25"/>
  <c r="DTJ3" i="25"/>
  <c r="DTI3" i="25"/>
  <c r="DTH3" i="25"/>
  <c r="DTG3" i="25"/>
  <c r="DTF3" i="25"/>
  <c r="DTE3" i="25"/>
  <c r="DTD3" i="25"/>
  <c r="DTC3" i="25"/>
  <c r="DTB3" i="25"/>
  <c r="DTA3" i="25"/>
  <c r="DSZ3" i="25"/>
  <c r="DSY3" i="25"/>
  <c r="DSX3" i="25"/>
  <c r="DSW3" i="25"/>
  <c r="DSV3" i="25"/>
  <c r="DSU3" i="25"/>
  <c r="DST3" i="25"/>
  <c r="DSS3" i="25"/>
  <c r="DSR3" i="25"/>
  <c r="DSQ3" i="25"/>
  <c r="DSP3" i="25"/>
  <c r="DSO3" i="25"/>
  <c r="DSN3" i="25"/>
  <c r="DSM3" i="25"/>
  <c r="DSL3" i="25"/>
  <c r="DSK3" i="25"/>
  <c r="DSJ3" i="25"/>
  <c r="DSI3" i="25"/>
  <c r="DSH3" i="25"/>
  <c r="DSG3" i="25"/>
  <c r="DSF3" i="25"/>
  <c r="DSE3" i="25"/>
  <c r="DSD3" i="25"/>
  <c r="DSC3" i="25"/>
  <c r="DSB3" i="25"/>
  <c r="DSA3" i="25"/>
  <c r="DRZ3" i="25"/>
  <c r="DRY3" i="25"/>
  <c r="DRX3" i="25"/>
  <c r="DRW3" i="25"/>
  <c r="DRV3" i="25"/>
  <c r="DRU3" i="25"/>
  <c r="DRT3" i="25"/>
  <c r="DRS3" i="25"/>
  <c r="DRR3" i="25"/>
  <c r="DRQ3" i="25"/>
  <c r="DRP3" i="25"/>
  <c r="DRO3" i="25"/>
  <c r="DRN3" i="25"/>
  <c r="DRM3" i="25"/>
  <c r="DRL3" i="25"/>
  <c r="DRK3" i="25"/>
  <c r="DRJ3" i="25"/>
  <c r="DRI3" i="25"/>
  <c r="DRH3" i="25"/>
  <c r="DRG3" i="25"/>
  <c r="DRF3" i="25"/>
  <c r="DRE3" i="25"/>
  <c r="DRD3" i="25"/>
  <c r="DRC3" i="25"/>
  <c r="DRB3" i="25"/>
  <c r="DRA3" i="25"/>
  <c r="DQZ3" i="25"/>
  <c r="DQY3" i="25"/>
  <c r="DQX3" i="25"/>
  <c r="DQW3" i="25"/>
  <c r="DQV3" i="25"/>
  <c r="DQU3" i="25"/>
  <c r="DQT3" i="25"/>
  <c r="DQS3" i="25"/>
  <c r="DQR3" i="25"/>
  <c r="DQQ3" i="25"/>
  <c r="DQP3" i="25"/>
  <c r="DQO3" i="25"/>
  <c r="DQN3" i="25"/>
  <c r="DQM3" i="25"/>
  <c r="DQL3" i="25"/>
  <c r="DQK3" i="25"/>
  <c r="DQJ3" i="25"/>
  <c r="DQI3" i="25"/>
  <c r="DQH3" i="25"/>
  <c r="DQG3" i="25"/>
  <c r="DQF3" i="25"/>
  <c r="DQE3" i="25"/>
  <c r="DQD3" i="25"/>
  <c r="DQC3" i="25"/>
  <c r="DQB3" i="25"/>
  <c r="DQA3" i="25"/>
  <c r="DPZ3" i="25"/>
  <c r="DPY3" i="25"/>
  <c r="DPX3" i="25"/>
  <c r="DPW3" i="25"/>
  <c r="DPV3" i="25"/>
  <c r="DPU3" i="25"/>
  <c r="DPT3" i="25"/>
  <c r="DPS3" i="25"/>
  <c r="DPR3" i="25"/>
  <c r="DPQ3" i="25"/>
  <c r="DPP3" i="25"/>
  <c r="DPO3" i="25"/>
  <c r="DPN3" i="25"/>
  <c r="DPM3" i="25"/>
  <c r="DPL3" i="25"/>
  <c r="DPK3" i="25"/>
  <c r="DPJ3" i="25"/>
  <c r="DPI3" i="25"/>
  <c r="DPH3" i="25"/>
  <c r="DPG3" i="25"/>
  <c r="DPF3" i="25"/>
  <c r="DPE3" i="25"/>
  <c r="DPD3" i="25"/>
  <c r="DPC3" i="25"/>
  <c r="DPB3" i="25"/>
  <c r="DPA3" i="25"/>
  <c r="DOZ3" i="25"/>
  <c r="DOY3" i="25"/>
  <c r="DOX3" i="25"/>
  <c r="DOW3" i="25"/>
  <c r="DOV3" i="25"/>
  <c r="DOU3" i="25"/>
  <c r="DOT3" i="25"/>
  <c r="DOS3" i="25"/>
  <c r="DOR3" i="25"/>
  <c r="DOQ3" i="25"/>
  <c r="DOP3" i="25"/>
  <c r="DOO3" i="25"/>
  <c r="DON3" i="25"/>
  <c r="DOM3" i="25"/>
  <c r="DOL3" i="25"/>
  <c r="DOK3" i="25"/>
  <c r="DOJ3" i="25"/>
  <c r="DOI3" i="25"/>
  <c r="DOH3" i="25"/>
  <c r="DOG3" i="25"/>
  <c r="DOF3" i="25"/>
  <c r="DOE3" i="25"/>
  <c r="DOD3" i="25"/>
  <c r="DOC3" i="25"/>
  <c r="DOB3" i="25"/>
  <c r="DOA3" i="25"/>
  <c r="DNZ3" i="25"/>
  <c r="DNY3" i="25"/>
  <c r="DNX3" i="25"/>
  <c r="DNW3" i="25"/>
  <c r="DNV3" i="25"/>
  <c r="DNU3" i="25"/>
  <c r="DNT3" i="25"/>
  <c r="DNS3" i="25"/>
  <c r="DNR3" i="25"/>
  <c r="DNQ3" i="25"/>
  <c r="DNP3" i="25"/>
  <c r="DNO3" i="25"/>
  <c r="DNN3" i="25"/>
  <c r="DNM3" i="25"/>
  <c r="DNL3" i="25"/>
  <c r="DNK3" i="25"/>
  <c r="DNJ3" i="25"/>
  <c r="DNI3" i="25"/>
  <c r="DNH3" i="25"/>
  <c r="DNG3" i="25"/>
  <c r="DNF3" i="25"/>
  <c r="DNE3" i="25"/>
  <c r="DND3" i="25"/>
  <c r="DNC3" i="25"/>
  <c r="DNB3" i="25"/>
  <c r="DNA3" i="25"/>
  <c r="DMZ3" i="25"/>
  <c r="DMY3" i="25"/>
  <c r="DMX3" i="25"/>
  <c r="DMW3" i="25"/>
  <c r="DMV3" i="25"/>
  <c r="DMU3" i="25"/>
  <c r="DMT3" i="25"/>
  <c r="DMS3" i="25"/>
  <c r="DMR3" i="25"/>
  <c r="DMQ3" i="25"/>
  <c r="DMP3" i="25"/>
  <c r="DMO3" i="25"/>
  <c r="DMN3" i="25"/>
  <c r="DMM3" i="25"/>
  <c r="DML3" i="25"/>
  <c r="DMK3" i="25"/>
  <c r="DMJ3" i="25"/>
  <c r="DMI3" i="25"/>
  <c r="DMH3" i="25"/>
  <c r="DMG3" i="25"/>
  <c r="DMF3" i="25"/>
  <c r="DME3" i="25"/>
  <c r="DMD3" i="25"/>
  <c r="DMC3" i="25"/>
  <c r="DMB3" i="25"/>
  <c r="DMA3" i="25"/>
  <c r="DLZ3" i="25"/>
  <c r="DLY3" i="25"/>
  <c r="DLX3" i="25"/>
  <c r="DLW3" i="25"/>
  <c r="DLV3" i="25"/>
  <c r="DLU3" i="25"/>
  <c r="DLT3" i="25"/>
  <c r="DLS3" i="25"/>
  <c r="DLR3" i="25"/>
  <c r="DLQ3" i="25"/>
  <c r="DLP3" i="25"/>
  <c r="DLO3" i="25"/>
  <c r="DLN3" i="25"/>
  <c r="DLM3" i="25"/>
  <c r="DLL3" i="25"/>
  <c r="DLK3" i="25"/>
  <c r="DLJ3" i="25"/>
  <c r="DLI3" i="25"/>
  <c r="DLH3" i="25"/>
  <c r="DLG3" i="25"/>
  <c r="DLF3" i="25"/>
  <c r="DLE3" i="25"/>
  <c r="DLD3" i="25"/>
  <c r="DLC3" i="25"/>
  <c r="DLB3" i="25"/>
  <c r="DLA3" i="25"/>
  <c r="DKZ3" i="25"/>
  <c r="DKY3" i="25"/>
  <c r="DKX3" i="25"/>
  <c r="DKW3" i="25"/>
  <c r="DKV3" i="25"/>
  <c r="DKU3" i="25"/>
  <c r="DKT3" i="25"/>
  <c r="DKS3" i="25"/>
  <c r="DKR3" i="25"/>
  <c r="DKQ3" i="25"/>
  <c r="DKP3" i="25"/>
  <c r="DKO3" i="25"/>
  <c r="DKN3" i="25"/>
  <c r="DKM3" i="25"/>
  <c r="DKL3" i="25"/>
  <c r="DKK3" i="25"/>
  <c r="DKJ3" i="25"/>
  <c r="DKI3" i="25"/>
  <c r="DKH3" i="25"/>
  <c r="DKG3" i="25"/>
  <c r="DKF3" i="25"/>
  <c r="DKE3" i="25"/>
  <c r="DKD3" i="25"/>
  <c r="DKC3" i="25"/>
  <c r="DKB3" i="25"/>
  <c r="DKA3" i="25"/>
  <c r="DJZ3" i="25"/>
  <c r="DJY3" i="25"/>
  <c r="DJX3" i="25"/>
  <c r="DJW3" i="25"/>
  <c r="DJV3" i="25"/>
  <c r="DJU3" i="25"/>
  <c r="DJT3" i="25"/>
  <c r="DJS3" i="25"/>
  <c r="DJR3" i="25"/>
  <c r="DJQ3" i="25"/>
  <c r="DJP3" i="25"/>
  <c r="DJO3" i="25"/>
  <c r="DJN3" i="25"/>
  <c r="DJM3" i="25"/>
  <c r="DJL3" i="25"/>
  <c r="DJK3" i="25"/>
  <c r="DJJ3" i="25"/>
  <c r="DJI3" i="25"/>
  <c r="DJH3" i="25"/>
  <c r="DJG3" i="25"/>
  <c r="DJF3" i="25"/>
  <c r="DJE3" i="25"/>
  <c r="DJD3" i="25"/>
  <c r="DJC3" i="25"/>
  <c r="DJB3" i="25"/>
  <c r="DJA3" i="25"/>
  <c r="DIZ3" i="25"/>
  <c r="DIY3" i="25"/>
  <c r="DIX3" i="25"/>
  <c r="DIW3" i="25"/>
  <c r="DIV3" i="25"/>
  <c r="DIU3" i="25"/>
  <c r="DIT3" i="25"/>
  <c r="DIS3" i="25"/>
  <c r="DIR3" i="25"/>
  <c r="DIQ3" i="25"/>
  <c r="DIP3" i="25"/>
  <c r="DIO3" i="25"/>
  <c r="DIN3" i="25"/>
  <c r="DIM3" i="25"/>
  <c r="DIL3" i="25"/>
  <c r="DIK3" i="25"/>
  <c r="DIJ3" i="25"/>
  <c r="DII3" i="25"/>
  <c r="DIH3" i="25"/>
  <c r="DIG3" i="25"/>
  <c r="DIF3" i="25"/>
  <c r="DIE3" i="25"/>
  <c r="DID3" i="25"/>
  <c r="DIC3" i="25"/>
  <c r="DIB3" i="25"/>
  <c r="DIA3" i="25"/>
  <c r="DHZ3" i="25"/>
  <c r="DHY3" i="25"/>
  <c r="DHX3" i="25"/>
  <c r="DHW3" i="25"/>
  <c r="DHV3" i="25"/>
  <c r="DHU3" i="25"/>
  <c r="DHT3" i="25"/>
  <c r="DHS3" i="25"/>
  <c r="DHR3" i="25"/>
  <c r="DHQ3" i="25"/>
  <c r="DHP3" i="25"/>
  <c r="DHO3" i="25"/>
  <c r="DHN3" i="25"/>
  <c r="DHM3" i="25"/>
  <c r="DHL3" i="25"/>
  <c r="DHK3" i="25"/>
  <c r="DHJ3" i="25"/>
  <c r="DHI3" i="25"/>
  <c r="DHH3" i="25"/>
  <c r="DHG3" i="25"/>
  <c r="DHF3" i="25"/>
  <c r="DHE3" i="25"/>
  <c r="DHD3" i="25"/>
  <c r="DHC3" i="25"/>
  <c r="DHB3" i="25"/>
  <c r="DHA3" i="25"/>
  <c r="DGZ3" i="25"/>
  <c r="DGY3" i="25"/>
  <c r="DGX3" i="25"/>
  <c r="DGW3" i="25"/>
  <c r="DGV3" i="25"/>
  <c r="DGU3" i="25"/>
  <c r="DGT3" i="25"/>
  <c r="DGS3" i="25"/>
  <c r="DGR3" i="25"/>
  <c r="DGQ3" i="25"/>
  <c r="DGP3" i="25"/>
  <c r="DGO3" i="25"/>
  <c r="DGN3" i="25"/>
  <c r="DGM3" i="25"/>
  <c r="DGL3" i="25"/>
  <c r="DGK3" i="25"/>
  <c r="DGJ3" i="25"/>
  <c r="DGI3" i="25"/>
  <c r="DGH3" i="25"/>
  <c r="DGG3" i="25"/>
  <c r="DGF3" i="25"/>
  <c r="DGE3" i="25"/>
  <c r="DGD3" i="25"/>
  <c r="DGC3" i="25"/>
  <c r="DGB3" i="25"/>
  <c r="DGA3" i="25"/>
  <c r="DFZ3" i="25"/>
  <c r="DFY3" i="25"/>
  <c r="DFX3" i="25"/>
  <c r="DFW3" i="25"/>
  <c r="DFV3" i="25"/>
  <c r="DFU3" i="25"/>
  <c r="DFT3" i="25"/>
  <c r="DFS3" i="25"/>
  <c r="DFR3" i="25"/>
  <c r="DFQ3" i="25"/>
  <c r="DFP3" i="25"/>
  <c r="DFO3" i="25"/>
  <c r="DFN3" i="25"/>
  <c r="DFM3" i="25"/>
  <c r="DFL3" i="25"/>
  <c r="DFK3" i="25"/>
  <c r="DFJ3" i="25"/>
  <c r="DFI3" i="25"/>
  <c r="DFH3" i="25"/>
  <c r="DFG3" i="25"/>
  <c r="DFF3" i="25"/>
  <c r="DFE3" i="25"/>
  <c r="DFD3" i="25"/>
  <c r="DFC3" i="25"/>
  <c r="DFB3" i="25"/>
  <c r="DFA3" i="25"/>
  <c r="DEZ3" i="25"/>
  <c r="DEY3" i="25"/>
  <c r="DEX3" i="25"/>
  <c r="DEW3" i="25"/>
  <c r="DEV3" i="25"/>
  <c r="DEU3" i="25"/>
  <c r="DET3" i="25"/>
  <c r="DES3" i="25"/>
  <c r="DER3" i="25"/>
  <c r="DEQ3" i="25"/>
  <c r="DEP3" i="25"/>
  <c r="DEO3" i="25"/>
  <c r="DEN3" i="25"/>
  <c r="DEM3" i="25"/>
  <c r="DEL3" i="25"/>
  <c r="DEK3" i="25"/>
  <c r="DEJ3" i="25"/>
  <c r="DEI3" i="25"/>
  <c r="DEH3" i="25"/>
  <c r="DEG3" i="25"/>
  <c r="DEF3" i="25"/>
  <c r="DEE3" i="25"/>
  <c r="DED3" i="25"/>
  <c r="DEC3" i="25"/>
  <c r="DEB3" i="25"/>
  <c r="DEA3" i="25"/>
  <c r="DDZ3" i="25"/>
  <c r="DDY3" i="25"/>
  <c r="DDX3" i="25"/>
  <c r="DDW3" i="25"/>
  <c r="DDV3" i="25"/>
  <c r="DDU3" i="25"/>
  <c r="DDT3" i="25"/>
  <c r="DDS3" i="25"/>
  <c r="DDR3" i="25"/>
  <c r="DDQ3" i="25"/>
  <c r="DDP3" i="25"/>
  <c r="DDO3" i="25"/>
  <c r="DDN3" i="25"/>
  <c r="DDM3" i="25"/>
  <c r="DDL3" i="25"/>
  <c r="DDK3" i="25"/>
  <c r="DDJ3" i="25"/>
  <c r="DDI3" i="25"/>
  <c r="DDH3" i="25"/>
  <c r="DDG3" i="25"/>
  <c r="DDF3" i="25"/>
  <c r="DDE3" i="25"/>
  <c r="DDD3" i="25"/>
  <c r="DDC3" i="25"/>
  <c r="DDB3" i="25"/>
  <c r="DDA3" i="25"/>
  <c r="DCZ3" i="25"/>
  <c r="DCY3" i="25"/>
  <c r="DCX3" i="25"/>
  <c r="DCW3" i="25"/>
  <c r="DCV3" i="25"/>
  <c r="DCU3" i="25"/>
  <c r="DCT3" i="25"/>
  <c r="DCS3" i="25"/>
  <c r="DCR3" i="25"/>
  <c r="DCQ3" i="25"/>
  <c r="DCP3" i="25"/>
  <c r="DCO3" i="25"/>
  <c r="DCN3" i="25"/>
  <c r="DCM3" i="25"/>
  <c r="DCL3" i="25"/>
  <c r="DCK3" i="25"/>
  <c r="DCJ3" i="25"/>
  <c r="DCI3" i="25"/>
  <c r="DCH3" i="25"/>
  <c r="DCG3" i="25"/>
  <c r="DCF3" i="25"/>
  <c r="DCE3" i="25"/>
  <c r="DCD3" i="25"/>
  <c r="DCC3" i="25"/>
  <c r="DCB3" i="25"/>
  <c r="DCA3" i="25"/>
  <c r="DBZ3" i="25"/>
  <c r="DBY3" i="25"/>
  <c r="DBX3" i="25"/>
  <c r="DBW3" i="25"/>
  <c r="DBV3" i="25"/>
  <c r="DBU3" i="25"/>
  <c r="DBT3" i="25"/>
  <c r="DBS3" i="25"/>
  <c r="DBR3" i="25"/>
  <c r="DBQ3" i="25"/>
  <c r="DBP3" i="25"/>
  <c r="DBO3" i="25"/>
  <c r="DBN3" i="25"/>
  <c r="DBM3" i="25"/>
  <c r="DBL3" i="25"/>
  <c r="DBK3" i="25"/>
  <c r="DBJ3" i="25"/>
  <c r="DBI3" i="25"/>
  <c r="DBH3" i="25"/>
  <c r="DBG3" i="25"/>
  <c r="DBF3" i="25"/>
  <c r="DBE3" i="25"/>
  <c r="DBD3" i="25"/>
  <c r="DBC3" i="25"/>
  <c r="DBB3" i="25"/>
  <c r="DBA3" i="25"/>
  <c r="DAZ3" i="25"/>
  <c r="DAY3" i="25"/>
  <c r="DAX3" i="25"/>
  <c r="DAW3" i="25"/>
  <c r="DAV3" i="25"/>
  <c r="DAU3" i="25"/>
  <c r="DAT3" i="25"/>
  <c r="DAS3" i="25"/>
  <c r="DAR3" i="25"/>
  <c r="DAQ3" i="25"/>
  <c r="DAP3" i="25"/>
  <c r="DAO3" i="25"/>
  <c r="DAN3" i="25"/>
  <c r="DAM3" i="25"/>
  <c r="DAL3" i="25"/>
  <c r="DAK3" i="25"/>
  <c r="DAJ3" i="25"/>
  <c r="DAI3" i="25"/>
  <c r="DAH3" i="25"/>
  <c r="DAG3" i="25"/>
  <c r="DAF3" i="25"/>
  <c r="DAE3" i="25"/>
  <c r="DAD3" i="25"/>
  <c r="DAC3" i="25"/>
  <c r="DAB3" i="25"/>
  <c r="DAA3" i="25"/>
  <c r="CZZ3" i="25"/>
  <c r="CZY3" i="25"/>
  <c r="CZX3" i="25"/>
  <c r="CZW3" i="25"/>
  <c r="CZV3" i="25"/>
  <c r="CZU3" i="25"/>
  <c r="CZT3" i="25"/>
  <c r="CZS3" i="25"/>
  <c r="CZR3" i="25"/>
  <c r="CZQ3" i="25"/>
  <c r="CZP3" i="25"/>
  <c r="CZO3" i="25"/>
  <c r="CZN3" i="25"/>
  <c r="CZM3" i="25"/>
  <c r="CZL3" i="25"/>
  <c r="CZK3" i="25"/>
  <c r="CZJ3" i="25"/>
  <c r="CZI3" i="25"/>
  <c r="CZH3" i="25"/>
  <c r="CZG3" i="25"/>
  <c r="CZF3" i="25"/>
  <c r="CZE3" i="25"/>
  <c r="CZD3" i="25"/>
  <c r="CZC3" i="25"/>
  <c r="CZB3" i="25"/>
  <c r="CZA3" i="25"/>
  <c r="CYZ3" i="25"/>
  <c r="CYY3" i="25"/>
  <c r="CYX3" i="25"/>
  <c r="CYW3" i="25"/>
  <c r="CYV3" i="25"/>
  <c r="CYU3" i="25"/>
  <c r="CYT3" i="25"/>
  <c r="CYS3" i="25"/>
  <c r="CYR3" i="25"/>
  <c r="CYQ3" i="25"/>
  <c r="CYP3" i="25"/>
  <c r="CYO3" i="25"/>
  <c r="CYN3" i="25"/>
  <c r="CYM3" i="25"/>
  <c r="CYL3" i="25"/>
  <c r="CYK3" i="25"/>
  <c r="CYJ3" i="25"/>
  <c r="CYI3" i="25"/>
  <c r="CYH3" i="25"/>
  <c r="CYG3" i="25"/>
  <c r="CYF3" i="25"/>
  <c r="CYE3" i="25"/>
  <c r="CYD3" i="25"/>
  <c r="CYC3" i="25"/>
  <c r="CYB3" i="25"/>
  <c r="CYA3" i="25"/>
  <c r="CXZ3" i="25"/>
  <c r="CXY3" i="25"/>
  <c r="CXX3" i="25"/>
  <c r="CXW3" i="25"/>
  <c r="CXV3" i="25"/>
  <c r="CXU3" i="25"/>
  <c r="CXT3" i="25"/>
  <c r="CXS3" i="25"/>
  <c r="CXR3" i="25"/>
  <c r="CXQ3" i="25"/>
  <c r="CXP3" i="25"/>
  <c r="CXO3" i="25"/>
  <c r="CXN3" i="25"/>
  <c r="CXM3" i="25"/>
  <c r="CXL3" i="25"/>
  <c r="CXK3" i="25"/>
  <c r="CXJ3" i="25"/>
  <c r="CXI3" i="25"/>
  <c r="CXH3" i="25"/>
  <c r="CXG3" i="25"/>
  <c r="CXF3" i="25"/>
  <c r="CXE3" i="25"/>
  <c r="CXD3" i="25"/>
  <c r="CXC3" i="25"/>
  <c r="CXB3" i="25"/>
  <c r="CXA3" i="25"/>
  <c r="CWZ3" i="25"/>
  <c r="CWY3" i="25"/>
  <c r="CWX3" i="25"/>
  <c r="CWW3" i="25"/>
  <c r="CWV3" i="25"/>
  <c r="CWU3" i="25"/>
  <c r="CWT3" i="25"/>
  <c r="CWS3" i="25"/>
  <c r="CWR3" i="25"/>
  <c r="CWQ3" i="25"/>
  <c r="CWP3" i="25"/>
  <c r="CWO3" i="25"/>
  <c r="CWN3" i="25"/>
  <c r="CWM3" i="25"/>
  <c r="CWL3" i="25"/>
  <c r="CWK3" i="25"/>
  <c r="CWJ3" i="25"/>
  <c r="CWI3" i="25"/>
  <c r="CWH3" i="25"/>
  <c r="CWG3" i="25"/>
  <c r="CWF3" i="25"/>
  <c r="CWE3" i="25"/>
  <c r="CWD3" i="25"/>
  <c r="CWC3" i="25"/>
  <c r="CWB3" i="25"/>
  <c r="CWA3" i="25"/>
  <c r="CVZ3" i="25"/>
  <c r="CVY3" i="25"/>
  <c r="CVX3" i="25"/>
  <c r="CVW3" i="25"/>
  <c r="CVV3" i="25"/>
  <c r="CVU3" i="25"/>
  <c r="CVT3" i="25"/>
  <c r="CVS3" i="25"/>
  <c r="CVR3" i="25"/>
  <c r="CVQ3" i="25"/>
  <c r="CVP3" i="25"/>
  <c r="CVO3" i="25"/>
  <c r="CVN3" i="25"/>
  <c r="CVM3" i="25"/>
  <c r="CVL3" i="25"/>
  <c r="CVK3" i="25"/>
  <c r="CVJ3" i="25"/>
  <c r="CVI3" i="25"/>
  <c r="CVH3" i="25"/>
  <c r="CVG3" i="25"/>
  <c r="CVF3" i="25"/>
  <c r="CVE3" i="25"/>
  <c r="CVD3" i="25"/>
  <c r="CVC3" i="25"/>
  <c r="CVB3" i="25"/>
  <c r="CVA3" i="25"/>
  <c r="CUZ3" i="25"/>
  <c r="CUY3" i="25"/>
  <c r="CUX3" i="25"/>
  <c r="CUW3" i="25"/>
  <c r="CUV3" i="25"/>
  <c r="CUU3" i="25"/>
  <c r="CUT3" i="25"/>
  <c r="CUS3" i="25"/>
  <c r="CUR3" i="25"/>
  <c r="CUQ3" i="25"/>
  <c r="CUP3" i="25"/>
  <c r="CUO3" i="25"/>
  <c r="CUN3" i="25"/>
  <c r="CUM3" i="25"/>
  <c r="CUL3" i="25"/>
  <c r="CUK3" i="25"/>
  <c r="CUJ3" i="25"/>
  <c r="CUI3" i="25"/>
  <c r="CUH3" i="25"/>
  <c r="CUG3" i="25"/>
  <c r="CUF3" i="25"/>
  <c r="CUE3" i="25"/>
  <c r="CUD3" i="25"/>
  <c r="CUC3" i="25"/>
  <c r="CUB3" i="25"/>
  <c r="CUA3" i="25"/>
  <c r="CTZ3" i="25"/>
  <c r="CTY3" i="25"/>
  <c r="CTX3" i="25"/>
  <c r="CTW3" i="25"/>
  <c r="CTV3" i="25"/>
  <c r="CTU3" i="25"/>
  <c r="CTT3" i="25"/>
  <c r="CTS3" i="25"/>
  <c r="CTR3" i="25"/>
  <c r="CTQ3" i="25"/>
  <c r="CTP3" i="25"/>
  <c r="CTO3" i="25"/>
  <c r="CTN3" i="25"/>
  <c r="CTM3" i="25"/>
  <c r="CTL3" i="25"/>
  <c r="CTK3" i="25"/>
  <c r="CTJ3" i="25"/>
  <c r="CTI3" i="25"/>
  <c r="CTH3" i="25"/>
  <c r="CTG3" i="25"/>
  <c r="CTF3" i="25"/>
  <c r="CTE3" i="25"/>
  <c r="CTD3" i="25"/>
  <c r="CTC3" i="25"/>
  <c r="CTB3" i="25"/>
  <c r="CTA3" i="25"/>
  <c r="CSZ3" i="25"/>
  <c r="CSY3" i="25"/>
  <c r="CSX3" i="25"/>
  <c r="CSW3" i="25"/>
  <c r="CSV3" i="25"/>
  <c r="CSU3" i="25"/>
  <c r="CST3" i="25"/>
  <c r="CSS3" i="25"/>
  <c r="CSR3" i="25"/>
  <c r="CSQ3" i="25"/>
  <c r="CSP3" i="25"/>
  <c r="CSO3" i="25"/>
  <c r="CSN3" i="25"/>
  <c r="CSM3" i="25"/>
  <c r="CSL3" i="25"/>
  <c r="CSK3" i="25"/>
  <c r="CSJ3" i="25"/>
  <c r="CSI3" i="25"/>
  <c r="CSH3" i="25"/>
  <c r="CSG3" i="25"/>
  <c r="CSF3" i="25"/>
  <c r="CSE3" i="25"/>
  <c r="CSD3" i="25"/>
  <c r="CSC3" i="25"/>
  <c r="CSB3" i="25"/>
  <c r="CSA3" i="25"/>
  <c r="CRZ3" i="25"/>
  <c r="CRY3" i="25"/>
  <c r="CRX3" i="25"/>
  <c r="CRW3" i="25"/>
  <c r="CRV3" i="25"/>
  <c r="CRU3" i="25"/>
  <c r="CRT3" i="25"/>
  <c r="CRS3" i="25"/>
  <c r="CRR3" i="25"/>
  <c r="CRQ3" i="25"/>
  <c r="CRP3" i="25"/>
  <c r="CRO3" i="25"/>
  <c r="CRN3" i="25"/>
  <c r="CRM3" i="25"/>
  <c r="CRL3" i="25"/>
  <c r="CRK3" i="25"/>
  <c r="CRJ3" i="25"/>
  <c r="CRI3" i="25"/>
  <c r="CRH3" i="25"/>
  <c r="CRG3" i="25"/>
  <c r="CRF3" i="25"/>
  <c r="CRE3" i="25"/>
  <c r="CRD3" i="25"/>
  <c r="CRC3" i="25"/>
  <c r="CRB3" i="25"/>
  <c r="CRA3" i="25"/>
  <c r="CQZ3" i="25"/>
  <c r="CQY3" i="25"/>
  <c r="CQX3" i="25"/>
  <c r="CQW3" i="25"/>
  <c r="CQV3" i="25"/>
  <c r="CQU3" i="25"/>
  <c r="CQT3" i="25"/>
  <c r="CQS3" i="25"/>
  <c r="CQR3" i="25"/>
  <c r="CQQ3" i="25"/>
  <c r="CQP3" i="25"/>
  <c r="CQO3" i="25"/>
  <c r="CQN3" i="25"/>
  <c r="CQM3" i="25"/>
  <c r="CQL3" i="25"/>
  <c r="CQK3" i="25"/>
  <c r="CQJ3" i="25"/>
  <c r="CQI3" i="25"/>
  <c r="CQH3" i="25"/>
  <c r="CQG3" i="25"/>
  <c r="CQF3" i="25"/>
  <c r="CQE3" i="25"/>
  <c r="CQD3" i="25"/>
  <c r="CQC3" i="25"/>
  <c r="CQB3" i="25"/>
  <c r="CQA3" i="25"/>
  <c r="CPZ3" i="25"/>
  <c r="CPY3" i="25"/>
  <c r="CPX3" i="25"/>
  <c r="CPW3" i="25"/>
  <c r="CPV3" i="25"/>
  <c r="CPU3" i="25"/>
  <c r="CPT3" i="25"/>
  <c r="CPS3" i="25"/>
  <c r="CPR3" i="25"/>
  <c r="CPQ3" i="25"/>
  <c r="CPP3" i="25"/>
  <c r="CPO3" i="25"/>
  <c r="CPN3" i="25"/>
  <c r="CPM3" i="25"/>
  <c r="CPL3" i="25"/>
  <c r="CPK3" i="25"/>
  <c r="CPJ3" i="25"/>
  <c r="CPI3" i="25"/>
  <c r="CPH3" i="25"/>
  <c r="CPG3" i="25"/>
  <c r="CPF3" i="25"/>
  <c r="CPE3" i="25"/>
  <c r="CPD3" i="25"/>
  <c r="CPC3" i="25"/>
  <c r="CPB3" i="25"/>
  <c r="CPA3" i="25"/>
  <c r="COZ3" i="25"/>
  <c r="COY3" i="25"/>
  <c r="COX3" i="25"/>
  <c r="COW3" i="25"/>
  <c r="COV3" i="25"/>
  <c r="COU3" i="25"/>
  <c r="COT3" i="25"/>
  <c r="COS3" i="25"/>
  <c r="COR3" i="25"/>
  <c r="COQ3" i="25"/>
  <c r="COP3" i="25"/>
  <c r="COO3" i="25"/>
  <c r="CON3" i="25"/>
  <c r="COM3" i="25"/>
  <c r="COL3" i="25"/>
  <c r="COK3" i="25"/>
  <c r="COJ3" i="25"/>
  <c r="COI3" i="25"/>
  <c r="COH3" i="25"/>
  <c r="COG3" i="25"/>
  <c r="COF3" i="25"/>
  <c r="COE3" i="25"/>
  <c r="COD3" i="25"/>
  <c r="COC3" i="25"/>
  <c r="COB3" i="25"/>
  <c r="COA3" i="25"/>
  <c r="CNZ3" i="25"/>
  <c r="CNY3" i="25"/>
  <c r="CNX3" i="25"/>
  <c r="CNW3" i="25"/>
  <c r="CNV3" i="25"/>
  <c r="CNU3" i="25"/>
  <c r="CNT3" i="25"/>
  <c r="CNS3" i="25"/>
  <c r="CNR3" i="25"/>
  <c r="CNQ3" i="25"/>
  <c r="CNP3" i="25"/>
  <c r="CNO3" i="25"/>
  <c r="CNN3" i="25"/>
  <c r="CNM3" i="25"/>
  <c r="CNL3" i="25"/>
  <c r="CNK3" i="25"/>
  <c r="CNJ3" i="25"/>
  <c r="CNI3" i="25"/>
  <c r="CNH3" i="25"/>
  <c r="CNG3" i="25"/>
  <c r="CNF3" i="25"/>
  <c r="CNE3" i="25"/>
  <c r="CND3" i="25"/>
  <c r="CNC3" i="25"/>
  <c r="CNB3" i="25"/>
  <c r="CNA3" i="25"/>
  <c r="CMZ3" i="25"/>
  <c r="CMY3" i="25"/>
  <c r="CMX3" i="25"/>
  <c r="CMW3" i="25"/>
  <c r="CMV3" i="25"/>
  <c r="CMU3" i="25"/>
  <c r="CMT3" i="25"/>
  <c r="CMS3" i="25"/>
  <c r="CMR3" i="25"/>
  <c r="CMQ3" i="25"/>
  <c r="CMP3" i="25"/>
  <c r="CMO3" i="25"/>
  <c r="CMN3" i="25"/>
  <c r="CMM3" i="25"/>
  <c r="CML3" i="25"/>
  <c r="CMK3" i="25"/>
  <c r="CMJ3" i="25"/>
  <c r="CMI3" i="25"/>
  <c r="CMH3" i="25"/>
  <c r="CMG3" i="25"/>
  <c r="CMF3" i="25"/>
  <c r="CME3" i="25"/>
  <c r="CMD3" i="25"/>
  <c r="CMC3" i="25"/>
  <c r="CMB3" i="25"/>
  <c r="CMA3" i="25"/>
  <c r="CLZ3" i="25"/>
  <c r="CLY3" i="25"/>
  <c r="CLX3" i="25"/>
  <c r="CLW3" i="25"/>
  <c r="CLV3" i="25"/>
  <c r="CLU3" i="25"/>
  <c r="CLT3" i="25"/>
  <c r="CLS3" i="25"/>
  <c r="CLR3" i="25"/>
  <c r="CLQ3" i="25"/>
  <c r="CLP3" i="25"/>
  <c r="CLO3" i="25"/>
  <c r="CLN3" i="25"/>
  <c r="CLM3" i="25"/>
  <c r="CLL3" i="25"/>
  <c r="CLK3" i="25"/>
  <c r="CLJ3" i="25"/>
  <c r="CLI3" i="25"/>
  <c r="CLH3" i="25"/>
  <c r="CLG3" i="25"/>
  <c r="CLF3" i="25"/>
  <c r="CLE3" i="25"/>
  <c r="CLD3" i="25"/>
  <c r="CLC3" i="25"/>
  <c r="CLB3" i="25"/>
  <c r="CLA3" i="25"/>
  <c r="CKZ3" i="25"/>
  <c r="CKY3" i="25"/>
  <c r="CKX3" i="25"/>
  <c r="CKW3" i="25"/>
  <c r="CKV3" i="25"/>
  <c r="CKU3" i="25"/>
  <c r="CKT3" i="25"/>
  <c r="CKS3" i="25"/>
  <c r="CKR3" i="25"/>
  <c r="CKQ3" i="25"/>
  <c r="CKP3" i="25"/>
  <c r="CKO3" i="25"/>
  <c r="CKN3" i="25"/>
  <c r="CKM3" i="25"/>
  <c r="CKL3" i="25"/>
  <c r="CKK3" i="25"/>
  <c r="CKJ3" i="25"/>
  <c r="CKI3" i="25"/>
  <c r="CKH3" i="25"/>
  <c r="CKG3" i="25"/>
  <c r="CKF3" i="25"/>
  <c r="CKE3" i="25"/>
  <c r="CKD3" i="25"/>
  <c r="CKC3" i="25"/>
  <c r="CKB3" i="25"/>
  <c r="CKA3" i="25"/>
  <c r="CJZ3" i="25"/>
  <c r="CJY3" i="25"/>
  <c r="CJX3" i="25"/>
  <c r="CJW3" i="25"/>
  <c r="CJV3" i="25"/>
  <c r="CJU3" i="25"/>
  <c r="CJT3" i="25"/>
  <c r="CJS3" i="25"/>
  <c r="CJR3" i="25"/>
  <c r="CJQ3" i="25"/>
  <c r="CJP3" i="25"/>
  <c r="CJO3" i="25"/>
  <c r="CJN3" i="25"/>
  <c r="CJM3" i="25"/>
  <c r="CJL3" i="25"/>
  <c r="CJK3" i="25"/>
  <c r="CJJ3" i="25"/>
  <c r="CJI3" i="25"/>
  <c r="CJH3" i="25"/>
  <c r="CJG3" i="25"/>
  <c r="CJF3" i="25"/>
  <c r="CJE3" i="25"/>
  <c r="CJD3" i="25"/>
  <c r="CJC3" i="25"/>
  <c r="CJB3" i="25"/>
  <c r="CJA3" i="25"/>
  <c r="CIZ3" i="25"/>
  <c r="CIY3" i="25"/>
  <c r="CIX3" i="25"/>
  <c r="CIW3" i="25"/>
  <c r="CIV3" i="25"/>
  <c r="CIU3" i="25"/>
  <c r="CIT3" i="25"/>
  <c r="CIS3" i="25"/>
  <c r="CIR3" i="25"/>
  <c r="CIQ3" i="25"/>
  <c r="CIP3" i="25"/>
  <c r="CIO3" i="25"/>
  <c r="CIN3" i="25"/>
  <c r="CIM3" i="25"/>
  <c r="CIL3" i="25"/>
  <c r="CIK3" i="25"/>
  <c r="CIJ3" i="25"/>
  <c r="CII3" i="25"/>
  <c r="CIH3" i="25"/>
  <c r="CIG3" i="25"/>
  <c r="CIF3" i="25"/>
  <c r="CIE3" i="25"/>
  <c r="CID3" i="25"/>
  <c r="CIC3" i="25"/>
  <c r="CIB3" i="25"/>
  <c r="CIA3" i="25"/>
  <c r="CHZ3" i="25"/>
  <c r="CHY3" i="25"/>
  <c r="CHX3" i="25"/>
  <c r="CHW3" i="25"/>
  <c r="CHV3" i="25"/>
  <c r="CHU3" i="25"/>
  <c r="CHT3" i="25"/>
  <c r="CHS3" i="25"/>
  <c r="CHR3" i="25"/>
  <c r="CHQ3" i="25"/>
  <c r="CHP3" i="25"/>
  <c r="CHO3" i="25"/>
  <c r="CHN3" i="25"/>
  <c r="CHM3" i="25"/>
  <c r="CHL3" i="25"/>
  <c r="CHK3" i="25"/>
  <c r="CHJ3" i="25"/>
  <c r="CHI3" i="25"/>
  <c r="CHH3" i="25"/>
  <c r="CHG3" i="25"/>
  <c r="CHF3" i="25"/>
  <c r="CHE3" i="25"/>
  <c r="CHD3" i="25"/>
  <c r="CHC3" i="25"/>
  <c r="CHB3" i="25"/>
  <c r="CHA3" i="25"/>
  <c r="CGZ3" i="25"/>
  <c r="CGY3" i="25"/>
  <c r="CGX3" i="25"/>
  <c r="CGW3" i="25"/>
  <c r="CGV3" i="25"/>
  <c r="CGU3" i="25"/>
  <c r="CGT3" i="25"/>
  <c r="CGS3" i="25"/>
  <c r="CGR3" i="25"/>
  <c r="CGQ3" i="25"/>
  <c r="CGP3" i="25"/>
  <c r="CGO3" i="25"/>
  <c r="CGN3" i="25"/>
  <c r="CGM3" i="25"/>
  <c r="CGL3" i="25"/>
  <c r="CGK3" i="25"/>
  <c r="CGJ3" i="25"/>
  <c r="CGI3" i="25"/>
  <c r="CGH3" i="25"/>
  <c r="CGG3" i="25"/>
  <c r="CGF3" i="25"/>
  <c r="CGE3" i="25"/>
  <c r="CGD3" i="25"/>
  <c r="CGC3" i="25"/>
  <c r="CGB3" i="25"/>
  <c r="CGA3" i="25"/>
  <c r="CFZ3" i="25"/>
  <c r="CFY3" i="25"/>
  <c r="CFX3" i="25"/>
  <c r="CFW3" i="25"/>
  <c r="CFV3" i="25"/>
  <c r="CFU3" i="25"/>
  <c r="CFT3" i="25"/>
  <c r="CFS3" i="25"/>
  <c r="CFR3" i="25"/>
  <c r="CFQ3" i="25"/>
  <c r="CFP3" i="25"/>
  <c r="CFO3" i="25"/>
  <c r="CFN3" i="25"/>
  <c r="CFM3" i="25"/>
  <c r="CFL3" i="25"/>
  <c r="CFK3" i="25"/>
  <c r="CFJ3" i="25"/>
  <c r="CFI3" i="25"/>
  <c r="CFH3" i="25"/>
  <c r="CFG3" i="25"/>
  <c r="CFF3" i="25"/>
  <c r="CFE3" i="25"/>
  <c r="CFD3" i="25"/>
  <c r="CFC3" i="25"/>
  <c r="CFB3" i="25"/>
  <c r="CFA3" i="25"/>
  <c r="CEZ3" i="25"/>
  <c r="CEY3" i="25"/>
  <c r="CEX3" i="25"/>
  <c r="CEW3" i="25"/>
  <c r="CEV3" i="25"/>
  <c r="CEU3" i="25"/>
  <c r="CET3" i="25"/>
  <c r="CES3" i="25"/>
  <c r="CER3" i="25"/>
  <c r="CEQ3" i="25"/>
  <c r="CEP3" i="25"/>
  <c r="CEO3" i="25"/>
  <c r="CEN3" i="25"/>
  <c r="CEM3" i="25"/>
  <c r="CEL3" i="25"/>
  <c r="CEK3" i="25"/>
  <c r="CEJ3" i="25"/>
  <c r="CEI3" i="25"/>
  <c r="CEH3" i="25"/>
  <c r="CEG3" i="25"/>
  <c r="CEF3" i="25"/>
  <c r="CEE3" i="25"/>
  <c r="CED3" i="25"/>
  <c r="CEC3" i="25"/>
  <c r="CEB3" i="25"/>
  <c r="CEA3" i="25"/>
  <c r="CDZ3" i="25"/>
  <c r="CDY3" i="25"/>
  <c r="CDX3" i="25"/>
  <c r="CDW3" i="25"/>
  <c r="CDV3" i="25"/>
  <c r="CDU3" i="25"/>
  <c r="CDT3" i="25"/>
  <c r="CDS3" i="25"/>
  <c r="CDR3" i="25"/>
  <c r="CDQ3" i="25"/>
  <c r="CDP3" i="25"/>
  <c r="CDO3" i="25"/>
  <c r="CDN3" i="25"/>
  <c r="CDM3" i="25"/>
  <c r="CDL3" i="25"/>
  <c r="CDK3" i="25"/>
  <c r="CDJ3" i="25"/>
  <c r="CDI3" i="25"/>
  <c r="CDH3" i="25"/>
  <c r="CDG3" i="25"/>
  <c r="CDF3" i="25"/>
  <c r="CDE3" i="25"/>
  <c r="CDD3" i="25"/>
  <c r="CDC3" i="25"/>
  <c r="CDB3" i="25"/>
  <c r="CDA3" i="25"/>
  <c r="CCZ3" i="25"/>
  <c r="CCY3" i="25"/>
  <c r="CCX3" i="25"/>
  <c r="CCW3" i="25"/>
  <c r="CCV3" i="25"/>
  <c r="CCU3" i="25"/>
  <c r="CCT3" i="25"/>
  <c r="CCS3" i="25"/>
  <c r="CCR3" i="25"/>
  <c r="CCQ3" i="25"/>
  <c r="CCP3" i="25"/>
  <c r="CCO3" i="25"/>
  <c r="CCN3" i="25"/>
  <c r="CCM3" i="25"/>
  <c r="CCL3" i="25"/>
  <c r="CCK3" i="25"/>
  <c r="CCJ3" i="25"/>
  <c r="CCI3" i="25"/>
  <c r="CCH3" i="25"/>
  <c r="CCG3" i="25"/>
  <c r="CCF3" i="25"/>
  <c r="CCE3" i="25"/>
  <c r="CCD3" i="25"/>
  <c r="CCC3" i="25"/>
  <c r="CCB3" i="25"/>
  <c r="CCA3" i="25"/>
  <c r="CBZ3" i="25"/>
  <c r="CBY3" i="25"/>
  <c r="CBX3" i="25"/>
  <c r="CBW3" i="25"/>
  <c r="CBV3" i="25"/>
  <c r="CBU3" i="25"/>
  <c r="CBT3" i="25"/>
  <c r="CBS3" i="25"/>
  <c r="CBR3" i="25"/>
  <c r="CBQ3" i="25"/>
  <c r="CBP3" i="25"/>
  <c r="CBO3" i="25"/>
  <c r="CBN3" i="25"/>
  <c r="CBM3" i="25"/>
  <c r="CBL3" i="25"/>
  <c r="CBK3" i="25"/>
  <c r="CBJ3" i="25"/>
  <c r="CBI3" i="25"/>
  <c r="CBH3" i="25"/>
  <c r="CBG3" i="25"/>
  <c r="CBF3" i="25"/>
  <c r="CBE3" i="25"/>
  <c r="CBD3" i="25"/>
  <c r="CBC3" i="25"/>
  <c r="CBB3" i="25"/>
  <c r="CBA3" i="25"/>
  <c r="CAZ3" i="25"/>
  <c r="CAY3" i="25"/>
  <c r="CAX3" i="25"/>
  <c r="CAW3" i="25"/>
  <c r="CAV3" i="25"/>
  <c r="CAU3" i="25"/>
  <c r="CAT3" i="25"/>
  <c r="CAS3" i="25"/>
  <c r="CAR3" i="25"/>
  <c r="CAQ3" i="25"/>
  <c r="CAP3" i="25"/>
  <c r="CAO3" i="25"/>
  <c r="CAN3" i="25"/>
  <c r="CAM3" i="25"/>
  <c r="CAL3" i="25"/>
  <c r="CAK3" i="25"/>
  <c r="CAJ3" i="25"/>
  <c r="CAI3" i="25"/>
  <c r="CAH3" i="25"/>
  <c r="CAG3" i="25"/>
  <c r="CAF3" i="25"/>
  <c r="CAE3" i="25"/>
  <c r="CAD3" i="25"/>
  <c r="CAC3" i="25"/>
  <c r="CAB3" i="25"/>
  <c r="CAA3" i="25"/>
  <c r="BZZ3" i="25"/>
  <c r="BZY3" i="25"/>
  <c r="BZX3" i="25"/>
  <c r="BZW3" i="25"/>
  <c r="BZV3" i="25"/>
  <c r="BZU3" i="25"/>
  <c r="BZT3" i="25"/>
  <c r="BZS3" i="25"/>
  <c r="BZR3" i="25"/>
  <c r="BZQ3" i="25"/>
  <c r="BZP3" i="25"/>
  <c r="BZO3" i="25"/>
  <c r="BZN3" i="25"/>
  <c r="BZM3" i="25"/>
  <c r="BZL3" i="25"/>
  <c r="BZK3" i="25"/>
  <c r="BZJ3" i="25"/>
  <c r="BZI3" i="25"/>
  <c r="BZH3" i="25"/>
  <c r="BZG3" i="25"/>
  <c r="BZF3" i="25"/>
  <c r="BZE3" i="25"/>
  <c r="BZD3" i="25"/>
  <c r="BZC3" i="25"/>
  <c r="BZB3" i="25"/>
  <c r="BZA3" i="25"/>
  <c r="BYZ3" i="25"/>
  <c r="BYY3" i="25"/>
  <c r="BYX3" i="25"/>
  <c r="BYW3" i="25"/>
  <c r="BYV3" i="25"/>
  <c r="BYU3" i="25"/>
  <c r="BYT3" i="25"/>
  <c r="BYS3" i="25"/>
  <c r="BYR3" i="25"/>
  <c r="BYQ3" i="25"/>
  <c r="BYP3" i="25"/>
  <c r="BYO3" i="25"/>
  <c r="BYN3" i="25"/>
  <c r="BYM3" i="25"/>
  <c r="BYL3" i="25"/>
  <c r="BYK3" i="25"/>
  <c r="BYJ3" i="25"/>
  <c r="BYI3" i="25"/>
  <c r="BYH3" i="25"/>
  <c r="BYG3" i="25"/>
  <c r="BYF3" i="25"/>
  <c r="BYE3" i="25"/>
  <c r="BYD3" i="25"/>
  <c r="BYC3" i="25"/>
  <c r="BYB3" i="25"/>
  <c r="BYA3" i="25"/>
  <c r="BXZ3" i="25"/>
  <c r="BXY3" i="25"/>
  <c r="BXX3" i="25"/>
  <c r="BXW3" i="25"/>
  <c r="BXV3" i="25"/>
  <c r="BXU3" i="25"/>
  <c r="BXT3" i="25"/>
  <c r="BXS3" i="25"/>
  <c r="BXR3" i="25"/>
  <c r="BXQ3" i="25"/>
  <c r="BXP3" i="25"/>
  <c r="BXO3" i="25"/>
  <c r="BXN3" i="25"/>
  <c r="BXM3" i="25"/>
  <c r="BXL3" i="25"/>
  <c r="BXK3" i="25"/>
  <c r="BXJ3" i="25"/>
  <c r="BXI3" i="25"/>
  <c r="BXH3" i="25"/>
  <c r="BXG3" i="25"/>
  <c r="BXF3" i="25"/>
  <c r="BXE3" i="25"/>
  <c r="BXD3" i="25"/>
  <c r="BXC3" i="25"/>
  <c r="BXB3" i="25"/>
  <c r="BXA3" i="25"/>
  <c r="BWZ3" i="25"/>
  <c r="BWY3" i="25"/>
  <c r="BWX3" i="25"/>
  <c r="BWW3" i="25"/>
  <c r="BWV3" i="25"/>
  <c r="BWU3" i="25"/>
  <c r="BWT3" i="25"/>
  <c r="BWS3" i="25"/>
  <c r="BWR3" i="25"/>
  <c r="BWQ3" i="25"/>
  <c r="BWP3" i="25"/>
  <c r="BWO3" i="25"/>
  <c r="BWN3" i="25"/>
  <c r="BWM3" i="25"/>
  <c r="BWL3" i="25"/>
  <c r="BWK3" i="25"/>
  <c r="BWJ3" i="25"/>
  <c r="BWI3" i="25"/>
  <c r="BWH3" i="25"/>
  <c r="BWG3" i="25"/>
  <c r="BWF3" i="25"/>
  <c r="BWE3" i="25"/>
  <c r="BWD3" i="25"/>
  <c r="BWC3" i="25"/>
  <c r="BWB3" i="25"/>
  <c r="BWA3" i="25"/>
  <c r="BVZ3" i="25"/>
  <c r="BVY3" i="25"/>
  <c r="BVX3" i="25"/>
  <c r="BVW3" i="25"/>
  <c r="BVV3" i="25"/>
  <c r="BVU3" i="25"/>
  <c r="BVT3" i="25"/>
  <c r="BVS3" i="25"/>
  <c r="BVR3" i="25"/>
  <c r="BVQ3" i="25"/>
  <c r="BVP3" i="25"/>
  <c r="BVO3" i="25"/>
  <c r="BVN3" i="25"/>
  <c r="BVM3" i="25"/>
  <c r="BVL3" i="25"/>
  <c r="BVK3" i="25"/>
  <c r="BVJ3" i="25"/>
  <c r="BVI3" i="25"/>
  <c r="BVH3" i="25"/>
  <c r="BVG3" i="25"/>
  <c r="BVF3" i="25"/>
  <c r="BVE3" i="25"/>
  <c r="BVD3" i="25"/>
  <c r="BVC3" i="25"/>
  <c r="BVB3" i="25"/>
  <c r="BVA3" i="25"/>
  <c r="BUZ3" i="25"/>
  <c r="BUY3" i="25"/>
  <c r="BUX3" i="25"/>
  <c r="BUW3" i="25"/>
  <c r="BUV3" i="25"/>
  <c r="BUU3" i="25"/>
  <c r="BUT3" i="25"/>
  <c r="BUS3" i="25"/>
  <c r="BUR3" i="25"/>
  <c r="BUQ3" i="25"/>
  <c r="BUP3" i="25"/>
  <c r="BUO3" i="25"/>
  <c r="BUN3" i="25"/>
  <c r="BUM3" i="25"/>
  <c r="BUL3" i="25"/>
  <c r="BUK3" i="25"/>
  <c r="BUJ3" i="25"/>
  <c r="BUI3" i="25"/>
  <c r="BUH3" i="25"/>
  <c r="BUG3" i="25"/>
  <c r="BUF3" i="25"/>
  <c r="BUE3" i="25"/>
  <c r="BUD3" i="25"/>
  <c r="BUC3" i="25"/>
  <c r="BUB3" i="25"/>
  <c r="BUA3" i="25"/>
  <c r="BTZ3" i="25"/>
  <c r="BTY3" i="25"/>
  <c r="BTX3" i="25"/>
  <c r="BTW3" i="25"/>
  <c r="BTV3" i="25"/>
  <c r="BTU3" i="25"/>
  <c r="BTT3" i="25"/>
  <c r="BTS3" i="25"/>
  <c r="BTR3" i="25"/>
  <c r="BTQ3" i="25"/>
  <c r="BTP3" i="25"/>
  <c r="BTO3" i="25"/>
  <c r="BTN3" i="25"/>
  <c r="BTM3" i="25"/>
  <c r="BTL3" i="25"/>
  <c r="BTK3" i="25"/>
  <c r="BTJ3" i="25"/>
  <c r="BTI3" i="25"/>
  <c r="BTH3" i="25"/>
  <c r="BTG3" i="25"/>
  <c r="BTF3" i="25"/>
  <c r="BTE3" i="25"/>
  <c r="BTD3" i="25"/>
  <c r="BTC3" i="25"/>
  <c r="BTB3" i="25"/>
  <c r="BTA3" i="25"/>
  <c r="BSZ3" i="25"/>
  <c r="BSY3" i="25"/>
  <c r="BSX3" i="25"/>
  <c r="BSW3" i="25"/>
  <c r="BSV3" i="25"/>
  <c r="BSU3" i="25"/>
  <c r="BST3" i="25"/>
  <c r="BSS3" i="25"/>
  <c r="BSR3" i="25"/>
  <c r="BSQ3" i="25"/>
  <c r="BSP3" i="25"/>
  <c r="BSO3" i="25"/>
  <c r="BSN3" i="25"/>
  <c r="BSM3" i="25"/>
  <c r="BSL3" i="25"/>
  <c r="BSK3" i="25"/>
  <c r="BSJ3" i="25"/>
  <c r="BSI3" i="25"/>
  <c r="BSH3" i="25"/>
  <c r="BSG3" i="25"/>
  <c r="BSF3" i="25"/>
  <c r="BSE3" i="25"/>
  <c r="BSD3" i="25"/>
  <c r="BSC3" i="25"/>
  <c r="BSB3" i="25"/>
  <c r="BSA3" i="25"/>
  <c r="BRZ3" i="25"/>
  <c r="BRY3" i="25"/>
  <c r="BRX3" i="25"/>
  <c r="BRW3" i="25"/>
  <c r="BRV3" i="25"/>
  <c r="BRU3" i="25"/>
  <c r="BRT3" i="25"/>
  <c r="BRS3" i="25"/>
  <c r="BRR3" i="25"/>
  <c r="BRQ3" i="25"/>
  <c r="BRP3" i="25"/>
  <c r="BRO3" i="25"/>
  <c r="BRN3" i="25"/>
  <c r="BRM3" i="25"/>
  <c r="BRL3" i="25"/>
  <c r="BRK3" i="25"/>
  <c r="BRJ3" i="25"/>
  <c r="BRI3" i="25"/>
  <c r="BRH3" i="25"/>
  <c r="BRG3" i="25"/>
  <c r="BRF3" i="25"/>
  <c r="BRE3" i="25"/>
  <c r="BRD3" i="25"/>
  <c r="BRC3" i="25"/>
  <c r="BRB3" i="25"/>
  <c r="BRA3" i="25"/>
  <c r="BQZ3" i="25"/>
  <c r="BQY3" i="25"/>
  <c r="BQX3" i="25"/>
  <c r="BQW3" i="25"/>
  <c r="BQV3" i="25"/>
  <c r="BQU3" i="25"/>
  <c r="BQT3" i="25"/>
  <c r="BQS3" i="25"/>
  <c r="BQR3" i="25"/>
  <c r="BQQ3" i="25"/>
  <c r="BQP3" i="25"/>
  <c r="BQO3" i="25"/>
  <c r="BQN3" i="25"/>
  <c r="BQM3" i="25"/>
  <c r="BQL3" i="25"/>
  <c r="BQK3" i="25"/>
  <c r="BQJ3" i="25"/>
  <c r="BQI3" i="25"/>
  <c r="BQH3" i="25"/>
  <c r="BQG3" i="25"/>
  <c r="BQF3" i="25"/>
  <c r="BQE3" i="25"/>
  <c r="BQD3" i="25"/>
  <c r="BQC3" i="25"/>
  <c r="BQB3" i="25"/>
  <c r="BQA3" i="25"/>
  <c r="BPZ3" i="25"/>
  <c r="BPY3" i="25"/>
  <c r="BPX3" i="25"/>
  <c r="BPW3" i="25"/>
  <c r="BPV3" i="25"/>
  <c r="BPU3" i="25"/>
  <c r="BPT3" i="25"/>
  <c r="BPS3" i="25"/>
  <c r="BPR3" i="25"/>
  <c r="BPQ3" i="25"/>
  <c r="BPP3" i="25"/>
  <c r="BPO3" i="25"/>
  <c r="BPN3" i="25"/>
  <c r="BPM3" i="25"/>
  <c r="BPL3" i="25"/>
  <c r="BPK3" i="25"/>
  <c r="BPJ3" i="25"/>
  <c r="BPI3" i="25"/>
  <c r="BPH3" i="25"/>
  <c r="BPG3" i="25"/>
  <c r="BPF3" i="25"/>
  <c r="BPE3" i="25"/>
  <c r="BPD3" i="25"/>
  <c r="BPC3" i="25"/>
  <c r="BPB3" i="25"/>
  <c r="BPA3" i="25"/>
  <c r="BOZ3" i="25"/>
  <c r="BOY3" i="25"/>
  <c r="BOX3" i="25"/>
  <c r="BOW3" i="25"/>
  <c r="BOV3" i="25"/>
  <c r="BOU3" i="25"/>
  <c r="BOT3" i="25"/>
  <c r="BOS3" i="25"/>
  <c r="BOR3" i="25"/>
  <c r="BOQ3" i="25"/>
  <c r="BOP3" i="25"/>
  <c r="BOO3" i="25"/>
  <c r="BON3" i="25"/>
  <c r="BOM3" i="25"/>
  <c r="BOL3" i="25"/>
  <c r="BOK3" i="25"/>
  <c r="BOJ3" i="25"/>
  <c r="BOI3" i="25"/>
  <c r="BOH3" i="25"/>
  <c r="BOG3" i="25"/>
  <c r="BOF3" i="25"/>
  <c r="BOE3" i="25"/>
  <c r="BOD3" i="25"/>
  <c r="BOC3" i="25"/>
  <c r="BOB3" i="25"/>
  <c r="BOA3" i="25"/>
  <c r="BNZ3" i="25"/>
  <c r="BNY3" i="25"/>
  <c r="BNX3" i="25"/>
  <c r="BNW3" i="25"/>
  <c r="BNV3" i="25"/>
  <c r="BNU3" i="25"/>
  <c r="BNT3" i="25"/>
  <c r="BNS3" i="25"/>
  <c r="BNR3" i="25"/>
  <c r="BNQ3" i="25"/>
  <c r="BNP3" i="25"/>
  <c r="BNO3" i="25"/>
  <c r="BNN3" i="25"/>
  <c r="BNM3" i="25"/>
  <c r="BNL3" i="25"/>
  <c r="BNK3" i="25"/>
  <c r="BNJ3" i="25"/>
  <c r="BNI3" i="25"/>
  <c r="BNH3" i="25"/>
  <c r="BNG3" i="25"/>
  <c r="BNF3" i="25"/>
  <c r="BNE3" i="25"/>
  <c r="BND3" i="25"/>
  <c r="BNC3" i="25"/>
  <c r="BNB3" i="25"/>
  <c r="BNA3" i="25"/>
  <c r="BMZ3" i="25"/>
  <c r="BMY3" i="25"/>
  <c r="BMX3" i="25"/>
  <c r="BMW3" i="25"/>
  <c r="BMV3" i="25"/>
  <c r="BMU3" i="25"/>
  <c r="BMT3" i="25"/>
  <c r="BMS3" i="25"/>
  <c r="BMR3" i="25"/>
  <c r="BMQ3" i="25"/>
  <c r="BMP3" i="25"/>
  <c r="BMO3" i="25"/>
  <c r="BMN3" i="25"/>
  <c r="BMM3" i="25"/>
  <c r="BML3" i="25"/>
  <c r="BMK3" i="25"/>
  <c r="BMJ3" i="25"/>
  <c r="BMI3" i="25"/>
  <c r="BMH3" i="25"/>
  <c r="BMG3" i="25"/>
  <c r="BMF3" i="25"/>
  <c r="BME3" i="25"/>
  <c r="BMD3" i="25"/>
  <c r="BMC3" i="25"/>
  <c r="BMB3" i="25"/>
  <c r="BMA3" i="25"/>
  <c r="BLZ3" i="25"/>
  <c r="BLY3" i="25"/>
  <c r="BLX3" i="25"/>
  <c r="BLW3" i="25"/>
  <c r="BLV3" i="25"/>
  <c r="BLU3" i="25"/>
  <c r="BLT3" i="25"/>
  <c r="BLS3" i="25"/>
  <c r="BLR3" i="25"/>
  <c r="BLQ3" i="25"/>
  <c r="BLP3" i="25"/>
  <c r="BLO3" i="25"/>
  <c r="BLN3" i="25"/>
  <c r="BLM3" i="25"/>
  <c r="BLL3" i="25"/>
  <c r="BLK3" i="25"/>
  <c r="BLJ3" i="25"/>
  <c r="BLI3" i="25"/>
  <c r="BLH3" i="25"/>
  <c r="BLG3" i="25"/>
  <c r="BLF3" i="25"/>
  <c r="BLE3" i="25"/>
  <c r="BLD3" i="25"/>
  <c r="BLC3" i="25"/>
  <c r="BLB3" i="25"/>
  <c r="BLA3" i="25"/>
  <c r="BKZ3" i="25"/>
  <c r="BKY3" i="25"/>
  <c r="BKX3" i="25"/>
  <c r="BKW3" i="25"/>
  <c r="BKV3" i="25"/>
  <c r="BKU3" i="25"/>
  <c r="BKT3" i="25"/>
  <c r="BKS3" i="25"/>
  <c r="BKR3" i="25"/>
  <c r="BKQ3" i="25"/>
  <c r="BKP3" i="25"/>
  <c r="BKO3" i="25"/>
  <c r="BKN3" i="25"/>
  <c r="BKM3" i="25"/>
  <c r="BKL3" i="25"/>
  <c r="BKK3" i="25"/>
  <c r="BKJ3" i="25"/>
  <c r="BKI3" i="25"/>
  <c r="BKH3" i="25"/>
  <c r="BKG3" i="25"/>
  <c r="BKF3" i="25"/>
  <c r="BKE3" i="25"/>
  <c r="BKD3" i="25"/>
  <c r="BKC3" i="25"/>
  <c r="BKB3" i="25"/>
  <c r="BKA3" i="25"/>
  <c r="BJZ3" i="25"/>
  <c r="BJY3" i="25"/>
  <c r="BJX3" i="25"/>
  <c r="BJW3" i="25"/>
  <c r="BJV3" i="25"/>
  <c r="BJU3" i="25"/>
  <c r="BJT3" i="25"/>
  <c r="BJS3" i="25"/>
  <c r="BJR3" i="25"/>
  <c r="BJQ3" i="25"/>
  <c r="BJP3" i="25"/>
  <c r="BJO3" i="25"/>
  <c r="BJN3" i="25"/>
  <c r="BJM3" i="25"/>
  <c r="BJL3" i="25"/>
  <c r="BJK3" i="25"/>
  <c r="BJJ3" i="25"/>
  <c r="BJI3" i="25"/>
  <c r="BJH3" i="25"/>
  <c r="BJG3" i="25"/>
  <c r="BJF3" i="25"/>
  <c r="BJE3" i="25"/>
  <c r="BJD3" i="25"/>
  <c r="BJC3" i="25"/>
  <c r="BJB3" i="25"/>
  <c r="BJA3" i="25"/>
  <c r="BIZ3" i="25"/>
  <c r="BIY3" i="25"/>
  <c r="BIX3" i="25"/>
  <c r="BIW3" i="25"/>
  <c r="BIV3" i="25"/>
  <c r="BIU3" i="25"/>
  <c r="BIT3" i="25"/>
  <c r="BIS3" i="25"/>
  <c r="BIR3" i="25"/>
  <c r="BIQ3" i="25"/>
  <c r="BIP3" i="25"/>
  <c r="BIO3" i="25"/>
  <c r="BIN3" i="25"/>
  <c r="BIM3" i="25"/>
  <c r="BIL3" i="25"/>
  <c r="BIK3" i="25"/>
  <c r="BIJ3" i="25"/>
  <c r="BII3" i="25"/>
  <c r="BIH3" i="25"/>
  <c r="BIG3" i="25"/>
  <c r="BIF3" i="25"/>
  <c r="BIE3" i="25"/>
  <c r="BID3" i="25"/>
  <c r="BIC3" i="25"/>
  <c r="BIB3" i="25"/>
  <c r="BIA3" i="25"/>
  <c r="BHZ3" i="25"/>
  <c r="BHY3" i="25"/>
  <c r="BHX3" i="25"/>
  <c r="BHW3" i="25"/>
  <c r="BHV3" i="25"/>
  <c r="BHU3" i="25"/>
  <c r="BHT3" i="25"/>
  <c r="BHS3" i="25"/>
  <c r="BHR3" i="25"/>
  <c r="BHQ3" i="25"/>
  <c r="BHP3" i="25"/>
  <c r="BHO3" i="25"/>
  <c r="BHN3" i="25"/>
  <c r="BHM3" i="25"/>
  <c r="BHL3" i="25"/>
  <c r="BHK3" i="25"/>
  <c r="BHJ3" i="25"/>
  <c r="BHI3" i="25"/>
  <c r="BHH3" i="25"/>
  <c r="BHG3" i="25"/>
  <c r="BHF3" i="25"/>
  <c r="BHE3" i="25"/>
  <c r="BHD3" i="25"/>
  <c r="BHC3" i="25"/>
  <c r="BHB3" i="25"/>
  <c r="BHA3" i="25"/>
  <c r="BGZ3" i="25"/>
  <c r="BGY3" i="25"/>
  <c r="BGX3" i="25"/>
  <c r="BGW3" i="25"/>
  <c r="BGV3" i="25"/>
  <c r="BGU3" i="25"/>
  <c r="BGT3" i="25"/>
  <c r="BGS3" i="25"/>
  <c r="BGR3" i="25"/>
  <c r="BGQ3" i="25"/>
  <c r="BGP3" i="25"/>
  <c r="BGO3" i="25"/>
  <c r="BGN3" i="25"/>
  <c r="BGM3" i="25"/>
  <c r="BGL3" i="25"/>
  <c r="BGK3" i="25"/>
  <c r="BGJ3" i="25"/>
  <c r="BGI3" i="25"/>
  <c r="BGH3" i="25"/>
  <c r="BGG3" i="25"/>
  <c r="BGF3" i="25"/>
  <c r="BGE3" i="25"/>
  <c r="BGD3" i="25"/>
  <c r="BGC3" i="25"/>
  <c r="BGB3" i="25"/>
  <c r="BGA3" i="25"/>
  <c r="BFZ3" i="25"/>
  <c r="BFY3" i="25"/>
  <c r="BFX3" i="25"/>
  <c r="BFW3" i="25"/>
  <c r="BFV3" i="25"/>
  <c r="BFU3" i="25"/>
  <c r="BFT3" i="25"/>
  <c r="BFS3" i="25"/>
  <c r="BFR3" i="25"/>
  <c r="BFQ3" i="25"/>
  <c r="BFP3" i="25"/>
  <c r="BFO3" i="25"/>
  <c r="BFN3" i="25"/>
  <c r="BFM3" i="25"/>
  <c r="BFL3" i="25"/>
  <c r="BFK3" i="25"/>
  <c r="BFJ3" i="25"/>
  <c r="BFI3" i="25"/>
  <c r="BFH3" i="25"/>
  <c r="BFG3" i="25"/>
  <c r="BFF3" i="25"/>
  <c r="BFE3" i="25"/>
  <c r="BFD3" i="25"/>
  <c r="BFC3" i="25"/>
  <c r="BFB3" i="25"/>
  <c r="BFA3" i="25"/>
  <c r="BEZ3" i="25"/>
  <c r="BEY3" i="25"/>
  <c r="BEX3" i="25"/>
  <c r="BEW3" i="25"/>
  <c r="BEV3" i="25"/>
  <c r="BEU3" i="25"/>
  <c r="BET3" i="25"/>
  <c r="BES3" i="25"/>
  <c r="BER3" i="25"/>
  <c r="BEQ3" i="25"/>
  <c r="BEP3" i="25"/>
  <c r="BEO3" i="25"/>
  <c r="BEN3" i="25"/>
  <c r="BEM3" i="25"/>
  <c r="BEL3" i="25"/>
  <c r="BEK3" i="25"/>
  <c r="BEJ3" i="25"/>
  <c r="BEI3" i="25"/>
  <c r="BEH3" i="25"/>
  <c r="BEG3" i="25"/>
  <c r="BEF3" i="25"/>
  <c r="BEE3" i="25"/>
  <c r="BED3" i="25"/>
  <c r="BEC3" i="25"/>
  <c r="BEB3" i="25"/>
  <c r="BEA3" i="25"/>
  <c r="BDZ3" i="25"/>
  <c r="BDY3" i="25"/>
  <c r="BDX3" i="25"/>
  <c r="BDW3" i="25"/>
  <c r="BDV3" i="25"/>
  <c r="BDU3" i="25"/>
  <c r="BDT3" i="25"/>
  <c r="BDS3" i="25"/>
  <c r="BDR3" i="25"/>
  <c r="BDQ3" i="25"/>
  <c r="BDP3" i="25"/>
  <c r="BDO3" i="25"/>
  <c r="BDN3" i="25"/>
  <c r="BDM3" i="25"/>
  <c r="BDL3" i="25"/>
  <c r="BDK3" i="25"/>
  <c r="BDJ3" i="25"/>
  <c r="BDI3" i="25"/>
  <c r="BDH3" i="25"/>
  <c r="BDG3" i="25"/>
  <c r="BDF3" i="25"/>
  <c r="BDE3" i="25"/>
  <c r="BDD3" i="25"/>
  <c r="BDC3" i="25"/>
  <c r="BDB3" i="25"/>
  <c r="BDA3" i="25"/>
  <c r="BCZ3" i="25"/>
  <c r="BCY3" i="25"/>
  <c r="BCX3" i="25"/>
  <c r="BCW3" i="25"/>
  <c r="BCV3" i="25"/>
  <c r="BCU3" i="25"/>
  <c r="BCT3" i="25"/>
  <c r="BCS3" i="25"/>
  <c r="BCR3" i="25"/>
  <c r="BCQ3" i="25"/>
  <c r="BCP3" i="25"/>
  <c r="BCO3" i="25"/>
  <c r="BCN3" i="25"/>
  <c r="BCM3" i="25"/>
  <c r="BCL3" i="25"/>
  <c r="BCK3" i="25"/>
  <c r="BCJ3" i="25"/>
  <c r="BCI3" i="25"/>
  <c r="BCH3" i="25"/>
  <c r="BCG3" i="25"/>
  <c r="BCF3" i="25"/>
  <c r="BCE3" i="25"/>
  <c r="BCD3" i="25"/>
  <c r="BCC3" i="25"/>
  <c r="BCB3" i="25"/>
  <c r="BCA3" i="25"/>
  <c r="BBZ3" i="25"/>
  <c r="BBY3" i="25"/>
  <c r="BBX3" i="25"/>
  <c r="BBW3" i="25"/>
  <c r="BBV3" i="25"/>
  <c r="BBU3" i="25"/>
  <c r="BBT3" i="25"/>
  <c r="BBS3" i="25"/>
  <c r="BBR3" i="25"/>
  <c r="BBQ3" i="25"/>
  <c r="BBP3" i="25"/>
  <c r="BBO3" i="25"/>
  <c r="BBN3" i="25"/>
  <c r="BBM3" i="25"/>
  <c r="BBL3" i="25"/>
  <c r="BBK3" i="25"/>
  <c r="BBJ3" i="25"/>
  <c r="BBI3" i="25"/>
  <c r="BBH3" i="25"/>
  <c r="BBG3" i="25"/>
  <c r="BBF3" i="25"/>
  <c r="BBE3" i="25"/>
  <c r="BBD3" i="25"/>
  <c r="BBC3" i="25"/>
  <c r="BBB3" i="25"/>
  <c r="BBA3" i="25"/>
  <c r="BAZ3" i="25"/>
  <c r="BAY3" i="25"/>
  <c r="BAX3" i="25"/>
  <c r="BAW3" i="25"/>
  <c r="BAV3" i="25"/>
  <c r="BAU3" i="25"/>
  <c r="BAT3" i="25"/>
  <c r="BAS3" i="25"/>
  <c r="BAR3" i="25"/>
  <c r="BAQ3" i="25"/>
  <c r="BAP3" i="25"/>
  <c r="BAO3" i="25"/>
  <c r="BAN3" i="25"/>
  <c r="BAM3" i="25"/>
  <c r="BAL3" i="25"/>
  <c r="BAK3" i="25"/>
  <c r="BAJ3" i="25"/>
  <c r="BAI3" i="25"/>
  <c r="BAH3" i="25"/>
  <c r="BAG3" i="25"/>
  <c r="BAF3" i="25"/>
  <c r="BAE3" i="25"/>
  <c r="BAD3" i="25"/>
  <c r="BAC3" i="25"/>
  <c r="BAB3" i="25"/>
  <c r="BAA3" i="25"/>
  <c r="AZZ3" i="25"/>
  <c r="AZY3" i="25"/>
  <c r="AZX3" i="25"/>
  <c r="AZW3" i="25"/>
  <c r="AZV3" i="25"/>
  <c r="AZU3" i="25"/>
  <c r="AZT3" i="25"/>
  <c r="AZS3" i="25"/>
  <c r="AZR3" i="25"/>
  <c r="AZQ3" i="25"/>
  <c r="AZP3" i="25"/>
  <c r="AZO3" i="25"/>
  <c r="AZN3" i="25"/>
  <c r="AZM3" i="25"/>
  <c r="AZL3" i="25"/>
  <c r="AZK3" i="25"/>
  <c r="AZJ3" i="25"/>
  <c r="AZI3" i="25"/>
  <c r="AZH3" i="25"/>
  <c r="AZG3" i="25"/>
  <c r="AZF3" i="25"/>
  <c r="AZE3" i="25"/>
  <c r="AZD3" i="25"/>
  <c r="AZC3" i="25"/>
  <c r="AZB3" i="25"/>
  <c r="AZA3" i="25"/>
  <c r="AYZ3" i="25"/>
  <c r="AYY3" i="25"/>
  <c r="AYX3" i="25"/>
  <c r="AYW3" i="25"/>
  <c r="AYV3" i="25"/>
  <c r="AYU3" i="25"/>
  <c r="AYT3" i="25"/>
  <c r="AYS3" i="25"/>
  <c r="AYR3" i="25"/>
  <c r="AYQ3" i="25"/>
  <c r="AYP3" i="25"/>
  <c r="AYO3" i="25"/>
  <c r="AYN3" i="25"/>
  <c r="AYM3" i="25"/>
  <c r="AYL3" i="25"/>
  <c r="AYK3" i="25"/>
  <c r="AYJ3" i="25"/>
  <c r="AYI3" i="25"/>
  <c r="AYH3" i="25"/>
  <c r="AYG3" i="25"/>
  <c r="AYF3" i="25"/>
  <c r="AYE3" i="25"/>
  <c r="AYD3" i="25"/>
  <c r="AYC3" i="25"/>
  <c r="AYB3" i="25"/>
  <c r="AYA3" i="25"/>
  <c r="AXZ3" i="25"/>
  <c r="AXY3" i="25"/>
  <c r="AXX3" i="25"/>
  <c r="AXW3" i="25"/>
  <c r="AXV3" i="25"/>
  <c r="AXU3" i="25"/>
  <c r="AXT3" i="25"/>
  <c r="AXS3" i="25"/>
  <c r="AXR3" i="25"/>
  <c r="AXQ3" i="25"/>
  <c r="AXP3" i="25"/>
  <c r="AXO3" i="25"/>
  <c r="AXN3" i="25"/>
  <c r="AXM3" i="25"/>
  <c r="AXL3" i="25"/>
  <c r="AXK3" i="25"/>
  <c r="AXJ3" i="25"/>
  <c r="AXI3" i="25"/>
  <c r="AXH3" i="25"/>
  <c r="AXG3" i="25"/>
  <c r="AXF3" i="25"/>
  <c r="AXE3" i="25"/>
  <c r="AXD3" i="25"/>
  <c r="AXC3" i="25"/>
  <c r="AXB3" i="25"/>
  <c r="AXA3" i="25"/>
  <c r="AWZ3" i="25"/>
  <c r="AWY3" i="25"/>
  <c r="AWX3" i="25"/>
  <c r="AWW3" i="25"/>
  <c r="AWV3" i="25"/>
  <c r="AWU3" i="25"/>
  <c r="AWT3" i="25"/>
  <c r="AWS3" i="25"/>
  <c r="AWR3" i="25"/>
  <c r="AWQ3" i="25"/>
  <c r="AWP3" i="25"/>
  <c r="AWO3" i="25"/>
  <c r="AWN3" i="25"/>
  <c r="AWM3" i="25"/>
  <c r="AWL3" i="25"/>
  <c r="AWK3" i="25"/>
  <c r="AWJ3" i="25"/>
  <c r="AWI3" i="25"/>
  <c r="AWH3" i="25"/>
  <c r="AWG3" i="25"/>
  <c r="AWF3" i="25"/>
  <c r="AWE3" i="25"/>
  <c r="AWD3" i="25"/>
  <c r="AWC3" i="25"/>
  <c r="AWB3" i="25"/>
  <c r="AWA3" i="25"/>
  <c r="AVZ3" i="25"/>
  <c r="AVY3" i="25"/>
  <c r="AVX3" i="25"/>
  <c r="AVW3" i="25"/>
  <c r="AVV3" i="25"/>
  <c r="AVU3" i="25"/>
  <c r="AVT3" i="25"/>
  <c r="AVS3" i="25"/>
  <c r="AVR3" i="25"/>
  <c r="AVQ3" i="25"/>
  <c r="AVP3" i="25"/>
  <c r="AVO3" i="25"/>
  <c r="AVN3" i="25"/>
  <c r="AVM3" i="25"/>
  <c r="AVL3" i="25"/>
  <c r="AVK3" i="25"/>
  <c r="AVJ3" i="25"/>
  <c r="AVI3" i="25"/>
  <c r="AVH3" i="25"/>
  <c r="AVG3" i="25"/>
  <c r="AVF3" i="25"/>
  <c r="AVE3" i="25"/>
  <c r="AVD3" i="25"/>
  <c r="AVC3" i="25"/>
  <c r="AVB3" i="25"/>
  <c r="AVA3" i="25"/>
  <c r="AUZ3" i="25"/>
  <c r="AUY3" i="25"/>
  <c r="AUX3" i="25"/>
  <c r="AUW3" i="25"/>
  <c r="AUV3" i="25"/>
  <c r="AUU3" i="25"/>
  <c r="AUT3" i="25"/>
  <c r="AUS3" i="25"/>
  <c r="AUR3" i="25"/>
  <c r="AUQ3" i="25"/>
  <c r="AUP3" i="25"/>
  <c r="AUO3" i="25"/>
  <c r="AUN3" i="25"/>
  <c r="AUM3" i="25"/>
  <c r="AUL3" i="25"/>
  <c r="AUK3" i="25"/>
  <c r="AUJ3" i="25"/>
  <c r="AUI3" i="25"/>
  <c r="AUH3" i="25"/>
  <c r="AUG3" i="25"/>
  <c r="AUF3" i="25"/>
  <c r="AUE3" i="25"/>
  <c r="AUD3" i="25"/>
  <c r="AUC3" i="25"/>
  <c r="AUB3" i="25"/>
  <c r="AUA3" i="25"/>
  <c r="ATZ3" i="25"/>
  <c r="ATY3" i="25"/>
  <c r="ATX3" i="25"/>
  <c r="ATW3" i="25"/>
  <c r="ATV3" i="25"/>
  <c r="ATU3" i="25"/>
  <c r="ATT3" i="25"/>
  <c r="ATS3" i="25"/>
  <c r="ATR3" i="25"/>
  <c r="ATQ3" i="25"/>
  <c r="ATP3" i="25"/>
  <c r="ATO3" i="25"/>
  <c r="ATN3" i="25"/>
  <c r="ATM3" i="25"/>
  <c r="ATL3" i="25"/>
  <c r="ATK3" i="25"/>
  <c r="ATJ3" i="25"/>
  <c r="ATI3" i="25"/>
  <c r="ATH3" i="25"/>
  <c r="ATG3" i="25"/>
  <c r="ATF3" i="25"/>
  <c r="ATE3" i="25"/>
  <c r="ATD3" i="25"/>
  <c r="ATC3" i="25"/>
  <c r="ATB3" i="25"/>
  <c r="ATA3" i="25"/>
  <c r="ASZ3" i="25"/>
  <c r="ASY3" i="25"/>
  <c r="ASX3" i="25"/>
  <c r="ASW3" i="25"/>
  <c r="ASV3" i="25"/>
  <c r="ASU3" i="25"/>
  <c r="AST3" i="25"/>
  <c r="ASS3" i="25"/>
  <c r="ASR3" i="25"/>
  <c r="ASQ3" i="25"/>
  <c r="ASP3" i="25"/>
  <c r="ASO3" i="25"/>
  <c r="ASN3" i="25"/>
  <c r="ASM3" i="25"/>
  <c r="ASL3" i="25"/>
  <c r="ASK3" i="25"/>
  <c r="ASJ3" i="25"/>
  <c r="ASI3" i="25"/>
  <c r="ASH3" i="25"/>
  <c r="ASG3" i="25"/>
  <c r="ASF3" i="25"/>
  <c r="ASE3" i="25"/>
  <c r="ASD3" i="25"/>
  <c r="ASC3" i="25"/>
  <c r="ASB3" i="25"/>
  <c r="ASA3" i="25"/>
  <c r="ARZ3" i="25"/>
  <c r="ARY3" i="25"/>
  <c r="ARX3" i="25"/>
  <c r="ARW3" i="25"/>
  <c r="ARV3" i="25"/>
  <c r="ARU3" i="25"/>
  <c r="ART3" i="25"/>
  <c r="ARS3" i="25"/>
  <c r="ARR3" i="25"/>
  <c r="ARQ3" i="25"/>
  <c r="ARP3" i="25"/>
  <c r="ARO3" i="25"/>
  <c r="ARN3" i="25"/>
  <c r="ARM3" i="25"/>
  <c r="ARL3" i="25"/>
  <c r="ARK3" i="25"/>
  <c r="ARJ3" i="25"/>
  <c r="ARI3" i="25"/>
  <c r="ARH3" i="25"/>
  <c r="ARG3" i="25"/>
  <c r="ARF3" i="25"/>
  <c r="ARE3" i="25"/>
  <c r="ARD3" i="25"/>
  <c r="ARC3" i="25"/>
  <c r="ARB3" i="25"/>
  <c r="ARA3" i="25"/>
  <c r="AQZ3" i="25"/>
  <c r="AQY3" i="25"/>
  <c r="AQX3" i="25"/>
  <c r="AQW3" i="25"/>
  <c r="AQV3" i="25"/>
  <c r="AQU3" i="25"/>
  <c r="AQT3" i="25"/>
  <c r="AQS3" i="25"/>
  <c r="AQR3" i="25"/>
  <c r="AQQ3" i="25"/>
  <c r="AQP3" i="25"/>
  <c r="AQO3" i="25"/>
  <c r="AQN3" i="25"/>
  <c r="AQM3" i="25"/>
  <c r="AQL3" i="25"/>
  <c r="AQK3" i="25"/>
  <c r="AQJ3" i="25"/>
  <c r="AQI3" i="25"/>
  <c r="AQH3" i="25"/>
  <c r="AQG3" i="25"/>
  <c r="AQF3" i="25"/>
  <c r="AQE3" i="25"/>
  <c r="AQD3" i="25"/>
  <c r="AQC3" i="25"/>
  <c r="AQB3" i="25"/>
  <c r="AQA3" i="25"/>
  <c r="APZ3" i="25"/>
  <c r="APY3" i="25"/>
  <c r="APX3" i="25"/>
  <c r="APW3" i="25"/>
  <c r="APV3" i="25"/>
  <c r="APU3" i="25"/>
  <c r="APT3" i="25"/>
  <c r="APS3" i="25"/>
  <c r="APR3" i="25"/>
  <c r="APQ3" i="25"/>
  <c r="APP3" i="25"/>
  <c r="APO3" i="25"/>
  <c r="APN3" i="25"/>
  <c r="APM3" i="25"/>
  <c r="APL3" i="25"/>
  <c r="APK3" i="25"/>
  <c r="APJ3" i="25"/>
  <c r="API3" i="25"/>
  <c r="APH3" i="25"/>
  <c r="APG3" i="25"/>
  <c r="APF3" i="25"/>
  <c r="APE3" i="25"/>
  <c r="APD3" i="25"/>
  <c r="APC3" i="25"/>
  <c r="APB3" i="25"/>
  <c r="APA3" i="25"/>
  <c r="AOZ3" i="25"/>
  <c r="AOY3" i="25"/>
  <c r="AOX3" i="25"/>
  <c r="AOW3" i="25"/>
  <c r="AOV3" i="25"/>
  <c r="AOU3" i="25"/>
  <c r="AOT3" i="25"/>
  <c r="AOS3" i="25"/>
  <c r="AOR3" i="25"/>
  <c r="AOQ3" i="25"/>
  <c r="AOP3" i="25"/>
  <c r="AOO3" i="25"/>
  <c r="AON3" i="25"/>
  <c r="AOM3" i="25"/>
  <c r="AOL3" i="25"/>
  <c r="AOK3" i="25"/>
  <c r="AOJ3" i="25"/>
  <c r="AOI3" i="25"/>
  <c r="AOH3" i="25"/>
  <c r="AOG3" i="25"/>
  <c r="AOF3" i="25"/>
  <c r="AOE3" i="25"/>
  <c r="AOD3" i="25"/>
  <c r="AOC3" i="25"/>
  <c r="AOB3" i="25"/>
  <c r="AOA3" i="25"/>
  <c r="ANZ3" i="25"/>
  <c r="ANY3" i="25"/>
  <c r="ANX3" i="25"/>
  <c r="ANW3" i="25"/>
  <c r="ANV3" i="25"/>
  <c r="ANU3" i="25"/>
  <c r="ANT3" i="25"/>
  <c r="ANS3" i="25"/>
  <c r="ANR3" i="25"/>
  <c r="ANQ3" i="25"/>
  <c r="ANP3" i="25"/>
  <c r="ANO3" i="25"/>
  <c r="ANN3" i="25"/>
  <c r="ANM3" i="25"/>
  <c r="ANL3" i="25"/>
  <c r="ANK3" i="25"/>
  <c r="ANJ3" i="25"/>
  <c r="ANI3" i="25"/>
  <c r="ANH3" i="25"/>
  <c r="ANG3" i="25"/>
  <c r="ANF3" i="25"/>
  <c r="ANE3" i="25"/>
  <c r="AND3" i="25"/>
  <c r="ANC3" i="25"/>
  <c r="ANB3" i="25"/>
  <c r="ANA3" i="25"/>
  <c r="AMZ3" i="25"/>
  <c r="AMY3" i="25"/>
  <c r="AMX3" i="25"/>
  <c r="AMW3" i="25"/>
  <c r="AMV3" i="25"/>
  <c r="AMU3" i="25"/>
  <c r="AMT3" i="25"/>
  <c r="AMS3" i="25"/>
  <c r="AMR3" i="25"/>
  <c r="AMQ3" i="25"/>
  <c r="AMP3" i="25"/>
  <c r="AMO3" i="25"/>
  <c r="AMN3" i="25"/>
  <c r="AMM3" i="25"/>
  <c r="AML3" i="25"/>
  <c r="AMK3" i="25"/>
  <c r="AMJ3" i="25"/>
  <c r="AMI3" i="25"/>
  <c r="AMH3" i="25"/>
  <c r="AMG3" i="25"/>
  <c r="AMF3" i="25"/>
  <c r="AME3" i="25"/>
  <c r="AMD3" i="25"/>
  <c r="AMC3" i="25"/>
  <c r="AMB3" i="25"/>
  <c r="AMA3" i="25"/>
  <c r="ALZ3" i="25"/>
  <c r="ALY3" i="25"/>
  <c r="ALX3" i="25"/>
  <c r="ALW3" i="25"/>
  <c r="ALV3" i="25"/>
  <c r="ALU3" i="25"/>
  <c r="ALT3" i="25"/>
  <c r="ALS3" i="25"/>
  <c r="ALR3" i="25"/>
  <c r="ALQ3" i="25"/>
  <c r="ALP3" i="25"/>
  <c r="ALO3" i="25"/>
  <c r="ALN3" i="25"/>
  <c r="ALM3" i="25"/>
  <c r="ALL3" i="25"/>
  <c r="ALK3" i="25"/>
  <c r="ALJ3" i="25"/>
  <c r="ALI3" i="25"/>
  <c r="ALH3" i="25"/>
  <c r="ALG3" i="25"/>
  <c r="ALF3" i="25"/>
  <c r="ALE3" i="25"/>
  <c r="ALD3" i="25"/>
  <c r="ALC3" i="25"/>
  <c r="ALB3" i="25"/>
  <c r="ALA3" i="25"/>
  <c r="AKZ3" i="25"/>
  <c r="AKY3" i="25"/>
  <c r="AKX3" i="25"/>
  <c r="AKW3" i="25"/>
  <c r="AKV3" i="25"/>
  <c r="AKU3" i="25"/>
  <c r="AKT3" i="25"/>
  <c r="AKS3" i="25"/>
  <c r="AKR3" i="25"/>
  <c r="AKQ3" i="25"/>
  <c r="AKP3" i="25"/>
  <c r="AKO3" i="25"/>
  <c r="AKN3" i="25"/>
  <c r="AKM3" i="25"/>
  <c r="AKL3" i="25"/>
  <c r="AKK3" i="25"/>
  <c r="AKJ3" i="25"/>
  <c r="AKI3" i="25"/>
  <c r="AKH3" i="25"/>
  <c r="AKG3" i="25"/>
  <c r="AKF3" i="25"/>
  <c r="AKE3" i="25"/>
  <c r="AKD3" i="25"/>
  <c r="AKC3" i="25"/>
  <c r="AKB3" i="25"/>
  <c r="AKA3" i="25"/>
  <c r="AJZ3" i="25"/>
  <c r="AJY3" i="25"/>
  <c r="AJX3" i="25"/>
  <c r="AJW3" i="25"/>
  <c r="AJV3" i="25"/>
  <c r="AJU3" i="25"/>
  <c r="AJT3" i="25"/>
  <c r="AJS3" i="25"/>
  <c r="AJR3" i="25"/>
  <c r="AJQ3" i="25"/>
  <c r="AJP3" i="25"/>
  <c r="AJO3" i="25"/>
  <c r="AJN3" i="25"/>
  <c r="AJM3" i="25"/>
  <c r="AJL3" i="25"/>
  <c r="AJK3" i="25"/>
  <c r="AJJ3" i="25"/>
  <c r="AJI3" i="25"/>
  <c r="AJH3" i="25"/>
  <c r="AJG3" i="25"/>
  <c r="AJF3" i="25"/>
  <c r="AJE3" i="25"/>
  <c r="AJD3" i="25"/>
  <c r="AJC3" i="25"/>
  <c r="AJB3" i="25"/>
  <c r="AJA3" i="25"/>
  <c r="AIZ3" i="25"/>
  <c r="AIY3" i="25"/>
  <c r="AIX3" i="25"/>
  <c r="AIW3" i="25"/>
  <c r="AIV3" i="25"/>
  <c r="AIU3" i="25"/>
  <c r="AIT3" i="25"/>
  <c r="AIS3" i="25"/>
  <c r="AIR3" i="25"/>
  <c r="AIQ3" i="25"/>
  <c r="AIP3" i="25"/>
  <c r="AIO3" i="25"/>
  <c r="AIN3" i="25"/>
  <c r="AIM3" i="25"/>
  <c r="AIL3" i="25"/>
  <c r="AIK3" i="25"/>
  <c r="AIJ3" i="25"/>
  <c r="AII3" i="25"/>
  <c r="AIH3" i="25"/>
  <c r="AIG3" i="25"/>
  <c r="AIF3" i="25"/>
  <c r="AIE3" i="25"/>
  <c r="AID3" i="25"/>
  <c r="AIC3" i="25"/>
  <c r="AIB3" i="25"/>
  <c r="AIA3" i="25"/>
  <c r="AHZ3" i="25"/>
  <c r="AHY3" i="25"/>
  <c r="AHX3" i="25"/>
  <c r="AHW3" i="25"/>
  <c r="AHV3" i="25"/>
  <c r="AHU3" i="25"/>
  <c r="AHT3" i="25"/>
  <c r="AHS3" i="25"/>
  <c r="AHR3" i="25"/>
  <c r="AHQ3" i="25"/>
  <c r="AHP3" i="25"/>
  <c r="AHO3" i="25"/>
  <c r="AHN3" i="25"/>
  <c r="AHM3" i="25"/>
  <c r="AHL3" i="25"/>
  <c r="AHK3" i="25"/>
  <c r="AHJ3" i="25"/>
  <c r="AHI3" i="25"/>
  <c r="AHH3" i="25"/>
  <c r="AHG3" i="25"/>
  <c r="AHF3" i="25"/>
  <c r="AHE3" i="25"/>
  <c r="AHD3" i="25"/>
  <c r="AHC3" i="25"/>
  <c r="AHB3" i="25"/>
  <c r="AHA3" i="25"/>
  <c r="AGZ3" i="25"/>
  <c r="AGY3" i="25"/>
  <c r="AGX3" i="25"/>
  <c r="AGW3" i="25"/>
  <c r="AGV3" i="25"/>
  <c r="AGU3" i="25"/>
  <c r="AGT3" i="25"/>
  <c r="AGS3" i="25"/>
  <c r="AGR3" i="25"/>
  <c r="AGQ3" i="25"/>
  <c r="AGP3" i="25"/>
  <c r="AGO3" i="25"/>
  <c r="AGN3" i="25"/>
  <c r="AGM3" i="25"/>
  <c r="AGL3" i="25"/>
  <c r="AGK3" i="25"/>
  <c r="AGJ3" i="25"/>
  <c r="AGI3" i="25"/>
  <c r="AGH3" i="25"/>
  <c r="AGG3" i="25"/>
  <c r="AGF3" i="25"/>
  <c r="AGE3" i="25"/>
  <c r="AGD3" i="25"/>
  <c r="AGC3" i="25"/>
  <c r="AGB3" i="25"/>
  <c r="AGA3" i="25"/>
  <c r="AFZ3" i="25"/>
  <c r="AFY3" i="25"/>
  <c r="AFX3" i="25"/>
  <c r="AFW3" i="25"/>
  <c r="AFV3" i="25"/>
  <c r="AFU3" i="25"/>
  <c r="AFT3" i="25"/>
  <c r="AFS3" i="25"/>
  <c r="AFR3" i="25"/>
  <c r="AFQ3" i="25"/>
  <c r="AFP3" i="25"/>
  <c r="AFO3" i="25"/>
  <c r="AFN3" i="25"/>
  <c r="AFM3" i="25"/>
  <c r="AFL3" i="25"/>
  <c r="AFK3" i="25"/>
  <c r="AFJ3" i="25"/>
  <c r="AFI3" i="25"/>
  <c r="AFH3" i="25"/>
  <c r="AFG3" i="25"/>
  <c r="AFF3" i="25"/>
  <c r="AFE3" i="25"/>
  <c r="AFD3" i="25"/>
  <c r="AFC3" i="25"/>
  <c r="AFB3" i="25"/>
  <c r="AFA3" i="25"/>
  <c r="AEZ3" i="25"/>
  <c r="AEY3" i="25"/>
  <c r="AEX3" i="25"/>
  <c r="AEW3" i="25"/>
  <c r="AEV3" i="25"/>
  <c r="AEU3" i="25"/>
  <c r="AET3" i="25"/>
  <c r="AES3" i="25"/>
  <c r="AER3" i="25"/>
  <c r="AEQ3" i="25"/>
  <c r="AEP3" i="25"/>
  <c r="AEO3" i="25"/>
  <c r="AEN3" i="25"/>
  <c r="AEM3" i="25"/>
  <c r="AEL3" i="25"/>
  <c r="AEK3" i="25"/>
  <c r="AEJ3" i="25"/>
  <c r="AEI3" i="25"/>
  <c r="AEH3" i="25"/>
  <c r="AEG3" i="25"/>
  <c r="AEF3" i="25"/>
  <c r="AEE3" i="25"/>
  <c r="AED3" i="25"/>
  <c r="AEC3" i="25"/>
  <c r="AEB3" i="25"/>
  <c r="AEA3" i="25"/>
  <c r="ADZ3" i="25"/>
  <c r="ADY3" i="25"/>
  <c r="ADX3" i="25"/>
  <c r="ADW3" i="25"/>
  <c r="ADV3" i="25"/>
  <c r="ADU3" i="25"/>
  <c r="ADT3" i="25"/>
  <c r="ADS3" i="25"/>
  <c r="ADR3" i="25"/>
  <c r="ADQ3" i="25"/>
  <c r="ADP3" i="25"/>
  <c r="ADO3" i="25"/>
  <c r="ADN3" i="25"/>
  <c r="ADM3" i="25"/>
  <c r="ADL3" i="25"/>
  <c r="ADK3" i="25"/>
  <c r="ADJ3" i="25"/>
  <c r="ADI3" i="25"/>
  <c r="ADH3" i="25"/>
  <c r="ADG3" i="25"/>
  <c r="ADF3" i="25"/>
  <c r="ADE3" i="25"/>
  <c r="ADD3" i="25"/>
  <c r="ADC3" i="25"/>
  <c r="ADB3" i="25"/>
  <c r="ADA3" i="25"/>
  <c r="ACZ3" i="25"/>
  <c r="ACY3" i="25"/>
  <c r="ACX3" i="25"/>
  <c r="ACW3" i="25"/>
  <c r="ACV3" i="25"/>
  <c r="ACU3" i="25"/>
  <c r="ACT3" i="25"/>
  <c r="ACS3" i="25"/>
  <c r="ACR3" i="25"/>
  <c r="ACQ3" i="25"/>
  <c r="ACP3" i="25"/>
  <c r="ACO3" i="25"/>
  <c r="ACN3" i="25"/>
  <c r="ACM3" i="25"/>
  <c r="ACL3" i="25"/>
  <c r="ACK3" i="25"/>
  <c r="ACJ3" i="25"/>
  <c r="ACI3" i="25"/>
  <c r="ACH3" i="25"/>
  <c r="ACG3" i="25"/>
  <c r="ACF3" i="25"/>
  <c r="ACE3" i="25"/>
  <c r="ACD3" i="25"/>
  <c r="ACC3" i="25"/>
  <c r="ACB3" i="25"/>
  <c r="ACA3" i="25"/>
  <c r="ABZ3" i="25"/>
  <c r="ABY3" i="25"/>
  <c r="ABX3" i="25"/>
  <c r="ABW3" i="25"/>
  <c r="ABV3" i="25"/>
  <c r="ABU3" i="25"/>
  <c r="ABT3" i="25"/>
  <c r="ABS3" i="25"/>
  <c r="ABR3" i="25"/>
  <c r="ABQ3" i="25"/>
  <c r="ABP3" i="25"/>
  <c r="ABO3" i="25"/>
  <c r="ABN3" i="25"/>
  <c r="ABM3" i="25"/>
  <c r="ABL3" i="25"/>
  <c r="ABK3" i="25"/>
  <c r="ABJ3" i="25"/>
  <c r="ABI3" i="25"/>
  <c r="ABH3" i="25"/>
  <c r="ABG3" i="25"/>
  <c r="ABF3" i="25"/>
  <c r="ABE3" i="25"/>
  <c r="ABD3" i="25"/>
  <c r="ABC3" i="25"/>
  <c r="ABB3" i="25"/>
  <c r="ABA3" i="25"/>
  <c r="AAZ3" i="25"/>
  <c r="AAY3" i="25"/>
  <c r="AAX3" i="25"/>
  <c r="AAW3" i="25"/>
  <c r="AAV3" i="25"/>
  <c r="AAU3" i="25"/>
  <c r="AAT3" i="25"/>
  <c r="AAS3" i="25"/>
  <c r="AAR3" i="25"/>
  <c r="AAQ3" i="25"/>
  <c r="AAP3" i="25"/>
  <c r="AAO3" i="25"/>
  <c r="AAN3" i="25"/>
  <c r="AAM3" i="25"/>
  <c r="AAL3" i="25"/>
  <c r="AAK3" i="25"/>
  <c r="AAJ3" i="25"/>
  <c r="AAI3" i="25"/>
  <c r="AAH3" i="25"/>
  <c r="AAG3" i="25"/>
  <c r="AAF3" i="25"/>
  <c r="AAE3" i="25"/>
  <c r="AAD3" i="25"/>
  <c r="AAC3" i="25"/>
  <c r="AAB3" i="25"/>
  <c r="AAA3" i="25"/>
  <c r="ZZ3" i="25"/>
  <c r="ZY3" i="25"/>
  <c r="ZX3" i="25"/>
  <c r="ZW3" i="25"/>
  <c r="ZV3" i="25"/>
  <c r="ZU3" i="25"/>
  <c r="ZT3" i="25"/>
  <c r="ZS3" i="25"/>
  <c r="ZR3" i="25"/>
  <c r="ZQ3" i="25"/>
  <c r="ZP3" i="25"/>
  <c r="ZO3" i="25"/>
  <c r="ZN3" i="25"/>
  <c r="ZM3" i="25"/>
  <c r="ZL3" i="25"/>
  <c r="ZK3" i="25"/>
  <c r="ZJ3" i="25"/>
  <c r="ZI3" i="25"/>
  <c r="ZH3" i="25"/>
  <c r="ZG3" i="25"/>
  <c r="ZF3" i="25"/>
  <c r="ZE3" i="25"/>
  <c r="ZD3" i="25"/>
  <c r="ZC3" i="25"/>
  <c r="ZB3" i="25"/>
  <c r="ZA3" i="25"/>
  <c r="YZ3" i="25"/>
  <c r="YY3" i="25"/>
  <c r="YX3" i="25"/>
  <c r="YW3" i="25"/>
  <c r="YV3" i="25"/>
  <c r="YU3" i="25"/>
  <c r="YT3" i="25"/>
  <c r="YS3" i="25"/>
  <c r="YR3" i="25"/>
  <c r="YQ3" i="25"/>
  <c r="YP3" i="25"/>
  <c r="YO3" i="25"/>
  <c r="YN3" i="25"/>
  <c r="YM3" i="25"/>
  <c r="YL3" i="25"/>
  <c r="YK3" i="25"/>
  <c r="YJ3" i="25"/>
  <c r="YI3" i="25"/>
  <c r="YH3" i="25"/>
  <c r="YG3" i="25"/>
  <c r="YF3" i="25"/>
  <c r="YE3" i="25"/>
  <c r="YD3" i="25"/>
  <c r="YC3" i="25"/>
  <c r="YB3" i="25"/>
  <c r="YA3" i="25"/>
  <c r="XZ3" i="25"/>
  <c r="XY3" i="25"/>
  <c r="XX3" i="25"/>
  <c r="XW3" i="25"/>
  <c r="XV3" i="25"/>
  <c r="XU3" i="25"/>
  <c r="XT3" i="25"/>
  <c r="XS3" i="25"/>
  <c r="XR3" i="25"/>
  <c r="XQ3" i="25"/>
  <c r="XP3" i="25"/>
  <c r="XO3" i="25"/>
  <c r="XN3" i="25"/>
  <c r="XM3" i="25"/>
  <c r="XL3" i="25"/>
  <c r="XK3" i="25"/>
  <c r="XJ3" i="25"/>
  <c r="XI3" i="25"/>
  <c r="XH3" i="25"/>
  <c r="XG3" i="25"/>
  <c r="XF3" i="25"/>
  <c r="XE3" i="25"/>
  <c r="XD3" i="25"/>
  <c r="XC3" i="25"/>
  <c r="XB3" i="25"/>
  <c r="XA3" i="25"/>
  <c r="WZ3" i="25"/>
  <c r="WY3" i="25"/>
  <c r="WX3" i="25"/>
  <c r="WW3" i="25"/>
  <c r="WV3" i="25"/>
  <c r="WU3" i="25"/>
  <c r="WT3" i="25"/>
  <c r="WS3" i="25"/>
  <c r="WR3" i="25"/>
  <c r="WQ3" i="25"/>
  <c r="WP3" i="25"/>
  <c r="WO3" i="25"/>
  <c r="WN3" i="25"/>
  <c r="WM3" i="25"/>
  <c r="WL3" i="25"/>
  <c r="WK3" i="25"/>
  <c r="WJ3" i="25"/>
  <c r="WI3" i="25"/>
  <c r="WH3" i="25"/>
  <c r="WG3" i="25"/>
  <c r="WF3" i="25"/>
  <c r="WE3" i="25"/>
  <c r="WD3" i="25"/>
  <c r="WC3" i="25"/>
  <c r="WB3" i="25"/>
  <c r="WA3" i="25"/>
  <c r="VZ3" i="25"/>
  <c r="VY3" i="25"/>
  <c r="VX3" i="25"/>
  <c r="VW3" i="25"/>
  <c r="VV3" i="25"/>
  <c r="VU3" i="25"/>
  <c r="VT3" i="25"/>
  <c r="VS3" i="25"/>
  <c r="VR3" i="25"/>
  <c r="VQ3" i="25"/>
  <c r="VP3" i="25"/>
  <c r="VO3" i="25"/>
  <c r="VN3" i="25"/>
  <c r="VM3" i="25"/>
  <c r="VL3" i="25"/>
  <c r="VK3" i="25"/>
  <c r="VJ3" i="25"/>
  <c r="VI3" i="25"/>
  <c r="VH3" i="25"/>
  <c r="VG3" i="25"/>
  <c r="VF3" i="25"/>
  <c r="VE3" i="25"/>
  <c r="VD3" i="25"/>
  <c r="VC3" i="25"/>
  <c r="VB3" i="25"/>
  <c r="VA3" i="25"/>
  <c r="UZ3" i="25"/>
  <c r="UY3" i="25"/>
  <c r="UX3" i="25"/>
  <c r="UW3" i="25"/>
  <c r="UV3" i="25"/>
  <c r="UU3" i="25"/>
  <c r="UT3" i="25"/>
  <c r="US3" i="25"/>
  <c r="UR3" i="25"/>
  <c r="UQ3" i="25"/>
  <c r="UP3" i="25"/>
  <c r="UO3" i="25"/>
  <c r="UN3" i="25"/>
  <c r="UM3" i="25"/>
  <c r="UL3" i="25"/>
  <c r="UK3" i="25"/>
  <c r="UJ3" i="25"/>
  <c r="UI3" i="25"/>
  <c r="UH3" i="25"/>
  <c r="UG3" i="25"/>
  <c r="UF3" i="25"/>
  <c r="UE3" i="25"/>
  <c r="UD3" i="25"/>
  <c r="UC3" i="25"/>
  <c r="UB3" i="25"/>
  <c r="UA3" i="25"/>
  <c r="TZ3" i="25"/>
  <c r="TY3" i="25"/>
  <c r="TX3" i="25"/>
  <c r="TW3" i="25"/>
  <c r="TV3" i="25"/>
  <c r="TU3" i="25"/>
  <c r="TT3" i="25"/>
  <c r="TS3" i="25"/>
  <c r="TR3" i="25"/>
  <c r="TQ3" i="25"/>
  <c r="TP3" i="25"/>
  <c r="TO3" i="25"/>
  <c r="TN3" i="25"/>
  <c r="TM3" i="25"/>
  <c r="TL3" i="25"/>
  <c r="TK3" i="25"/>
  <c r="TJ3" i="25"/>
  <c r="TI3" i="25"/>
  <c r="TH3" i="25"/>
  <c r="TG3" i="25"/>
  <c r="TF3" i="25"/>
  <c r="TE3" i="25"/>
  <c r="TD3" i="25"/>
  <c r="TC3" i="25"/>
  <c r="TB3" i="25"/>
  <c r="TA3" i="25"/>
  <c r="SZ3" i="25"/>
  <c r="SY3" i="25"/>
  <c r="SX3" i="25"/>
  <c r="SW3" i="25"/>
  <c r="SV3" i="25"/>
  <c r="SU3" i="25"/>
  <c r="ST3" i="25"/>
  <c r="SS3" i="25"/>
  <c r="SR3" i="25"/>
  <c r="SQ3" i="25"/>
  <c r="SP3" i="25"/>
  <c r="SO3" i="25"/>
  <c r="SN3" i="25"/>
  <c r="SM3" i="25"/>
  <c r="SL3" i="25"/>
  <c r="SK3" i="25"/>
  <c r="SJ3" i="25"/>
  <c r="SI3" i="25"/>
  <c r="SH3" i="25"/>
  <c r="SG3" i="25"/>
  <c r="SF3" i="25"/>
  <c r="SE3" i="25"/>
  <c r="SD3" i="25"/>
  <c r="SC3" i="25"/>
  <c r="SB3" i="25"/>
  <c r="SA3" i="25"/>
  <c r="RZ3" i="25"/>
  <c r="RY3" i="25"/>
  <c r="RX3" i="25"/>
  <c r="RW3" i="25"/>
  <c r="RV3" i="25"/>
  <c r="RU3" i="25"/>
  <c r="RT3" i="25"/>
  <c r="RS3" i="25"/>
  <c r="RR3" i="25"/>
  <c r="RQ3" i="25"/>
  <c r="RP3" i="25"/>
  <c r="RO3" i="25"/>
  <c r="RN3" i="25"/>
  <c r="RM3" i="25"/>
  <c r="RL3" i="25"/>
  <c r="RK3" i="25"/>
  <c r="RJ3" i="25"/>
  <c r="RI3" i="25"/>
  <c r="RH3" i="25"/>
  <c r="RG3" i="25"/>
  <c r="RF3" i="25"/>
  <c r="RE3" i="25"/>
  <c r="RD3" i="25"/>
  <c r="RC3" i="25"/>
  <c r="RB3" i="25"/>
  <c r="RA3" i="25"/>
  <c r="QZ3" i="25"/>
  <c r="QY3" i="25"/>
  <c r="QX3" i="25"/>
  <c r="QW3" i="25"/>
  <c r="QV3" i="25"/>
  <c r="QU3" i="25"/>
  <c r="QT3" i="25"/>
  <c r="QS3" i="25"/>
  <c r="QR3" i="25"/>
  <c r="QQ3" i="25"/>
  <c r="QP3" i="25"/>
  <c r="QO3" i="25"/>
  <c r="QN3" i="25"/>
  <c r="QM3" i="25"/>
  <c r="QL3" i="25"/>
  <c r="QK3" i="25"/>
  <c r="QJ3" i="25"/>
  <c r="QI3" i="25"/>
  <c r="QH3" i="25"/>
  <c r="QG3" i="25"/>
  <c r="QF3" i="25"/>
  <c r="QE3" i="25"/>
  <c r="QD3" i="25"/>
  <c r="QC3" i="25"/>
  <c r="QB3" i="25"/>
  <c r="QA3" i="25"/>
  <c r="PZ3" i="25"/>
  <c r="PY3" i="25"/>
  <c r="PX3" i="25"/>
  <c r="PW3" i="25"/>
  <c r="PV3" i="25"/>
  <c r="PU3" i="25"/>
  <c r="PT3" i="25"/>
  <c r="PS3" i="25"/>
  <c r="PR3" i="25"/>
  <c r="PQ3" i="25"/>
  <c r="PP3" i="25"/>
  <c r="PO3" i="25"/>
  <c r="PN3" i="25"/>
  <c r="PM3" i="25"/>
  <c r="PL3" i="25"/>
  <c r="PK3" i="25"/>
  <c r="PJ3" i="25"/>
  <c r="PI3" i="25"/>
  <c r="PH3" i="25"/>
  <c r="PG3" i="25"/>
  <c r="PF3" i="25"/>
  <c r="PE3" i="25"/>
  <c r="PD3" i="25"/>
  <c r="PC3" i="25"/>
  <c r="PB3" i="25"/>
  <c r="PA3" i="25"/>
  <c r="OZ3" i="25"/>
  <c r="OY3" i="25"/>
  <c r="OX3" i="25"/>
  <c r="OW3" i="25"/>
  <c r="OV3" i="25"/>
  <c r="OU3" i="25"/>
  <c r="OT3" i="25"/>
  <c r="OS3" i="25"/>
  <c r="OR3" i="25"/>
  <c r="OQ3" i="25"/>
  <c r="OP3" i="25"/>
  <c r="OO3" i="25"/>
  <c r="ON3" i="25"/>
  <c r="OM3" i="25"/>
  <c r="OL3" i="25"/>
  <c r="OK3" i="25"/>
  <c r="OJ3" i="25"/>
  <c r="OI3" i="25"/>
  <c r="OH3" i="25"/>
  <c r="OG3" i="25"/>
  <c r="OF3" i="25"/>
  <c r="OE3" i="25"/>
  <c r="OD3" i="25"/>
  <c r="OC3" i="25"/>
  <c r="OB3" i="25"/>
  <c r="OA3" i="25"/>
  <c r="NZ3" i="25"/>
  <c r="NY3" i="25"/>
  <c r="NX3" i="25"/>
  <c r="NW3" i="25"/>
  <c r="NV3" i="25"/>
  <c r="NU3" i="25"/>
  <c r="NT3" i="25"/>
  <c r="NS3" i="25"/>
  <c r="NR3" i="25"/>
  <c r="NQ3" i="25"/>
  <c r="NP3" i="25"/>
  <c r="NO3" i="25"/>
  <c r="NN3" i="25"/>
  <c r="NM3" i="25"/>
  <c r="NL3" i="25"/>
  <c r="NK3" i="25"/>
  <c r="NJ3" i="25"/>
  <c r="NI3" i="25"/>
  <c r="NH3" i="25"/>
  <c r="NG3" i="25"/>
  <c r="NF3" i="25"/>
  <c r="NE3" i="25"/>
  <c r="ND3" i="25"/>
  <c r="NC3" i="25"/>
  <c r="NB3" i="25"/>
  <c r="NA3" i="25"/>
  <c r="MZ3" i="25"/>
  <c r="MY3" i="25"/>
  <c r="MX3" i="25"/>
  <c r="MW3" i="25"/>
  <c r="MV3" i="25"/>
  <c r="MU3" i="25"/>
  <c r="MT3" i="25"/>
  <c r="MS3" i="25"/>
  <c r="MR3" i="25"/>
  <c r="MQ3" i="25"/>
  <c r="MP3" i="25"/>
  <c r="MO3" i="25"/>
  <c r="MN3" i="25"/>
  <c r="MM3" i="25"/>
  <c r="ML3" i="25"/>
  <c r="MK3" i="25"/>
  <c r="MJ3" i="25"/>
  <c r="MI3" i="25"/>
  <c r="MH3" i="25"/>
  <c r="MG3" i="25"/>
  <c r="MF3" i="25"/>
  <c r="ME3" i="25"/>
  <c r="MD3" i="25"/>
  <c r="MC3" i="25"/>
  <c r="MB3" i="25"/>
  <c r="MA3" i="25"/>
  <c r="LZ3" i="25"/>
  <c r="LY3" i="25"/>
  <c r="LX3" i="25"/>
  <c r="LW3" i="25"/>
  <c r="LV3" i="25"/>
  <c r="LU3" i="25"/>
  <c r="LT3" i="25"/>
  <c r="LS3" i="25"/>
  <c r="LR3" i="25"/>
  <c r="LQ3" i="25"/>
  <c r="LP3" i="25"/>
  <c r="LO3" i="25"/>
  <c r="LN3" i="25"/>
  <c r="LM3" i="25"/>
  <c r="LL3" i="25"/>
  <c r="LK3" i="25"/>
  <c r="LJ3" i="25"/>
  <c r="LI3" i="25"/>
  <c r="LH3" i="25"/>
  <c r="LG3" i="25"/>
  <c r="LF3" i="25"/>
  <c r="LE3" i="25"/>
  <c r="LD3" i="25"/>
  <c r="LC3" i="25"/>
  <c r="LB3" i="25"/>
  <c r="LA3" i="25"/>
  <c r="KZ3" i="25"/>
  <c r="KY3" i="25"/>
  <c r="KX3" i="25"/>
  <c r="KW3" i="25"/>
  <c r="KV3" i="25"/>
  <c r="KU3" i="25"/>
  <c r="KT3" i="25"/>
  <c r="KS3" i="25"/>
  <c r="KR3" i="25"/>
  <c r="KQ3" i="25"/>
  <c r="KP3" i="25"/>
  <c r="KO3" i="25"/>
  <c r="KN3" i="25"/>
  <c r="KM3" i="25"/>
  <c r="KL3" i="25"/>
  <c r="KK3" i="25"/>
  <c r="KJ3" i="25"/>
  <c r="KI3" i="25"/>
  <c r="KH3" i="25"/>
  <c r="KG3" i="25"/>
  <c r="KF3" i="25"/>
  <c r="KE3" i="25"/>
  <c r="KD3" i="25"/>
  <c r="KC3" i="25"/>
  <c r="KB3" i="25"/>
  <c r="KA3" i="25"/>
  <c r="JZ3" i="25"/>
  <c r="JY3" i="25"/>
  <c r="JX3" i="25"/>
  <c r="JW3" i="25"/>
  <c r="JV3" i="25"/>
  <c r="JU3" i="25"/>
  <c r="JT3" i="25"/>
  <c r="JS3" i="25"/>
  <c r="JR3" i="25"/>
  <c r="JQ3" i="25"/>
  <c r="JP3" i="25"/>
  <c r="JO3" i="25"/>
  <c r="JN3" i="25"/>
  <c r="JM3" i="25"/>
  <c r="JL3" i="25"/>
  <c r="JK3" i="25"/>
  <c r="JJ3" i="25"/>
  <c r="JI3" i="25"/>
  <c r="JH3" i="25"/>
  <c r="JG3" i="25"/>
  <c r="JF3" i="25"/>
  <c r="JE3" i="25"/>
  <c r="JD3" i="25"/>
  <c r="JC3" i="25"/>
  <c r="JB3" i="25"/>
  <c r="JA3" i="25"/>
  <c r="IZ3" i="25"/>
  <c r="IY3" i="25"/>
  <c r="IX3" i="25"/>
  <c r="IW3" i="25"/>
  <c r="IV3" i="25"/>
  <c r="IU3" i="25"/>
  <c r="IT3" i="25"/>
  <c r="IS3" i="25"/>
  <c r="IR3" i="25"/>
  <c r="IQ3" i="25"/>
  <c r="IP3" i="25"/>
  <c r="IO3" i="25"/>
  <c r="IN3" i="25"/>
  <c r="IM3" i="25"/>
  <c r="IL3" i="25"/>
  <c r="IK3" i="25"/>
  <c r="IJ3" i="25"/>
  <c r="II3" i="25"/>
  <c r="IH3" i="25"/>
  <c r="IG3" i="25"/>
  <c r="IF3" i="25"/>
  <c r="IE3" i="25"/>
  <c r="ID3" i="25"/>
  <c r="IC3" i="25"/>
  <c r="IB3" i="25"/>
  <c r="IA3" i="25"/>
  <c r="HZ3" i="25"/>
  <c r="HY3" i="25"/>
  <c r="HX3" i="25"/>
  <c r="HW3" i="25"/>
  <c r="HV3" i="25"/>
  <c r="HU3" i="25"/>
  <c r="HT3" i="25"/>
  <c r="HS3" i="25"/>
  <c r="HR3" i="25"/>
  <c r="HQ3" i="25"/>
  <c r="HP3" i="25"/>
  <c r="HO3" i="25"/>
  <c r="HN3" i="25"/>
  <c r="HM3" i="25"/>
  <c r="HL3" i="25"/>
  <c r="HK3" i="25"/>
  <c r="HJ3" i="25"/>
  <c r="HI3" i="25"/>
  <c r="HH3" i="25"/>
  <c r="HG3" i="25"/>
  <c r="HF3" i="25"/>
  <c r="HE3" i="25"/>
  <c r="HD3" i="25"/>
  <c r="HC3" i="25"/>
  <c r="HB3" i="25"/>
  <c r="HA3" i="25"/>
  <c r="GZ3" i="25"/>
  <c r="GY3" i="25"/>
  <c r="GX3" i="25"/>
  <c r="GW3" i="25"/>
  <c r="GV3" i="25"/>
  <c r="GU3" i="25"/>
  <c r="GT3" i="25"/>
  <c r="GS3" i="25"/>
  <c r="GR3" i="25"/>
  <c r="GQ3" i="25"/>
  <c r="GP3" i="25"/>
  <c r="GO3" i="25"/>
  <c r="GN3" i="25"/>
  <c r="GM3" i="25"/>
  <c r="GL3" i="25"/>
  <c r="GK3" i="25"/>
  <c r="GJ3" i="25"/>
  <c r="GI3" i="25"/>
  <c r="GH3" i="25"/>
  <c r="GG3" i="25"/>
  <c r="GF3" i="25"/>
  <c r="GE3" i="25"/>
  <c r="GD3" i="25"/>
  <c r="GC3" i="25"/>
  <c r="GB3" i="25"/>
  <c r="GA3" i="25"/>
  <c r="FZ3" i="25"/>
  <c r="FY3" i="25"/>
  <c r="FX3" i="25"/>
  <c r="FW3" i="25"/>
  <c r="FV3" i="25"/>
  <c r="FU3" i="25"/>
  <c r="FT3" i="25"/>
  <c r="FS3" i="25"/>
  <c r="FR3" i="25"/>
  <c r="FQ3" i="25"/>
  <c r="FP3" i="25"/>
  <c r="FO3" i="25"/>
  <c r="FN3" i="25"/>
  <c r="FM3" i="25"/>
  <c r="FL3" i="25"/>
  <c r="FK3" i="25"/>
  <c r="FJ3" i="25"/>
  <c r="FI3" i="25"/>
  <c r="FH3" i="25"/>
  <c r="FG3" i="25"/>
  <c r="FF3" i="25"/>
  <c r="FE3" i="25"/>
  <c r="FD3" i="25"/>
  <c r="FC3" i="25"/>
  <c r="FB3" i="25"/>
  <c r="FA3" i="25"/>
  <c r="EZ3" i="25"/>
  <c r="EY3" i="25"/>
  <c r="EX3" i="25"/>
  <c r="EW3" i="25"/>
  <c r="EV3" i="25"/>
  <c r="EU3" i="25"/>
  <c r="ET3" i="25"/>
  <c r="ES3" i="25"/>
  <c r="ER3" i="25"/>
  <c r="EQ3" i="25"/>
  <c r="EP3" i="25"/>
  <c r="EO3" i="25"/>
  <c r="EN3" i="25"/>
  <c r="EM3" i="25"/>
  <c r="EL3" i="25"/>
  <c r="EK3" i="25"/>
  <c r="EJ3" i="25"/>
  <c r="EI3" i="25"/>
  <c r="EH3" i="25"/>
  <c r="EG3" i="25"/>
  <c r="EF3" i="25"/>
  <c r="EE3" i="25"/>
  <c r="ED3" i="25"/>
  <c r="EC3" i="25"/>
  <c r="EB3" i="25"/>
  <c r="EA3" i="25"/>
  <c r="DZ3" i="25"/>
  <c r="DY3" i="25"/>
  <c r="DX3" i="25"/>
  <c r="DW3" i="25"/>
  <c r="DV3" i="25"/>
  <c r="DU3" i="25"/>
  <c r="DT3" i="25"/>
  <c r="DS3" i="25"/>
  <c r="DR3" i="25"/>
  <c r="DQ3" i="25"/>
  <c r="DP3" i="25"/>
  <c r="DO3" i="25"/>
  <c r="DN3" i="25"/>
  <c r="DM3" i="25"/>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C43" i="25" s="1" a="1"/>
  <c r="C43" i="25" s="1"/>
  <c r="AL3" i="25"/>
  <c r="C42" i="25" s="1" a="1"/>
  <c r="C42" i="25" s="1"/>
  <c r="I3" i="26" s="1"/>
  <c r="AK3" i="25"/>
  <c r="C41" i="25" s="1" a="1"/>
  <c r="C41" i="25" s="1"/>
  <c r="I5" i="26" s="1"/>
  <c r="AJ3" i="25"/>
  <c r="C40" i="25" s="1" a="1"/>
  <c r="C40" i="25" s="1"/>
  <c r="I4" i="26" s="1"/>
  <c r="AI3" i="25"/>
  <c r="C39" i="25" s="1" a="1"/>
  <c r="C39" i="25" s="1"/>
  <c r="I2" i="26" s="1"/>
  <c r="AH3" i="25"/>
  <c r="C38" i="25" s="1" a="1"/>
  <c r="C38" i="25" s="1"/>
  <c r="I6" i="26" s="1"/>
  <c r="AG3" i="25"/>
  <c r="C37" i="25" s="1" a="1"/>
  <c r="C37" i="25" s="1"/>
  <c r="AF3" i="25"/>
  <c r="AE3" i="25"/>
  <c r="C35" i="25" s="1" a="1"/>
  <c r="C35" i="25" s="1"/>
  <c r="AD3" i="25"/>
  <c r="AC3" i="25"/>
  <c r="AB3" i="25"/>
  <c r="AA3" i="25"/>
  <c r="Z3" i="25"/>
  <c r="Y3" i="25"/>
  <c r="X3" i="25"/>
  <c r="W3" i="25"/>
  <c r="V3" i="25"/>
  <c r="C26" i="25" s="1" a="1"/>
  <c r="C26" i="25" s="1"/>
  <c r="U3" i="25"/>
  <c r="C25" i="25" s="1" a="1"/>
  <c r="C25" i="25" s="1"/>
  <c r="T3" i="25"/>
  <c r="C24" i="25" s="1" a="1"/>
  <c r="C24" i="25" s="1"/>
  <c r="S3" i="25"/>
  <c r="C23" i="25" s="1" a="1"/>
  <c r="C23" i="25" s="1"/>
  <c r="R3" i="25"/>
  <c r="C22" i="25" s="1" a="1"/>
  <c r="C22" i="25" s="1"/>
  <c r="Q3" i="25"/>
  <c r="C21" i="25" s="1" a="1"/>
  <c r="C21" i="25" s="1"/>
  <c r="P3" i="25"/>
  <c r="O3" i="25"/>
  <c r="C19" i="25" s="1" a="1"/>
  <c r="C19" i="25" s="1"/>
  <c r="N3" i="25"/>
  <c r="M3" i="25"/>
  <c r="L3" i="25"/>
  <c r="K3" i="25"/>
  <c r="J3" i="25"/>
  <c r="I3" i="25"/>
  <c r="H3" i="25"/>
  <c r="G3" i="25"/>
  <c r="F3" i="25"/>
  <c r="C10" i="25" s="1" a="1"/>
  <c r="C10" i="25" s="1"/>
  <c r="E3" i="25"/>
  <c r="C9" i="25" s="1" a="1"/>
  <c r="C9" i="25" s="1"/>
  <c r="D3" i="25"/>
  <c r="C8" i="25" s="1" a="1"/>
  <c r="C8" i="25" s="1"/>
  <c r="C3" i="25"/>
  <c r="C7" i="25" s="1" a="1"/>
  <c r="C7" i="25" s="1"/>
  <c r="B2" i="26" s="1"/>
  <c r="B3" i="25"/>
  <c r="AM2" i="25"/>
  <c r="B43" i="25" s="1" a="1"/>
  <c r="B43" i="25" s="1"/>
  <c r="AL2" i="25"/>
  <c r="AK2" i="25"/>
  <c r="B41" i="25" s="1" a="1"/>
  <c r="B41" i="25" s="1"/>
  <c r="J5" i="26" s="1"/>
  <c r="AJ2" i="25"/>
  <c r="AI2" i="25"/>
  <c r="AH2" i="25"/>
  <c r="AG2" i="25"/>
  <c r="B37" i="25" s="1" a="1"/>
  <c r="B37" i="25" s="1"/>
  <c r="AF2" i="25"/>
  <c r="B36" i="25" s="1" a="1"/>
  <c r="B36" i="25" s="1"/>
  <c r="AE2" i="25"/>
  <c r="AD2" i="25"/>
  <c r="AC2" i="25"/>
  <c r="AB2" i="25"/>
  <c r="B32" i="25" s="1" a="1"/>
  <c r="B32" i="25" s="1"/>
  <c r="AA2" i="25"/>
  <c r="B31" i="25" s="1" a="1"/>
  <c r="B31" i="25" s="1"/>
  <c r="Z2" i="25"/>
  <c r="B30" i="25" s="1" a="1"/>
  <c r="B30" i="25" s="1"/>
  <c r="Y2" i="25"/>
  <c r="B29" i="25" s="1" a="1"/>
  <c r="B29" i="25" s="1"/>
  <c r="X2" i="25"/>
  <c r="B28" i="25" s="1" a="1"/>
  <c r="B28" i="25" s="1"/>
  <c r="W2" i="25"/>
  <c r="B27" i="25" s="1" a="1"/>
  <c r="B27" i="25" s="1"/>
  <c r="J23" i="12" s="1"/>
  <c r="V2" i="25"/>
  <c r="U2" i="25"/>
  <c r="B25" i="25" s="1" a="1"/>
  <c r="B25" i="25" s="1"/>
  <c r="J21" i="12" s="1"/>
  <c r="T2" i="25"/>
  <c r="B24" i="25" s="1" a="1"/>
  <c r="B24" i="25" s="1"/>
  <c r="J20" i="12" s="1"/>
  <c r="S2" i="25"/>
  <c r="R2" i="25"/>
  <c r="B22" i="25" s="1" a="1"/>
  <c r="B22" i="25" s="1"/>
  <c r="J18" i="12" s="1"/>
  <c r="Q2" i="25"/>
  <c r="B21" i="25" s="1" a="1"/>
  <c r="B21" i="25" s="1"/>
  <c r="P2" i="25"/>
  <c r="B20" i="25" s="1" a="1"/>
  <c r="B20" i="25" s="1"/>
  <c r="O2" i="25"/>
  <c r="B19" i="25" s="1" a="1"/>
  <c r="B19" i="25" s="1"/>
  <c r="N2" i="25"/>
  <c r="B18" i="25" s="1" a="1"/>
  <c r="B18" i="25" s="1"/>
  <c r="M2" i="25"/>
  <c r="B17" i="25" s="1" a="1"/>
  <c r="B17" i="25" s="1"/>
  <c r="L2" i="25"/>
  <c r="B16" i="25" s="1" a="1"/>
  <c r="B16" i="25" s="1"/>
  <c r="K2" i="25"/>
  <c r="B15" i="25" s="1" a="1"/>
  <c r="B15" i="25" s="1"/>
  <c r="J2" i="25"/>
  <c r="B14" i="25" s="1" a="1"/>
  <c r="B14" i="25" s="1"/>
  <c r="C11" i="26" s="1"/>
  <c r="I2" i="25"/>
  <c r="B13" i="25" s="1" a="1"/>
  <c r="B13" i="25" s="1"/>
  <c r="H2" i="25"/>
  <c r="B12" i="25" s="1" a="1"/>
  <c r="B12" i="25" s="1"/>
  <c r="G2" i="25"/>
  <c r="B11" i="25" s="1" a="1"/>
  <c r="B11" i="25" s="1"/>
  <c r="F2" i="25"/>
  <c r="E2" i="25"/>
  <c r="B9" i="25" s="1" a="1"/>
  <c r="B9" i="25" s="1"/>
  <c r="D2" i="25"/>
  <c r="C2" i="25"/>
  <c r="B2" i="25"/>
  <c r="AM1" i="25"/>
  <c r="AL1" i="25"/>
  <c r="AK1" i="25"/>
  <c r="AJ1" i="25"/>
  <c r="AI1" i="25"/>
  <c r="AH1" i="25"/>
  <c r="AG1" i="25"/>
  <c r="AF1" i="25"/>
  <c r="AE1" i="25"/>
  <c r="AD1" i="25"/>
  <c r="AC1" i="25"/>
  <c r="AB1" i="25"/>
  <c r="AA1" i="25"/>
  <c r="Z1" i="25"/>
  <c r="Y1" i="25"/>
  <c r="X1" i="25"/>
  <c r="W1" i="25"/>
  <c r="V1" i="25"/>
  <c r="U1" i="25"/>
  <c r="T1" i="25"/>
  <c r="S1" i="25"/>
  <c r="R1" i="25"/>
  <c r="Q1" i="25"/>
  <c r="P1" i="25"/>
  <c r="O1" i="25"/>
  <c r="N1" i="25"/>
  <c r="M1" i="25"/>
  <c r="L1" i="25"/>
  <c r="K1" i="25"/>
  <c r="J1" i="25"/>
  <c r="I1" i="25"/>
  <c r="H1" i="25"/>
  <c r="G1" i="25"/>
  <c r="F1" i="25"/>
  <c r="E1" i="25"/>
  <c r="D1" i="25"/>
  <c r="C1" i="25"/>
  <c r="B1" i="25"/>
  <c r="C6" i="26"/>
  <c r="C5" i="26"/>
  <c r="C4" i="26"/>
  <c r="C28" i="26"/>
  <c r="C27" i="26"/>
  <c r="O31" i="15"/>
  <c r="N31" i="15"/>
  <c r="M31" i="15"/>
  <c r="L31" i="15"/>
  <c r="K31" i="15"/>
  <c r="J31" i="15"/>
  <c r="I31" i="15"/>
  <c r="H31" i="15"/>
  <c r="G31" i="15"/>
  <c r="F31" i="15"/>
  <c r="E31" i="15"/>
  <c r="D31" i="15"/>
  <c r="C31" i="15"/>
  <c r="B31" i="15"/>
  <c r="B3" i="26"/>
  <c r="B39" i="25" a="1"/>
  <c r="B39" i="25" s="1"/>
  <c r="J2" i="26" s="1"/>
  <c r="B38" i="25" a="1"/>
  <c r="B38" i="25" s="1"/>
  <c r="J6" i="26" s="1"/>
  <c r="B35" i="25" a="1"/>
  <c r="B35" i="25" s="1"/>
  <c r="B34" i="25" a="1"/>
  <c r="B34" i="25" s="1"/>
  <c r="B33" i="25" a="1"/>
  <c r="B33" i="25" s="1"/>
  <c r="C8" i="26" s="1"/>
  <c r="B26" i="25" a="1"/>
  <c r="B26" i="25" s="1"/>
  <c r="J22" i="12" s="1"/>
  <c r="B23" i="25" a="1"/>
  <c r="B23" i="25" s="1"/>
  <c r="J19" i="12" s="1"/>
  <c r="B10" i="25" a="1"/>
  <c r="B10" i="25" s="1"/>
  <c r="B8" i="25" a="1"/>
  <c r="B8" i="25" s="1"/>
  <c r="C34" i="25" a="1"/>
  <c r="C34" i="25" s="1"/>
  <c r="C33" i="25" a="1"/>
  <c r="C33" i="25" s="1"/>
  <c r="B8" i="26" s="1"/>
  <c r="C32" i="25" a="1"/>
  <c r="C32" i="25" s="1"/>
  <c r="C31" i="25" a="1"/>
  <c r="C31" i="25" s="1"/>
  <c r="C30" i="25" a="1"/>
  <c r="C30" i="25" s="1"/>
  <c r="C29" i="25" a="1"/>
  <c r="C29" i="25" s="1"/>
  <c r="C28" i="25" a="1"/>
  <c r="C28" i="25" s="1"/>
  <c r="C27" i="25" a="1"/>
  <c r="C27" i="25" s="1"/>
  <c r="C18" i="25" a="1"/>
  <c r="C18" i="25" s="1"/>
  <c r="C17" i="25" a="1"/>
  <c r="C17" i="25" s="1"/>
  <c r="B30" i="26"/>
  <c r="B25" i="26"/>
  <c r="B26" i="26"/>
  <c r="B27" i="26"/>
  <c r="B28" i="26"/>
  <c r="B24" i="26"/>
  <c r="B6" i="26"/>
  <c r="B5" i="26"/>
  <c r="B4" i="26"/>
  <c r="I19" i="12"/>
  <c r="I20" i="12"/>
  <c r="I21" i="12"/>
  <c r="I22" i="12"/>
  <c r="I23" i="12"/>
  <c r="I18" i="12"/>
  <c r="C36" i="25" a="1"/>
  <c r="C36" i="25" s="1"/>
  <c r="C20" i="25" a="1"/>
  <c r="C20" i="25" s="1"/>
  <c r="C16" i="25" a="1"/>
  <c r="C16" i="25" s="1"/>
  <c r="C15" i="25" a="1"/>
  <c r="C15" i="25" s="1"/>
  <c r="C14" i="25" a="1"/>
  <c r="C14" i="25" s="1"/>
  <c r="B11" i="26" s="1"/>
  <c r="C13" i="25" a="1"/>
  <c r="C13" i="25" s="1"/>
  <c r="C12" i="25" a="1"/>
  <c r="C12" i="25" s="1"/>
  <c r="C11" i="25" a="1"/>
  <c r="C11" i="25" s="1"/>
  <c r="B42" i="25" a="1"/>
  <c r="B42" i="25" s="1"/>
  <c r="J3" i="26" s="1"/>
  <c r="B40" i="25" a="1"/>
  <c r="B40" i="25" s="1"/>
  <c r="J4" i="26" s="1"/>
  <c r="B7" i="25" a="1"/>
  <c r="B7" i="25" s="1"/>
  <c r="D2" i="26" s="1"/>
  <c r="I26" i="13" l="1"/>
  <c r="C26" i="26"/>
  <c r="C9" i="26"/>
  <c r="C3" i="26"/>
  <c r="B9" i="26"/>
  <c r="C2" i="26"/>
  <c r="B10" i="26"/>
  <c r="C10" i="26"/>
  <c r="C24" i="26"/>
  <c r="C25" i="26"/>
  <c r="C30" i="26"/>
  <c r="K23" i="12"/>
  <c r="K22" i="12"/>
  <c r="K21" i="12"/>
  <c r="K20" i="12"/>
  <c r="K19" i="12"/>
  <c r="K18" i="12"/>
  <c r="M20" i="12" l="1"/>
  <c r="N20" i="12" s="1"/>
  <c r="O20" i="12" s="1"/>
  <c r="M19" i="12"/>
  <c r="N19" i="12" s="1"/>
  <c r="O19" i="12" s="1"/>
  <c r="M18" i="12"/>
  <c r="N18" i="12" s="1"/>
  <c r="O18" i="12" s="1"/>
  <c r="M22" i="12"/>
  <c r="N22" i="12" s="1"/>
  <c r="O22" i="12" s="1"/>
  <c r="M23" i="12"/>
  <c r="N23" i="12" s="1"/>
  <c r="O23" i="12" s="1"/>
  <c r="M21" i="12"/>
  <c r="N21" i="12" s="1"/>
  <c r="O21" i="12" s="1"/>
  <c r="H2" i="12"/>
  <c r="A52" i="8"/>
  <c r="B51" i="8" s="1"/>
  <c r="M51" i="8"/>
  <c r="L51" i="8"/>
  <c r="K51" i="8"/>
  <c r="J51" i="8"/>
  <c r="I51" i="8"/>
  <c r="H51" i="8"/>
  <c r="G51" i="8"/>
  <c r="F51" i="8"/>
  <c r="E51" i="8"/>
  <c r="D51" i="8"/>
  <c r="C51" i="8"/>
  <c r="A51" i="8"/>
  <c r="B50" i="8" s="1"/>
  <c r="M50" i="8"/>
  <c r="L50" i="8"/>
  <c r="K50" i="8"/>
  <c r="J50" i="8"/>
  <c r="I50" i="8"/>
  <c r="H50" i="8"/>
  <c r="G50" i="8"/>
  <c r="F50" i="8"/>
  <c r="E50" i="8"/>
  <c r="D50" i="8"/>
  <c r="C50" i="8"/>
  <c r="A50" i="8"/>
  <c r="B49" i="8" s="1"/>
  <c r="M49" i="8"/>
  <c r="L49" i="8"/>
  <c r="K49" i="8"/>
  <c r="J49" i="8"/>
  <c r="I49" i="8"/>
  <c r="H49" i="8"/>
  <c r="G49" i="8"/>
  <c r="F49" i="8"/>
  <c r="E49" i="8"/>
  <c r="D49" i="8"/>
  <c r="C49" i="8"/>
  <c r="A49" i="8"/>
  <c r="B48" i="8" s="1"/>
  <c r="M48" i="8"/>
  <c r="L48" i="8"/>
  <c r="K48" i="8"/>
  <c r="J48" i="8"/>
  <c r="I48" i="8"/>
  <c r="H48" i="8"/>
  <c r="G48" i="8"/>
  <c r="F48" i="8"/>
  <c r="E48" i="8"/>
  <c r="D48" i="8"/>
  <c r="C48" i="8"/>
  <c r="A48" i="8"/>
  <c r="B47" i="8" s="1"/>
  <c r="M47" i="8"/>
  <c r="L47" i="8"/>
  <c r="K47" i="8"/>
  <c r="J47" i="8"/>
  <c r="I47" i="8"/>
  <c r="H47" i="8"/>
  <c r="G47" i="8"/>
  <c r="F47" i="8"/>
  <c r="E47" i="8"/>
  <c r="D47" i="8"/>
  <c r="C47" i="8"/>
  <c r="A47" i="8"/>
  <c r="B46" i="8" s="1"/>
  <c r="M46" i="8"/>
  <c r="L46" i="8"/>
  <c r="K46" i="8"/>
  <c r="J46" i="8"/>
  <c r="I46" i="8"/>
  <c r="H46" i="8"/>
  <c r="G46" i="8"/>
  <c r="F46" i="8"/>
  <c r="E46" i="8"/>
  <c r="D46" i="8"/>
  <c r="C46" i="8"/>
  <c r="A46" i="8"/>
  <c r="B45" i="8" s="1"/>
  <c r="M45" i="8"/>
  <c r="L45" i="8"/>
  <c r="K45" i="8"/>
  <c r="J45" i="8"/>
  <c r="I45" i="8"/>
  <c r="H45" i="8"/>
  <c r="G45" i="8"/>
  <c r="F45" i="8"/>
  <c r="E45" i="8"/>
  <c r="D45" i="8"/>
  <c r="C45" i="8"/>
  <c r="A45" i="8"/>
  <c r="B44" i="8" s="1"/>
  <c r="M44" i="8"/>
  <c r="L44" i="8"/>
  <c r="K44" i="8"/>
  <c r="J44" i="8"/>
  <c r="I44" i="8"/>
  <c r="H44" i="8"/>
  <c r="G44" i="8"/>
  <c r="F44" i="8"/>
  <c r="E44" i="8"/>
  <c r="D44" i="8"/>
  <c r="C44" i="8"/>
  <c r="A44" i="8"/>
  <c r="B43" i="8" s="1"/>
  <c r="M43" i="8"/>
  <c r="L43" i="8"/>
  <c r="K43" i="8"/>
  <c r="J43" i="8"/>
  <c r="I43" i="8"/>
  <c r="H43" i="8"/>
  <c r="G43" i="8"/>
  <c r="F43" i="8"/>
  <c r="E43" i="8"/>
  <c r="D43" i="8"/>
  <c r="C43" i="8"/>
  <c r="A43" i="8"/>
  <c r="B42" i="8" s="1"/>
  <c r="M42" i="8"/>
  <c r="L42" i="8"/>
  <c r="K42" i="8"/>
  <c r="J42" i="8"/>
  <c r="I42" i="8"/>
  <c r="H42" i="8"/>
  <c r="G42" i="8"/>
  <c r="F42" i="8"/>
  <c r="E42" i="8"/>
  <c r="D42" i="8"/>
  <c r="C42" i="8"/>
  <c r="A42" i="8"/>
  <c r="B41" i="8" s="1"/>
  <c r="M41" i="8"/>
  <c r="L41" i="8"/>
  <c r="K41" i="8"/>
  <c r="J41" i="8"/>
  <c r="I41" i="8"/>
  <c r="H41" i="8"/>
  <c r="G41" i="8"/>
  <c r="F41" i="8"/>
  <c r="E41" i="8"/>
  <c r="D41" i="8"/>
  <c r="C41" i="8"/>
  <c r="A41" i="8"/>
  <c r="B40" i="8" s="1"/>
  <c r="M40" i="8"/>
  <c r="L40" i="8"/>
  <c r="K40" i="8"/>
  <c r="J40" i="8"/>
  <c r="I40" i="8"/>
  <c r="H40" i="8"/>
  <c r="G40" i="8"/>
  <c r="F40" i="8"/>
  <c r="E40" i="8"/>
  <c r="D40" i="8"/>
  <c r="C40" i="8"/>
  <c r="A40" i="8"/>
  <c r="B39" i="8" s="1"/>
  <c r="M39" i="8"/>
  <c r="L39" i="8"/>
  <c r="K39" i="8"/>
  <c r="J39" i="8"/>
  <c r="I39" i="8"/>
  <c r="H39" i="8"/>
  <c r="G39" i="8"/>
  <c r="F39" i="8"/>
  <c r="E39" i="8"/>
  <c r="D39" i="8"/>
  <c r="C39" i="8"/>
  <c r="A39" i="8"/>
  <c r="B38" i="8" s="1"/>
  <c r="M38" i="8"/>
  <c r="L38" i="8"/>
  <c r="K38" i="8"/>
  <c r="J38" i="8"/>
  <c r="I38" i="8"/>
  <c r="H38" i="8"/>
  <c r="G38" i="8"/>
  <c r="F38" i="8"/>
  <c r="E38" i="8"/>
  <c r="D38" i="8"/>
  <c r="C38" i="8"/>
  <c r="A38" i="8"/>
  <c r="B37" i="8" s="1"/>
  <c r="M37" i="8"/>
  <c r="L37" i="8"/>
  <c r="K37" i="8"/>
  <c r="J37" i="8"/>
  <c r="I37" i="8"/>
  <c r="H37" i="8"/>
  <c r="G37" i="8"/>
  <c r="F37" i="8"/>
  <c r="E37" i="8"/>
  <c r="D37" i="8"/>
  <c r="C37" i="8"/>
  <c r="A37" i="8"/>
  <c r="B36" i="8" s="1"/>
  <c r="M36" i="8"/>
  <c r="L36" i="8"/>
  <c r="K36" i="8"/>
  <c r="J36" i="8"/>
  <c r="I36" i="8"/>
  <c r="H36" i="8"/>
  <c r="G36" i="8"/>
  <c r="F36" i="8"/>
  <c r="E36" i="8"/>
  <c r="D36" i="8"/>
  <c r="C36" i="8"/>
  <c r="A36" i="8"/>
  <c r="B35" i="8" s="1"/>
  <c r="M35" i="8"/>
  <c r="L35" i="8"/>
  <c r="K35" i="8"/>
  <c r="J35" i="8"/>
  <c r="I35" i="8"/>
  <c r="H35" i="8"/>
  <c r="G35" i="8"/>
  <c r="F35" i="8"/>
  <c r="E35" i="8"/>
  <c r="D35" i="8"/>
  <c r="C35" i="8"/>
  <c r="A35" i="8"/>
  <c r="B34" i="8" s="1"/>
  <c r="M34" i="8"/>
  <c r="L34" i="8"/>
  <c r="K34" i="8"/>
  <c r="J34" i="8"/>
  <c r="I34" i="8"/>
  <c r="H34" i="8"/>
  <c r="G34" i="8"/>
  <c r="F34" i="8"/>
  <c r="E34" i="8"/>
  <c r="D34" i="8"/>
  <c r="C34" i="8"/>
  <c r="A34" i="8"/>
  <c r="B33" i="8" s="1"/>
  <c r="M33" i="8"/>
  <c r="L33" i="8"/>
  <c r="K33" i="8"/>
  <c r="J33" i="8"/>
  <c r="I33" i="8"/>
  <c r="H33" i="8"/>
  <c r="G33" i="8"/>
  <c r="F33" i="8"/>
  <c r="E33" i="8"/>
  <c r="D33" i="8"/>
  <c r="C33" i="8"/>
  <c r="A33" i="8"/>
  <c r="B32" i="8" s="1"/>
  <c r="M32" i="8"/>
  <c r="L32" i="8"/>
  <c r="K32" i="8"/>
  <c r="J32" i="8"/>
  <c r="I32" i="8"/>
  <c r="H32" i="8"/>
  <c r="G32" i="8"/>
  <c r="F32" i="8"/>
  <c r="E32" i="8"/>
  <c r="D32" i="8"/>
  <c r="C32" i="8"/>
  <c r="A32" i="8"/>
  <c r="B31" i="8" s="1"/>
  <c r="M31" i="8"/>
  <c r="L31" i="8"/>
  <c r="K31" i="8"/>
  <c r="J31" i="8"/>
  <c r="I31" i="8"/>
  <c r="H31" i="8"/>
  <c r="G31" i="8"/>
  <c r="F31" i="8"/>
  <c r="E31" i="8"/>
  <c r="D31" i="8"/>
  <c r="C31" i="8"/>
  <c r="A31" i="8"/>
  <c r="B30" i="8" s="1"/>
  <c r="M30" i="8"/>
  <c r="L30" i="8"/>
  <c r="K30" i="8"/>
  <c r="J30" i="8"/>
  <c r="I30" i="8"/>
  <c r="H30" i="8"/>
  <c r="G30" i="8"/>
  <c r="F30" i="8"/>
  <c r="E30" i="8"/>
  <c r="D30" i="8"/>
  <c r="C30" i="8"/>
  <c r="A30" i="8"/>
  <c r="B29" i="8" s="1"/>
  <c r="M29" i="8"/>
  <c r="L29" i="8"/>
  <c r="K29" i="8"/>
  <c r="J29" i="8"/>
  <c r="I29" i="8"/>
  <c r="H29" i="8"/>
  <c r="G29" i="8"/>
  <c r="F29" i="8"/>
  <c r="E29" i="8"/>
  <c r="D29" i="8"/>
  <c r="C29" i="8"/>
  <c r="A29" i="8"/>
  <c r="B28" i="8" s="1"/>
  <c r="M28" i="8"/>
  <c r="L28" i="8"/>
  <c r="K28" i="8"/>
  <c r="J28" i="8"/>
  <c r="I28" i="8"/>
  <c r="H28" i="8"/>
  <c r="G28" i="8"/>
  <c r="F28" i="8"/>
  <c r="E28" i="8"/>
  <c r="D28" i="8"/>
  <c r="C28" i="8"/>
  <c r="A28" i="8"/>
  <c r="B27" i="8" s="1"/>
  <c r="M27" i="8"/>
  <c r="L27" i="8"/>
  <c r="K27" i="8"/>
  <c r="J27" i="8"/>
  <c r="I27" i="8"/>
  <c r="H27" i="8"/>
  <c r="G27" i="8"/>
  <c r="F27" i="8"/>
  <c r="E27" i="8"/>
  <c r="D27" i="8"/>
  <c r="C27" i="8"/>
  <c r="A27" i="8"/>
  <c r="B26" i="8" s="1"/>
  <c r="M26" i="8"/>
  <c r="L26" i="8"/>
  <c r="K26" i="8"/>
  <c r="J26" i="8"/>
  <c r="I26" i="8"/>
  <c r="H26" i="8"/>
  <c r="G26" i="8"/>
  <c r="F26" i="8"/>
  <c r="E26" i="8"/>
  <c r="D26" i="8"/>
  <c r="C26" i="8"/>
  <c r="A26" i="8"/>
  <c r="B25" i="8" s="1"/>
  <c r="M25" i="8"/>
  <c r="L25" i="8"/>
  <c r="K25" i="8"/>
  <c r="J25" i="8"/>
  <c r="I25" i="8"/>
  <c r="H25" i="8"/>
  <c r="G25" i="8"/>
  <c r="F25" i="8"/>
  <c r="E25" i="8"/>
  <c r="D25" i="8"/>
  <c r="C25" i="8"/>
  <c r="A25" i="8"/>
  <c r="B24" i="8" s="1"/>
  <c r="M24" i="8"/>
  <c r="L24" i="8"/>
  <c r="K24" i="8"/>
  <c r="J24" i="8"/>
  <c r="I24" i="8"/>
  <c r="H24" i="8"/>
  <c r="G24" i="8"/>
  <c r="F24" i="8"/>
  <c r="E24" i="8"/>
  <c r="D24" i="8"/>
  <c r="C24" i="8"/>
  <c r="A24" i="8"/>
  <c r="B23" i="8" s="1"/>
  <c r="M23" i="8"/>
  <c r="L23" i="8"/>
  <c r="K23" i="8"/>
  <c r="J23" i="8"/>
  <c r="I23" i="8"/>
  <c r="H23" i="8"/>
  <c r="G23" i="8"/>
  <c r="F23" i="8"/>
  <c r="E23" i="8"/>
  <c r="D23" i="8"/>
  <c r="C23" i="8"/>
  <c r="A23" i="8"/>
  <c r="B22" i="8" s="1"/>
  <c r="M22" i="8"/>
  <c r="L22" i="8"/>
  <c r="K22" i="8"/>
  <c r="J22" i="8"/>
  <c r="I22" i="8"/>
  <c r="H22" i="8"/>
  <c r="G22" i="8"/>
  <c r="F22" i="8"/>
  <c r="E22" i="8"/>
  <c r="D22" i="8"/>
  <c r="C22" i="8"/>
  <c r="A22" i="8"/>
  <c r="B21" i="8" s="1"/>
  <c r="M21" i="8"/>
  <c r="L21" i="8"/>
  <c r="K21" i="8"/>
  <c r="J21" i="8"/>
  <c r="I21" i="8"/>
  <c r="H21" i="8"/>
  <c r="G21" i="8"/>
  <c r="F21" i="8"/>
  <c r="E21" i="8"/>
  <c r="D21" i="8"/>
  <c r="C21" i="8"/>
  <c r="A21" i="8"/>
  <c r="B20" i="8" s="1"/>
  <c r="M20" i="8"/>
  <c r="L20" i="8"/>
  <c r="K20" i="8"/>
  <c r="J20" i="8"/>
  <c r="I20" i="8"/>
  <c r="H20" i="8"/>
  <c r="G20" i="8"/>
  <c r="F20" i="8"/>
  <c r="E20" i="8"/>
  <c r="D20" i="8"/>
  <c r="C20" i="8"/>
  <c r="A20" i="8"/>
  <c r="B19" i="8" s="1"/>
  <c r="M19" i="8"/>
  <c r="L19" i="8"/>
  <c r="K19" i="8"/>
  <c r="J19" i="8"/>
  <c r="I19" i="8"/>
  <c r="H19" i="8"/>
  <c r="G19" i="8"/>
  <c r="F19" i="8"/>
  <c r="E19" i="8"/>
  <c r="D19" i="8"/>
  <c r="C19" i="8"/>
  <c r="A19" i="8"/>
  <c r="B18" i="8" s="1"/>
  <c r="M18" i="8"/>
  <c r="L18" i="8"/>
  <c r="K18" i="8"/>
  <c r="J18" i="8"/>
  <c r="I18" i="8"/>
  <c r="H18" i="8"/>
  <c r="G18" i="8"/>
  <c r="F18" i="8"/>
  <c r="E18" i="8"/>
  <c r="D18" i="8"/>
  <c r="C18" i="8"/>
  <c r="A18" i="8"/>
  <c r="B17" i="8" s="1"/>
  <c r="M17" i="8"/>
  <c r="L17" i="8"/>
  <c r="K17" i="8"/>
  <c r="J17" i="8"/>
  <c r="I17" i="8"/>
  <c r="H17" i="8"/>
  <c r="G17" i="8"/>
  <c r="F17" i="8"/>
  <c r="E17" i="8"/>
  <c r="D17" i="8"/>
  <c r="C17" i="8"/>
  <c r="A17" i="8"/>
  <c r="B16" i="8" s="1"/>
  <c r="M16" i="8"/>
  <c r="L16" i="8"/>
  <c r="K16" i="8"/>
  <c r="J16" i="8"/>
  <c r="I16" i="8"/>
  <c r="H16" i="8"/>
  <c r="G16" i="8"/>
  <c r="F16" i="8"/>
  <c r="E16" i="8"/>
  <c r="D16" i="8"/>
  <c r="C16" i="8"/>
  <c r="A16" i="8"/>
  <c r="B15" i="8" s="1"/>
  <c r="M15" i="8"/>
  <c r="L15" i="8"/>
  <c r="K15" i="8"/>
  <c r="J15" i="8"/>
  <c r="I15" i="8"/>
  <c r="H15" i="8"/>
  <c r="G15" i="8"/>
  <c r="F15" i="8"/>
  <c r="E15" i="8"/>
  <c r="D15" i="8"/>
  <c r="C15" i="8"/>
  <c r="A15" i="8"/>
  <c r="B14" i="8" s="1"/>
  <c r="M14" i="8"/>
  <c r="L14" i="8"/>
  <c r="K14" i="8"/>
  <c r="J14" i="8"/>
  <c r="I14" i="8"/>
  <c r="H14" i="8"/>
  <c r="G14" i="8"/>
  <c r="F14" i="8"/>
  <c r="E14" i="8"/>
  <c r="D14" i="8"/>
  <c r="C14" i="8"/>
  <c r="A14" i="8"/>
  <c r="B13" i="8" s="1"/>
  <c r="M13" i="8"/>
  <c r="L13" i="8"/>
  <c r="K13" i="8"/>
  <c r="J13" i="8"/>
  <c r="I13" i="8"/>
  <c r="H13" i="8"/>
  <c r="G13" i="8"/>
  <c r="F13" i="8"/>
  <c r="E13" i="8"/>
  <c r="D13" i="8"/>
  <c r="C13" i="8"/>
  <c r="A13" i="8"/>
  <c r="B12" i="8" s="1"/>
  <c r="M12" i="8"/>
  <c r="L12" i="8"/>
  <c r="K12" i="8"/>
  <c r="J12" i="8"/>
  <c r="I12" i="8"/>
  <c r="H12" i="8"/>
  <c r="G12" i="8"/>
  <c r="F12" i="8"/>
  <c r="E12" i="8"/>
  <c r="D12" i="8"/>
  <c r="C12" i="8"/>
  <c r="A12" i="8"/>
  <c r="B11" i="8" s="1"/>
  <c r="M11" i="8"/>
  <c r="L11" i="8"/>
  <c r="K11" i="8"/>
  <c r="J11" i="8"/>
  <c r="I11" i="8"/>
  <c r="H11" i="8"/>
  <c r="G11" i="8"/>
  <c r="F11" i="8"/>
  <c r="E11" i="8"/>
  <c r="D11" i="8"/>
  <c r="C11" i="8"/>
  <c r="A11" i="8"/>
  <c r="B10" i="8" s="1"/>
  <c r="M10" i="8"/>
  <c r="L10" i="8"/>
  <c r="K10" i="8"/>
  <c r="J10" i="8"/>
  <c r="I10" i="8"/>
  <c r="H10" i="8"/>
  <c r="G10" i="8"/>
  <c r="F10" i="8"/>
  <c r="E10" i="8"/>
  <c r="D10" i="8"/>
  <c r="C10" i="8"/>
  <c r="A10" i="8"/>
  <c r="B9" i="8" s="1"/>
  <c r="M9" i="8"/>
  <c r="L9" i="8"/>
  <c r="K9" i="8"/>
  <c r="J9" i="8"/>
  <c r="I9" i="8"/>
  <c r="H9" i="8"/>
  <c r="G9" i="8"/>
  <c r="F9" i="8"/>
  <c r="E9" i="8"/>
  <c r="D9" i="8"/>
  <c r="C9" i="8"/>
  <c r="A9" i="8"/>
  <c r="B8" i="8" s="1"/>
  <c r="M8" i="8"/>
  <c r="L8" i="8"/>
  <c r="K8" i="8"/>
  <c r="J8" i="8"/>
  <c r="I8" i="8"/>
  <c r="H8" i="8"/>
  <c r="G8" i="8"/>
  <c r="F8" i="8"/>
  <c r="E8" i="8"/>
  <c r="D8" i="8"/>
  <c r="C8" i="8"/>
  <c r="A8" i="8"/>
  <c r="B7" i="8" s="1"/>
  <c r="M7" i="8"/>
  <c r="L7" i="8"/>
  <c r="K7" i="8"/>
  <c r="J7" i="8"/>
  <c r="I7" i="8"/>
  <c r="H7" i="8"/>
  <c r="G7" i="8"/>
  <c r="F7" i="8"/>
  <c r="E7" i="8"/>
  <c r="D7" i="8"/>
  <c r="C7" i="8"/>
  <c r="A7" i="8"/>
  <c r="B6" i="8" s="1"/>
  <c r="M6" i="8"/>
  <c r="L6" i="8"/>
  <c r="K6" i="8"/>
  <c r="J6" i="8"/>
  <c r="I6" i="8"/>
  <c r="H6" i="8"/>
  <c r="G6" i="8"/>
  <c r="F6" i="8"/>
  <c r="E6" i="8"/>
  <c r="D6" i="8"/>
  <c r="C6" i="8"/>
  <c r="A6" i="8"/>
  <c r="B5" i="8" s="1"/>
  <c r="M5" i="8"/>
  <c r="L5" i="8"/>
  <c r="K5" i="8"/>
  <c r="J5" i="8"/>
  <c r="I5" i="8"/>
  <c r="H5" i="8"/>
  <c r="G5" i="8"/>
  <c r="F5" i="8"/>
  <c r="E5" i="8"/>
  <c r="D5" i="8"/>
  <c r="C5" i="8"/>
  <c r="A5" i="8"/>
  <c r="B4" i="8" s="1"/>
  <c r="M4" i="8"/>
  <c r="L4" i="8"/>
  <c r="K4" i="8"/>
  <c r="J4" i="8"/>
  <c r="I4" i="8"/>
  <c r="H4" i="8"/>
  <c r="G4" i="8"/>
  <c r="F4" i="8"/>
  <c r="E4" i="8"/>
  <c r="D4" i="8"/>
  <c r="C4" i="8"/>
  <c r="A4" i="8"/>
  <c r="B3" i="8" s="1"/>
  <c r="M3" i="8"/>
  <c r="L3" i="8"/>
  <c r="K3" i="8"/>
  <c r="J3" i="8"/>
  <c r="I3" i="8"/>
  <c r="H3" i="8"/>
  <c r="G3" i="8"/>
  <c r="F3" i="8"/>
  <c r="E3" i="8"/>
  <c r="D3" i="8"/>
  <c r="C3" i="8"/>
  <c r="A3" i="8"/>
  <c r="B2" i="8" s="1"/>
  <c r="M2" i="8"/>
  <c r="L2" i="8"/>
  <c r="K2" i="8"/>
  <c r="J2" i="8"/>
  <c r="I2" i="8"/>
  <c r="H2" i="8"/>
  <c r="G2" i="8"/>
  <c r="F2" i="8"/>
  <c r="E2" i="8"/>
  <c r="D2" i="8"/>
  <c r="C2" i="8"/>
  <c r="A2" i="8"/>
  <c r="M1" i="8"/>
  <c r="L1" i="8"/>
  <c r="K1" i="8"/>
  <c r="J1" i="8"/>
  <c r="I1" i="8"/>
  <c r="H1" i="8"/>
  <c r="G1" i="8"/>
  <c r="F1" i="8"/>
  <c r="E1" i="8"/>
  <c r="D1" i="8"/>
  <c r="C1" i="8"/>
  <c r="A1" i="8"/>
  <c r="D13" i="12" l="1"/>
  <c r="H13" i="12"/>
  <c r="D5" i="12"/>
  <c r="D8" i="12"/>
  <c r="C50" i="18"/>
  <c r="D50" i="18"/>
  <c r="C51" i="18"/>
  <c r="D51" i="18"/>
  <c r="C52" i="18"/>
  <c r="D52" i="18"/>
  <c r="C44" i="18"/>
  <c r="D44" i="18"/>
  <c r="C45" i="18"/>
  <c r="D45" i="18"/>
  <c r="C46" i="18"/>
  <c r="D46" i="18"/>
  <c r="B52" i="18"/>
  <c r="B51" i="18"/>
  <c r="B50" i="18"/>
  <c r="B46" i="18"/>
  <c r="B45" i="18"/>
  <c r="B44" i="18"/>
  <c r="J6" i="1" l="1"/>
  <c r="J10" i="1"/>
  <c r="J5" i="1"/>
  <c r="J9" i="1"/>
  <c r="J12" i="1"/>
  <c r="J4" i="1"/>
  <c r="J11" i="1"/>
  <c r="J8" i="1"/>
  <c r="J3" i="1"/>
  <c r="J7" i="1"/>
  <c r="M29" i="13"/>
  <c r="N11" i="13"/>
  <c r="O12" i="13"/>
  <c r="M12" i="13"/>
  <c r="O29" i="13"/>
  <c r="N29" i="13"/>
  <c r="M11" i="13"/>
  <c r="O11" i="13"/>
  <c r="N12" i="13"/>
  <c r="B53" i="18" l="1"/>
  <c r="D40" i="18"/>
  <c r="C40" i="18"/>
  <c r="B40" i="18"/>
  <c r="D39" i="18"/>
  <c r="C39" i="18"/>
  <c r="B39" i="18"/>
  <c r="D38" i="18"/>
  <c r="C38" i="18"/>
  <c r="B38" i="18"/>
  <c r="D34" i="18"/>
  <c r="C34" i="18"/>
  <c r="B34" i="18"/>
  <c r="D33" i="18"/>
  <c r="C33" i="18"/>
  <c r="B33" i="18"/>
  <c r="D32" i="18"/>
  <c r="C32" i="18"/>
  <c r="B32" i="18"/>
  <c r="D28" i="18"/>
  <c r="C28" i="18"/>
  <c r="B28" i="18"/>
  <c r="D27" i="18"/>
  <c r="C27" i="18"/>
  <c r="B27" i="18"/>
  <c r="D26" i="18"/>
  <c r="C26" i="18"/>
  <c r="B26" i="18"/>
  <c r="D22" i="18"/>
  <c r="C22" i="18"/>
  <c r="B22" i="18"/>
  <c r="D21" i="18"/>
  <c r="C21" i="18"/>
  <c r="B21" i="18"/>
  <c r="D20" i="18"/>
  <c r="C20" i="18"/>
  <c r="B20" i="18"/>
  <c r="D16" i="18"/>
  <c r="C16" i="18"/>
  <c r="B16" i="18"/>
  <c r="D15" i="18"/>
  <c r="C15" i="18"/>
  <c r="B15" i="18"/>
  <c r="D14" i="18"/>
  <c r="C14" i="18"/>
  <c r="B14" i="18"/>
  <c r="D10" i="18"/>
  <c r="C10" i="18"/>
  <c r="B10" i="18"/>
  <c r="D9" i="18"/>
  <c r="C9" i="18"/>
  <c r="B9" i="18"/>
  <c r="D8" i="18"/>
  <c r="C8" i="18"/>
  <c r="B8" i="18"/>
  <c r="B3" i="18"/>
  <c r="C3" i="18"/>
  <c r="D3" i="18"/>
  <c r="B4" i="18"/>
  <c r="C4" i="18"/>
  <c r="D4" i="18"/>
  <c r="C2" i="18"/>
  <c r="D2" i="18"/>
  <c r="B2" i="18"/>
  <c r="M43" i="15"/>
  <c r="B17" i="18" l="1"/>
  <c r="B41" i="18"/>
  <c r="D5" i="18"/>
  <c r="B11" i="18"/>
  <c r="B35" i="18"/>
  <c r="B29" i="18"/>
  <c r="M39" i="15"/>
  <c r="N39" i="15"/>
  <c r="M54" i="15"/>
  <c r="N54" i="15"/>
  <c r="M52" i="15"/>
  <c r="N52" i="15"/>
  <c r="M56" i="15"/>
  <c r="N56" i="15"/>
  <c r="M35" i="15"/>
  <c r="N35" i="15"/>
  <c r="M50" i="15"/>
  <c r="N50" i="15"/>
  <c r="M45" i="15"/>
  <c r="N45" i="15"/>
  <c r="O43" i="15"/>
  <c r="M37" i="15"/>
  <c r="N37" i="15"/>
  <c r="M36" i="15"/>
  <c r="N36" i="15"/>
  <c r="M34" i="15"/>
  <c r="N34" i="15"/>
  <c r="M33" i="15"/>
  <c r="N33" i="15"/>
  <c r="M46" i="15"/>
  <c r="N46" i="15"/>
  <c r="M55" i="15"/>
  <c r="N55" i="15"/>
  <c r="M38" i="15"/>
  <c r="N38" i="15"/>
  <c r="M49" i="15"/>
  <c r="N49" i="15"/>
  <c r="M44" i="15"/>
  <c r="N44" i="15"/>
  <c r="N43" i="15"/>
  <c r="M58" i="15"/>
  <c r="N58" i="15"/>
  <c r="C23" i="18"/>
  <c r="C47" i="18"/>
  <c r="M41" i="15"/>
  <c r="N41" i="15"/>
  <c r="M51" i="15"/>
  <c r="N51" i="15"/>
  <c r="M42" i="15"/>
  <c r="N42" i="15"/>
  <c r="M57" i="15"/>
  <c r="N57" i="15"/>
  <c r="C17" i="18"/>
  <c r="D23" i="18"/>
  <c r="C35" i="18"/>
  <c r="C41" i="18"/>
  <c r="D17" i="18"/>
  <c r="C5" i="18"/>
  <c r="B5" i="18"/>
  <c r="D35" i="18"/>
  <c r="C29" i="18"/>
  <c r="C53" i="18"/>
  <c r="D41" i="18"/>
  <c r="D29" i="18"/>
  <c r="D53" i="18"/>
  <c r="D47" i="18"/>
  <c r="C11" i="18"/>
  <c r="D11" i="18"/>
  <c r="B23" i="18"/>
  <c r="B47" i="18"/>
  <c r="L36" i="15"/>
  <c r="O36" i="15"/>
  <c r="L37" i="15"/>
  <c r="O37" i="15"/>
  <c r="O38" i="15"/>
  <c r="L44" i="15"/>
  <c r="O51" i="15"/>
  <c r="L52" i="15"/>
  <c r="O52" i="15"/>
  <c r="O54" i="15"/>
  <c r="O56" i="15"/>
  <c r="O50" i="15"/>
  <c r="O45" i="15"/>
  <c r="O44" i="15"/>
  <c r="O41" i="15"/>
  <c r="L56" i="15"/>
  <c r="L55" i="15"/>
  <c r="L45" i="15"/>
  <c r="L41" i="15"/>
  <c r="L39" i="15"/>
  <c r="I23" i="13"/>
  <c r="Q9" i="13" s="1"/>
  <c r="I22" i="13"/>
  <c r="Q10" i="13" s="1"/>
  <c r="I21" i="13"/>
  <c r="Q11" i="13" s="1"/>
  <c r="I20" i="13"/>
  <c r="Q12" i="13" s="1"/>
  <c r="I17" i="13"/>
  <c r="Q15" i="13" s="1"/>
  <c r="I16" i="13"/>
  <c r="Q16" i="13" s="1"/>
  <c r="I15" i="13"/>
  <c r="Q17" i="13" s="1"/>
  <c r="I14" i="13"/>
  <c r="Q18" i="13" s="1"/>
  <c r="I13" i="13"/>
  <c r="Q19" i="13" s="1"/>
  <c r="I12" i="13"/>
  <c r="Q20" i="13" s="1"/>
  <c r="I11" i="13"/>
  <c r="Q21" i="13" s="1"/>
  <c r="I10" i="13"/>
  <c r="Q22" i="13" s="1"/>
  <c r="I9" i="13"/>
  <c r="Q23" i="13" s="1"/>
  <c r="I8" i="13"/>
  <c r="Q24" i="13" s="1"/>
  <c r="I7" i="13"/>
  <c r="Q25" i="13" s="1"/>
  <c r="I6" i="13"/>
  <c r="Q26" i="13" s="1"/>
  <c r="L51" i="15"/>
  <c r="L50" i="15"/>
  <c r="L35" i="15"/>
  <c r="O49" i="15" l="1"/>
  <c r="O42" i="15"/>
  <c r="L57" i="15"/>
  <c r="O46" i="15"/>
  <c r="L33" i="15"/>
  <c r="L49" i="15"/>
  <c r="O57" i="15"/>
  <c r="L58" i="15"/>
  <c r="O33" i="15"/>
  <c r="L46" i="15"/>
  <c r="L43" i="15"/>
  <c r="O35" i="15"/>
  <c r="L42" i="15"/>
  <c r="O58" i="15"/>
  <c r="O34" i="15"/>
  <c r="L34" i="15"/>
  <c r="L38" i="15"/>
  <c r="L54" i="15"/>
  <c r="O39" i="15"/>
  <c r="O55" i="15"/>
  <c r="B31" i="3"/>
  <c r="J24" i="3" s="1"/>
  <c r="C31" i="3"/>
  <c r="B32" i="3"/>
  <c r="J23" i="3" s="1"/>
  <c r="C32" i="3"/>
  <c r="N47" i="15" l="1"/>
  <c r="M47" i="15"/>
  <c r="L47" i="15"/>
  <c r="I19" i="13"/>
  <c r="Q13" i="13" s="1"/>
  <c r="I18" i="13"/>
  <c r="Q14" i="13" s="1"/>
  <c r="D46" i="15" l="1"/>
  <c r="D45" i="15"/>
  <c r="D38" i="15"/>
  <c r="D33" i="15"/>
  <c r="T27" i="15"/>
  <c r="T26" i="15"/>
  <c r="T25" i="15"/>
  <c r="T24" i="15"/>
  <c r="B45" i="15"/>
  <c r="K58" i="15"/>
  <c r="J58" i="15"/>
  <c r="H57" i="15"/>
  <c r="G57" i="15"/>
  <c r="C56" i="15"/>
  <c r="D54" i="15"/>
  <c r="J44" i="15"/>
  <c r="H43" i="15"/>
  <c r="G43" i="15"/>
  <c r="B39" i="15"/>
  <c r="B38" i="15"/>
  <c r="D36" i="15"/>
  <c r="E34" i="15"/>
  <c r="D47" i="15" l="1"/>
  <c r="G36" i="15"/>
  <c r="H38" i="15"/>
  <c r="F39" i="15"/>
  <c r="G51" i="15"/>
  <c r="E39" i="15"/>
  <c r="C49" i="15"/>
  <c r="H36" i="15"/>
  <c r="F54" i="15"/>
  <c r="F41" i="15"/>
  <c r="D42" i="15"/>
  <c r="C44" i="15"/>
  <c r="D43" i="15"/>
  <c r="D57" i="15"/>
  <c r="E43" i="15"/>
  <c r="E57" i="15"/>
  <c r="F43" i="15"/>
  <c r="D44" i="15"/>
  <c r="D58" i="15"/>
  <c r="D34" i="15"/>
  <c r="C36" i="15"/>
  <c r="G50" i="15"/>
  <c r="E54" i="15"/>
  <c r="E41" i="15"/>
  <c r="D56" i="15"/>
  <c r="B34" i="15"/>
  <c r="I36" i="15"/>
  <c r="E38" i="15"/>
  <c r="E52" i="15"/>
  <c r="F38" i="15"/>
  <c r="F52" i="15"/>
  <c r="G35" i="15"/>
  <c r="G49" i="15"/>
  <c r="G39" i="15"/>
  <c r="D39" i="15"/>
  <c r="E42" i="15"/>
  <c r="K36" i="15"/>
  <c r="K50" i="15"/>
  <c r="I37" i="15"/>
  <c r="I51" i="15"/>
  <c r="J37" i="15"/>
  <c r="J51" i="15"/>
  <c r="K37" i="15"/>
  <c r="K51" i="15"/>
  <c r="I52" i="15"/>
  <c r="J38" i="15"/>
  <c r="J52" i="15"/>
  <c r="K38" i="15"/>
  <c r="K52" i="15"/>
  <c r="G42" i="15"/>
  <c r="G56" i="15"/>
  <c r="H39" i="15"/>
  <c r="H54" i="15"/>
  <c r="I39" i="15"/>
  <c r="I54" i="15"/>
  <c r="J39" i="15"/>
  <c r="J54" i="15"/>
  <c r="K39" i="15"/>
  <c r="K54" i="15"/>
  <c r="I38" i="15"/>
  <c r="D49" i="15"/>
  <c r="G38" i="15"/>
  <c r="H55" i="15"/>
  <c r="I41" i="15"/>
  <c r="I55" i="15"/>
  <c r="J41" i="15"/>
  <c r="J55" i="15"/>
  <c r="K55" i="15"/>
  <c r="K35" i="15"/>
  <c r="E35" i="15"/>
  <c r="K44" i="15"/>
  <c r="B33" i="15"/>
  <c r="G44" i="15"/>
  <c r="G58" i="15"/>
  <c r="H42" i="15"/>
  <c r="I42" i="15"/>
  <c r="I56" i="15"/>
  <c r="J42" i="15"/>
  <c r="J56" i="15"/>
  <c r="K42" i="15"/>
  <c r="D35" i="15"/>
  <c r="B58" i="15"/>
  <c r="F35" i="15"/>
  <c r="F49" i="15"/>
  <c r="G45" i="15"/>
  <c r="B47" i="15"/>
  <c r="E36" i="15"/>
  <c r="E50" i="15"/>
  <c r="F36" i="15"/>
  <c r="F50" i="15"/>
  <c r="G33" i="15"/>
  <c r="G46" i="15"/>
  <c r="H44" i="15"/>
  <c r="H58" i="15"/>
  <c r="K49" i="15"/>
  <c r="H51" i="15"/>
  <c r="B46" i="15"/>
  <c r="E37" i="15"/>
  <c r="E51" i="15"/>
  <c r="F37" i="15"/>
  <c r="F51" i="15"/>
  <c r="G34" i="15"/>
  <c r="G47" i="15"/>
  <c r="C42" i="15"/>
  <c r="K41" i="15"/>
  <c r="I43" i="15"/>
  <c r="H56" i="15"/>
  <c r="J43" i="15"/>
  <c r="F56" i="15"/>
  <c r="B44" i="15"/>
  <c r="B43" i="15"/>
  <c r="E55" i="15"/>
  <c r="F55" i="15"/>
  <c r="B42" i="15"/>
  <c r="C41" i="15"/>
  <c r="G55" i="15"/>
  <c r="B41" i="15"/>
  <c r="H33" i="15"/>
  <c r="I44" i="15"/>
  <c r="C37" i="15"/>
  <c r="D41" i="15"/>
  <c r="D52" i="15"/>
  <c r="B54" i="15"/>
  <c r="C38" i="15"/>
  <c r="F10" i="14"/>
  <c r="C52" i="15"/>
  <c r="D50" i="15"/>
  <c r="H34" i="15"/>
  <c r="H47" i="15"/>
  <c r="I45" i="15"/>
  <c r="J45" i="15"/>
  <c r="I28" i="13"/>
  <c r="Q4" i="13" s="1"/>
  <c r="I57" i="15"/>
  <c r="J57" i="15"/>
  <c r="G9" i="14"/>
  <c r="E44" i="15"/>
  <c r="C57" i="15"/>
  <c r="E58" i="15"/>
  <c r="B52" i="15"/>
  <c r="C39" i="15"/>
  <c r="F11" i="14"/>
  <c r="I24" i="13"/>
  <c r="Q8" i="13" s="1"/>
  <c r="D37" i="15"/>
  <c r="D51" i="15"/>
  <c r="E45" i="15"/>
  <c r="H35" i="15"/>
  <c r="H49" i="15"/>
  <c r="I33" i="15"/>
  <c r="I46" i="15"/>
  <c r="J33" i="15"/>
  <c r="J46" i="15"/>
  <c r="C45" i="15"/>
  <c r="T28" i="15"/>
  <c r="C34" i="15"/>
  <c r="F8" i="14"/>
  <c r="H45" i="15"/>
  <c r="B55" i="15"/>
  <c r="C51" i="15"/>
  <c r="I58" i="15"/>
  <c r="K56" i="15"/>
  <c r="G37" i="15"/>
  <c r="C43" i="15"/>
  <c r="F44" i="15"/>
  <c r="F58" i="15"/>
  <c r="B51" i="15"/>
  <c r="B37" i="15"/>
  <c r="C55" i="15"/>
  <c r="I25" i="13"/>
  <c r="Q7" i="13" s="1"/>
  <c r="E33" i="15"/>
  <c r="E46" i="15"/>
  <c r="F45" i="15"/>
  <c r="H50" i="15"/>
  <c r="I34" i="15"/>
  <c r="I47" i="15"/>
  <c r="J34" i="15"/>
  <c r="J47" i="15"/>
  <c r="K45" i="15"/>
  <c r="E56" i="15"/>
  <c r="C46" i="15"/>
  <c r="K57" i="15"/>
  <c r="C35" i="15"/>
  <c r="F9" i="14"/>
  <c r="G10" i="14"/>
  <c r="H37" i="15"/>
  <c r="G41" i="15"/>
  <c r="G52" i="15"/>
  <c r="B50" i="15"/>
  <c r="B36" i="15"/>
  <c r="Q6" i="13"/>
  <c r="E47" i="15"/>
  <c r="F33" i="15"/>
  <c r="F46" i="15"/>
  <c r="G54" i="15"/>
  <c r="I35" i="15"/>
  <c r="I49" i="15"/>
  <c r="J35" i="15"/>
  <c r="J49" i="15"/>
  <c r="K33" i="15"/>
  <c r="K46" i="15"/>
  <c r="H41" i="15"/>
  <c r="C33" i="15"/>
  <c r="C47" i="15"/>
  <c r="K43" i="15"/>
  <c r="B57" i="15"/>
  <c r="B56" i="15"/>
  <c r="C50" i="15"/>
  <c r="G8" i="14"/>
  <c r="C58" i="15"/>
  <c r="F42" i="15"/>
  <c r="H46" i="15"/>
  <c r="G11" i="14"/>
  <c r="F57" i="15"/>
  <c r="B49" i="15"/>
  <c r="B35" i="15"/>
  <c r="I27" i="13"/>
  <c r="Q5" i="13" s="1"/>
  <c r="D55" i="15"/>
  <c r="E49" i="15"/>
  <c r="F34" i="15"/>
  <c r="F47" i="15"/>
  <c r="H52" i="15"/>
  <c r="I50" i="15"/>
  <c r="J36" i="15"/>
  <c r="J50" i="15"/>
  <c r="K34" i="15"/>
  <c r="K47" i="15"/>
  <c r="C54" i="15"/>
  <c r="Y25" i="15" l="1"/>
  <c r="Y26" i="15"/>
  <c r="Y24" i="15"/>
  <c r="Y27" i="15"/>
  <c r="Y28" i="15"/>
  <c r="C26" i="3" l="1"/>
  <c r="C30" i="3"/>
  <c r="C23" i="3"/>
  <c r="C27" i="3"/>
  <c r="B24" i="3"/>
  <c r="J31" i="3" s="1"/>
  <c r="B25" i="3"/>
  <c r="J30" i="3" s="1"/>
  <c r="B26" i="3"/>
  <c r="J29" i="3" s="1"/>
  <c r="B27" i="3"/>
  <c r="J28" i="3" s="1"/>
  <c r="B28" i="3"/>
  <c r="J27" i="3" s="1"/>
  <c r="B29" i="3"/>
  <c r="J26" i="3" s="1"/>
  <c r="B30" i="3"/>
  <c r="J25" i="3" s="1"/>
  <c r="C29" i="3"/>
  <c r="C28" i="3"/>
  <c r="C25" i="3"/>
  <c r="C24" i="3"/>
  <c r="B23" i="3"/>
  <c r="C24" i="2"/>
  <c r="C26" i="2"/>
  <c r="C28" i="2"/>
  <c r="C29" i="2"/>
  <c r="C30" i="2"/>
  <c r="C31" i="2"/>
  <c r="B23" i="2"/>
  <c r="J30" i="2" s="1"/>
  <c r="B24" i="2"/>
  <c r="J29" i="2" s="1"/>
  <c r="B25" i="2"/>
  <c r="J28" i="2" s="1"/>
  <c r="B26" i="2"/>
  <c r="J27" i="2" s="1"/>
  <c r="B27" i="2"/>
  <c r="J26" i="2" s="1"/>
  <c r="B28" i="2"/>
  <c r="J25" i="2" s="1"/>
  <c r="B29" i="2"/>
  <c r="J24" i="2" s="1"/>
  <c r="B30" i="2"/>
  <c r="J23" i="2" s="1"/>
  <c r="B31" i="2"/>
  <c r="J22" i="2" s="1"/>
  <c r="B22" i="2"/>
  <c r="H11" i="12"/>
  <c r="I11" i="12"/>
  <c r="J11" i="12" s="1"/>
  <c r="C23" i="2"/>
  <c r="C25" i="2"/>
  <c r="C27" i="2"/>
  <c r="C22" i="2"/>
  <c r="K31" i="3" l="1"/>
  <c r="K28" i="3"/>
  <c r="K27" i="3"/>
  <c r="K29" i="3"/>
  <c r="K30" i="3"/>
  <c r="K26" i="3"/>
  <c r="K25" i="3"/>
  <c r="J32" i="3"/>
  <c r="K32" i="3" s="1"/>
  <c r="K24" i="3"/>
  <c r="K23" i="3"/>
  <c r="K24" i="2"/>
  <c r="K23" i="2"/>
  <c r="K27" i="2"/>
  <c r="K28" i="2"/>
  <c r="J31" i="2"/>
  <c r="K31" i="2" s="1"/>
  <c r="K25" i="2"/>
  <c r="K29" i="2"/>
  <c r="K22" i="2"/>
  <c r="K26" i="2"/>
  <c r="K30" i="2"/>
  <c r="D2" i="12" l="1"/>
  <c r="B8" i="14" l="1"/>
  <c r="B5" i="14"/>
  <c r="C1" i="14" l="1"/>
  <c r="G1" i="14" s="1"/>
  <c r="F2" i="14"/>
  <c r="B1" i="14"/>
  <c r="F1" i="14" s="1"/>
  <c r="L3" i="6"/>
  <c r="A6" i="12" s="1"/>
  <c r="L5" i="6"/>
  <c r="A8" i="12" s="1"/>
  <c r="H5" i="12"/>
  <c r="J6" i="12"/>
  <c r="B11" i="14"/>
  <c r="C2" i="14"/>
  <c r="L4" i="6"/>
  <c r="A7" i="12" s="1"/>
  <c r="L6" i="6"/>
  <c r="A9" i="12" s="1"/>
  <c r="L2" i="6"/>
  <c r="A5" i="12" s="1"/>
  <c r="F5" i="14" l="1"/>
  <c r="I8" i="12"/>
  <c r="J8" i="12" s="1"/>
  <c r="C11" i="14"/>
  <c r="I5" i="12"/>
  <c r="G5" i="14"/>
  <c r="B2" i="14"/>
  <c r="I2" i="12"/>
  <c r="G2" i="14"/>
  <c r="J5" i="12"/>
  <c r="F2" i="12"/>
  <c r="A2" i="12"/>
  <c r="B15" i="12" s="1"/>
  <c r="H8" i="12" l="1"/>
  <c r="J2" i="12"/>
  <c r="O17" i="15" l="1"/>
  <c r="O47"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<sst xmlns="http://schemas.openxmlformats.org/spreadsheetml/2006/main" count="8234" uniqueCount="2575">
  <si>
    <t>STEPS</t>
  </si>
  <si>
    <t>INSTRUCTIONS FOR UPDATING WORKBOOK FOR NEW PROJECTS</t>
  </si>
  <si>
    <t>Log in to the dashboard for the project</t>
  </si>
  <si>
    <t>Go to the REPORTS page</t>
  </si>
  <si>
    <t>Select the locations, time frame and All Reports and hit "Let's Go"</t>
  </si>
  <si>
    <t>Download the CSV files for the following seven Reports:</t>
  </si>
  <si>
    <t>Competitive Market Position - Visitors</t>
  </si>
  <si>
    <t>Competitive Overlap Visitors</t>
  </si>
  <si>
    <t>Visitor Draw Demographics</t>
  </si>
  <si>
    <t>Top ZIP Codes</t>
  </si>
  <si>
    <t>Visitor Distance Traveled</t>
  </si>
  <si>
    <t>Visit Duration</t>
  </si>
  <si>
    <t>Visit Frequency</t>
  </si>
  <si>
    <t>Open each CSV file one at a time and do a "Save As" and save it to the client folder as an XLSX file and close the file again</t>
  </si>
  <si>
    <t>Once all the links have been updated, hit "Close" and your file should have updated itself</t>
  </si>
  <si>
    <r>
      <t xml:space="preserve">Open the XLSX for the 'Competitive Overlap Vistiors' file and on the Overlay tab, </t>
    </r>
    <r>
      <rPr>
        <b/>
        <u/>
        <sz val="11"/>
        <color theme="1"/>
        <rFont val="Roboto"/>
      </rPr>
      <t>type in the competitor names</t>
    </r>
    <r>
      <rPr>
        <b/>
        <sz val="11"/>
        <color theme="1"/>
        <rFont val="Roboto"/>
      </rPr>
      <t xml:space="preserve"> in the headers so you know which is which competitor (this is just for your reference so you don't need to enter the full name, the names are in column A in the row above the HH incomes, expand the box if you don't see them); close the XLSX file again </t>
    </r>
  </si>
  <si>
    <t>Save your workbook</t>
  </si>
  <si>
    <t>Now you are ready to update the PowerPoint report</t>
  </si>
  <si>
    <t>MSA</t>
  </si>
  <si>
    <t>live within 10 miles</t>
  </si>
  <si>
    <t>TruTrade Population</t>
  </si>
  <si>
    <t>Income $100K or higher</t>
  </si>
  <si>
    <t>Average Distance Traveled (&lt;50mi)</t>
  </si>
  <si>
    <t>n/a</t>
  </si>
  <si>
    <t>Average Household Income</t>
  </si>
  <si>
    <t>Average Dwell Time</t>
  </si>
  <si>
    <t>Millennials</t>
  </si>
  <si>
    <t>GenX</t>
  </si>
  <si>
    <t>Boomers</t>
  </si>
  <si>
    <t>College Degree or Higher</t>
  </si>
  <si>
    <t>Average Age</t>
  </si>
  <si>
    <t xml:space="preserve"> </t>
  </si>
  <si>
    <t>Visitor Origin Population</t>
  </si>
  <si>
    <t>Visitor Avg. HH Income</t>
  </si>
  <si>
    <t>% Visitors &gt;$100,000 HHI</t>
  </si>
  <si>
    <t>Avg. Age of Head of Visitor Household</t>
  </si>
  <si>
    <t>% Visitor Households with Children</t>
  </si>
  <si>
    <t>% College Degree or Higher</t>
  </si>
  <si>
    <t>Average of Tested Locations</t>
  </si>
  <si>
    <r>
      <t xml:space="preserve">Link to </t>
    </r>
    <r>
      <rPr>
        <b/>
        <sz val="10"/>
        <color theme="1"/>
        <rFont val="Roboto"/>
      </rPr>
      <t>Competitive_Market_Position</t>
    </r>
  </si>
  <si>
    <t>CHECK (from ESRI files):</t>
  </si>
  <si>
    <t>Community Prof:</t>
  </si>
  <si>
    <t>1-mile</t>
  </si>
  <si>
    <t>3-mile</t>
  </si>
  <si>
    <t>5-mile</t>
  </si>
  <si>
    <t>Population</t>
  </si>
  <si>
    <t>Adjust which column to index against based on the data</t>
  </si>
  <si>
    <t>Households</t>
  </si>
  <si>
    <t>Age</t>
  </si>
  <si>
    <t>18-24</t>
  </si>
  <si>
    <t>25-34</t>
  </si>
  <si>
    <t>35-44</t>
  </si>
  <si>
    <t>45-54</t>
  </si>
  <si>
    <t>55-64</t>
  </si>
  <si>
    <t>65+</t>
  </si>
  <si>
    <t>DO NOT EDIT - WILL UPDATE AUTOMATICALLY</t>
  </si>
  <si>
    <t>HH Income</t>
  </si>
  <si>
    <t>Less than $50,000</t>
  </si>
  <si>
    <t>$50,000 - $74,999</t>
  </si>
  <si>
    <t>$75,000 - $99,000</t>
  </si>
  <si>
    <t>$100,000 - $149,999</t>
  </si>
  <si>
    <t>$150,000 or more</t>
  </si>
  <si>
    <t>Children in Household</t>
  </si>
  <si>
    <t>Education</t>
  </si>
  <si>
    <t>Less than College</t>
  </si>
  <si>
    <t>Some College</t>
  </si>
  <si>
    <t>College Degree</t>
  </si>
  <si>
    <t>Post-Graduate Degree</t>
  </si>
  <si>
    <t>Ethnicity</t>
  </si>
  <si>
    <t>Caucasian/White</t>
  </si>
  <si>
    <t>African-American/Black</t>
  </si>
  <si>
    <t>Hispanic/Latino</t>
  </si>
  <si>
    <t>Asian</t>
  </si>
  <si>
    <t>Other</t>
  </si>
  <si>
    <r>
      <t xml:space="preserve">COPY &amp; PASTE THE </t>
    </r>
    <r>
      <rPr>
        <b/>
        <u/>
        <sz val="9"/>
        <color theme="1"/>
        <rFont val="Roboto"/>
      </rPr>
      <t>DATA</t>
    </r>
    <r>
      <rPr>
        <b/>
        <sz val="9"/>
        <color theme="1"/>
        <rFont val="Roboto"/>
      </rPr>
      <t xml:space="preserve"> FROM THESE COLUMNS ONLY -             DO NOT COPY ROW OR COLUMNS HEADERS</t>
    </r>
  </si>
  <si>
    <t>AGE</t>
  </si>
  <si>
    <t>HOUSEHOLD INCOME</t>
  </si>
  <si>
    <t>$50,000-$74,999</t>
  </si>
  <si>
    <t>$75,000-$99,999</t>
  </si>
  <si>
    <t>$100,000-$149,999</t>
  </si>
  <si>
    <t>For Comparison chart (update time period labels if needed)</t>
  </si>
  <si>
    <t>Average HH Income</t>
  </si>
  <si>
    <t>CHILDREN IN HOUSEHOLD</t>
  </si>
  <si>
    <t>EDUCATION</t>
  </si>
  <si>
    <t>Less than college</t>
  </si>
  <si>
    <t>Some college</t>
  </si>
  <si>
    <t>College degree</t>
  </si>
  <si>
    <t>Post-graduate degree</t>
  </si>
  <si>
    <t>ETHNICITY</t>
  </si>
  <si>
    <t>%</t>
  </si>
  <si>
    <t>Rank</t>
  </si>
  <si>
    <t>&lt;---- Enter in percentages from dashboard</t>
  </si>
  <si>
    <t>ZIP</t>
  </si>
  <si>
    <t>City</t>
  </si>
  <si>
    <t>State</t>
  </si>
  <si>
    <t>Distance from Center</t>
  </si>
  <si>
    <t>Percent of Visits</t>
  </si>
  <si>
    <t xml:space="preserve">Cumulative Percent Visits </t>
  </si>
  <si>
    <t>Total Households</t>
  </si>
  <si>
    <t>Total Population</t>
  </si>
  <si>
    <t>5-year Population Growth</t>
  </si>
  <si>
    <t>Avg. HH Income</t>
  </si>
  <si>
    <r>
      <t xml:space="preserve">Link to </t>
    </r>
    <r>
      <rPr>
        <b/>
        <sz val="9"/>
        <color theme="1"/>
        <rFont val="Roboto"/>
      </rPr>
      <t>TopZIPCodesReport</t>
    </r>
  </si>
  <si>
    <t xml:space="preserve">Estimated Distance Traveled </t>
  </si>
  <si>
    <t>Less than 5 miles</t>
  </si>
  <si>
    <t>5 to 10 miles</t>
  </si>
  <si>
    <t>11 to 20 miles</t>
  </si>
  <si>
    <t>21 to 50 miles</t>
  </si>
  <si>
    <t>More than 50 miles</t>
  </si>
  <si>
    <t>Avg. Distance (miles)</t>
  </si>
  <si>
    <t>Avg. Distance (&lt;50mi)</t>
  </si>
  <si>
    <r>
      <t xml:space="preserve">Link to </t>
    </r>
    <r>
      <rPr>
        <b/>
        <sz val="10"/>
        <color theme="1"/>
        <rFont val="Roboto"/>
      </rPr>
      <t>VisitorDistanceTraveledReport</t>
    </r>
  </si>
  <si>
    <t>Sampled Visits Annually</t>
  </si>
  <si>
    <t>Visited once</t>
  </si>
  <si>
    <t>Visited 2-4 times</t>
  </si>
  <si>
    <t>Visited 5+ times</t>
  </si>
  <si>
    <t>Avg. Number Annual Visits</t>
  </si>
  <si>
    <r>
      <t xml:space="preserve">Link to </t>
    </r>
    <r>
      <rPr>
        <b/>
        <sz val="10"/>
        <color theme="1"/>
        <rFont val="Roboto"/>
      </rPr>
      <t>VisitorFrequencyReport</t>
    </r>
  </si>
  <si>
    <t>LINKED CHART DATA</t>
  </si>
  <si>
    <t>Location</t>
  </si>
  <si>
    <t>Avg. Number Visits</t>
  </si>
  <si>
    <t>Less than 15 mins.</t>
  </si>
  <si>
    <t>15 to 60 mins.</t>
  </si>
  <si>
    <t>60 mins. to 3 hours</t>
  </si>
  <si>
    <t>More than 3 hours</t>
  </si>
  <si>
    <t>Avg. Duration (mins)</t>
  </si>
  <si>
    <r>
      <rPr>
        <sz val="10"/>
        <color theme="1"/>
        <rFont val="Roboto"/>
      </rPr>
      <t xml:space="preserve">Link to </t>
    </r>
    <r>
      <rPr>
        <b/>
        <sz val="10"/>
        <color theme="1"/>
        <rFont val="Roboto"/>
      </rPr>
      <t>VisitorDurationReport</t>
    </r>
  </si>
  <si>
    <t>FL</t>
  </si>
  <si>
    <t>NY</t>
  </si>
  <si>
    <t>NJ</t>
  </si>
  <si>
    <t>GA</t>
  </si>
  <si>
    <t>IL</t>
  </si>
  <si>
    <t>CA</t>
  </si>
  <si>
    <t>PA</t>
  </si>
  <si>
    <t>TX</t>
  </si>
  <si>
    <t>MA</t>
  </si>
  <si>
    <t>OH</t>
  </si>
  <si>
    <t>MD</t>
  </si>
  <si>
    <t>NC</t>
  </si>
  <si>
    <t>VA</t>
  </si>
  <si>
    <t>MI</t>
  </si>
  <si>
    <t>CT</t>
  </si>
  <si>
    <t>CO</t>
  </si>
  <si>
    <t>KY</t>
  </si>
  <si>
    <t>IN</t>
  </si>
  <si>
    <t>SC</t>
  </si>
  <si>
    <t>TN</t>
  </si>
  <si>
    <t>LA</t>
  </si>
  <si>
    <t>NV</t>
  </si>
  <si>
    <t>WI</t>
  </si>
  <si>
    <t>DC</t>
  </si>
  <si>
    <t>MN</t>
  </si>
  <si>
    <t>AK</t>
  </si>
  <si>
    <t>Alaska</t>
  </si>
  <si>
    <t>AL</t>
  </si>
  <si>
    <t>Alabama</t>
  </si>
  <si>
    <t>AR</t>
  </si>
  <si>
    <t>Arkansas</t>
  </si>
  <si>
    <t>AZ</t>
  </si>
  <si>
    <t>Arizona</t>
  </si>
  <si>
    <t>California</t>
  </si>
  <si>
    <t>Colorado</t>
  </si>
  <si>
    <t>Connecticut</t>
  </si>
  <si>
    <t>Dist. of Col.</t>
  </si>
  <si>
    <t>DE</t>
  </si>
  <si>
    <t>Delaware</t>
  </si>
  <si>
    <t>Florida</t>
  </si>
  <si>
    <t>Georgia</t>
  </si>
  <si>
    <t>HI</t>
  </si>
  <si>
    <t>Hawaii</t>
  </si>
  <si>
    <t>IA</t>
  </si>
  <si>
    <t>Iowa</t>
  </si>
  <si>
    <t>ID</t>
  </si>
  <si>
    <t>Idaho</t>
  </si>
  <si>
    <t>Illinois</t>
  </si>
  <si>
    <t>Indiana</t>
  </si>
  <si>
    <t>KS</t>
  </si>
  <si>
    <t>Kansas</t>
  </si>
  <si>
    <t>Kentucky</t>
  </si>
  <si>
    <t>Louisiana</t>
  </si>
  <si>
    <t>Massachusetts</t>
  </si>
  <si>
    <t>Maryland</t>
  </si>
  <si>
    <t>ME</t>
  </si>
  <si>
    <t>Maine</t>
  </si>
  <si>
    <t>Michigan</t>
  </si>
  <si>
    <t>Minnesota</t>
  </si>
  <si>
    <t>MO</t>
  </si>
  <si>
    <t>Missouri</t>
  </si>
  <si>
    <t>MS</t>
  </si>
  <si>
    <t>Mississippi</t>
  </si>
  <si>
    <t>MT</t>
  </si>
  <si>
    <t>Montana</t>
  </si>
  <si>
    <t>North Carolina</t>
  </si>
  <si>
    <t>ND</t>
  </si>
  <si>
    <t>North Dakota</t>
  </si>
  <si>
    <t>NE</t>
  </si>
  <si>
    <t>Nebraska</t>
  </si>
  <si>
    <t>NH</t>
  </si>
  <si>
    <t>N. Hampshire</t>
  </si>
  <si>
    <t>New Jersey</t>
  </si>
  <si>
    <t>NM</t>
  </si>
  <si>
    <t>New Mexico</t>
  </si>
  <si>
    <t>Nevada</t>
  </si>
  <si>
    <t>New York</t>
  </si>
  <si>
    <t>Ohio</t>
  </si>
  <si>
    <t>OK</t>
  </si>
  <si>
    <t>Oklahoma</t>
  </si>
  <si>
    <t>OR</t>
  </si>
  <si>
    <t>Oregon</t>
  </si>
  <si>
    <t>Pennsylvania</t>
  </si>
  <si>
    <t>PR</t>
  </si>
  <si>
    <t>Puerto Rico</t>
  </si>
  <si>
    <t>RI</t>
  </si>
  <si>
    <t>Rhode Island</t>
  </si>
  <si>
    <t>South Carolina</t>
  </si>
  <si>
    <t>SD</t>
  </si>
  <si>
    <t>South Dakota</t>
  </si>
  <si>
    <t>Tennessee</t>
  </si>
  <si>
    <t>Texas</t>
  </si>
  <si>
    <t>UT</t>
  </si>
  <si>
    <t>Utah</t>
  </si>
  <si>
    <t>Virginia</t>
  </si>
  <si>
    <t>VT</t>
  </si>
  <si>
    <t>Vermont</t>
  </si>
  <si>
    <t>WA</t>
  </si>
  <si>
    <t>Washington</t>
  </si>
  <si>
    <t>Wisconsin</t>
  </si>
  <si>
    <t>WV</t>
  </si>
  <si>
    <t>West Virginia</t>
  </si>
  <si>
    <t>WY</t>
  </si>
  <si>
    <t>Wyoming</t>
  </si>
  <si>
    <t>Demographic</t>
  </si>
  <si>
    <t>Primary Location Only</t>
  </si>
  <si>
    <t>Overlay</t>
  </si>
  <si>
    <t>Competitor Only</t>
  </si>
  <si>
    <t>Click on "Edit Links" and update the linking to point to each respective XSLX file that you just saved</t>
  </si>
  <si>
    <t>UPDATE MILEAGE DATA BY COPYING IT FROM THE DASHBOARD</t>
  </si>
  <si>
    <r>
      <t xml:space="preserve">Link to </t>
    </r>
    <r>
      <rPr>
        <b/>
        <sz val="10"/>
        <color theme="1"/>
        <rFont val="Roboto"/>
      </rPr>
      <t>ReportDrawDemo</t>
    </r>
  </si>
  <si>
    <t>State Name</t>
  </si>
  <si>
    <t>OF VISITORS LIVE WITHIN A 50-MILE LOCAL TRAVEL DISTANCE</t>
  </si>
  <si>
    <t>AVG. MONTHLY VISIT FREQUENCY</t>
  </si>
  <si>
    <t>VISIT DWELL TIME</t>
  </si>
  <si>
    <t>OF VISITORS COME FROM BEYOND A 50-MILE TOURIST TRAVEL DISTANCE</t>
  </si>
  <si>
    <t>Generations</t>
  </si>
  <si>
    <t>Latest</t>
  </si>
  <si>
    <t>Previous</t>
  </si>
  <si>
    <t>`</t>
  </si>
  <si>
    <t>TruTrade Population @ 75%</t>
  </si>
  <si>
    <t>TruTrade Population @ 65%</t>
  </si>
  <si>
    <t>TruTrade Population @ 50%</t>
  </si>
  <si>
    <t>Dwell Time</t>
  </si>
  <si>
    <t>Frequency</t>
  </si>
  <si>
    <t>Distance Traveled - Local Visitors</t>
  </si>
  <si>
    <t>Distance Traveled - Out of Market Visitors</t>
  </si>
  <si>
    <t>Households with Children</t>
  </si>
  <si>
    <t>Alpha</t>
  </si>
  <si>
    <t>Generation Z</t>
  </si>
  <si>
    <t>Generation X</t>
  </si>
  <si>
    <t>Baby Boomers</t>
  </si>
  <si>
    <t>Silent</t>
  </si>
  <si>
    <t>Less Than $50,000</t>
  </si>
  <si>
    <t>$75,000 - $99,999</t>
  </si>
  <si>
    <t>Avg Household Income</t>
  </si>
  <si>
    <t>Post-graduate Degree</t>
  </si>
  <si>
    <t>Caucasian / White</t>
  </si>
  <si>
    <t>African-American / Black</t>
  </si>
  <si>
    <t>Hispanic / Latino</t>
  </si>
  <si>
    <t>Racial Ethnic Diversity</t>
  </si>
  <si>
    <t>Less than 20 Miles</t>
  </si>
  <si>
    <t>20-50 Miles</t>
  </si>
  <si>
    <t>More than 50 Miles</t>
  </si>
  <si>
    <t>Avg Income 100K or More</t>
  </si>
  <si>
    <t>100k or More</t>
  </si>
  <si>
    <t>College of Post Graduate</t>
  </si>
  <si>
    <t>Children %</t>
  </si>
  <si>
    <t>Top 5 ZipCodes</t>
  </si>
  <si>
    <t>Total % of Visits</t>
  </si>
  <si>
    <t>Prev Year</t>
  </si>
  <si>
    <t>Present Year</t>
  </si>
  <si>
    <t>Avg Distance &lt;50</t>
  </si>
  <si>
    <t>ZIP Code</t>
  </si>
  <si>
    <t>Distance</t>
  </si>
  <si>
    <t>Percent Visits</t>
  </si>
  <si>
    <t>Cumulative Total</t>
  </si>
  <si>
    <t>Average Income</t>
  </si>
  <si>
    <t>Average Home Value</t>
  </si>
  <si>
    <t>Pop. Growth</t>
  </si>
  <si>
    <t>Belmont</t>
  </si>
  <si>
    <t>San Bruno</t>
  </si>
  <si>
    <t>Palo Alto</t>
  </si>
  <si>
    <t>San Francisco</t>
  </si>
  <si>
    <t>Sunnyvale</t>
  </si>
  <si>
    <t>Fremont</t>
  </si>
  <si>
    <t>Miami</t>
  </si>
  <si>
    <t>Annandale</t>
  </si>
  <si>
    <t>Brentwood</t>
  </si>
  <si>
    <t>San Jose</t>
  </si>
  <si>
    <t>Pittsburg</t>
  </si>
  <si>
    <t>Fairfield</t>
  </si>
  <si>
    <t>Seattle</t>
  </si>
  <si>
    <t>Newark</t>
  </si>
  <si>
    <t>Oakland</t>
  </si>
  <si>
    <t>Richmond</t>
  </si>
  <si>
    <t>Edmond</t>
  </si>
  <si>
    <t>Danville</t>
  </si>
  <si>
    <t>Irvine</t>
  </si>
  <si>
    <t>Stockton</t>
  </si>
  <si>
    <t>N/A</t>
  </si>
  <si>
    <t>Lafayette</t>
  </si>
  <si>
    <t>Los Angeles</t>
  </si>
  <si>
    <t>Santa Cruz</t>
  </si>
  <si>
    <t>Wilmington</t>
  </si>
  <si>
    <t>Antioch</t>
  </si>
  <si>
    <t>Sacramento</t>
  </si>
  <si>
    <t>Houston</t>
  </si>
  <si>
    <t>Clayton</t>
  </si>
  <si>
    <t>San Diego</t>
  </si>
  <si>
    <t>Kingwood</t>
  </si>
  <si>
    <t>Middletown</t>
  </si>
  <si>
    <t>Katy</t>
  </si>
  <si>
    <t>Littleton</t>
  </si>
  <si>
    <t>Broomfield</t>
  </si>
  <si>
    <t>Naples</t>
  </si>
  <si>
    <t>Cambridge</t>
  </si>
  <si>
    <t>Roanoke</t>
  </si>
  <si>
    <t>Santa Clarita</t>
  </si>
  <si>
    <t>San Antonio</t>
  </si>
  <si>
    <t>Westfield</t>
  </si>
  <si>
    <t>Brighton</t>
  </si>
  <si>
    <t>Bakersfield</t>
  </si>
  <si>
    <t>Denver</t>
  </si>
  <si>
    <t>Jacksonville</t>
  </si>
  <si>
    <t>Monterey</t>
  </si>
  <si>
    <t>Salt Lake City</t>
  </si>
  <si>
    <t>Aurora</t>
  </si>
  <si>
    <t>Reno</t>
  </si>
  <si>
    <t>Auburn</t>
  </si>
  <si>
    <t>Omaha</t>
  </si>
  <si>
    <t>Dallas</t>
  </si>
  <si>
    <t>El Paso</t>
  </si>
  <si>
    <t>Jamaica</t>
  </si>
  <si>
    <t>Des Plaines</t>
  </si>
  <si>
    <t>Decorah</t>
  </si>
  <si>
    <t>Concord</t>
  </si>
  <si>
    <t>Columbia</t>
  </si>
  <si>
    <t>Fort Myers</t>
  </si>
  <si>
    <t>Newport</t>
  </si>
  <si>
    <t>Eugene</t>
  </si>
  <si>
    <t>Victorville</t>
  </si>
  <si>
    <t>Burlington</t>
  </si>
  <si>
    <t>Medford</t>
  </si>
  <si>
    <t>Avg Distance All Visitors (miles)</t>
  </si>
  <si>
    <t>Avg Distance Local Visitors (&lt;50 miles)</t>
  </si>
  <si>
    <t>Tourists (50+ miles )</t>
  </si>
  <si>
    <t>Potential Visitors</t>
  </si>
  <si>
    <t>Actual Visitors</t>
  </si>
  <si>
    <t>3 miles</t>
  </si>
  <si>
    <t>5 miles</t>
  </si>
  <si>
    <t>10 miles</t>
  </si>
  <si>
    <t>Boston-Cambridge-Newton, MA-NH Metropolitan Statistical Area</t>
  </si>
  <si>
    <t>Isabella Stewart Gardner Museum</t>
  </si>
  <si>
    <t>Index vs. MSA</t>
  </si>
  <si>
    <t>65 and UP</t>
  </si>
  <si>
    <t>Household Income</t>
  </si>
  <si>
    <t>Less than $50,000</t>
  </si>
  <si>
    <t>$150,000 OR more</t>
  </si>
  <si>
    <t>Family</t>
  </si>
  <si>
    <t>No College Degree</t>
  </si>
  <si>
    <t>Boston</t>
  </si>
  <si>
    <t>Milton</t>
  </si>
  <si>
    <t>Jamaica Plain</t>
  </si>
  <si>
    <t>Roxbury Crossing</t>
  </si>
  <si>
    <t>Quincy</t>
  </si>
  <si>
    <t>Dorchester Center</t>
  </si>
  <si>
    <t>Brookline</t>
  </si>
  <si>
    <t>Waltham</t>
  </si>
  <si>
    <t>Malden</t>
  </si>
  <si>
    <t>Winchester</t>
  </si>
  <si>
    <t>Allston</t>
  </si>
  <si>
    <t>Everett</t>
  </si>
  <si>
    <t>Framingham</t>
  </si>
  <si>
    <t>East Boston</t>
  </si>
  <si>
    <t>Newton Center</t>
  </si>
  <si>
    <t>Canton</t>
  </si>
  <si>
    <t>Bridgewater</t>
  </si>
  <si>
    <t>South Boston</t>
  </si>
  <si>
    <t>Braintree</t>
  </si>
  <si>
    <t>Natick</t>
  </si>
  <si>
    <t>Andover</t>
  </si>
  <si>
    <t>Woburn</t>
  </si>
  <si>
    <t>Plymouth</t>
  </si>
  <si>
    <t>Hilton Head Island</t>
  </si>
  <si>
    <t>Marshfield</t>
  </si>
  <si>
    <t>Sutton</t>
  </si>
  <si>
    <t>Salem</t>
  </si>
  <si>
    <t>Huntington</t>
  </si>
  <si>
    <t>Watertown</t>
  </si>
  <si>
    <t>Stoughton</t>
  </si>
  <si>
    <t>Lowell</t>
  </si>
  <si>
    <t>Hampton</t>
  </si>
  <si>
    <t>Milford</t>
  </si>
  <si>
    <t>Lawrence</t>
  </si>
  <si>
    <t>Newton</t>
  </si>
  <si>
    <t>Arlington</t>
  </si>
  <si>
    <t>Pawtucket</t>
  </si>
  <si>
    <t>Lexington</t>
  </si>
  <si>
    <t>Fall River</t>
  </si>
  <si>
    <t>Billerica</t>
  </si>
  <si>
    <t>Foxboro</t>
  </si>
  <si>
    <t>Fitchburg</t>
  </si>
  <si>
    <t>Reading</t>
  </si>
  <si>
    <t>Franklin</t>
  </si>
  <si>
    <t>Middleton</t>
  </si>
  <si>
    <t>Bellingham</t>
  </si>
  <si>
    <t>Haverhill</t>
  </si>
  <si>
    <t>Lincoln</t>
  </si>
  <si>
    <t>Austin</t>
  </si>
  <si>
    <t>Scituate</t>
  </si>
  <si>
    <t>Kingston</t>
  </si>
  <si>
    <t>Clinton</t>
  </si>
  <si>
    <t>Portland</t>
  </si>
  <si>
    <t>Hanover</t>
  </si>
  <si>
    <t>Georgetown</t>
  </si>
  <si>
    <t>Essex</t>
  </si>
  <si>
    <t>Lakeville</t>
  </si>
  <si>
    <t>Hudson</t>
  </si>
  <si>
    <t>Warwick</t>
  </si>
  <si>
    <t>Johnston</t>
  </si>
  <si>
    <t>New Bedford</t>
  </si>
  <si>
    <t>Westford</t>
  </si>
  <si>
    <t>Windham</t>
  </si>
  <si>
    <t>Charleston</t>
  </si>
  <si>
    <t>Holbrook</t>
  </si>
  <si>
    <t>Leominster</t>
  </si>
  <si>
    <t>Williston</t>
  </si>
  <si>
    <t>Carlisle</t>
  </si>
  <si>
    <t>Sudbury</t>
  </si>
  <si>
    <t>Chicago</t>
  </si>
  <si>
    <t>Pembroke</t>
  </si>
  <si>
    <t>Webster</t>
  </si>
  <si>
    <t>Westwood</t>
  </si>
  <si>
    <t>Sparta</t>
  </si>
  <si>
    <t>Providence</t>
  </si>
  <si>
    <t>Raleigh</t>
  </si>
  <si>
    <t>Niles</t>
  </si>
  <si>
    <t>Saint Paul</t>
  </si>
  <si>
    <t>Cranston</t>
  </si>
  <si>
    <t>Hebron</t>
  </si>
  <si>
    <t>Elmhurst</t>
  </si>
  <si>
    <t>Dover</t>
  </si>
  <si>
    <t>Harvard</t>
  </si>
  <si>
    <t>Port Washington</t>
  </si>
  <si>
    <t>Bedford</t>
  </si>
  <si>
    <t>Norfolk</t>
  </si>
  <si>
    <t>Wayne</t>
  </si>
  <si>
    <t>Barrington</t>
  </si>
  <si>
    <t>Mansfield</t>
  </si>
  <si>
    <t>Northville</t>
  </si>
  <si>
    <t>West Boylston</t>
  </si>
  <si>
    <t>Shirley</t>
  </si>
  <si>
    <t>Windsor</t>
  </si>
  <si>
    <t>Wallingford</t>
  </si>
  <si>
    <t>East Falmouth</t>
  </si>
  <si>
    <t>Milwaukee</t>
  </si>
  <si>
    <t>Lebanon</t>
  </si>
  <si>
    <t>New Haven</t>
  </si>
  <si>
    <t>Bristol</t>
  </si>
  <si>
    <t>Grand Rapids</t>
  </si>
  <si>
    <t>Columbus</t>
  </si>
  <si>
    <t>Philadelphia</t>
  </si>
  <si>
    <t>Amherst</t>
  </si>
  <si>
    <t>Bethesda</t>
  </si>
  <si>
    <t>Brooklyn</t>
  </si>
  <si>
    <t>Allen</t>
  </si>
  <si>
    <t>Ashland</t>
  </si>
  <si>
    <t>Tampa</t>
  </si>
  <si>
    <t>Rochester</t>
  </si>
  <si>
    <t>Charlotte</t>
  </si>
  <si>
    <t>Broomall</t>
  </si>
  <si>
    <t>Ballwin</t>
  </si>
  <si>
    <t>Colchester</t>
  </si>
  <si>
    <t>Sandwich</t>
  </si>
  <si>
    <t>Morgantown</t>
  </si>
  <si>
    <t>Savannah</t>
  </si>
  <si>
    <t>Groton</t>
  </si>
  <si>
    <t>Tilton</t>
  </si>
  <si>
    <t>Yankton</t>
  </si>
  <si>
    <t>Pittsfield</t>
  </si>
  <si>
    <t>Bangor</t>
  </si>
  <si>
    <t>Gardner</t>
  </si>
  <si>
    <t>Kansas City</t>
  </si>
  <si>
    <t>Princeton</t>
  </si>
  <si>
    <t>Jersey City</t>
  </si>
  <si>
    <t>Alpharetta</t>
  </si>
  <si>
    <t>Wildwood</t>
  </si>
  <si>
    <t>Waldorf</t>
  </si>
  <si>
    <t>Round Rock</t>
  </si>
  <si>
    <t>New Lenox</t>
  </si>
  <si>
    <t>Scarborough</t>
  </si>
  <si>
    <t>Okemos</t>
  </si>
  <si>
    <t>Nashville</t>
  </si>
  <si>
    <t>Silver Spring</t>
  </si>
  <si>
    <t>Boca Raton</t>
  </si>
  <si>
    <t>Oakland Gardens</t>
  </si>
  <si>
    <t>Plano</t>
  </si>
  <si>
    <t>Durham</t>
  </si>
  <si>
    <t>Fort Lauderdale</t>
  </si>
  <si>
    <t>Atlanta</t>
  </si>
  <si>
    <t>Raymond</t>
  </si>
  <si>
    <t>Alton</t>
  </si>
  <si>
    <t>Seabrook</t>
  </si>
  <si>
    <t>Troy</t>
  </si>
  <si>
    <t>Hialeah</t>
  </si>
  <si>
    <t>Augusta</t>
  </si>
  <si>
    <t>Dupo</t>
  </si>
  <si>
    <t>Springfield</t>
  </si>
  <si>
    <t>Kissimmee</t>
  </si>
  <si>
    <t>Hartford</t>
  </si>
  <si>
    <t>Bronx</t>
  </si>
  <si>
    <t>Mc Lean</t>
  </si>
  <si>
    <t>Novi</t>
  </si>
  <si>
    <t>Alexandria</t>
  </si>
  <si>
    <t>West Hartford</t>
  </si>
  <si>
    <t>Zionsville</t>
  </si>
  <si>
    <t>Mendon</t>
  </si>
  <si>
    <t>Davidson</t>
  </si>
  <si>
    <t>North Hampton</t>
  </si>
  <si>
    <t>Roswell</t>
  </si>
  <si>
    <t>Orange</t>
  </si>
  <si>
    <t>Marion</t>
  </si>
  <si>
    <t>Rockville</t>
  </si>
  <si>
    <t>Bradenton</t>
  </si>
  <si>
    <t>Sterling</t>
  </si>
  <si>
    <t>Farmington</t>
  </si>
  <si>
    <t>Moorpark</t>
  </si>
  <si>
    <t>Claremont</t>
  </si>
  <si>
    <t>Saint Louis</t>
  </si>
  <si>
    <t>Berkley</t>
  </si>
  <si>
    <t>Birmingham</t>
  </si>
  <si>
    <t>Orlando</t>
  </si>
  <si>
    <t>Ann Arbor</t>
  </si>
  <si>
    <t>Chesapeake</t>
  </si>
  <si>
    <t>Hollywood</t>
  </si>
  <si>
    <t>Norwalk</t>
  </si>
  <si>
    <t>Le Claire</t>
  </si>
  <si>
    <t>Saint Johns</t>
  </si>
  <si>
    <t>Somerset</t>
  </si>
  <si>
    <t>Bethpage</t>
  </si>
  <si>
    <t>Phoenix</t>
  </si>
  <si>
    <t>Carrollton</t>
  </si>
  <si>
    <t>Tacoma</t>
  </si>
  <si>
    <t>Foster</t>
  </si>
  <si>
    <t>Mundelein</t>
  </si>
  <si>
    <t>Forest Hills</t>
  </si>
  <si>
    <t>Jupiter</t>
  </si>
  <si>
    <t>Southington</t>
  </si>
  <si>
    <t>Canonsburg</t>
  </si>
  <si>
    <t>Saratoga Springs</t>
  </si>
  <si>
    <t>Coral Springs</t>
  </si>
  <si>
    <t>Kent</t>
  </si>
  <si>
    <t>New London</t>
  </si>
  <si>
    <t>Indianapolis</t>
  </si>
  <si>
    <t>Palm Beach Gardens</t>
  </si>
  <si>
    <t>Avon</t>
  </si>
  <si>
    <t>Whitmore Lake</t>
  </si>
  <si>
    <t>Huntsville</t>
  </si>
  <si>
    <t>Newburgh</t>
  </si>
  <si>
    <t>Pompano Beach</t>
  </si>
  <si>
    <t>Bonita Springs</t>
  </si>
  <si>
    <t>Pittsburgh</t>
  </si>
  <si>
    <t>Bloomington</t>
  </si>
  <si>
    <t>Brunswick</t>
  </si>
  <si>
    <t>Oxford</t>
  </si>
  <si>
    <t>Albany</t>
  </si>
  <si>
    <t>New Orleans</t>
  </si>
  <si>
    <t>Ithaca</t>
  </si>
  <si>
    <t>Minneapolis</t>
  </si>
  <si>
    <t>Vernon Rockville</t>
  </si>
  <si>
    <t>Riverside</t>
  </si>
  <si>
    <t>Tucson</t>
  </si>
  <si>
    <t>Capitol Heights</t>
  </si>
  <si>
    <t>Berwyn</t>
  </si>
  <si>
    <t>Norwich</t>
  </si>
  <si>
    <t>Pensacola</t>
  </si>
  <si>
    <t>Tyler</t>
  </si>
  <si>
    <t>Paris</t>
  </si>
  <si>
    <t>West Palm Beach</t>
  </si>
  <si>
    <t>Lakeland</t>
  </si>
  <si>
    <t>Detroit</t>
  </si>
  <si>
    <t>Ridgewood</t>
  </si>
  <si>
    <t>Garden City</t>
  </si>
  <si>
    <t>Encino</t>
  </si>
  <si>
    <t>Key Biscayne</t>
  </si>
  <si>
    <t>Overland Park</t>
  </si>
  <si>
    <t>Chantilly</t>
  </si>
  <si>
    <t>Plainview</t>
  </si>
  <si>
    <t>West Bloomfield</t>
  </si>
  <si>
    <t>New City</t>
  </si>
  <si>
    <t>Morristown</t>
  </si>
  <si>
    <t>Cincinnati</t>
  </si>
  <si>
    <t>Northbrook</t>
  </si>
  <si>
    <t>Glen Mills</t>
  </si>
  <si>
    <t>Hollis</t>
  </si>
  <si>
    <t>Cherry Hill</t>
  </si>
  <si>
    <t>Gaithersburg</t>
  </si>
  <si>
    <t>Pittsford</t>
  </si>
  <si>
    <t>Gainesville</t>
  </si>
  <si>
    <t>Thousand Oaks</t>
  </si>
  <si>
    <t>Chanhassen</t>
  </si>
  <si>
    <t>Keller</t>
  </si>
  <si>
    <t>Monroe</t>
  </si>
  <si>
    <t>Marietta</t>
  </si>
  <si>
    <t>Naperville</t>
  </si>
  <si>
    <t>Grafton</t>
  </si>
  <si>
    <t>Carmel</t>
  </si>
  <si>
    <t>Brookfield</t>
  </si>
  <si>
    <t>Ponte Vedra</t>
  </si>
  <si>
    <t>Suwanee</t>
  </si>
  <si>
    <t>Santa Barbara</t>
  </si>
  <si>
    <t>Berlin</t>
  </si>
  <si>
    <t>Clarkston</t>
  </si>
  <si>
    <t>Huntingdon Valley</t>
  </si>
  <si>
    <t>Collierville</t>
  </si>
  <si>
    <t>Palatine</t>
  </si>
  <si>
    <t>Signal Mountain</t>
  </si>
  <si>
    <t>Tulsa</t>
  </si>
  <si>
    <t>Spring</t>
  </si>
  <si>
    <t>Evanston</t>
  </si>
  <si>
    <t>Annapolis</t>
  </si>
  <si>
    <t>New Braunfels</t>
  </si>
  <si>
    <t>Kirkland</t>
  </si>
  <si>
    <t>Englewood</t>
  </si>
  <si>
    <t>Exton</t>
  </si>
  <si>
    <t>Apex</t>
  </si>
  <si>
    <t>Corona</t>
  </si>
  <si>
    <t>Richland</t>
  </si>
  <si>
    <t>Clark</t>
  </si>
  <si>
    <t>Mooresville</t>
  </si>
  <si>
    <t>Conway</t>
  </si>
  <si>
    <t>Miami Beach</t>
  </si>
  <si>
    <t>La Grange Park</t>
  </si>
  <si>
    <t>Valley Stream</t>
  </si>
  <si>
    <t>The Colony</t>
  </si>
  <si>
    <t>Baltimore</t>
  </si>
  <si>
    <t>Staten Island</t>
  </si>
  <si>
    <t>Castle Rock</t>
  </si>
  <si>
    <t>Palm City</t>
  </si>
  <si>
    <t>Litchfield</t>
  </si>
  <si>
    <t>York</t>
  </si>
  <si>
    <t>Long Island City</t>
  </si>
  <si>
    <t>Leander</t>
  </si>
  <si>
    <t>Townsend</t>
  </si>
  <si>
    <t>Palos Heights</t>
  </si>
  <si>
    <t>Hasbrouck Heights</t>
  </si>
  <si>
    <t>Noblesville</t>
  </si>
  <si>
    <t>Gilbert</t>
  </si>
  <si>
    <t>Bettendorf</t>
  </si>
  <si>
    <t>Wake Forest</t>
  </si>
  <si>
    <t>Sachse</t>
  </si>
  <si>
    <t>Wellington</t>
  </si>
  <si>
    <t>Mount Vernon</t>
  </si>
  <si>
    <t>Plainfield</t>
  </si>
  <si>
    <t>Midland</t>
  </si>
  <si>
    <t>Vail</t>
  </si>
  <si>
    <t>Ledyard</t>
  </si>
  <si>
    <t>Whitestown</t>
  </si>
  <si>
    <t>Murrieta</t>
  </si>
  <si>
    <t>Oconomowoc</t>
  </si>
  <si>
    <t>Midlothian</t>
  </si>
  <si>
    <t>Chula Vista</t>
  </si>
  <si>
    <t>Greenville</t>
  </si>
  <si>
    <t>Freeport</t>
  </si>
  <si>
    <t>Land O Lakes</t>
  </si>
  <si>
    <t>Cottage Grove</t>
  </si>
  <si>
    <t>Woodridge</t>
  </si>
  <si>
    <t>Braselton</t>
  </si>
  <si>
    <t>Burbank</t>
  </si>
  <si>
    <t>Sarasota</t>
  </si>
  <si>
    <t>Memphis</t>
  </si>
  <si>
    <t>Cromwell</t>
  </si>
  <si>
    <t>Winter Garden</t>
  </si>
  <si>
    <t>Osseo</t>
  </si>
  <si>
    <t>Channahon</t>
  </si>
  <si>
    <t>Pflugerville</t>
  </si>
  <si>
    <t>Allentown</t>
  </si>
  <si>
    <t>Sussex</t>
  </si>
  <si>
    <t>Bentonville</t>
  </si>
  <si>
    <t>Fishers</t>
  </si>
  <si>
    <t>Fort Worth</t>
  </si>
  <si>
    <t>Prescott</t>
  </si>
  <si>
    <t>Knoxville</t>
  </si>
  <si>
    <t>Melbourne Beach</t>
  </si>
  <si>
    <t>Stratford</t>
  </si>
  <si>
    <t>Wolcott</t>
  </si>
  <si>
    <t>Lakewood</t>
  </si>
  <si>
    <t>Virginia Beach</t>
  </si>
  <si>
    <t>Florence</t>
  </si>
  <si>
    <t>Morton Grove</t>
  </si>
  <si>
    <t>Estero</t>
  </si>
  <si>
    <t>Ankeny</t>
  </si>
  <si>
    <t>Coram</t>
  </si>
  <si>
    <t>Cary</t>
  </si>
  <si>
    <t>Trenton</t>
  </si>
  <si>
    <t>Granby</t>
  </si>
  <si>
    <t>Lawrenceville</t>
  </si>
  <si>
    <t>Flushing</t>
  </si>
  <si>
    <t>Las Vegas</t>
  </si>
  <si>
    <t>Saint Peters</t>
  </si>
  <si>
    <t>Snellville</t>
  </si>
  <si>
    <t>Santa Monica</t>
  </si>
  <si>
    <t>Valparaiso</t>
  </si>
  <si>
    <t>Bethlehem</t>
  </si>
  <si>
    <t>Helena</t>
  </si>
  <si>
    <t>Homewood</t>
  </si>
  <si>
    <t>Forest</t>
  </si>
  <si>
    <t>Richardson</t>
  </si>
  <si>
    <t>Crown Point</t>
  </si>
  <si>
    <t>Linden</t>
  </si>
  <si>
    <t>North Miami Beach</t>
  </si>
  <si>
    <t>Hagerstown</t>
  </si>
  <si>
    <t>Sullivan</t>
  </si>
  <si>
    <t>Loudon</t>
  </si>
  <si>
    <t>Inglewood</t>
  </si>
  <si>
    <t>Hoffman Estates</t>
  </si>
  <si>
    <t>Woodstock</t>
  </si>
  <si>
    <t>Hyattsville</t>
  </si>
  <si>
    <t>College Park</t>
  </si>
  <si>
    <t>Highland</t>
  </si>
  <si>
    <t>Chattanooga</t>
  </si>
  <si>
    <t>Silver Lake</t>
  </si>
  <si>
    <t>Naugatuck</t>
  </si>
  <si>
    <t>Gray</t>
  </si>
  <si>
    <t>Round Lake</t>
  </si>
  <si>
    <t>Salisbury</t>
  </si>
  <si>
    <t>Montgomery</t>
  </si>
  <si>
    <t>Chandler</t>
  </si>
  <si>
    <t>Sellersburg</t>
  </si>
  <si>
    <t>West Bend</t>
  </si>
  <si>
    <t>Macon</t>
  </si>
  <si>
    <t>Hamilton</t>
  </si>
  <si>
    <t>Colorado Springs</t>
  </si>
  <si>
    <t>Amarillo</t>
  </si>
  <si>
    <t>Erie</t>
  </si>
  <si>
    <t>Goshen</t>
  </si>
  <si>
    <t>Glen Burnie</t>
  </si>
  <si>
    <t>Dalton</t>
  </si>
  <si>
    <t>Richmond Hill</t>
  </si>
  <si>
    <t>Gonzales</t>
  </si>
  <si>
    <t>Minot</t>
  </si>
  <si>
    <t>West New York</t>
  </si>
  <si>
    <t>Fort Myers Beach</t>
  </si>
  <si>
    <t>Monroeville</t>
  </si>
  <si>
    <t>Rock Hill</t>
  </si>
  <si>
    <t>Belvidere</t>
  </si>
  <si>
    <t>Riverdale</t>
  </si>
  <si>
    <t>Muncie</t>
  </si>
  <si>
    <t>Summerville</t>
  </si>
  <si>
    <t>Auburn Hills</t>
  </si>
  <si>
    <t>Wendell</t>
  </si>
  <si>
    <t>Loveland</t>
  </si>
  <si>
    <t>New Port Richey</t>
  </si>
  <si>
    <t>Salinas</t>
  </si>
  <si>
    <t>Port Orchard</t>
  </si>
  <si>
    <t>Wellsville</t>
  </si>
  <si>
    <t>Yonkers</t>
  </si>
  <si>
    <t>Oklahoma City</t>
  </si>
  <si>
    <t>Ocala</t>
  </si>
  <si>
    <t>Dayton</t>
  </si>
  <si>
    <t>High Point</t>
  </si>
  <si>
    <t>Anaheim</t>
  </si>
  <si>
    <t>Elmwood Park</t>
  </si>
  <si>
    <t>Port Saint Lucie</t>
  </si>
  <si>
    <t>Coeur D Alene</t>
  </si>
  <si>
    <t>Sanford</t>
  </si>
  <si>
    <t>Swanton</t>
  </si>
  <si>
    <t>Middlebury</t>
  </si>
  <si>
    <t>Clermont</t>
  </si>
  <si>
    <t>Riverview</t>
  </si>
  <si>
    <t>Hermitage</t>
  </si>
  <si>
    <t>Upland</t>
  </si>
  <si>
    <t>Palm Harbor</t>
  </si>
  <si>
    <t>Warren</t>
  </si>
  <si>
    <t>Saint Petersburg</t>
  </si>
  <si>
    <t>Albuquerque</t>
  </si>
  <si>
    <t>Granbury</t>
  </si>
  <si>
    <t>West Lafayette</t>
  </si>
  <si>
    <t>North Myrtle Beach</t>
  </si>
  <si>
    <t>Thornton</t>
  </si>
  <si>
    <t>Woodside</t>
  </si>
  <si>
    <t>Buffalo</t>
  </si>
  <si>
    <t>Clifton</t>
  </si>
  <si>
    <t>Elkhart</t>
  </si>
  <si>
    <t>Perris</t>
  </si>
  <si>
    <t>Southfield</t>
  </si>
  <si>
    <t>Orono</t>
  </si>
  <si>
    <t>New Castle</t>
  </si>
  <si>
    <t>Millersburg</t>
  </si>
  <si>
    <t>Wooster</t>
  </si>
  <si>
    <t>Vero Beach</t>
  </si>
  <si>
    <t>Casselberry</t>
  </si>
  <si>
    <t>Candler</t>
  </si>
  <si>
    <t>Stuart</t>
  </si>
  <si>
    <t>Clemson</t>
  </si>
  <si>
    <t>Lancaster</t>
  </si>
  <si>
    <t>Clearwater</t>
  </si>
  <si>
    <t>De Soto</t>
  </si>
  <si>
    <t>Mattoon</t>
  </si>
  <si>
    <t>Oak Park</t>
  </si>
  <si>
    <t>Flint</t>
  </si>
  <si>
    <t>Pueblo</t>
  </si>
  <si>
    <t>Pocatello</t>
  </si>
  <si>
    <t>Tecumseh</t>
  </si>
  <si>
    <t>Pinellas Park</t>
  </si>
  <si>
    <t>Kewanna</t>
  </si>
  <si>
    <t>Bay City</t>
  </si>
  <si>
    <t>North Fort Myers</t>
  </si>
  <si>
    <t>Asheville</t>
  </si>
  <si>
    <t>Cape Coral</t>
  </si>
  <si>
    <t>Bath</t>
  </si>
  <si>
    <t>Du Bois</t>
  </si>
  <si>
    <t>Des Moines</t>
  </si>
  <si>
    <t>Maywood</t>
  </si>
  <si>
    <t>Montrose</t>
  </si>
  <si>
    <t>Madison</t>
  </si>
  <si>
    <t>Dunlap</t>
  </si>
  <si>
    <t>Cheboygan</t>
  </si>
  <si>
    <t>Rushville</t>
  </si>
  <si>
    <t>Hallandale</t>
  </si>
  <si>
    <t>Winston Salem</t>
  </si>
  <si>
    <t>Decatur</t>
  </si>
  <si>
    <t>Louisville</t>
  </si>
  <si>
    <t>Sheboygan</t>
  </si>
  <si>
    <t>Galveston</t>
  </si>
  <si>
    <t>Milledgeville</t>
  </si>
  <si>
    <t>Rapid City</t>
  </si>
  <si>
    <t>Youngstown</t>
  </si>
  <si>
    <t>Opa Locka</t>
  </si>
  <si>
    <t>Miami Gardens</t>
  </si>
  <si>
    <t>Pomona</t>
  </si>
  <si>
    <t>Cookeville</t>
  </si>
  <si>
    <t>Laramie</t>
  </si>
  <si>
    <t>Greeley</t>
  </si>
  <si>
    <t>Palm Bay</t>
  </si>
  <si>
    <t>Liberty</t>
  </si>
  <si>
    <t>Akron</t>
  </si>
  <si>
    <t>Forrest City</t>
  </si>
  <si>
    <t>Toledo</t>
  </si>
  <si>
    <t>Paterson</t>
  </si>
  <si>
    <t>Highland Park</t>
  </si>
  <si>
    <t>Glencoe</t>
  </si>
  <si>
    <t>Deerfield</t>
  </si>
  <si>
    <t>Glenview</t>
  </si>
  <si>
    <t>Buffalo Grove</t>
  </si>
  <si>
    <t>Wilmette</t>
  </si>
  <si>
    <t>Arlington Heights</t>
  </si>
  <si>
    <t>Winnetka</t>
  </si>
  <si>
    <t>Lake Zurich</t>
  </si>
  <si>
    <t>Wheeling</t>
  </si>
  <si>
    <t>Libertyville</t>
  </si>
  <si>
    <t>Park Ridge</t>
  </si>
  <si>
    <t>Mount Prospect</t>
  </si>
  <si>
    <t>Vernon Hills</t>
  </si>
  <si>
    <t>Waukegan</t>
  </si>
  <si>
    <t>Skokie</t>
  </si>
  <si>
    <t>Lake Forest</t>
  </si>
  <si>
    <t>Gurnee</t>
  </si>
  <si>
    <t>Grayslake</t>
  </si>
  <si>
    <t>Lake Villa</t>
  </si>
  <si>
    <t>Wadsworth</t>
  </si>
  <si>
    <t>Lincolnshire</t>
  </si>
  <si>
    <t>Elk Grove Village</t>
  </si>
  <si>
    <t>Lincolnwood</t>
  </si>
  <si>
    <t>Schaumburg</t>
  </si>
  <si>
    <t>Lake Bluff</t>
  </si>
  <si>
    <t>Highwood</t>
  </si>
  <si>
    <t>Crystal Lake</t>
  </si>
  <si>
    <t>Rolling Meadows</t>
  </si>
  <si>
    <t>Addison</t>
  </si>
  <si>
    <t>Bartlett</t>
  </si>
  <si>
    <t>Prospect Heights</t>
  </si>
  <si>
    <t>Zion</t>
  </si>
  <si>
    <t>Harwood Heights</t>
  </si>
  <si>
    <t>McHenry</t>
  </si>
  <si>
    <t>Streamwood</t>
  </si>
  <si>
    <t>Cicero</t>
  </si>
  <si>
    <t>Wauconda</t>
  </si>
  <si>
    <t>Elgin</t>
  </si>
  <si>
    <t>Carpentersville</t>
  </si>
  <si>
    <t>Oak Lawn</t>
  </si>
  <si>
    <t>Roselle</t>
  </si>
  <si>
    <t>Lombard</t>
  </si>
  <si>
    <t>Carol Stream</t>
  </si>
  <si>
    <t>Algonquin</t>
  </si>
  <si>
    <t>Lake in the Hills</t>
  </si>
  <si>
    <t>Huntley</t>
  </si>
  <si>
    <t>Kenilworth</t>
  </si>
  <si>
    <t>Hanover Park</t>
  </si>
  <si>
    <t>La Grange</t>
  </si>
  <si>
    <t>Hampshire</t>
  </si>
  <si>
    <t>Bloomingdale</t>
  </si>
  <si>
    <t>Kenosha</t>
  </si>
  <si>
    <t>Melrose Park</t>
  </si>
  <si>
    <t>North Chicago</t>
  </si>
  <si>
    <t>Wheaton</t>
  </si>
  <si>
    <t>Lyons</t>
  </si>
  <si>
    <t>South Elgin</t>
  </si>
  <si>
    <t>Villa Park</t>
  </si>
  <si>
    <t>Dundee</t>
  </si>
  <si>
    <t>Spring Grove</t>
  </si>
  <si>
    <t>Glen Ellyn</t>
  </si>
  <si>
    <t>Orland Park</t>
  </si>
  <si>
    <t>Saint Charles</t>
  </si>
  <si>
    <t>Franklin Park</t>
  </si>
  <si>
    <t>Bolingbrook</t>
  </si>
  <si>
    <t>Frankfort</t>
  </si>
  <si>
    <t>Lisle</t>
  </si>
  <si>
    <t>River Forest</t>
  </si>
  <si>
    <t>Geneva</t>
  </si>
  <si>
    <t>Pleasant Prairie</t>
  </si>
  <si>
    <t>Romeoville</t>
  </si>
  <si>
    <t>Great Lakes</t>
  </si>
  <si>
    <t>Island Lake</t>
  </si>
  <si>
    <t>Western Springs</t>
  </si>
  <si>
    <t>Batavia</t>
  </si>
  <si>
    <t>Tinley Park</t>
  </si>
  <si>
    <t>Itasca</t>
  </si>
  <si>
    <t>Bensenville</t>
  </si>
  <si>
    <t>Lockport</t>
  </si>
  <si>
    <t>Wood Dale</t>
  </si>
  <si>
    <t>Schiller Park</t>
  </si>
  <si>
    <t>Willowbrook</t>
  </si>
  <si>
    <t>Downers Grove</t>
  </si>
  <si>
    <t>Fox Lake</t>
  </si>
  <si>
    <t>Glendale Heights</t>
  </si>
  <si>
    <t>Darien</t>
  </si>
  <si>
    <t>Champaign</t>
  </si>
  <si>
    <t>Lemont</t>
  </si>
  <si>
    <t>Bridgeview</t>
  </si>
  <si>
    <t>Racine</t>
  </si>
  <si>
    <t>Homer Glen</t>
  </si>
  <si>
    <t>Dyer</t>
  </si>
  <si>
    <t>Joliet</t>
  </si>
  <si>
    <t>West Chicago</t>
  </si>
  <si>
    <t>Wonder Lake</t>
  </si>
  <si>
    <t>Hinsdale</t>
  </si>
  <si>
    <t>Oswego</t>
  </si>
  <si>
    <t>Ingleside</t>
  </si>
  <si>
    <t>River Grove</t>
  </si>
  <si>
    <t>Mokena</t>
  </si>
  <si>
    <t>Hickory Hills</t>
  </si>
  <si>
    <t>Westmont</t>
  </si>
  <si>
    <t>North Aurora</t>
  </si>
  <si>
    <t>Bourbonnais</t>
  </si>
  <si>
    <t>Westchester</t>
  </si>
  <si>
    <t>Lake Geneva</t>
  </si>
  <si>
    <t>Chicago Ridge</t>
  </si>
  <si>
    <t>Winthrop Harbor</t>
  </si>
  <si>
    <t>Normal</t>
  </si>
  <si>
    <t>Justice</t>
  </si>
  <si>
    <t>Chicago Heights</t>
  </si>
  <si>
    <t>Bellwood</t>
  </si>
  <si>
    <t>Oak Forest</t>
  </si>
  <si>
    <t>Yorkville</t>
  </si>
  <si>
    <t>Palos Hills</t>
  </si>
  <si>
    <t>Elburn</t>
  </si>
  <si>
    <t>Forest Park</t>
  </si>
  <si>
    <t>Oak Brook</t>
  </si>
  <si>
    <t>Lansing</t>
  </si>
  <si>
    <t>Fox River Grove</t>
  </si>
  <si>
    <t>Cedar Rapids</t>
  </si>
  <si>
    <t>Gilberts</t>
  </si>
  <si>
    <t>Crest Hill</t>
  </si>
  <si>
    <t>Dekalb</t>
  </si>
  <si>
    <t>Dolton</t>
  </si>
  <si>
    <t>Urbana</t>
  </si>
  <si>
    <t>Gibsonia</t>
  </si>
  <si>
    <t>Broadview</t>
  </si>
  <si>
    <t>Beverly Hills</t>
  </si>
  <si>
    <t>Schererville</t>
  </si>
  <si>
    <t>Neenah</t>
  </si>
  <si>
    <t>Michigan City</t>
  </si>
  <si>
    <t>Clarendon Hills</t>
  </si>
  <si>
    <t>Warrenville</t>
  </si>
  <si>
    <t>Genoa</t>
  </si>
  <si>
    <t>Hillside</t>
  </si>
  <si>
    <t>Loves Park</t>
  </si>
  <si>
    <t>Trevor</t>
  </si>
  <si>
    <t>Shorewood</t>
  </si>
  <si>
    <t>Munster</t>
  </si>
  <si>
    <t>West Berlin</t>
  </si>
  <si>
    <t>Griffith</t>
  </si>
  <si>
    <t>Flossmoor</t>
  </si>
  <si>
    <t>Winfield</t>
  </si>
  <si>
    <t>Palos Park</t>
  </si>
  <si>
    <t>Hobart</t>
  </si>
  <si>
    <t>Hammond</t>
  </si>
  <si>
    <t>Menomonee Falls</t>
  </si>
  <si>
    <t>Morris</t>
  </si>
  <si>
    <t>Rockford</t>
  </si>
  <si>
    <t>Calumet City</t>
  </si>
  <si>
    <t>Portage</t>
  </si>
  <si>
    <t>Alsip</t>
  </si>
  <si>
    <t>Monee</t>
  </si>
  <si>
    <t>Matteson</t>
  </si>
  <si>
    <t>Waukesha</t>
  </si>
  <si>
    <t>Merrillville</t>
  </si>
  <si>
    <t>Whiting</t>
  </si>
  <si>
    <t>Blue Island</t>
  </si>
  <si>
    <t>Markham</t>
  </si>
  <si>
    <t>Poplar Grove</t>
  </si>
  <si>
    <t>Rochelle</t>
  </si>
  <si>
    <t>New Market</t>
  </si>
  <si>
    <t>Manhattan</t>
  </si>
  <si>
    <t>Whitewater</t>
  </si>
  <si>
    <t>Kankakee</t>
  </si>
  <si>
    <t>Park Forest</t>
  </si>
  <si>
    <t>Sugar Grove</t>
  </si>
  <si>
    <t>Marengo</t>
  </si>
  <si>
    <t>Twin Lakes</t>
  </si>
  <si>
    <t>New Buffalo</t>
  </si>
  <si>
    <t>Crete</t>
  </si>
  <si>
    <t>Evergreen Park</t>
  </si>
  <si>
    <t>Manteno</t>
  </si>
  <si>
    <t>Davenport</t>
  </si>
  <si>
    <t>Summit Argo</t>
  </si>
  <si>
    <t>Worth</t>
  </si>
  <si>
    <t>Edinburg</t>
  </si>
  <si>
    <t>Mequon</t>
  </si>
  <si>
    <t>Holland</t>
  </si>
  <si>
    <t>Chesterton</t>
  </si>
  <si>
    <t>Genoa City</t>
  </si>
  <si>
    <t>Beecher</t>
  </si>
  <si>
    <t>Pewaukee</t>
  </si>
  <si>
    <t>Saint John</t>
  </si>
  <si>
    <t>Muskego</t>
  </si>
  <si>
    <t>Sycamore</t>
  </si>
  <si>
    <t>Machesney Park</t>
  </si>
  <si>
    <t>East Chicago</t>
  </si>
  <si>
    <t>New Berlin</t>
  </si>
  <si>
    <t>Waterford</t>
  </si>
  <si>
    <t>Greendale</t>
  </si>
  <si>
    <t>Elkhorn</t>
  </si>
  <si>
    <t>Oak Creek</t>
  </si>
  <si>
    <t>Country Club Hills</t>
  </si>
  <si>
    <t>South Milwaukee</t>
  </si>
  <si>
    <t>Allendale</t>
  </si>
  <si>
    <t>Green Bay</t>
  </si>
  <si>
    <t>Golf</t>
  </si>
  <si>
    <t>Sugar Land</t>
  </si>
  <si>
    <t>Utica</t>
  </si>
  <si>
    <t>Roscoe</t>
  </si>
  <si>
    <t>Franksville</t>
  </si>
  <si>
    <t>Peoria</t>
  </si>
  <si>
    <t>Union Grove</t>
  </si>
  <si>
    <t>Greenwood</t>
  </si>
  <si>
    <t>Appleton</t>
  </si>
  <si>
    <t>Berkeley</t>
  </si>
  <si>
    <t>Muscatine</t>
  </si>
  <si>
    <t>Dubuque</t>
  </si>
  <si>
    <t>Stone Park</t>
  </si>
  <si>
    <t>Fontana</t>
  </si>
  <si>
    <t>Granada Hills</t>
  </si>
  <si>
    <t>Mount Juliet</t>
  </si>
  <si>
    <t>Minooka</t>
  </si>
  <si>
    <t>Sun Prairie</t>
  </si>
  <si>
    <t>Perrysburg</t>
  </si>
  <si>
    <t>Medinah</t>
  </si>
  <si>
    <t>Jenison</t>
  </si>
  <si>
    <t>Braidwood</t>
  </si>
  <si>
    <t>Sturtevant</t>
  </si>
  <si>
    <t>South Holland</t>
  </si>
  <si>
    <t>Hazel Crest</t>
  </si>
  <si>
    <t>Janesville</t>
  </si>
  <si>
    <t>Rock Island</t>
  </si>
  <si>
    <t>Harvey</t>
  </si>
  <si>
    <t>Solon</t>
  </si>
  <si>
    <t>Waunakee</t>
  </si>
  <si>
    <t>Willow Springs</t>
  </si>
  <si>
    <t>Fort Wayne</t>
  </si>
  <si>
    <t>Sheffield</t>
  </si>
  <si>
    <t>Hinckley</t>
  </si>
  <si>
    <t>Delavan</t>
  </si>
  <si>
    <t>Sturgeon Bay</t>
  </si>
  <si>
    <t>Ottawa</t>
  </si>
  <si>
    <t>Ozark</t>
  </si>
  <si>
    <t>Mesa</t>
  </si>
  <si>
    <t>Steger</t>
  </si>
  <si>
    <t>Bellaire</t>
  </si>
  <si>
    <t>Parker</t>
  </si>
  <si>
    <t>Dexter</t>
  </si>
  <si>
    <t>Henderson</t>
  </si>
  <si>
    <t>O Fallon</t>
  </si>
  <si>
    <t>East Troy</t>
  </si>
  <si>
    <t>Walworth</t>
  </si>
  <si>
    <t>Coal City</t>
  </si>
  <si>
    <t>Traverse City</t>
  </si>
  <si>
    <t>Cayuga</t>
  </si>
  <si>
    <t>Villa Rica</t>
  </si>
  <si>
    <t>Battle Creek</t>
  </si>
  <si>
    <t>Wisconsin Dells</t>
  </si>
  <si>
    <t>Ames</t>
  </si>
  <si>
    <t>Richton Park</t>
  </si>
  <si>
    <t>Oshkosh</t>
  </si>
  <si>
    <t>Madisonville</t>
  </si>
  <si>
    <t>Tempe</t>
  </si>
  <si>
    <t>Gary</t>
  </si>
  <si>
    <t>Bloomfield Hills</t>
  </si>
  <si>
    <t>Missouri City</t>
  </si>
  <si>
    <t>Granger</t>
  </si>
  <si>
    <t>West des Moines</t>
  </si>
  <si>
    <t>Union Pier</t>
  </si>
  <si>
    <t>Boulder</t>
  </si>
  <si>
    <t>Cedar Lake</t>
  </si>
  <si>
    <t>Westville</t>
  </si>
  <si>
    <t>Holmen</t>
  </si>
  <si>
    <t>Clarksville</t>
  </si>
  <si>
    <t>South Haven</t>
  </si>
  <si>
    <t>Irving</t>
  </si>
  <si>
    <t>Comstock Park</t>
  </si>
  <si>
    <t>Wausau</t>
  </si>
  <si>
    <t>Lehigh Acres</t>
  </si>
  <si>
    <t>Galesburg</t>
  </si>
  <si>
    <t>Foothill Ranch</t>
  </si>
  <si>
    <t>Herndon</t>
  </si>
  <si>
    <t>Maple Grove</t>
  </si>
  <si>
    <t>Clive</t>
  </si>
  <si>
    <t>Breckenridge</t>
  </si>
  <si>
    <t>West Chester</t>
  </si>
  <si>
    <t>Saugatuck</t>
  </si>
  <si>
    <t>Brownsburg</t>
  </si>
  <si>
    <t>Big Rock</t>
  </si>
  <si>
    <t>Germantown</t>
  </si>
  <si>
    <t>De Pere</t>
  </si>
  <si>
    <t>Burleson</t>
  </si>
  <si>
    <t>Fort Collins</t>
  </si>
  <si>
    <t>Vicksburg</t>
  </si>
  <si>
    <t>Sheridan</t>
  </si>
  <si>
    <t>San Pedro</t>
  </si>
  <si>
    <t>Caledonia</t>
  </si>
  <si>
    <t>Iowa City</t>
  </si>
  <si>
    <t>Jackson</t>
  </si>
  <si>
    <t>Mosinee</t>
  </si>
  <si>
    <t>Sterling Heights</t>
  </si>
  <si>
    <t>Cartersville</t>
  </si>
  <si>
    <t>La Porte</t>
  </si>
  <si>
    <t>East Peoria</t>
  </si>
  <si>
    <t>Menasha</t>
  </si>
  <si>
    <t>Eagle River</t>
  </si>
  <si>
    <t>Marquette</t>
  </si>
  <si>
    <t>Merrill</t>
  </si>
  <si>
    <t>Beloit</t>
  </si>
  <si>
    <t>Estherville</t>
  </si>
  <si>
    <t>Lyndon Station</t>
  </si>
  <si>
    <t>Fond du Lac</t>
  </si>
  <si>
    <t>Mauston</t>
  </si>
  <si>
    <t>Firth</t>
  </si>
  <si>
    <t>Kalamazoo</t>
  </si>
  <si>
    <t>Chester Springs</t>
  </si>
  <si>
    <t>Porter Ranch</t>
  </si>
  <si>
    <t>Scottsdale</t>
  </si>
  <si>
    <t>Mason</t>
  </si>
  <si>
    <t>Edmonds</t>
  </si>
  <si>
    <t>Hartland</t>
  </si>
  <si>
    <t>Telluride</t>
  </si>
  <si>
    <t>Union</t>
  </si>
  <si>
    <t>Dousman</t>
  </si>
  <si>
    <t>Maple Park</t>
  </si>
  <si>
    <t>Williams Bay</t>
  </si>
  <si>
    <t>Olive Branch</t>
  </si>
  <si>
    <t>Saint Joseph</t>
  </si>
  <si>
    <t>Bonaire</t>
  </si>
  <si>
    <t>Winnebago</t>
  </si>
  <si>
    <t>Zeeland</t>
  </si>
  <si>
    <t>De Witt</t>
  </si>
  <si>
    <t>Stillman Valley</t>
  </si>
  <si>
    <t>Marshall</t>
  </si>
  <si>
    <t>Oak Grove</t>
  </si>
  <si>
    <t>Grand Haven</t>
  </si>
  <si>
    <t>Le Center</t>
  </si>
  <si>
    <t>Athens</t>
  </si>
  <si>
    <t>Grand Forks</t>
  </si>
  <si>
    <t>Palmyra</t>
  </si>
  <si>
    <t>Corvallis</t>
  </si>
  <si>
    <t>Lawrenceburg</t>
  </si>
  <si>
    <t>Effingham</t>
  </si>
  <si>
    <t>Mount Pleasant</t>
  </si>
  <si>
    <t>University Park</t>
  </si>
  <si>
    <t>Manitowoc</t>
  </si>
  <si>
    <t>Boone</t>
  </si>
  <si>
    <t>Streator</t>
  </si>
  <si>
    <t>Beatrice</t>
  </si>
  <si>
    <t>Hometown</t>
  </si>
  <si>
    <t>Carbondale</t>
  </si>
  <si>
    <t>Palm Beach</t>
  </si>
  <si>
    <t>Paradise Valley</t>
  </si>
  <si>
    <t>Fairfax</t>
  </si>
  <si>
    <t>Elm Grove</t>
  </si>
  <si>
    <t>Mound</t>
  </si>
  <si>
    <t>Boerne</t>
  </si>
  <si>
    <t>South Lyon</t>
  </si>
  <si>
    <t>Jacksonville Beach</t>
  </si>
  <si>
    <t>North Palm Beach</t>
  </si>
  <si>
    <t>Bellbrook</t>
  </si>
  <si>
    <t>Kohler</t>
  </si>
  <si>
    <t>Cedarburg</t>
  </si>
  <si>
    <t>Okatie</t>
  </si>
  <si>
    <t>Bates City</t>
  </si>
  <si>
    <t>Fenton</t>
  </si>
  <si>
    <t>Chana</t>
  </si>
  <si>
    <t>Spring Lake</t>
  </si>
  <si>
    <t>Seneca</t>
  </si>
  <si>
    <t>Acworth</t>
  </si>
  <si>
    <t>South Bend</t>
  </si>
  <si>
    <t>Reseda</t>
  </si>
  <si>
    <t>McAllen</t>
  </si>
  <si>
    <t>Monticello</t>
  </si>
  <si>
    <t>Rio Rancho</t>
  </si>
  <si>
    <t>Topeka</t>
  </si>
  <si>
    <t>Plover</t>
  </si>
  <si>
    <t>Eau Claire</t>
  </si>
  <si>
    <t>Christiansburg</t>
  </si>
  <si>
    <t>Belleville</t>
  </si>
  <si>
    <t>Ypsilanti</t>
  </si>
  <si>
    <t>Boones Mill</t>
  </si>
  <si>
    <t>West Liberty</t>
  </si>
  <si>
    <t>Mc Nabb</t>
  </si>
  <si>
    <t>Cortland</t>
  </si>
  <si>
    <t>Tipton</t>
  </si>
  <si>
    <t>Demotte</t>
  </si>
  <si>
    <t>Bowling Green</t>
  </si>
  <si>
    <t>Glenwood</t>
  </si>
  <si>
    <t>Hemet</t>
  </si>
  <si>
    <t>Watson</t>
  </si>
  <si>
    <t>Coloma</t>
  </si>
  <si>
    <t>East Lansing</t>
  </si>
  <si>
    <t>Butler</t>
  </si>
  <si>
    <t>Peru</t>
  </si>
  <si>
    <t>Spring Valley</t>
  </si>
  <si>
    <t>Oglesby</t>
  </si>
  <si>
    <t>Moline</t>
  </si>
  <si>
    <t>Buchanan</t>
  </si>
  <si>
    <t>Cudahy</t>
  </si>
  <si>
    <t>Gulfport</t>
  </si>
  <si>
    <t>Fairmont</t>
  </si>
  <si>
    <t>Bradley</t>
  </si>
  <si>
    <t>Dunn</t>
  </si>
  <si>
    <t>Taylorville</t>
  </si>
  <si>
    <t>Del Rio</t>
  </si>
  <si>
    <t>Logansport</t>
  </si>
  <si>
    <t>Posen</t>
  </si>
  <si>
    <t>Tifton</t>
  </si>
  <si>
    <t>Cleveland</t>
  </si>
  <si>
    <t>Lake Station</t>
  </si>
  <si>
    <t>Decaturville</t>
  </si>
  <si>
    <t>Hines</t>
  </si>
  <si>
    <t>Alledonia</t>
  </si>
  <si>
    <t>Notre Dame</t>
  </si>
  <si>
    <t>Villanova</t>
  </si>
  <si>
    <t>Potomac</t>
  </si>
  <si>
    <t>Livingston</t>
  </si>
  <si>
    <t>Chevy Chase</t>
  </si>
  <si>
    <t>Huntington Woods</t>
  </si>
  <si>
    <t>Park City</t>
  </si>
  <si>
    <t>Wayzata</t>
  </si>
  <si>
    <t>Marina del Rey</t>
  </si>
  <si>
    <t>Urbandale</t>
  </si>
  <si>
    <t>Huntington Station</t>
  </si>
  <si>
    <t>Studio City</t>
  </si>
  <si>
    <t>Laguna Niguel</t>
  </si>
  <si>
    <t>Arnold</t>
  </si>
  <si>
    <t>Bayport</t>
  </si>
  <si>
    <t>Dublin</t>
  </si>
  <si>
    <t>Sherman Oaks</t>
  </si>
  <si>
    <t>Verona</t>
  </si>
  <si>
    <t>Bel Air</t>
  </si>
  <si>
    <t>Colgate</t>
  </si>
  <si>
    <t>McCordsville</t>
  </si>
  <si>
    <t>Kennesaw</t>
  </si>
  <si>
    <t>Apollo Beach</t>
  </si>
  <si>
    <t>Holly Springs</t>
  </si>
  <si>
    <t>Torrance</t>
  </si>
  <si>
    <t>Queen Creek</t>
  </si>
  <si>
    <t>Delafield</t>
  </si>
  <si>
    <t>Hugo</t>
  </si>
  <si>
    <t>Papillion</t>
  </si>
  <si>
    <t>Chatsworth</t>
  </si>
  <si>
    <t>Elbert</t>
  </si>
  <si>
    <t>Royal Oak</t>
  </si>
  <si>
    <t>Metamora</t>
  </si>
  <si>
    <t>Mukwonago</t>
  </si>
  <si>
    <t>Dacula</t>
  </si>
  <si>
    <t>Olathe</t>
  </si>
  <si>
    <t>Eagle</t>
  </si>
  <si>
    <t>Rockaway Park</t>
  </si>
  <si>
    <t>Powder Springs</t>
  </si>
  <si>
    <t>Macedonia</t>
  </si>
  <si>
    <t>Owings Mills</t>
  </si>
  <si>
    <t>Lakeside</t>
  </si>
  <si>
    <t>Frederick</t>
  </si>
  <si>
    <t>White Lake</t>
  </si>
  <si>
    <t>Eighty Four</t>
  </si>
  <si>
    <t>San Tan Valley</t>
  </si>
  <si>
    <t>Mountain Top</t>
  </si>
  <si>
    <t>Elk River</t>
  </si>
  <si>
    <t>Stevensville</t>
  </si>
  <si>
    <t>Egg Harbor Township</t>
  </si>
  <si>
    <t>Metairie</t>
  </si>
  <si>
    <t>Westerville</t>
  </si>
  <si>
    <t>Panama City Beach</t>
  </si>
  <si>
    <t>Estes Park</t>
  </si>
  <si>
    <t>Bremerton</t>
  </si>
  <si>
    <t>Port Aransas</t>
  </si>
  <si>
    <t>Byron</t>
  </si>
  <si>
    <t>Ontario</t>
  </si>
  <si>
    <t>Morton</t>
  </si>
  <si>
    <t>North Canton</t>
  </si>
  <si>
    <t>Rockton</t>
  </si>
  <si>
    <t>Braceville</t>
  </si>
  <si>
    <t>Modesto</t>
  </si>
  <si>
    <t>Anoka</t>
  </si>
  <si>
    <t>Hales Corners</t>
  </si>
  <si>
    <t>Fennville</t>
  </si>
  <si>
    <t>Johnson Creek</t>
  </si>
  <si>
    <t>Greensboro</t>
  </si>
  <si>
    <t>Somonauk</t>
  </si>
  <si>
    <t>Boynton Beach</t>
  </si>
  <si>
    <t>Fletcher</t>
  </si>
  <si>
    <t>Onalaska</t>
  </si>
  <si>
    <t>Lake Worth</t>
  </si>
  <si>
    <t>San Luis Obispo</t>
  </si>
  <si>
    <t>Imperial</t>
  </si>
  <si>
    <t>Kernersville</t>
  </si>
  <si>
    <t>Canal Winchester</t>
  </si>
  <si>
    <t>Garden Prairie</t>
  </si>
  <si>
    <t>Peotone</t>
  </si>
  <si>
    <t>Fresno</t>
  </si>
  <si>
    <t>Cordova</t>
  </si>
  <si>
    <t>Petersburg</t>
  </si>
  <si>
    <t>Bridgman</t>
  </si>
  <si>
    <t>Wixom</t>
  </si>
  <si>
    <t>North Richland Hills</t>
  </si>
  <si>
    <t>Gardiner</t>
  </si>
  <si>
    <t>Muskegon</t>
  </si>
  <si>
    <t>South Beloit</t>
  </si>
  <si>
    <t>Warsaw</t>
  </si>
  <si>
    <t>Long Beach</t>
  </si>
  <si>
    <t>Alvin</t>
  </si>
  <si>
    <t>North Las Vegas</t>
  </si>
  <si>
    <t>Rothschild</t>
  </si>
  <si>
    <t>East Elmhurst</t>
  </si>
  <si>
    <t>Bellefonte</t>
  </si>
  <si>
    <t>Woodlawn</t>
  </si>
  <si>
    <t>Osceola</t>
  </si>
  <si>
    <t>Columbia City</t>
  </si>
  <si>
    <t>La Valle</t>
  </si>
  <si>
    <t>Elon</t>
  </si>
  <si>
    <t>Mason City</t>
  </si>
  <si>
    <t>Denham Springs</t>
  </si>
  <si>
    <t>Grand Island</t>
  </si>
  <si>
    <t>Blue Mound</t>
  </si>
  <si>
    <t>Corydon</t>
  </si>
  <si>
    <t>Tuscola</t>
  </si>
  <si>
    <t>Imlay City</t>
  </si>
  <si>
    <t>Vincennes</t>
  </si>
  <si>
    <t>Southgate</t>
  </si>
  <si>
    <t>Rhinelander</t>
  </si>
  <si>
    <t>Cambridge Springs</t>
  </si>
  <si>
    <t>Little Falls</t>
  </si>
  <si>
    <t>Rice Lake</t>
  </si>
  <si>
    <t>Cedar City</t>
  </si>
  <si>
    <t>Berryville</t>
  </si>
  <si>
    <t>Springdale</t>
  </si>
  <si>
    <t>Moreno Valley</t>
  </si>
  <si>
    <t>Chetek</t>
  </si>
  <si>
    <t>La Crosse</t>
  </si>
  <si>
    <t>Waterville</t>
  </si>
  <si>
    <t>Castleton</t>
  </si>
  <si>
    <t>Cayce</t>
  </si>
  <si>
    <t>Silvis</t>
  </si>
  <si>
    <t>La Salle</t>
  </si>
  <si>
    <t>Bolivar</t>
  </si>
  <si>
    <t>Grover</t>
  </si>
  <si>
    <t>Benton Harbor</t>
  </si>
  <si>
    <t>Citra</t>
  </si>
  <si>
    <t>Robbins</t>
  </si>
  <si>
    <t>Woodville</t>
  </si>
  <si>
    <t>Glen Rock</t>
  </si>
  <si>
    <t>Summit</t>
  </si>
  <si>
    <t>Ellicott City</t>
  </si>
  <si>
    <t>Mountain View</t>
  </si>
  <si>
    <t>Greenbrae</t>
  </si>
  <si>
    <t>Cranford</t>
  </si>
  <si>
    <t>Eden Prairie</t>
  </si>
  <si>
    <t>Ada</t>
  </si>
  <si>
    <t>Duvall</t>
  </si>
  <si>
    <t>Glen Arbor</t>
  </si>
  <si>
    <t>Bowie</t>
  </si>
  <si>
    <t>Powell</t>
  </si>
  <si>
    <t>Longboat Key</t>
  </si>
  <si>
    <t>Frisco</t>
  </si>
  <si>
    <t>Centreville</t>
  </si>
  <si>
    <t>New Albany</t>
  </si>
  <si>
    <t>New Hyde Park</t>
  </si>
  <si>
    <t>Sanibel</t>
  </si>
  <si>
    <t>Morris Plains</t>
  </si>
  <si>
    <t>Novato</t>
  </si>
  <si>
    <t>Santa Clara</t>
  </si>
  <si>
    <t>Shawnee</t>
  </si>
  <si>
    <t>Lone Tree</t>
  </si>
  <si>
    <t>Tallahassee</t>
  </si>
  <si>
    <t>Mission Viejo</t>
  </si>
  <si>
    <t>Marco Island</t>
  </si>
  <si>
    <t>Voorhees</t>
  </si>
  <si>
    <t>Sherman</t>
  </si>
  <si>
    <t>Haslet</t>
  </si>
  <si>
    <t>Black Diamond</t>
  </si>
  <si>
    <t>Rocklin</t>
  </si>
  <si>
    <t>Stafford</t>
  </si>
  <si>
    <t>Steamboat Springs</t>
  </si>
  <si>
    <t>Cypress</t>
  </si>
  <si>
    <t>Grosse Ile</t>
  </si>
  <si>
    <t>Lithia</t>
  </si>
  <si>
    <t>Castro Valley</t>
  </si>
  <si>
    <t>Lawrence Township</t>
  </si>
  <si>
    <t>Wales</t>
  </si>
  <si>
    <t>Renton</t>
  </si>
  <si>
    <t>Granville</t>
  </si>
  <si>
    <t>Thompsons Station</t>
  </si>
  <si>
    <t>Saline</t>
  </si>
  <si>
    <t>Chapel Hill</t>
  </si>
  <si>
    <t>Waukee</t>
  </si>
  <si>
    <t>Nashotah</t>
  </si>
  <si>
    <t>League City</t>
  </si>
  <si>
    <t>Santa Rosa Beach</t>
  </si>
  <si>
    <t>Allison Park</t>
  </si>
  <si>
    <t>La Quinta</t>
  </si>
  <si>
    <t>Towson</t>
  </si>
  <si>
    <t>Maineville</t>
  </si>
  <si>
    <t>Mission</t>
  </si>
  <si>
    <t>Avon Lake</t>
  </si>
  <si>
    <t>Sherwood</t>
  </si>
  <si>
    <t>Bradenton Beach</t>
  </si>
  <si>
    <t>Santa Fe</t>
  </si>
  <si>
    <t>Orange Beach</t>
  </si>
  <si>
    <t>Hillsboro</t>
  </si>
  <si>
    <t>Harbert</t>
  </si>
  <si>
    <t>Rowlett</t>
  </si>
  <si>
    <t>Buford</t>
  </si>
  <si>
    <t>Savoy</t>
  </si>
  <si>
    <t>Delray Beach</t>
  </si>
  <si>
    <t>Mahomet</t>
  </si>
  <si>
    <t>Destin</t>
  </si>
  <si>
    <t>Bountiful</t>
  </si>
  <si>
    <t>Parlin</t>
  </si>
  <si>
    <t>Macomb</t>
  </si>
  <si>
    <t>White Salmon</t>
  </si>
  <si>
    <t>Edwardsville</t>
  </si>
  <si>
    <t>Wentzville</t>
  </si>
  <si>
    <t>Bluffton</t>
  </si>
  <si>
    <t>Goddard</t>
  </si>
  <si>
    <t>Cherry Valley</t>
  </si>
  <si>
    <t>Stanford</t>
  </si>
  <si>
    <t>Puyallup</t>
  </si>
  <si>
    <t>Nokomis</t>
  </si>
  <si>
    <t>Pikesville</t>
  </si>
  <si>
    <t>Santa Rosa</t>
  </si>
  <si>
    <t>Canoga Park</t>
  </si>
  <si>
    <t>Astoria</t>
  </si>
  <si>
    <t>Winter Springs</t>
  </si>
  <si>
    <t>Hudsonville</t>
  </si>
  <si>
    <t>Porter</t>
  </si>
  <si>
    <t>Howard Beach</t>
  </si>
  <si>
    <t>Kihei</t>
  </si>
  <si>
    <t>Clare</t>
  </si>
  <si>
    <t>Saint Cloud</t>
  </si>
  <si>
    <t>Marysville</t>
  </si>
  <si>
    <t>Bozeman</t>
  </si>
  <si>
    <t>Glendale</t>
  </si>
  <si>
    <t>Aiken</t>
  </si>
  <si>
    <t>Sedona</t>
  </si>
  <si>
    <t>Manheim</t>
  </si>
  <si>
    <t>Canyon Lake</t>
  </si>
  <si>
    <t>Shavertown</t>
  </si>
  <si>
    <t>Northfield</t>
  </si>
  <si>
    <t>Conroe</t>
  </si>
  <si>
    <t>Spring Hill</t>
  </si>
  <si>
    <t>Olympia</t>
  </si>
  <si>
    <t>New Caney</t>
  </si>
  <si>
    <t>Taylorsville</t>
  </si>
  <si>
    <t>Anna</t>
  </si>
  <si>
    <t>Davis</t>
  </si>
  <si>
    <t>Grand Junction</t>
  </si>
  <si>
    <t>Platte City</t>
  </si>
  <si>
    <t>Escondido</t>
  </si>
  <si>
    <t>Raymore</t>
  </si>
  <si>
    <t>Jurupa Valley</t>
  </si>
  <si>
    <t>Kansasville</t>
  </si>
  <si>
    <t>Pico Rivera</t>
  </si>
  <si>
    <t>Palm Desert</t>
  </si>
  <si>
    <t>Bend</t>
  </si>
  <si>
    <t>Ixonia</t>
  </si>
  <si>
    <t>Simpsonville</t>
  </si>
  <si>
    <t>New Gloucester</t>
  </si>
  <si>
    <t>South Richmond Hill</t>
  </si>
  <si>
    <t>La Mesa</t>
  </si>
  <si>
    <t>Tea</t>
  </si>
  <si>
    <t>Thomasboro</t>
  </si>
  <si>
    <t>Geneseo</t>
  </si>
  <si>
    <t>Maricopa</t>
  </si>
  <si>
    <t>Van Nuys</t>
  </si>
  <si>
    <t>Livonia</t>
  </si>
  <si>
    <t>Carterville</t>
  </si>
  <si>
    <t>Menan</t>
  </si>
  <si>
    <t>Caseyville</t>
  </si>
  <si>
    <t>Willoughby</t>
  </si>
  <si>
    <t>Alhambra</t>
  </si>
  <si>
    <t>Vallejo</t>
  </si>
  <si>
    <t>Vancouver</t>
  </si>
  <si>
    <t>Broadus</t>
  </si>
  <si>
    <t>Bayonne</t>
  </si>
  <si>
    <t>Burnsville</t>
  </si>
  <si>
    <t>Eden</t>
  </si>
  <si>
    <t>Egg Harbor</t>
  </si>
  <si>
    <t>West Henrietta</t>
  </si>
  <si>
    <t>Worden</t>
  </si>
  <si>
    <t>Huddleston</t>
  </si>
  <si>
    <t>Azusa</t>
  </si>
  <si>
    <t>Eagles Mere</t>
  </si>
  <si>
    <t>West Salem</t>
  </si>
  <si>
    <t>Murfreesboro</t>
  </si>
  <si>
    <t>Blue Grass</t>
  </si>
  <si>
    <t>Cantonment</t>
  </si>
  <si>
    <t>Central Point</t>
  </si>
  <si>
    <t>Farmersville</t>
  </si>
  <si>
    <t>Clawson</t>
  </si>
  <si>
    <t>Owatonna</t>
  </si>
  <si>
    <t>North Olmsted</t>
  </si>
  <si>
    <t>Dickinson</t>
  </si>
  <si>
    <t>Davis Junction</t>
  </si>
  <si>
    <t>Prairie du Sac</t>
  </si>
  <si>
    <t>Corpus Christi</t>
  </si>
  <si>
    <t>Desoto</t>
  </si>
  <si>
    <t>Garfield</t>
  </si>
  <si>
    <t>Omro</t>
  </si>
  <si>
    <t>Macedon</t>
  </si>
  <si>
    <t>Saginaw</t>
  </si>
  <si>
    <t>Sloan</t>
  </si>
  <si>
    <t>Three Oaks</t>
  </si>
  <si>
    <t>Almena</t>
  </si>
  <si>
    <t>Ogden</t>
  </si>
  <si>
    <t>Wahiawa</t>
  </si>
  <si>
    <t>Paw Paw</t>
  </si>
  <si>
    <t>Xenia</t>
  </si>
  <si>
    <t>Scott Air Force Base</t>
  </si>
  <si>
    <t>Cape Canaveral</t>
  </si>
  <si>
    <t>Hennepin</t>
  </si>
  <si>
    <t>Sheffield Lake</t>
  </si>
  <si>
    <t>Sioux City</t>
  </si>
  <si>
    <t>Lawton</t>
  </si>
  <si>
    <t>Dunedin</t>
  </si>
  <si>
    <t>Woodruff</t>
  </si>
  <si>
    <t>New Carlisle</t>
  </si>
  <si>
    <t>Green Lake</t>
  </si>
  <si>
    <t>Honolulu</t>
  </si>
  <si>
    <t>Fort Atkinson</t>
  </si>
  <si>
    <t>Usaf Academy</t>
  </si>
  <si>
    <t>Potosi</t>
  </si>
  <si>
    <t>Whitehall</t>
  </si>
  <si>
    <t>Highlands</t>
  </si>
  <si>
    <t>Martinsville</t>
  </si>
  <si>
    <t>Newport News</t>
  </si>
  <si>
    <t>Waggoner</t>
  </si>
  <si>
    <t>Gridley</t>
  </si>
  <si>
    <t>Pierre</t>
  </si>
  <si>
    <t>Chenoa</t>
  </si>
  <si>
    <t>Angola</t>
  </si>
  <si>
    <t>Cocoa</t>
  </si>
  <si>
    <t>Dunkerton</t>
  </si>
  <si>
    <t>Boyne Falls</t>
  </si>
  <si>
    <t>Saint Anne</t>
  </si>
  <si>
    <t>Schofield</t>
  </si>
  <si>
    <t>Independence</t>
  </si>
  <si>
    <t>Calera</t>
  </si>
  <si>
    <t>Spiceland</t>
  </si>
  <si>
    <t>Clear Lake</t>
  </si>
  <si>
    <t>Port Hueneme</t>
  </si>
  <si>
    <t>Beaver Dam</t>
  </si>
  <si>
    <t>Shevlin</t>
  </si>
  <si>
    <t>Atwater</t>
  </si>
  <si>
    <t>Balsam Lake</t>
  </si>
  <si>
    <t>Berrien Springs</t>
  </si>
  <si>
    <t>Orfordville</t>
  </si>
  <si>
    <t>Rosamond</t>
  </si>
  <si>
    <t>Brookland</t>
  </si>
  <si>
    <t>Grand Marais</t>
  </si>
  <si>
    <t>Elizabethtown</t>
  </si>
  <si>
    <t>Reynoldsburg</t>
  </si>
  <si>
    <t>Tomah</t>
  </si>
  <si>
    <t>Gordon</t>
  </si>
  <si>
    <t>Jonesboro</t>
  </si>
  <si>
    <t>Brownstown</t>
  </si>
  <si>
    <t>Far Rockaway</t>
  </si>
  <si>
    <t>Mocksville</t>
  </si>
  <si>
    <t>Bellevue</t>
  </si>
  <si>
    <t>Ligonier</t>
  </si>
  <si>
    <t>Chilton</t>
  </si>
  <si>
    <t>Menomonie</t>
  </si>
  <si>
    <t>Las Cruces</t>
  </si>
  <si>
    <t>Nekoosa</t>
  </si>
  <si>
    <t>Dearborn Heights</t>
  </si>
  <si>
    <t>Leland</t>
  </si>
  <si>
    <t>Ludington</t>
  </si>
  <si>
    <t>Gwynn Oak</t>
  </si>
  <si>
    <t>Three Rivers</t>
  </si>
  <si>
    <t>Culver</t>
  </si>
  <si>
    <t>Baraboo</t>
  </si>
  <si>
    <t>East Dubuque</t>
  </si>
  <si>
    <t>Hope Mills</t>
  </si>
  <si>
    <t>Titusville</t>
  </si>
  <si>
    <t>Sandston</t>
  </si>
  <si>
    <t>Saint Francis</t>
  </si>
  <si>
    <t>Greencastle</t>
  </si>
  <si>
    <t>Greene</t>
  </si>
  <si>
    <t>Sierra Vista</t>
  </si>
  <si>
    <t>West Union</t>
  </si>
  <si>
    <t>Hancock</t>
  </si>
  <si>
    <t>Momence</t>
  </si>
  <si>
    <t>Granton</t>
  </si>
  <si>
    <t>Kearney</t>
  </si>
  <si>
    <t>Calexico</t>
  </si>
  <si>
    <t>Rocky Mount</t>
  </si>
  <si>
    <t>Essexville</t>
  </si>
  <si>
    <t>Graham</t>
  </si>
  <si>
    <t>Sevierville</t>
  </si>
  <si>
    <t>Cissna Park</t>
  </si>
  <si>
    <t>Doon</t>
  </si>
  <si>
    <t>Pekin</t>
  </si>
  <si>
    <t>National City</t>
  </si>
  <si>
    <t>Portis</t>
  </si>
  <si>
    <t>Tupelo</t>
  </si>
  <si>
    <t>Raphine</t>
  </si>
  <si>
    <t>Trinity</t>
  </si>
  <si>
    <t>Joplin</t>
  </si>
  <si>
    <t>Winona</t>
  </si>
  <si>
    <t>Ardmore</t>
  </si>
  <si>
    <t>Chickasha</t>
  </si>
  <si>
    <t>Platteville</t>
  </si>
  <si>
    <t>Altus</t>
  </si>
  <si>
    <t>Forreston</t>
  </si>
  <si>
    <t>Marinette</t>
  </si>
  <si>
    <t>Ellenboro</t>
  </si>
  <si>
    <t>Pelkie</t>
  </si>
  <si>
    <t>Rolla</t>
  </si>
  <si>
    <t>Taylor</t>
  </si>
  <si>
    <t>Redgranite</t>
  </si>
  <si>
    <t>Horicon</t>
  </si>
  <si>
    <t>Terre Haute</t>
  </si>
  <si>
    <t>Port Orange</t>
  </si>
  <si>
    <t>Paducah</t>
  </si>
  <si>
    <t>Adrian</t>
  </si>
  <si>
    <t>Johnsonville</t>
  </si>
  <si>
    <t>Cuyahoga Falls</t>
  </si>
  <si>
    <t>Montello</t>
  </si>
  <si>
    <t>Stevens Point</t>
  </si>
  <si>
    <t>Westland</t>
  </si>
  <si>
    <t>Bear Lake</t>
  </si>
  <si>
    <t>Sandusky</t>
  </si>
  <si>
    <t>Big Rapids</t>
  </si>
  <si>
    <t>Arcata</t>
  </si>
  <si>
    <t>Knox</t>
  </si>
  <si>
    <t>Haltom City</t>
  </si>
  <si>
    <t>Lake Charles</t>
  </si>
  <si>
    <t>Boonville</t>
  </si>
  <si>
    <t>Dearborn</t>
  </si>
  <si>
    <t>Delano</t>
  </si>
  <si>
    <t>Luray</t>
  </si>
  <si>
    <t>Granite City</t>
  </si>
  <si>
    <t>Grandview</t>
  </si>
  <si>
    <t>McMinnville</t>
  </si>
  <si>
    <t>Fort Sill</t>
  </si>
  <si>
    <t>Graceville</t>
  </si>
  <si>
    <t>Kokomo</t>
  </si>
  <si>
    <t>Albion</t>
  </si>
  <si>
    <t>Ridgely</t>
  </si>
  <si>
    <t>Bradner</t>
  </si>
  <si>
    <t>Rantoul</t>
  </si>
  <si>
    <t>Kewanee</t>
  </si>
  <si>
    <t>Haugan</t>
  </si>
  <si>
    <t>Lake Wales</t>
  </si>
  <si>
    <t>Tappahannock</t>
  </si>
  <si>
    <t>Norcross</t>
  </si>
  <si>
    <t>Hazelwood</t>
  </si>
  <si>
    <t>Steelville</t>
  </si>
  <si>
    <t>Leavittsburg</t>
  </si>
  <si>
    <t>Fort Smith</t>
  </si>
  <si>
    <t>Oscoda</t>
  </si>
  <si>
    <t>Pontiac</t>
  </si>
  <si>
    <t>East Saint Louis</t>
  </si>
  <si>
    <t>GUAYAMA</t>
  </si>
  <si>
    <t>Fairfax Station</t>
  </si>
  <si>
    <t>Sammamish</t>
  </si>
  <si>
    <t>Woodcliff Lake</t>
  </si>
  <si>
    <t>Newport Coast</t>
  </si>
  <si>
    <t>Mercer Island</t>
  </si>
  <si>
    <t>Palos Verdes Peninsula</t>
  </si>
  <si>
    <t>Bernardsville</t>
  </si>
  <si>
    <t>Corte Madera</t>
  </si>
  <si>
    <t>New Providence</t>
  </si>
  <si>
    <t>Scotch Plains</t>
  </si>
  <si>
    <t>Jericho</t>
  </si>
  <si>
    <t>Malibu</t>
  </si>
  <si>
    <t>Basking Ridge</t>
  </si>
  <si>
    <t>Long Valley</t>
  </si>
  <si>
    <t>Jamison</t>
  </si>
  <si>
    <t>Rancho Palos Verdes</t>
  </si>
  <si>
    <t>Wenham</t>
  </si>
  <si>
    <t>Fall City</t>
  </si>
  <si>
    <t>Marriottsville</t>
  </si>
  <si>
    <t>Brielle</t>
  </si>
  <si>
    <t>Issaquah</t>
  </si>
  <si>
    <t>Bainbridge Island</t>
  </si>
  <si>
    <t>Manassas</t>
  </si>
  <si>
    <t>Hamel</t>
  </si>
  <si>
    <t>Blue Bell</t>
  </si>
  <si>
    <t>Burke</t>
  </si>
  <si>
    <t>Caldwell</t>
  </si>
  <si>
    <t>Prosper</t>
  </si>
  <si>
    <t>Hopewell</t>
  </si>
  <si>
    <t>Redmond</t>
  </si>
  <si>
    <t>Westlake Village</t>
  </si>
  <si>
    <t>Fulshear</t>
  </si>
  <si>
    <t>Bryn Mawr</t>
  </si>
  <si>
    <t>Hillsborough</t>
  </si>
  <si>
    <t>Ambler</t>
  </si>
  <si>
    <t>Stevenson Ranch</t>
  </si>
  <si>
    <t>Avalon</t>
  </si>
  <si>
    <t>Clarksburg</t>
  </si>
  <si>
    <t>Smithtown</t>
  </si>
  <si>
    <t>Bothell</t>
  </si>
  <si>
    <t>Grosse Pointe</t>
  </si>
  <si>
    <t>Loomis</t>
  </si>
  <si>
    <t>Newport Beach</t>
  </si>
  <si>
    <t>Monrovia</t>
  </si>
  <si>
    <t>Millbrae</t>
  </si>
  <si>
    <t>Flemington</t>
  </si>
  <si>
    <t>East Hanover</t>
  </si>
  <si>
    <t>Folsom</t>
  </si>
  <si>
    <t>Massapequa</t>
  </si>
  <si>
    <t>Whitehouse Station</t>
  </si>
  <si>
    <t>Chesterfield</t>
  </si>
  <si>
    <t>Santa Ana</t>
  </si>
  <si>
    <t>Rancho Santa Margarita</t>
  </si>
  <si>
    <t>Mickleton</t>
  </si>
  <si>
    <t>Clearwater Beach</t>
  </si>
  <si>
    <t>Waxhaw</t>
  </si>
  <si>
    <t>Farragut</t>
  </si>
  <si>
    <t>Celina</t>
  </si>
  <si>
    <t>Reston</t>
  </si>
  <si>
    <t>Bedminster</t>
  </si>
  <si>
    <t>Livermore</t>
  </si>
  <si>
    <t>Glenarm</t>
  </si>
  <si>
    <t>Leawood</t>
  </si>
  <si>
    <t>Pylesville</t>
  </si>
  <si>
    <t>Lutherville Timonium</t>
  </si>
  <si>
    <t>Golden</t>
  </si>
  <si>
    <t>Roseville</t>
  </si>
  <si>
    <t>Los Alamos</t>
  </si>
  <si>
    <t>Rogers</t>
  </si>
  <si>
    <t>Osprey</t>
  </si>
  <si>
    <t>Snohomish</t>
  </si>
  <si>
    <t>Old Lyme</t>
  </si>
  <si>
    <t>Huntington Beach</t>
  </si>
  <si>
    <t>Sparks</t>
  </si>
  <si>
    <t>Lewisville</t>
  </si>
  <si>
    <t>Upper Marlboro</t>
  </si>
  <si>
    <t>Aliso Viejo</t>
  </si>
  <si>
    <t>Getzville</t>
  </si>
  <si>
    <t>Bonita</t>
  </si>
  <si>
    <t>Severn</t>
  </si>
  <si>
    <t>Longwood</t>
  </si>
  <si>
    <t>Brecksville</t>
  </si>
  <si>
    <t>Plain City</t>
  </si>
  <si>
    <t>Cerritos</t>
  </si>
  <si>
    <t>Prior Lake</t>
  </si>
  <si>
    <t>Ringwood</t>
  </si>
  <si>
    <t>Hubertus</t>
  </si>
  <si>
    <t>Slingerlands</t>
  </si>
  <si>
    <t>Huntersville</t>
  </si>
  <si>
    <t>Magnolia</t>
  </si>
  <si>
    <t>Plymouth Meeting</t>
  </si>
  <si>
    <t>Tolland</t>
  </si>
  <si>
    <t>Leonardtown</t>
  </si>
  <si>
    <t>Finksburg</t>
  </si>
  <si>
    <t>Carlsbad</t>
  </si>
  <si>
    <t>Monroe Township</t>
  </si>
  <si>
    <t>Rosemount</t>
  </si>
  <si>
    <t>Floyds Knobs</t>
  </si>
  <si>
    <t>Beachwood</t>
  </si>
  <si>
    <t>Holtsville</t>
  </si>
  <si>
    <t>Bondville</t>
  </si>
  <si>
    <t>Oak Ridge</t>
  </si>
  <si>
    <t>North Prairie</t>
  </si>
  <si>
    <t>Ocean City</t>
  </si>
  <si>
    <t>Strongsville</t>
  </si>
  <si>
    <t>Petaluma</t>
  </si>
  <si>
    <t>Rochelle Park</t>
  </si>
  <si>
    <t>Vacaville</t>
  </si>
  <si>
    <t>Victor</t>
  </si>
  <si>
    <t>Kapolei</t>
  </si>
  <si>
    <t>Woodland Hills</t>
  </si>
  <si>
    <t>Wichita</t>
  </si>
  <si>
    <t>Odenton</t>
  </si>
  <si>
    <t>Fair Oaks</t>
  </si>
  <si>
    <t>Ledgewood</t>
  </si>
  <si>
    <t>Johns Island</t>
  </si>
  <si>
    <t>Rocky River</t>
  </si>
  <si>
    <t>Marlton</t>
  </si>
  <si>
    <t>Hollister</t>
  </si>
  <si>
    <t>Lansdale</t>
  </si>
  <si>
    <t>Tomball</t>
  </si>
  <si>
    <t>Grapevine</t>
  </si>
  <si>
    <t>Macungie</t>
  </si>
  <si>
    <t>Richfield</t>
  </si>
  <si>
    <t>Little Elm</t>
  </si>
  <si>
    <t>Lake Stevens</t>
  </si>
  <si>
    <t>Foristell</t>
  </si>
  <si>
    <t>Glenville</t>
  </si>
  <si>
    <t>Lindenhurst</t>
  </si>
  <si>
    <t>Bergenfield</t>
  </si>
  <si>
    <t>Marana</t>
  </si>
  <si>
    <t>Sherrills Ford</t>
  </si>
  <si>
    <t>San Dimas</t>
  </si>
  <si>
    <t>Black Hawk</t>
  </si>
  <si>
    <t>Toughkenamon</t>
  </si>
  <si>
    <t>Saint Augustine</t>
  </si>
  <si>
    <t>Rolling Prairie</t>
  </si>
  <si>
    <t>Plantsville</t>
  </si>
  <si>
    <t>Hilliard</t>
  </si>
  <si>
    <t>Nags Head</t>
  </si>
  <si>
    <t>Arcadia</t>
  </si>
  <si>
    <t>Pearland</t>
  </si>
  <si>
    <t>Silverdale</t>
  </si>
  <si>
    <t>Mechanicsville</t>
  </si>
  <si>
    <t>Waterford Works</t>
  </si>
  <si>
    <t>Eastham</t>
  </si>
  <si>
    <t>Ft Mitchell</t>
  </si>
  <si>
    <t>Hoschton</t>
  </si>
  <si>
    <t>Sergeant Bluff</t>
  </si>
  <si>
    <t>Big Bend</t>
  </si>
  <si>
    <t>Santo</t>
  </si>
  <si>
    <t>Ortonville</t>
  </si>
  <si>
    <t>Buda</t>
  </si>
  <si>
    <t>Carr</t>
  </si>
  <si>
    <t>New Prague</t>
  </si>
  <si>
    <t>Oviedo</t>
  </si>
  <si>
    <t>Beaverton</t>
  </si>
  <si>
    <t>Sea Island</t>
  </si>
  <si>
    <t>Mc Gaheysville</t>
  </si>
  <si>
    <t>Landing</t>
  </si>
  <si>
    <t>Mc Donald</t>
  </si>
  <si>
    <t>Hummelstown</t>
  </si>
  <si>
    <t>Williamsburg</t>
  </si>
  <si>
    <t>Lyndhurst</t>
  </si>
  <si>
    <t>Mandeville</t>
  </si>
  <si>
    <t>Suamico</t>
  </si>
  <si>
    <t>McFarland</t>
  </si>
  <si>
    <t>Willis</t>
  </si>
  <si>
    <t>Oregonia</t>
  </si>
  <si>
    <t>Lodi</t>
  </si>
  <si>
    <t>Laurel</t>
  </si>
  <si>
    <t>Key Largo</t>
  </si>
  <si>
    <t>Toms River</t>
  </si>
  <si>
    <t>Chardon</t>
  </si>
  <si>
    <t>Corolla</t>
  </si>
  <si>
    <t>Hendersonville</t>
  </si>
  <si>
    <t>DeWitt</t>
  </si>
  <si>
    <t>Big Sky</t>
  </si>
  <si>
    <t>Satsuma</t>
  </si>
  <si>
    <t>Stone Mountain</t>
  </si>
  <si>
    <t>Clemmons</t>
  </si>
  <si>
    <t>Telford</t>
  </si>
  <si>
    <t>Arvada</t>
  </si>
  <si>
    <t>Flowery Branch</t>
  </si>
  <si>
    <t>Fort Thomas</t>
  </si>
  <si>
    <t>Smithton</t>
  </si>
  <si>
    <t>South Burlington</t>
  </si>
  <si>
    <t>Elk Grove</t>
  </si>
  <si>
    <t>Hatfield</t>
  </si>
  <si>
    <t>Pacific Junction</t>
  </si>
  <si>
    <t>Columbia Station</t>
  </si>
  <si>
    <t>Queens Village</t>
  </si>
  <si>
    <t>Larsen</t>
  </si>
  <si>
    <t>Broadlands</t>
  </si>
  <si>
    <t>Byron Center</t>
  </si>
  <si>
    <t>Coraopolis</t>
  </si>
  <si>
    <t>Key West</t>
  </si>
  <si>
    <t>North Liberty</t>
  </si>
  <si>
    <t>Deforest</t>
  </si>
  <si>
    <t>Atalissa</t>
  </si>
  <si>
    <t>Oregon City</t>
  </si>
  <si>
    <t>Budd Lake</t>
  </si>
  <si>
    <t>Westerly</t>
  </si>
  <si>
    <t>Eaton</t>
  </si>
  <si>
    <t>Charles Town</t>
  </si>
  <si>
    <t>Hobe Sound</t>
  </si>
  <si>
    <t>Brick</t>
  </si>
  <si>
    <t>Rosharon</t>
  </si>
  <si>
    <t>Jenks</t>
  </si>
  <si>
    <t>Schoolcraft</t>
  </si>
  <si>
    <t>Hastings</t>
  </si>
  <si>
    <t>West Olive</t>
  </si>
  <si>
    <t>Sicklerville</t>
  </si>
  <si>
    <t>Hernando</t>
  </si>
  <si>
    <t>Ridgefield Park</t>
  </si>
  <si>
    <t>Slinger</t>
  </si>
  <si>
    <t>Saint Jacob</t>
  </si>
  <si>
    <t>South Ozone Park</t>
  </si>
  <si>
    <t>Palm Springs</t>
  </si>
  <si>
    <t>Olympia Fields</t>
  </si>
  <si>
    <t>Ivins</t>
  </si>
  <si>
    <t>Mammoth Lakes</t>
  </si>
  <si>
    <t>Wolfforth</t>
  </si>
  <si>
    <t>Brimfield</t>
  </si>
  <si>
    <t>Venice</t>
  </si>
  <si>
    <t>Orion</t>
  </si>
  <si>
    <t>Lomita</t>
  </si>
  <si>
    <t>Palo</t>
  </si>
  <si>
    <t>Port Byron</t>
  </si>
  <si>
    <t>Fisher</t>
  </si>
  <si>
    <t>Latham</t>
  </si>
  <si>
    <t>Navarre</t>
  </si>
  <si>
    <t>Adkins</t>
  </si>
  <si>
    <t>Neptune</t>
  </si>
  <si>
    <t>Adams</t>
  </si>
  <si>
    <t>Union Mills</t>
  </si>
  <si>
    <t>Shipshewana</t>
  </si>
  <si>
    <t>Pendleton</t>
  </si>
  <si>
    <t>Goodyear</t>
  </si>
  <si>
    <t>Conroy</t>
  </si>
  <si>
    <t>Galt</t>
  </si>
  <si>
    <t>Great Barrington</t>
  </si>
  <si>
    <t>Pella</t>
  </si>
  <si>
    <t>Oldsmar</t>
  </si>
  <si>
    <t>Merrimac</t>
  </si>
  <si>
    <t>Star Prairie</t>
  </si>
  <si>
    <t>New Baden</t>
  </si>
  <si>
    <t>Freeland</t>
  </si>
  <si>
    <t>East Earl</t>
  </si>
  <si>
    <t>Elwood</t>
  </si>
  <si>
    <t>Leesburg</t>
  </si>
  <si>
    <t>Walcott</t>
  </si>
  <si>
    <t>White</t>
  </si>
  <si>
    <t>Fall Creek</t>
  </si>
  <si>
    <t>Waverly</t>
  </si>
  <si>
    <t>Belchertown</t>
  </si>
  <si>
    <t>Perry</t>
  </si>
  <si>
    <t>North Branch</t>
  </si>
  <si>
    <t>New Rochelle</t>
  </si>
  <si>
    <t>Willow Street</t>
  </si>
  <si>
    <t>Pataskala</t>
  </si>
  <si>
    <t>Douglasville</t>
  </si>
  <si>
    <t>River Falls</t>
  </si>
  <si>
    <t>Woodhaven</t>
  </si>
  <si>
    <t>Vermillion</t>
  </si>
  <si>
    <t>Deer Park</t>
  </si>
  <si>
    <t>Barnegat</t>
  </si>
  <si>
    <t>Loganville</t>
  </si>
  <si>
    <t>Maumee</t>
  </si>
  <si>
    <t>Altoona</t>
  </si>
  <si>
    <t>Irwin</t>
  </si>
  <si>
    <t>Red Oak</t>
  </si>
  <si>
    <t>Mechanicsburg</t>
  </si>
  <si>
    <t>Tooele</t>
  </si>
  <si>
    <t>South Padre Island</t>
  </si>
  <si>
    <t>Charlottesville</t>
  </si>
  <si>
    <t>Coplay</t>
  </si>
  <si>
    <t>Mascoutah</t>
  </si>
  <si>
    <t>Fairhope</t>
  </si>
  <si>
    <t>Lamar</t>
  </si>
  <si>
    <t>North Royalton</t>
  </si>
  <si>
    <t>Cedar Hill</t>
  </si>
  <si>
    <t>South Park</t>
  </si>
  <si>
    <t>Baldwin City</t>
  </si>
  <si>
    <t>Garner</t>
  </si>
  <si>
    <t>Grove City</t>
  </si>
  <si>
    <t>Bridgeton</t>
  </si>
  <si>
    <t>Whitefish</t>
  </si>
  <si>
    <t>Wasilla</t>
  </si>
  <si>
    <t>North Ridgeville</t>
  </si>
  <si>
    <t>Gallatin</t>
  </si>
  <si>
    <t>Marathon</t>
  </si>
  <si>
    <t>Bensalem</t>
  </si>
  <si>
    <t>Seville</t>
  </si>
  <si>
    <t>Custer</t>
  </si>
  <si>
    <t>Crane Hill</t>
  </si>
  <si>
    <t>Crystal Beach</t>
  </si>
  <si>
    <t>Mount Washington</t>
  </si>
  <si>
    <t>Helenville</t>
  </si>
  <si>
    <t>Hempstead</t>
  </si>
  <si>
    <t>Wilmot</t>
  </si>
  <si>
    <t>Carteret</t>
  </si>
  <si>
    <t>Provo</t>
  </si>
  <si>
    <t>Cascade</t>
  </si>
  <si>
    <t>Ephraim</t>
  </si>
  <si>
    <t>Fargo</t>
  </si>
  <si>
    <t>Plattsmouth</t>
  </si>
  <si>
    <t>Poynette</t>
  </si>
  <si>
    <t>Daphne</t>
  </si>
  <si>
    <t>Thorofare</t>
  </si>
  <si>
    <t>Mankato</t>
  </si>
  <si>
    <t>San Bernardino</t>
  </si>
  <si>
    <t>Burns</t>
  </si>
  <si>
    <t>Sunset Beach</t>
  </si>
  <si>
    <t>Serena</t>
  </si>
  <si>
    <t>Lake Mills</t>
  </si>
  <si>
    <t>Deer Creek</t>
  </si>
  <si>
    <t>Haubstadt</t>
  </si>
  <si>
    <t>Goodfield</t>
  </si>
  <si>
    <t>Grandville</t>
  </si>
  <si>
    <t>Ruther Glen</t>
  </si>
  <si>
    <t>Belgium</t>
  </si>
  <si>
    <t>Hazen</t>
  </si>
  <si>
    <t>Tucker</t>
  </si>
  <si>
    <t>Sidney</t>
  </si>
  <si>
    <t>Tremont City</t>
  </si>
  <si>
    <t>McCall</t>
  </si>
  <si>
    <t>Sewanee</t>
  </si>
  <si>
    <t>Yelm</t>
  </si>
  <si>
    <t>Euless</t>
  </si>
  <si>
    <t>Randallstown</t>
  </si>
  <si>
    <t>Kaukauna</t>
  </si>
  <si>
    <t>Bismarck</t>
  </si>
  <si>
    <t>Sunrise Beach</t>
  </si>
  <si>
    <t>Hopkins</t>
  </si>
  <si>
    <t>Tonganoxie</t>
  </si>
  <si>
    <t>Kill Devil Hills</t>
  </si>
  <si>
    <t>White House</t>
  </si>
  <si>
    <t>Orange Park</t>
  </si>
  <si>
    <t>Scotts</t>
  </si>
  <si>
    <t>Capron</t>
  </si>
  <si>
    <t>Melbourne</t>
  </si>
  <si>
    <t>Henryville</t>
  </si>
  <si>
    <t>Dimondale</t>
  </si>
  <si>
    <t>Wirtz</t>
  </si>
  <si>
    <t>Mount Eden</t>
  </si>
  <si>
    <t>Emigrant</t>
  </si>
  <si>
    <t>Lyman</t>
  </si>
  <si>
    <t>El Cajon</t>
  </si>
  <si>
    <t>LaGrange</t>
  </si>
  <si>
    <t>Mount Calvary</t>
  </si>
  <si>
    <t>Fowlerville</t>
  </si>
  <si>
    <t>Webberville</t>
  </si>
  <si>
    <t>Galloway</t>
  </si>
  <si>
    <t>Cedarville</t>
  </si>
  <si>
    <t>New Richmond</t>
  </si>
  <si>
    <t>Greenfield</t>
  </si>
  <si>
    <t>Blue Springs</t>
  </si>
  <si>
    <t>San Pablo</t>
  </si>
  <si>
    <t>Locust Grove</t>
  </si>
  <si>
    <t>Coralville</t>
  </si>
  <si>
    <t>Sauk City</t>
  </si>
  <si>
    <t>Underwood</t>
  </si>
  <si>
    <t>Bertram</t>
  </si>
  <si>
    <t>Russellville</t>
  </si>
  <si>
    <t>Flat Rock</t>
  </si>
  <si>
    <t>Archer</t>
  </si>
  <si>
    <t>Cedar Falls</t>
  </si>
  <si>
    <t>Congerville</t>
  </si>
  <si>
    <t>Colfax</t>
  </si>
  <si>
    <t>La Crescent</t>
  </si>
  <si>
    <t>Walton</t>
  </si>
  <si>
    <t>Brandon</t>
  </si>
  <si>
    <t>Plainwell</t>
  </si>
  <si>
    <t>Manila</t>
  </si>
  <si>
    <t>Rossford</t>
  </si>
  <si>
    <t>Sunman</t>
  </si>
  <si>
    <t>Brownsville</t>
  </si>
  <si>
    <t>Gambier</t>
  </si>
  <si>
    <t>Howard Lake</t>
  </si>
  <si>
    <t>New Wilmington</t>
  </si>
  <si>
    <t>Oxnard</t>
  </si>
  <si>
    <t>Nunica</t>
  </si>
  <si>
    <t>Warner Robins</t>
  </si>
  <si>
    <t>Center Point</t>
  </si>
  <si>
    <t>Green River</t>
  </si>
  <si>
    <t>Lake Ann</t>
  </si>
  <si>
    <t>Rio</t>
  </si>
  <si>
    <t>Apple Valley</t>
  </si>
  <si>
    <t>Pennsville</t>
  </si>
  <si>
    <t>Syracuse</t>
  </si>
  <si>
    <t>Johannesburg</t>
  </si>
  <si>
    <t>Punta Gorda</t>
  </si>
  <si>
    <t>Tolono</t>
  </si>
  <si>
    <t>Grinnell</t>
  </si>
  <si>
    <t>Goodlettsville</t>
  </si>
  <si>
    <t>Pacoima</t>
  </si>
  <si>
    <t>Chillicothe</t>
  </si>
  <si>
    <t>High Springs</t>
  </si>
  <si>
    <t>Clinton Township</t>
  </si>
  <si>
    <t>Indianola</t>
  </si>
  <si>
    <t>South Range</t>
  </si>
  <si>
    <t>Kenner</t>
  </si>
  <si>
    <t>Agency</t>
  </si>
  <si>
    <t>Horton</t>
  </si>
  <si>
    <t>McDonough</t>
  </si>
  <si>
    <t>Walker</t>
  </si>
  <si>
    <t>Efland</t>
  </si>
  <si>
    <t>Oostburg</t>
  </si>
  <si>
    <t>Harrisburg</t>
  </si>
  <si>
    <t>Shabbona</t>
  </si>
  <si>
    <t>Beulah</t>
  </si>
  <si>
    <t>Rifle</t>
  </si>
  <si>
    <t>Temperance</t>
  </si>
  <si>
    <t>Tallmadge</t>
  </si>
  <si>
    <t>Holt</t>
  </si>
  <si>
    <t>Smyrna</t>
  </si>
  <si>
    <t>Sioux Falls</t>
  </si>
  <si>
    <t>Monroe Center</t>
  </si>
  <si>
    <t>Greensburg</t>
  </si>
  <si>
    <t>Pimento</t>
  </si>
  <si>
    <t>Fairburn</t>
  </si>
  <si>
    <t>Lemon Grove</t>
  </si>
  <si>
    <t>Covington</t>
  </si>
  <si>
    <t>Chippewa Falls</t>
  </si>
  <si>
    <t>Shiocton</t>
  </si>
  <si>
    <t>Trumansburg</t>
  </si>
  <si>
    <t>Prospect</t>
  </si>
  <si>
    <t>Lanark</t>
  </si>
  <si>
    <t>Ringgold</t>
  </si>
  <si>
    <t>Streetsboro</t>
  </si>
  <si>
    <t>Cedar Springs</t>
  </si>
  <si>
    <t>Ellison Bay</t>
  </si>
  <si>
    <t>Surprise</t>
  </si>
  <si>
    <t>Myrtle Beach</t>
  </si>
  <si>
    <t>Mebane</t>
  </si>
  <si>
    <t>Coopersville</t>
  </si>
  <si>
    <t>Claymont</t>
  </si>
  <si>
    <t>Belden</t>
  </si>
  <si>
    <t>Port Charlotte</t>
  </si>
  <si>
    <t>Durand</t>
  </si>
  <si>
    <t>Grand Ridge</t>
  </si>
  <si>
    <t>Vandalia</t>
  </si>
  <si>
    <t>Nephi</t>
  </si>
  <si>
    <t>Dawson</t>
  </si>
  <si>
    <t>Amery</t>
  </si>
  <si>
    <t>Brookville</t>
  </si>
  <si>
    <t>Ferndale</t>
  </si>
  <si>
    <t>Pulaski</t>
  </si>
  <si>
    <t>Seffner</t>
  </si>
  <si>
    <t>Loami</t>
  </si>
  <si>
    <t>Carthage</t>
  </si>
  <si>
    <t>Fairbury</t>
  </si>
  <si>
    <t>Seymour</t>
  </si>
  <si>
    <t>Guthrie</t>
  </si>
  <si>
    <t>Argenta</t>
  </si>
  <si>
    <t>Riverton</t>
  </si>
  <si>
    <t>Parma</t>
  </si>
  <si>
    <t>Loda</t>
  </si>
  <si>
    <t>Brigham City</t>
  </si>
  <si>
    <t>Claypool</t>
  </si>
  <si>
    <t>Miles</t>
  </si>
  <si>
    <t>London</t>
  </si>
  <si>
    <t>Saint Gabriel</t>
  </si>
  <si>
    <t>Laredo</t>
  </si>
  <si>
    <t>Warrens</t>
  </si>
  <si>
    <t>Festus</t>
  </si>
  <si>
    <t>Jefferson</t>
  </si>
  <si>
    <t>Tunkhannock</t>
  </si>
  <si>
    <t>Dyersville</t>
  </si>
  <si>
    <t>Kimberling City</t>
  </si>
  <si>
    <t>Mc Leansville</t>
  </si>
  <si>
    <t>Oskaloosa</t>
  </si>
  <si>
    <t>Rock Springs</t>
  </si>
  <si>
    <t>Eureka</t>
  </si>
  <si>
    <t>Pennsauken</t>
  </si>
  <si>
    <t>Murrells Inlet</t>
  </si>
  <si>
    <t>Tremonton</t>
  </si>
  <si>
    <t>Dodgeville</t>
  </si>
  <si>
    <t>Odell</t>
  </si>
  <si>
    <t>Waupaca</t>
  </si>
  <si>
    <t>Black Mountain</t>
  </si>
  <si>
    <t>Markesan</t>
  </si>
  <si>
    <t>Wright City</t>
  </si>
  <si>
    <t>Walla Walla</t>
  </si>
  <si>
    <t>North Charleston</t>
  </si>
  <si>
    <t>Rigby</t>
  </si>
  <si>
    <t>Wisconsin Rapids</t>
  </si>
  <si>
    <t>Saint Croix Falls</t>
  </si>
  <si>
    <t>Stoddard</t>
  </si>
  <si>
    <t>Altamonte Springs</t>
  </si>
  <si>
    <t>North Hollywood</t>
  </si>
  <si>
    <t>Howe</t>
  </si>
  <si>
    <t>Middlefield</t>
  </si>
  <si>
    <t>Kouts</t>
  </si>
  <si>
    <t>Belton</t>
  </si>
  <si>
    <t>Bryant</t>
  </si>
  <si>
    <t>Tobyhanna</t>
  </si>
  <si>
    <t>Duluth</t>
  </si>
  <si>
    <t>West Paducah</t>
  </si>
  <si>
    <t>Brookston</t>
  </si>
  <si>
    <t>Woodburn</t>
  </si>
  <si>
    <t>Calabash</t>
  </si>
  <si>
    <t>Latonia</t>
  </si>
  <si>
    <t>Lindenwood</t>
  </si>
  <si>
    <t>Argyle</t>
  </si>
  <si>
    <t>Tonica</t>
  </si>
  <si>
    <t>Warrior</t>
  </si>
  <si>
    <t>Dittmer</t>
  </si>
  <si>
    <t>Whiteland</t>
  </si>
  <si>
    <t>Federal Way</t>
  </si>
  <si>
    <t>Flagstaff</t>
  </si>
  <si>
    <t>Woodson</t>
  </si>
  <si>
    <t>Waterman</t>
  </si>
  <si>
    <t>Odonnell</t>
  </si>
  <si>
    <t>Owensboro</t>
  </si>
  <si>
    <t>Ashland City</t>
  </si>
  <si>
    <t>Sebring</t>
  </si>
  <si>
    <t>Fort Mohave</t>
  </si>
  <si>
    <t>Little Rock</t>
  </si>
  <si>
    <t>Crestview</t>
  </si>
  <si>
    <t>Reeds Spring</t>
  </si>
  <si>
    <t>Taylors</t>
  </si>
  <si>
    <t>Faribault</t>
  </si>
  <si>
    <t>Williamsfield</t>
  </si>
  <si>
    <t>Mercer</t>
  </si>
  <si>
    <t>Arthur</t>
  </si>
  <si>
    <t>Sainte Genevieve</t>
  </si>
  <si>
    <t>Wickliffe</t>
  </si>
  <si>
    <t>Johnstown</t>
  </si>
  <si>
    <t>South Saint Paul</t>
  </si>
  <si>
    <t>Apple River</t>
  </si>
  <si>
    <t>Evansville</t>
  </si>
  <si>
    <t>Freedom</t>
  </si>
  <si>
    <t>Saint Germain</t>
  </si>
  <si>
    <t>Harrisonville</t>
  </si>
  <si>
    <t>Birchwood</t>
  </si>
  <si>
    <t>Lena</t>
  </si>
  <si>
    <t>Adena</t>
  </si>
  <si>
    <t>Little York</t>
  </si>
  <si>
    <t>Waterloo</t>
  </si>
  <si>
    <t>Dade City</t>
  </si>
  <si>
    <t>Fulton</t>
  </si>
  <si>
    <t>Purvis</t>
  </si>
  <si>
    <t>Volga</t>
  </si>
  <si>
    <t>Kaiser</t>
  </si>
  <si>
    <t>Gleason</t>
  </si>
  <si>
    <t>Dandridge</t>
  </si>
  <si>
    <t>Stockbridge</t>
  </si>
  <si>
    <t>Pollock</t>
  </si>
  <si>
    <t>Sun City</t>
  </si>
  <si>
    <t>Manawa</t>
  </si>
  <si>
    <t>Carlyle</t>
  </si>
  <si>
    <t>Coon Valley</t>
  </si>
  <si>
    <t>Dixon</t>
  </si>
  <si>
    <t>West Mifflin</t>
  </si>
  <si>
    <t>Florissant</t>
  </si>
  <si>
    <t>Holdrege</t>
  </si>
  <si>
    <t>Chebanse</t>
  </si>
  <si>
    <t>Amboy</t>
  </si>
  <si>
    <t>Daytona Beach</t>
  </si>
  <si>
    <t>Longview</t>
  </si>
  <si>
    <t>Kendallville</t>
  </si>
  <si>
    <t>Hunter</t>
  </si>
  <si>
    <t>Walkerton</t>
  </si>
  <si>
    <t>Waupun</t>
  </si>
  <si>
    <t>Tonawanda</t>
  </si>
  <si>
    <t>Marseilles</t>
  </si>
  <si>
    <t>Centuria</t>
  </si>
  <si>
    <t>Page</t>
  </si>
  <si>
    <t>Albrightsville</t>
  </si>
  <si>
    <t>Morrill</t>
  </si>
  <si>
    <t>Clarks Mills</t>
  </si>
  <si>
    <t>Kingsville</t>
  </si>
  <si>
    <t>Sumter</t>
  </si>
  <si>
    <t>Remington</t>
  </si>
  <si>
    <t>New Kensington</t>
  </si>
  <si>
    <t>Boron</t>
  </si>
  <si>
    <t>Elizabeth</t>
  </si>
  <si>
    <t>San Angelo</t>
  </si>
  <si>
    <t>Ripon</t>
  </si>
  <si>
    <t>Sulphur Springs</t>
  </si>
  <si>
    <t>Gibsonton</t>
  </si>
  <si>
    <t>Crawfordsville</t>
  </si>
  <si>
    <t>Beaverdam</t>
  </si>
  <si>
    <t>Negaunee</t>
  </si>
  <si>
    <t>Tiskilwa</t>
  </si>
  <si>
    <t>Cabery</t>
  </si>
  <si>
    <t>Camdenton</t>
  </si>
  <si>
    <t>Harlingen</t>
  </si>
  <si>
    <t>Pretty Prairie</t>
  </si>
  <si>
    <t>Cape Girardeau</t>
  </si>
  <si>
    <t>Defiance</t>
  </si>
  <si>
    <t>Boling</t>
  </si>
  <si>
    <t>Dugger</t>
  </si>
  <si>
    <t>Lone Rock</t>
  </si>
  <si>
    <t>Humboldt</t>
  </si>
  <si>
    <t>Rensselaer</t>
  </si>
  <si>
    <t>Abbotsford</t>
  </si>
  <si>
    <t>Mondovi</t>
  </si>
  <si>
    <t>Austell</t>
  </si>
  <si>
    <t>Hayward</t>
  </si>
  <si>
    <t>Dothan</t>
  </si>
  <si>
    <t>Prairie Farm</t>
  </si>
  <si>
    <t>Arenzville</t>
  </si>
  <si>
    <t>Cornell</t>
  </si>
  <si>
    <t>Eldorado</t>
  </si>
  <si>
    <t>Upper Sandusky</t>
  </si>
  <si>
    <t>Staunton</t>
  </si>
  <si>
    <t>Ashford</t>
  </si>
  <si>
    <t>Audubon</t>
  </si>
  <si>
    <t>Republic</t>
  </si>
  <si>
    <t>Capac</t>
  </si>
  <si>
    <t>Eland</t>
  </si>
  <si>
    <t>Buhler</t>
  </si>
  <si>
    <t>Butternut</t>
  </si>
  <si>
    <t>Oconto</t>
  </si>
  <si>
    <t>Bloomer</t>
  </si>
  <si>
    <t>Herron</t>
  </si>
  <si>
    <t>Branson</t>
  </si>
  <si>
    <t>Channelview</t>
  </si>
  <si>
    <t>Davison</t>
  </si>
  <si>
    <t>Vickery</t>
  </si>
  <si>
    <t>Watersmeet</t>
  </si>
  <si>
    <t>Jeffersonville</t>
  </si>
  <si>
    <t>Hesperia</t>
  </si>
  <si>
    <t>Billings</t>
  </si>
  <si>
    <t>White City</t>
  </si>
  <si>
    <t>Wichita Falls</t>
  </si>
  <si>
    <t>Cass Lake</t>
  </si>
  <si>
    <t>Seneca Falls</t>
  </si>
  <si>
    <t>Olyphant</t>
  </si>
  <si>
    <t>Kingsland</t>
  </si>
  <si>
    <t>Turlock</t>
  </si>
  <si>
    <t>Galena</t>
  </si>
  <si>
    <t>Embarrass</t>
  </si>
  <si>
    <t>Vineland</t>
  </si>
  <si>
    <t>Romulus</t>
  </si>
  <si>
    <t>Americus</t>
  </si>
  <si>
    <t>Kenedy</t>
  </si>
  <si>
    <t>Ingalls</t>
  </si>
  <si>
    <t>Eagle Grove</t>
  </si>
  <si>
    <t>Palmdale</t>
  </si>
  <si>
    <t>Arcola</t>
  </si>
  <si>
    <t>Bettsville</t>
  </si>
  <si>
    <t>Onslow</t>
  </si>
  <si>
    <t>Loyal</t>
  </si>
  <si>
    <t>Lake Village</t>
  </si>
  <si>
    <t>Moss Point</t>
  </si>
  <si>
    <t>Coldwater</t>
  </si>
  <si>
    <t>East Brady</t>
  </si>
  <si>
    <t>Peoria Heights</t>
  </si>
  <si>
    <t>Dowagiac</t>
  </si>
  <si>
    <t>Morganton</t>
  </si>
  <si>
    <t>Shelbyville</t>
  </si>
  <si>
    <t>Snow Camp</t>
  </si>
  <si>
    <t>Sandborn</t>
  </si>
  <si>
    <t>Hubbard</t>
  </si>
  <si>
    <t>Aledo</t>
  </si>
  <si>
    <t>Bartow</t>
  </si>
  <si>
    <t>Berrien Center</t>
  </si>
  <si>
    <t>Gaston</t>
  </si>
  <si>
    <t>Dania</t>
  </si>
  <si>
    <t>Yucca Valley</t>
  </si>
  <si>
    <t>Vassar</t>
  </si>
  <si>
    <t>Lytle</t>
  </si>
  <si>
    <t>Sister Bay</t>
  </si>
  <si>
    <t>Paxton</t>
  </si>
  <si>
    <t>Wautoma</t>
  </si>
  <si>
    <t>Saint Robert</t>
  </si>
  <si>
    <t>Wilson</t>
  </si>
  <si>
    <t>Farmer City</t>
  </si>
  <si>
    <t>Earlville</t>
  </si>
  <si>
    <t>Denton</t>
  </si>
  <si>
    <t>Maquon</t>
  </si>
  <si>
    <t>Monmouth</t>
  </si>
  <si>
    <t>Hogansville</t>
  </si>
  <si>
    <t>Millbrook</t>
  </si>
  <si>
    <t>Reedsville</t>
  </si>
  <si>
    <t>Williams</t>
  </si>
  <si>
    <t>Coleman</t>
  </si>
  <si>
    <t>White Sulphur Springs</t>
  </si>
  <si>
    <t>Dundalk</t>
  </si>
  <si>
    <t>Mulberry</t>
  </si>
  <si>
    <t>Adolphus</t>
  </si>
  <si>
    <t>Sanderson</t>
  </si>
  <si>
    <t>Morehead</t>
  </si>
  <si>
    <t>Monetta</t>
  </si>
  <si>
    <t>Lady Lake</t>
  </si>
  <si>
    <t>Brookwood</t>
  </si>
  <si>
    <t>Los Fresnos</t>
  </si>
  <si>
    <t>Fredericktown</t>
  </si>
  <si>
    <t>China Grove</t>
  </si>
  <si>
    <t>Overton</t>
  </si>
  <si>
    <t>Snyder</t>
  </si>
  <si>
    <t>Neillsville</t>
  </si>
  <si>
    <t>Necedah</t>
  </si>
  <si>
    <t>Viroqua</t>
  </si>
  <si>
    <t>Tiffin</t>
  </si>
  <si>
    <t>Warrensburg</t>
  </si>
  <si>
    <t>Foley</t>
  </si>
  <si>
    <t>Mishawaka</t>
  </si>
  <si>
    <t>Gatlinburg</t>
  </si>
  <si>
    <t>Morrisville</t>
  </si>
  <si>
    <t>Farmersburg</t>
  </si>
  <si>
    <t>Barberton</t>
  </si>
  <si>
    <t>Hopkinsville</t>
  </si>
  <si>
    <t>Heber Springs</t>
  </si>
  <si>
    <t>West Columbia</t>
  </si>
  <si>
    <t>Roan Mountain</t>
  </si>
  <si>
    <t>Mountain Home</t>
  </si>
  <si>
    <t>Washington Court House</t>
  </si>
  <si>
    <t>Hannibal</t>
  </si>
  <si>
    <t>Texas City</t>
  </si>
  <si>
    <t>Cordele</t>
  </si>
  <si>
    <t>Bessemer</t>
  </si>
  <si>
    <t>Huron</t>
  </si>
  <si>
    <t>Saint Elmo</t>
  </si>
  <si>
    <t>Williamsport</t>
  </si>
  <si>
    <t>Sayre</t>
  </si>
  <si>
    <t>Two Rivers</t>
  </si>
  <si>
    <t>Eustis</t>
  </si>
  <si>
    <t>Camanche</t>
  </si>
  <si>
    <t>Oneonta</t>
  </si>
  <si>
    <t>Johnson City</t>
  </si>
  <si>
    <t>South Fulton</t>
  </si>
  <si>
    <t>Witt</t>
  </si>
  <si>
    <t>Martin</t>
  </si>
  <si>
    <t>Cement</t>
  </si>
  <si>
    <t>Great Falls</t>
  </si>
  <si>
    <t>Longs</t>
  </si>
  <si>
    <t>Safford</t>
  </si>
  <si>
    <t>Spooner</t>
  </si>
  <si>
    <t>Forest City</t>
  </si>
  <si>
    <t>Arkadelphia</t>
  </si>
  <si>
    <t>Olney</t>
  </si>
  <si>
    <t>Great Bend</t>
  </si>
  <si>
    <t>Sedalia</t>
  </si>
  <si>
    <t>New Philadelphia</t>
  </si>
  <si>
    <t>Lock Haven</t>
  </si>
  <si>
    <t>Arabi</t>
  </si>
  <si>
    <t>San Fidel</t>
  </si>
  <si>
    <t>North Platte</t>
  </si>
  <si>
    <t>Shell Knob</t>
  </si>
  <si>
    <t>Rock Falls</t>
  </si>
  <si>
    <t>Fort Benning</t>
  </si>
  <si>
    <t>Cameron</t>
  </si>
  <si>
    <t>Bethany</t>
  </si>
  <si>
    <t>Antigo</t>
  </si>
  <si>
    <t>Mount Carroll</t>
  </si>
  <si>
    <t>Waco</t>
  </si>
  <si>
    <t>El Reno</t>
  </si>
  <si>
    <t>Delevan</t>
  </si>
  <si>
    <t>Wausaukee</t>
  </si>
  <si>
    <t>Mount Morris</t>
  </si>
  <si>
    <t>Crivitz</t>
  </si>
  <si>
    <t>Carmi</t>
  </si>
  <si>
    <t>Bertrand</t>
  </si>
  <si>
    <t>Nitro</t>
  </si>
  <si>
    <t>Alvordton</t>
  </si>
  <si>
    <t>Watervliet</t>
  </si>
  <si>
    <t>Cave City</t>
  </si>
  <si>
    <t>Soldiers Grove</t>
  </si>
  <si>
    <t>Cowgill</t>
  </si>
  <si>
    <t>Pigeon Forge</t>
  </si>
  <si>
    <t>Morriston</t>
  </si>
  <si>
    <t>Coulterville</t>
  </si>
  <si>
    <t>Van Buren</t>
  </si>
  <si>
    <t>Cottage Hills</t>
  </si>
  <si>
    <t>Divernon</t>
  </si>
  <si>
    <t>Plant City</t>
  </si>
  <si>
    <t>Walnut</t>
  </si>
  <si>
    <t>Menominee</t>
  </si>
  <si>
    <t>Goldsboro</t>
  </si>
  <si>
    <t>Clovis</t>
  </si>
  <si>
    <t>Luna Pier</t>
  </si>
  <si>
    <t>Hazleton</t>
  </si>
  <si>
    <t>Anderson</t>
  </si>
  <si>
    <t>Elyria</t>
  </si>
  <si>
    <t>Wataga</t>
  </si>
  <si>
    <t>Adel</t>
  </si>
  <si>
    <t>Radcliff</t>
  </si>
  <si>
    <t>Pearl</t>
  </si>
  <si>
    <t>Yuma</t>
  </si>
  <si>
    <t>Morocco</t>
  </si>
  <si>
    <t>Emporia</t>
  </si>
  <si>
    <t>Murray</t>
  </si>
  <si>
    <t>Elizabethton</t>
  </si>
  <si>
    <t>Davis City</t>
  </si>
  <si>
    <t>Winter Haven</t>
  </si>
  <si>
    <t>Benton</t>
  </si>
  <si>
    <t>Yanceyville</t>
  </si>
  <si>
    <t>Escanaba</t>
  </si>
  <si>
    <t>Coachella</t>
  </si>
  <si>
    <t>Eldon</t>
  </si>
  <si>
    <t>Danforth</t>
  </si>
  <si>
    <t>Greeneville</t>
  </si>
  <si>
    <t>Horse Cave</t>
  </si>
  <si>
    <t>Junction City</t>
  </si>
  <si>
    <t>Pharr</t>
  </si>
  <si>
    <t>Pana</t>
  </si>
  <si>
    <t>Whiteville</t>
  </si>
  <si>
    <t>Mannington</t>
  </si>
  <si>
    <t>Afton</t>
  </si>
  <si>
    <t>Cuba</t>
  </si>
  <si>
    <t>Corbin</t>
  </si>
  <si>
    <t>Wytheville</t>
  </si>
  <si>
    <t>Grenada</t>
  </si>
  <si>
    <t>Jamestown</t>
  </si>
  <si>
    <t>Evart</t>
  </si>
  <si>
    <t>Beardstown</t>
  </si>
  <si>
    <t>Confluence</t>
  </si>
  <si>
    <t>Friendship</t>
  </si>
  <si>
    <t>Fort Oglethorpe</t>
  </si>
  <si>
    <t>Bloomfield</t>
  </si>
  <si>
    <t>Oelwein</t>
  </si>
  <si>
    <t>Laughlin</t>
  </si>
  <si>
    <t>Mayodan</t>
  </si>
  <si>
    <t>Iuka</t>
  </si>
  <si>
    <t>Hazard</t>
  </si>
  <si>
    <t>Uhrichsville</t>
  </si>
  <si>
    <t>San Benito</t>
  </si>
  <si>
    <t>Camden</t>
  </si>
  <si>
    <t>Park Hills</t>
  </si>
  <si>
    <t>Meridian</t>
  </si>
  <si>
    <t>Saint Marie</t>
  </si>
  <si>
    <t>Atlantic City</t>
  </si>
  <si>
    <t>Hutchinson</t>
  </si>
  <si>
    <t>Eskdale</t>
  </si>
  <si>
    <t>Seligman</t>
  </si>
  <si>
    <t>Ontonagon</t>
  </si>
  <si>
    <t>New Marshfield</t>
  </si>
  <si>
    <t>Kinston</t>
  </si>
  <si>
    <t>Rosebud</t>
  </si>
  <si>
    <t>Ecorse</t>
  </si>
  <si>
    <t>Inkster</t>
  </si>
  <si>
    <t>North Little Rock</t>
  </si>
  <si>
    <t>New Madrid</t>
  </si>
  <si>
    <t>McKeesport</t>
  </si>
  <si>
    <t>Beaverville</t>
  </si>
  <si>
    <t>Latta</t>
  </si>
  <si>
    <t>Donna</t>
  </si>
  <si>
    <t>Hamtramck</t>
  </si>
  <si>
    <t>Fabens</t>
  </si>
  <si>
    <t>Matthews</t>
  </si>
  <si>
    <t>Terlingua</t>
  </si>
  <si>
    <t>Bennettsville</t>
  </si>
  <si>
    <t>Marked Tree</t>
  </si>
  <si>
    <t>Tuscaloosa</t>
  </si>
  <si>
    <t>GURABO</t>
  </si>
  <si>
    <t>Hayti</t>
  </si>
  <si>
    <t>CAROLINA</t>
  </si>
  <si>
    <t>CIALES</t>
  </si>
  <si>
    <t>Chicago Botanic Garden - Glencoe, IL 60022</t>
  </si>
  <si>
    <t>Avg Distance All Visitors</t>
  </si>
  <si>
    <t>Analysis</t>
  </si>
  <si>
    <t>DD Analysis</t>
  </si>
  <si>
    <t>AI Analysis</t>
  </si>
  <si>
    <t>3 Mile Radius</t>
  </si>
  <si>
    <t>5 mile radius</t>
  </si>
  <si>
    <t>10 mile radius</t>
  </si>
  <si>
    <t>The Works - Atlanta, GA, 30318</t>
  </si>
  <si>
    <t>Westside Paper - Atlanta, GA 30318</t>
  </si>
  <si>
    <t>Estimated Demographics</t>
  </si>
  <si>
    <t>Visitor Origin Analysis</t>
  </si>
  <si>
    <t>Atlanta Botanical Garden: A Premier Destination with Exceptional Far-Reaching Appeal</t>
  </si>
  <si>
    <t>Most Trips</t>
  </si>
  <si>
    <t>All Analyses</t>
  </si>
  <si>
    <t>CMP</t>
  </si>
  <si>
    <t>Mileage Demo</t>
  </si>
  <si>
    <t>Draw Demo</t>
  </si>
  <si>
    <t>ZIP Codes</t>
  </si>
  <si>
    <t>DT</t>
  </si>
  <si>
    <t>Duration</t>
  </si>
  <si>
    <t>Visitor Origin</t>
  </si>
  <si>
    <t>Executive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</si>
</sst>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6" formatCode="&quot;$&quot;#,##0_);[Red]\(&quot;$&quot;#,##0\)"/>
    <numFmt numFmtId="43" formatCode="_(* #,##0.00_);_(* \(#,##0.00\);_(* &quot;-&quot;??_);_(@_)"/>
    <numFmt numFmtId="164" formatCode="&quot;$&quot;#,##0;[Red]\-&quot;$&quot;#,##0"/>
    <numFmt numFmtId="165" formatCode="0.0%"/>
    <numFmt numFmtId="166" formatCode="0.0"/>
    <numFmt numFmtId="167" formatCode="&quot;$&quot;#,##0"/>
    <numFmt numFmtId="168" formatCode="#,##0.0"/>
    <numFmt numFmtId="169" formatCode="_(* #,##0_);_(* \(#,##0\);_(* &quot;-&quot;??_);_(@_)"/>
  </numFmts>
  <fonts count="55">
    <font>
      <sz val="11"/>
      <color theme="1"/>
      <name val="Calibri"/>
      <family val="2"/>
      <scheme val="minor"/>
    </font>
    <font>
      <sz val="11"/>
      <color theme="1"/>
      <name val="Calibri"/>
      <family val="2"/>
      <scheme val="minor"/>
    </font>
    <font>
      <b/>
      <sz val="11"/>
      <color theme="1"/>
      <name val="Calibri"/>
      <family val="2"/>
      <scheme val="minor"/>
    </font>
    <font>
      <b/>
      <sz val="20"/>
      <color theme="1"/>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b/>
      <sz val="10"/>
      <color rgb="FFFFFFFF"/>
      <name val="Roboto"/>
    </font>
    <font>
      <sz val="10"/>
      <color theme="1"/>
      <name val="Roboto"/>
    </font>
    <font>
      <b/>
      <sz val="10"/>
      <color rgb="FF000000"/>
      <name val="Roboto"/>
    </font>
    <font>
      <sz val="10"/>
      <color rgb="FF000000"/>
      <name val="Roboto"/>
    </font>
    <font>
      <b/>
      <sz val="10"/>
      <color theme="1"/>
      <name val="Roboto"/>
    </font>
    <font>
      <sz val="11"/>
      <color theme="1"/>
      <name val="Roboto"/>
    </font>
    <font>
      <b/>
      <sz val="11"/>
      <color theme="1"/>
      <name val="Roboto"/>
    </font>
    <font>
      <sz val="10"/>
      <color theme="6"/>
      <name val="Roboto"/>
    </font>
    <font>
      <sz val="8"/>
      <name val="Calibri"/>
      <family val="2"/>
      <scheme val="minor"/>
    </font>
    <font>
      <b/>
      <sz val="9"/>
      <color rgb="FFFFFFFF"/>
      <name val="Roboto"/>
    </font>
    <font>
      <sz val="9"/>
      <color theme="1"/>
      <name val="Roboto"/>
    </font>
    <font>
      <sz val="9"/>
      <color rgb="FF000000"/>
      <name val="Roboto"/>
    </font>
    <font>
      <b/>
      <sz val="9"/>
      <color rgb="FF000000"/>
      <name val="Roboto"/>
    </font>
    <font>
      <b/>
      <sz val="9"/>
      <color theme="1"/>
      <name val="Roboto"/>
    </font>
    <font>
      <b/>
      <sz val="9"/>
      <color theme="0" tint="-0.499984740745262"/>
      <name val="Roboto"/>
    </font>
    <font>
      <sz val="9"/>
      <color theme="0" tint="-0.499984740745262"/>
      <name val="Roboto"/>
    </font>
    <font>
      <b/>
      <u/>
      <sz val="9"/>
      <color theme="1"/>
      <name val="Roboto"/>
    </font>
    <font>
      <sz val="9"/>
      <name val="Roboto"/>
    </font>
    <font>
      <b/>
      <sz val="9"/>
      <color theme="0"/>
      <name val="Roboto"/>
    </font>
    <font>
      <b/>
      <sz val="9"/>
      <name val="Roboto"/>
    </font>
    <font>
      <sz val="10"/>
      <color rgb="FF181818"/>
      <name val="Roboto"/>
    </font>
    <font>
      <b/>
      <sz val="14"/>
      <color theme="1"/>
      <name val="Calibri"/>
      <family val="2"/>
      <scheme val="minor"/>
    </font>
    <font>
      <b/>
      <sz val="22"/>
      <color theme="1"/>
      <name val="Calibri"/>
      <family val="2"/>
      <scheme val="minor"/>
    </font>
    <font>
      <b/>
      <sz val="18"/>
      <color theme="1"/>
      <name val="Calibri"/>
      <family val="2"/>
      <scheme val="minor"/>
    </font>
    <font>
      <sz val="20"/>
      <color theme="1"/>
      <name val="Calibri"/>
      <family val="2"/>
      <scheme val="minor"/>
    </font>
    <font>
      <sz val="12"/>
      <color theme="6"/>
      <name val="Calibri"/>
      <family val="2"/>
      <scheme val="minor"/>
    </font>
    <font>
      <b/>
      <sz val="12"/>
      <color theme="6"/>
      <name val="Calibri"/>
      <family val="2"/>
      <scheme val="minor"/>
    </font>
    <font>
      <b/>
      <sz val="16"/>
      <color theme="6"/>
      <name val="Calibri"/>
      <family val="2"/>
      <scheme val="minor"/>
    </font>
    <font>
      <u/>
      <sz val="11"/>
      <color theme="1"/>
      <name val="Roboto"/>
    </font>
    <font>
      <b/>
      <u/>
      <sz val="11"/>
      <color theme="1"/>
      <name val="Roboto"/>
    </font>
    <font>
      <sz val="10"/>
      <color theme="1"/>
      <name val="Arial"/>
      <family val="2"/>
    </font>
    <font>
      <b/>
      <sz val="10"/>
      <color theme="1"/>
      <name val="Arial"/>
      <family val="2"/>
    </font>
    <font>
      <b/>
      <sz val="11"/>
      <color theme="0"/>
      <name val="Roboto"/>
    </font>
    <font>
      <sz val="11"/>
      <color rgb="FF000000"/>
      <name val="Roboto"/>
    </font>
    <font>
      <b/>
      <sz val="11"/>
      <color rgb="FF000000"/>
      <name val="Roboto"/>
    </font>
    <font>
      <b/>
      <sz val="13.6"/>
      <color rgb="FF0C0C0C"/>
      <name val="Calibri"/>
      <family val="2"/>
      <scheme val="minor"/>
    </font>
    <font>
      <b/>
      <sz val="15"/>
      <color rgb="FF000000"/>
      <name val="Roboto"/>
    </font>
    <font>
      <b/>
      <sz val="20"/>
      <color theme="1"/>
      <name val="Calibri "/>
    </font>
    <font>
      <sz val="10"/>
      <color theme="1"/>
      <name val="Calibri"/>
      <family val="2"/>
      <scheme val="minor"/>
    </font>
    <font>
      <b/>
      <sz val="11"/>
      <color theme="0"/>
      <name val="Calibri"/>
      <family val="2"/>
      <scheme val="minor"/>
    </font>
    <font>
      <u/>
      <sz val="11"/>
      <color theme="10"/>
      <name val="Calibri"/>
      <family val="2"/>
      <scheme val="minor"/>
    </font>
    <font>
      <sz val="18"/>
      <color theme="1"/>
      <name val="Roboto"/>
    </font>
    <font>
      <b/>
      <sz val="10"/>
      <color theme="0"/>
      <name val="Roboto"/>
    </font>
    <font>
      <sz val="11"/>
      <color rgb="FF5197C5"/>
      <name val="Segoe UI"/>
      <family val="2"/>
    </font>
    <font>
      <sz val="11"/>
      <color theme="1"/>
      <name val="Segoe UI"/>
      <family val="2"/>
    </font>
    <font>
      <sz val="8"/>
      <color theme="1"/>
      <name val="Segoe UI"/>
      <family val="2"/>
    </font>
    <font>
      <sz val="8"/>
      <color rgb="FF262626"/>
      <name val="Segoe UI"/>
      <family val="2"/>
    </font>
    <font>
      <sz val="8"/>
      <color rgb="FF262626"/>
      <name val="Segoe UI"/>
      <family val="2"/>
    </font>
  </fonts>
  <fills count="16">
    <fill>
      <patternFill patternType="none"/>
    </fill>
    <fill>
      <patternFill patternType="gray125"/>
    </fill>
    <fill>
      <patternFill patternType="solid">
        <fgColor rgb="FF1B427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rgb="FFF2F2F2"/>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9999"/>
        <bgColor indexed="64"/>
      </patternFill>
    </fill>
    <fill>
      <patternFill patternType="solid">
        <fgColor theme="5" tint="0.79998168889431442"/>
        <bgColor indexed="64"/>
      </patternFill>
    </fill>
    <fill>
      <patternFill patternType="solid">
        <fgColor rgb="FFFFFFFF"/>
        <bgColor indexed="64"/>
      </patternFill>
    </fill>
    <fill>
      <patternFill patternType="solid">
        <fgColor rgb="FFE7F2FA"/>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AFAFA"/>
        <bgColor indexed="64"/>
      </patternFill>
    </fill>
  </fills>
  <borders count="51">
    <border>
      <left/>
      <right/>
      <top/>
      <bottom/>
      <diagonal/>
    </border>
    <border>
      <left/>
      <right/>
      <top style="thin">
        <color rgb="FF9BC2E6"/>
      </top>
      <bottom style="thin">
        <color rgb="FF9BC2E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thick">
        <color indexed="64"/>
      </left>
      <right/>
      <top style="thick">
        <color indexed="64"/>
      </top>
      <bottom/>
      <diagonal/>
    </border>
    <border>
      <left/>
      <right style="thick">
        <color indexed="64"/>
      </right>
      <top style="thick">
        <color indexed="64"/>
      </top>
      <bottom/>
      <diagonal/>
    </border>
    <border>
      <left style="medium">
        <color theme="0" tint="-0.34998626667073579"/>
      </left>
      <right/>
      <top/>
      <bottom/>
      <diagonal/>
    </border>
    <border>
      <left/>
      <right style="medium">
        <color theme="0" tint="-0.34998626667073579"/>
      </right>
      <top/>
      <bottom/>
      <diagonal/>
    </border>
    <border>
      <left style="thick">
        <color indexed="64"/>
      </left>
      <right/>
      <top/>
      <bottom/>
      <diagonal/>
    </border>
    <border>
      <left/>
      <right style="thick">
        <color indexed="64"/>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rgb="FF1B4273"/>
      </top>
      <bottom/>
      <diagonal/>
    </border>
    <border>
      <left style="thin">
        <color theme="4" tint="0.39997558519241921"/>
      </left>
      <right/>
      <top style="thin">
        <color rgb="FF1B4273"/>
      </top>
      <bottom style="thin">
        <color theme="4" tint="0.399975585192419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right/>
      <top/>
      <bottom style="thin">
        <color rgb="FF1B4273"/>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4506668294322"/>
      </right>
      <top style="thin">
        <color theme="4" tint="0.39997558519241921"/>
      </top>
      <bottom style="thin">
        <color theme="4" tint="0.39997558519241921"/>
      </bottom>
      <diagonal/>
    </border>
    <border>
      <left/>
      <right/>
      <top/>
      <bottom style="medium">
        <color indexed="64"/>
      </bottom>
      <diagonal/>
    </border>
    <border>
      <left/>
      <right/>
      <top style="medium">
        <color indexed="64"/>
      </top>
      <bottom/>
      <diagonal/>
    </border>
    <border>
      <left/>
      <right/>
      <top/>
      <bottom style="medium">
        <color rgb="FFF0F0F0"/>
      </bottom>
      <diagonal/>
    </border>
    <border>
      <left style="medium">
        <color rgb="FFE8E8E8"/>
      </left>
      <right style="medium">
        <color rgb="FFE8E8E8"/>
      </right>
      <top style="medium">
        <color rgb="FFE8E8E8"/>
      </top>
      <bottom/>
      <diagonal/>
    </border>
    <border>
      <left style="medium">
        <color rgb="FFE8E8E8"/>
      </left>
      <right style="medium">
        <color rgb="FFE8E8E8"/>
      </right>
      <top/>
      <bottom style="medium">
        <color rgb="FFF0F0F0"/>
      </bottom>
      <diagonal/>
    </border>
    <border>
      <left/>
      <right style="medium">
        <color rgb="FFE8E8E8"/>
      </right>
      <top style="medium">
        <color rgb="FFE8E8E8"/>
      </top>
      <bottom/>
      <diagonal/>
    </border>
    <border>
      <left/>
      <right style="medium">
        <color rgb="FFE8E8E8"/>
      </right>
      <top style="medium">
        <color rgb="FFE8E8E8"/>
      </top>
      <bottom style="medium">
        <color rgb="FFF0F0F0"/>
      </bottom>
      <diagonal/>
    </border>
    <border>
      <left/>
      <right style="medium">
        <color rgb="FFE8E8E8"/>
      </right>
      <top/>
      <bottom style="medium">
        <color rgb="FFF0F0F0"/>
      </bottom>
      <diagonal/>
    </border>
    <border>
      <left style="medium">
        <color rgb="FFE8E8E8"/>
      </left>
      <right/>
      <top style="medium">
        <color rgb="FFE8E8E8"/>
      </top>
      <bottom style="medium">
        <color rgb="FFE8E8E8"/>
      </bottom>
      <diagonal/>
    </border>
    <border>
      <left/>
      <right/>
      <top style="medium">
        <color rgb="FFE8E8E8"/>
      </top>
      <bottom style="medium">
        <color rgb="FFE8E8E8"/>
      </bottom>
      <diagonal/>
    </border>
    <border>
      <left/>
      <right style="medium">
        <color rgb="FFE8E8E8"/>
      </right>
      <top style="medium">
        <color rgb="FFE8E8E8"/>
      </top>
      <bottom style="medium">
        <color rgb="FFE8E8E8"/>
      </bottom>
      <diagonal/>
    </border>
    <border>
      <left style="medium">
        <color rgb="FFE8E8E8"/>
      </left>
      <right/>
      <top style="medium">
        <color rgb="FFE8E8E8"/>
      </top>
      <bottom/>
      <diagonal/>
    </border>
    <border>
      <left/>
      <right style="medium">
        <color rgb="FFE8E8E8"/>
      </right>
      <top/>
      <bottom/>
      <diagonal/>
    </border>
  </borders>
  <cellStyleXfs count="5">
    <xf numFmtId="0" fontId="0"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47" fillId="0" borderId="0" applyNumberFormat="0" applyFill="0" applyBorder="0" applyAlignment="0" applyProtection="0"/>
  </cellStyleXfs>
  <cellXfs count="377">
    <xf numFmtId="0" fontId="0" fillId="0" borderId="0" xfId="0"/>
    <xf numFmtId="49" fontId="0" fillId="0" borderId="0" xfId="0" applyNumberFormat="1" applyAlignment="1">
      <alignment horizontal="center" vertical="top" wrapText="1"/>
    </xf>
    <xf numFmtId="0" fontId="0" fillId="0" borderId="0" xfId="0" applyAlignment="1">
      <alignment horizontal="center" vertical="top"/>
    </xf>
    <xf numFmtId="0" fontId="0" fillId="0" borderId="0" xfId="0" applyAlignment="1">
      <alignment horizontal="center" vertical="center"/>
    </xf>
    <xf numFmtId="9" fontId="3" fillId="0" borderId="0" xfId="0" applyNumberFormat="1" applyFont="1" applyAlignment="1">
      <alignment horizontal="center" vertical="center"/>
    </xf>
    <xf numFmtId="0" fontId="0" fillId="0" borderId="0" xfId="0" applyAlignment="1">
      <alignment vertical="center"/>
    </xf>
    <xf numFmtId="3" fontId="0" fillId="0" borderId="0" xfId="0" applyNumberFormat="1" applyAlignment="1">
      <alignment vertical="center"/>
    </xf>
    <xf numFmtId="0" fontId="2" fillId="0" borderId="0" xfId="0" applyFont="1" applyAlignment="1">
      <alignment horizontal="center" vertical="center"/>
    </xf>
    <xf numFmtId="167" fontId="4" fillId="0" borderId="0" xfId="0" applyNumberFormat="1" applyFont="1" applyAlignment="1">
      <alignment horizontal="center" vertical="center"/>
    </xf>
    <xf numFmtId="166" fontId="0" fillId="0" borderId="0" xfId="0" applyNumberFormat="1" applyAlignment="1">
      <alignment vertical="center"/>
    </xf>
    <xf numFmtId="166" fontId="3" fillId="0" borderId="0" xfId="0" applyNumberFormat="1" applyFont="1" applyAlignment="1">
      <alignment horizontal="center" vertical="center"/>
    </xf>
    <xf numFmtId="0" fontId="0" fillId="0" borderId="0" xfId="0" applyAlignment="1">
      <alignment horizontal="center"/>
    </xf>
    <xf numFmtId="49" fontId="0" fillId="0" borderId="0" xfId="0" applyNumberFormat="1" applyAlignment="1">
      <alignment horizontal="left" vertical="top" wrapText="1"/>
    </xf>
    <xf numFmtId="0" fontId="0" fillId="0" borderId="0" xfId="0" applyAlignment="1">
      <alignment horizontal="left" vertical="center"/>
    </xf>
    <xf numFmtId="0" fontId="4" fillId="0" borderId="0" xfId="0" applyFont="1" applyAlignment="1">
      <alignment horizontal="left" vertical="center"/>
    </xf>
    <xf numFmtId="9" fontId="3" fillId="0" borderId="0" xfId="0" applyNumberFormat="1" applyFont="1" applyAlignment="1">
      <alignment horizontal="left" vertical="center"/>
    </xf>
    <xf numFmtId="0" fontId="0" fillId="0" borderId="0" xfId="0" applyAlignment="1">
      <alignment horizontal="left"/>
    </xf>
    <xf numFmtId="168" fontId="5" fillId="0" borderId="0" xfId="0" applyNumberFormat="1" applyFont="1" applyAlignment="1">
      <alignment horizontal="left" vertical="center"/>
    </xf>
    <xf numFmtId="168" fontId="5" fillId="0" borderId="0" xfId="0" applyNumberFormat="1" applyFont="1" applyAlignment="1">
      <alignment horizontal="left" vertical="center" wrapText="1"/>
    </xf>
    <xf numFmtId="0" fontId="6" fillId="0" borderId="0" xfId="0" applyFont="1" applyAlignment="1">
      <alignment vertical="center"/>
    </xf>
    <xf numFmtId="0" fontId="6" fillId="0" borderId="0" xfId="0" applyFont="1"/>
    <xf numFmtId="0" fontId="0" fillId="0" borderId="0" xfId="0" applyAlignment="1">
      <alignment vertical="top"/>
    </xf>
    <xf numFmtId="0" fontId="0" fillId="0" borderId="0" xfId="0" applyAlignment="1">
      <alignment horizontal="center" vertical="center" wrapText="1"/>
    </xf>
    <xf numFmtId="168" fontId="3" fillId="0" borderId="0" xfId="0" applyNumberFormat="1" applyFont="1" applyAlignment="1">
      <alignment horizontal="center" vertical="center"/>
    </xf>
    <xf numFmtId="0" fontId="4" fillId="0" borderId="0" xfId="0" applyFont="1" applyAlignment="1">
      <alignment horizontal="center" vertical="center"/>
    </xf>
    <xf numFmtId="0" fontId="2" fillId="0" borderId="0" xfId="0" applyFont="1" applyAlignment="1">
      <alignment horizontal="left"/>
    </xf>
    <xf numFmtId="0" fontId="7" fillId="2" borderId="0" xfId="0" applyFont="1" applyFill="1" applyAlignment="1">
      <alignment horizontal="left" vertical="center" wrapText="1" indent="1" readingOrder="1"/>
    </xf>
    <xf numFmtId="0" fontId="7" fillId="2" borderId="0" xfId="0" applyFont="1" applyFill="1" applyAlignment="1">
      <alignment horizontal="right" vertical="center" wrapText="1" indent="1" readingOrder="1"/>
    </xf>
    <xf numFmtId="0" fontId="8" fillId="0" borderId="0" xfId="0" applyFont="1" applyAlignment="1">
      <alignment wrapText="1"/>
    </xf>
    <xf numFmtId="0" fontId="9" fillId="0" borderId="0" xfId="0" applyFont="1" applyAlignment="1">
      <alignment horizontal="left" vertical="center" indent="1" readingOrder="1"/>
    </xf>
    <xf numFmtId="3" fontId="9" fillId="0" borderId="0" xfId="0" applyNumberFormat="1" applyFont="1" applyAlignment="1">
      <alignment horizontal="right" vertical="center" wrapText="1" indent="1" readingOrder="1"/>
    </xf>
    <xf numFmtId="167" fontId="9" fillId="0" borderId="0" xfId="0" applyNumberFormat="1" applyFont="1" applyAlignment="1">
      <alignment horizontal="right" vertical="center" wrapText="1" indent="1" readingOrder="1"/>
    </xf>
    <xf numFmtId="165" fontId="9" fillId="0" borderId="0" xfId="1" applyNumberFormat="1" applyFont="1" applyAlignment="1">
      <alignment horizontal="right" vertical="center" wrapText="1" indent="1" readingOrder="1"/>
    </xf>
    <xf numFmtId="166" fontId="9" fillId="0" borderId="0" xfId="0" applyNumberFormat="1" applyFont="1" applyAlignment="1">
      <alignment horizontal="right" vertical="center" wrapText="1" indent="1" readingOrder="1"/>
    </xf>
    <xf numFmtId="0" fontId="8" fillId="0" borderId="0" xfId="0" applyFont="1"/>
    <xf numFmtId="0" fontId="10" fillId="0" borderId="0" xfId="0" applyFont="1" applyAlignment="1">
      <alignment horizontal="left" vertical="center" indent="1" readingOrder="1"/>
    </xf>
    <xf numFmtId="3" fontId="10" fillId="0" borderId="0" xfId="0" applyNumberFormat="1" applyFont="1" applyAlignment="1">
      <alignment horizontal="right" vertical="center" wrapText="1" indent="1" readingOrder="1"/>
    </xf>
    <xf numFmtId="167" fontId="10" fillId="0" borderId="0" xfId="0" applyNumberFormat="1" applyFont="1" applyAlignment="1">
      <alignment horizontal="right" vertical="center" wrapText="1" indent="1" readingOrder="1"/>
    </xf>
    <xf numFmtId="165" fontId="10" fillId="0" borderId="0" xfId="1" applyNumberFormat="1" applyFont="1" applyAlignment="1">
      <alignment horizontal="right" vertical="center" wrapText="1" indent="1" readingOrder="1"/>
    </xf>
    <xf numFmtId="166" fontId="10" fillId="0" borderId="0" xfId="0" applyNumberFormat="1" applyFont="1" applyAlignment="1">
      <alignment horizontal="right" vertical="center" wrapText="1" indent="1" readingOrder="1"/>
    </xf>
    <xf numFmtId="0" fontId="9" fillId="3" borderId="0" xfId="0" applyFont="1" applyFill="1" applyAlignment="1">
      <alignment horizontal="left" vertical="center" indent="1" readingOrder="1"/>
    </xf>
    <xf numFmtId="3" fontId="9" fillId="3" borderId="0" xfId="0" applyNumberFormat="1" applyFont="1" applyFill="1" applyAlignment="1">
      <alignment horizontal="right" vertical="center" wrapText="1" indent="1" readingOrder="1"/>
    </xf>
    <xf numFmtId="167" fontId="9" fillId="3" borderId="0" xfId="0" applyNumberFormat="1" applyFont="1" applyFill="1" applyAlignment="1">
      <alignment horizontal="right" vertical="center" wrapText="1" indent="1" readingOrder="1"/>
    </xf>
    <xf numFmtId="165" fontId="9" fillId="3" borderId="0" xfId="1" applyNumberFormat="1" applyFont="1" applyFill="1" applyAlignment="1">
      <alignment horizontal="right" vertical="center" wrapText="1" indent="1" readingOrder="1"/>
    </xf>
    <xf numFmtId="166" fontId="9" fillId="3" borderId="0" xfId="0" applyNumberFormat="1" applyFont="1" applyFill="1" applyAlignment="1">
      <alignment horizontal="right" vertical="center" wrapText="1" indent="1" readingOrder="1"/>
    </xf>
    <xf numFmtId="0" fontId="11" fillId="0" borderId="0" xfId="0" applyFont="1"/>
    <xf numFmtId="0" fontId="8" fillId="0" borderId="0" xfId="0" applyFont="1" applyAlignment="1">
      <alignment horizontal="left" vertical="center" indent="1"/>
    </xf>
    <xf numFmtId="0" fontId="8" fillId="0" borderId="0" xfId="0" applyFont="1" applyAlignment="1">
      <alignment horizontal="right" vertical="center" indent="1"/>
    </xf>
    <xf numFmtId="0" fontId="12" fillId="0" borderId="0" xfId="0" applyFont="1"/>
    <xf numFmtId="0" fontId="7" fillId="2" borderId="16" xfId="0" applyFont="1" applyFill="1" applyBorder="1" applyAlignment="1">
      <alignment horizontal="left" vertical="center" indent="1" readingOrder="1"/>
    </xf>
    <xf numFmtId="0" fontId="7" fillId="2" borderId="16" xfId="0" applyFont="1" applyFill="1" applyBorder="1" applyAlignment="1">
      <alignment horizontal="right" vertical="center" indent="1" readingOrder="1"/>
    </xf>
    <xf numFmtId="0" fontId="7" fillId="2" borderId="16" xfId="0" applyFont="1" applyFill="1" applyBorder="1" applyAlignment="1">
      <alignment horizontal="right" vertical="center" wrapText="1" indent="1" readingOrder="1"/>
    </xf>
    <xf numFmtId="0" fontId="13" fillId="0" borderId="0" xfId="0" applyFont="1"/>
    <xf numFmtId="0" fontId="12" fillId="0" borderId="0" xfId="0" applyFont="1" applyAlignment="1">
      <alignment horizontal="left" indent="1"/>
    </xf>
    <xf numFmtId="0" fontId="12" fillId="0" borderId="0" xfId="0" applyFont="1" applyAlignment="1">
      <alignment horizontal="right" indent="1"/>
    </xf>
    <xf numFmtId="0" fontId="12" fillId="0" borderId="0" xfId="0" applyFont="1" applyAlignment="1">
      <alignment horizontal="left"/>
    </xf>
    <xf numFmtId="0" fontId="14" fillId="0" borderId="0" xfId="0" applyFont="1"/>
    <xf numFmtId="0" fontId="14" fillId="0" borderId="0" xfId="0" applyFont="1" applyAlignment="1">
      <alignment horizontal="right" indent="1"/>
    </xf>
    <xf numFmtId="0" fontId="14" fillId="0" borderId="0" xfId="0" applyFont="1" applyAlignment="1">
      <alignment horizontal="left"/>
    </xf>
    <xf numFmtId="0" fontId="14" fillId="0" borderId="0" xfId="0" applyFont="1" applyAlignment="1">
      <alignment horizontal="left" indent="1"/>
    </xf>
    <xf numFmtId="1" fontId="14" fillId="0" borderId="0" xfId="0" applyNumberFormat="1" applyFont="1" applyAlignment="1">
      <alignment horizontal="left"/>
    </xf>
    <xf numFmtId="49" fontId="14" fillId="0" borderId="0" xfId="0" applyNumberFormat="1" applyFont="1" applyAlignment="1">
      <alignment horizontal="left" indent="1"/>
    </xf>
    <xf numFmtId="166" fontId="14" fillId="0" borderId="0" xfId="0" applyNumberFormat="1" applyFont="1" applyAlignment="1">
      <alignment horizontal="right" indent="1"/>
    </xf>
    <xf numFmtId="165" fontId="14" fillId="0" borderId="0" xfId="0" applyNumberFormat="1" applyFont="1"/>
    <xf numFmtId="2" fontId="14" fillId="0" borderId="0" xfId="0" applyNumberFormat="1" applyFont="1" applyAlignment="1">
      <alignment horizontal="right" indent="1"/>
    </xf>
    <xf numFmtId="9" fontId="14" fillId="0" borderId="0" xfId="0" applyNumberFormat="1" applyFont="1"/>
    <xf numFmtId="0" fontId="7" fillId="2" borderId="16" xfId="0" applyFont="1" applyFill="1" applyBorder="1" applyAlignment="1">
      <alignment horizontal="left" vertical="center" readingOrder="1"/>
    </xf>
    <xf numFmtId="166" fontId="9" fillId="0" borderId="0" xfId="1" applyNumberFormat="1" applyFont="1" applyAlignment="1">
      <alignment horizontal="right" vertical="center" wrapText="1" indent="1" readingOrder="1"/>
    </xf>
    <xf numFmtId="166" fontId="10" fillId="0" borderId="0" xfId="1" applyNumberFormat="1" applyFont="1" applyAlignment="1">
      <alignment horizontal="right" vertical="center" wrapText="1" indent="1" readingOrder="1"/>
    </xf>
    <xf numFmtId="0" fontId="14" fillId="0" borderId="0" xfId="0" applyFont="1" applyAlignment="1">
      <alignment horizontal="right"/>
    </xf>
    <xf numFmtId="0" fontId="14" fillId="0" borderId="0" xfId="0" applyFont="1" applyAlignment="1">
      <alignment horizontal="center"/>
    </xf>
    <xf numFmtId="49" fontId="14" fillId="0" borderId="0" xfId="0" applyNumberFormat="1" applyFont="1" applyAlignment="1">
      <alignment horizontal="right" indent="1"/>
    </xf>
    <xf numFmtId="166" fontId="14" fillId="0" borderId="0" xfId="0" applyNumberFormat="1" applyFont="1" applyAlignment="1">
      <alignment horizontal="right"/>
    </xf>
    <xf numFmtId="165" fontId="14" fillId="0" borderId="1" xfId="1" applyNumberFormat="1" applyFont="1" applyBorder="1" applyAlignment="1">
      <alignment horizontal="right" wrapText="1" indent="1" readingOrder="1"/>
    </xf>
    <xf numFmtId="2" fontId="14" fillId="0" borderId="0" xfId="0" applyNumberFormat="1" applyFont="1" applyAlignment="1">
      <alignment horizontal="center"/>
    </xf>
    <xf numFmtId="166" fontId="14" fillId="0" borderId="0" xfId="0" applyNumberFormat="1" applyFont="1"/>
    <xf numFmtId="0" fontId="16" fillId="2" borderId="0" xfId="0" applyFont="1" applyFill="1" applyAlignment="1">
      <alignment horizontal="left" vertical="center" indent="1"/>
    </xf>
    <xf numFmtId="166" fontId="16" fillId="2" borderId="0" xfId="0" applyNumberFormat="1" applyFont="1" applyFill="1" applyAlignment="1">
      <alignment horizontal="right" vertical="center" wrapText="1" indent="1"/>
    </xf>
    <xf numFmtId="0" fontId="16" fillId="2" borderId="0" xfId="0" applyFont="1" applyFill="1" applyAlignment="1">
      <alignment horizontal="right" vertical="center" wrapText="1" indent="1"/>
    </xf>
    <xf numFmtId="0" fontId="17" fillId="0" borderId="0" xfId="0" applyFont="1"/>
    <xf numFmtId="0" fontId="18" fillId="0" borderId="0" xfId="0" applyFont="1" applyAlignment="1">
      <alignment horizontal="left" vertical="center" indent="1"/>
    </xf>
    <xf numFmtId="166" fontId="18" fillId="0" borderId="0" xfId="1" applyNumberFormat="1" applyFont="1" applyAlignment="1">
      <alignment horizontal="right" vertical="center" indent="1"/>
    </xf>
    <xf numFmtId="165" fontId="18" fillId="0" borderId="0" xfId="1" applyNumberFormat="1" applyFont="1" applyAlignment="1">
      <alignment horizontal="right" vertical="center" indent="1"/>
    </xf>
    <xf numFmtId="3" fontId="18" fillId="0" borderId="0" xfId="0" applyNumberFormat="1" applyFont="1" applyAlignment="1">
      <alignment horizontal="right" vertical="center" indent="1"/>
    </xf>
    <xf numFmtId="167" fontId="18" fillId="0" borderId="0" xfId="0" applyNumberFormat="1" applyFont="1" applyAlignment="1">
      <alignment horizontal="right" vertical="center" indent="1"/>
    </xf>
    <xf numFmtId="0" fontId="18" fillId="3" borderId="0" xfId="0" applyFont="1" applyFill="1" applyAlignment="1">
      <alignment horizontal="left" vertical="center" indent="1"/>
    </xf>
    <xf numFmtId="166" fontId="19" fillId="3" borderId="0" xfId="1" applyNumberFormat="1" applyFont="1" applyFill="1" applyAlignment="1">
      <alignment horizontal="right" vertical="center" indent="1"/>
    </xf>
    <xf numFmtId="165" fontId="19" fillId="3" borderId="0" xfId="1" applyNumberFormat="1" applyFont="1" applyFill="1" applyAlignment="1">
      <alignment horizontal="right" vertical="center" indent="1"/>
    </xf>
    <xf numFmtId="3" fontId="19" fillId="3" borderId="0" xfId="1" applyNumberFormat="1" applyFont="1" applyFill="1" applyAlignment="1">
      <alignment horizontal="right" vertical="center" indent="1"/>
    </xf>
    <xf numFmtId="167" fontId="19" fillId="3" borderId="0" xfId="1" applyNumberFormat="1" applyFont="1" applyFill="1" applyAlignment="1">
      <alignment horizontal="right" vertical="center" indent="1"/>
    </xf>
    <xf numFmtId="0" fontId="20" fillId="0" borderId="0" xfId="0" applyFont="1" applyAlignment="1">
      <alignment horizontal="left" vertical="center" indent="1"/>
    </xf>
    <xf numFmtId="0" fontId="17" fillId="0" borderId="0" xfId="0" applyFont="1" applyAlignment="1">
      <alignment horizontal="left" vertical="center" indent="1"/>
    </xf>
    <xf numFmtId="0" fontId="17" fillId="0" borderId="0" xfId="0" applyFont="1" applyAlignment="1">
      <alignment horizontal="right" vertical="center" indent="1"/>
    </xf>
    <xf numFmtId="0" fontId="20" fillId="0" borderId="0" xfId="0" applyFont="1"/>
    <xf numFmtId="0" fontId="17" fillId="5" borderId="0" xfId="0" applyFont="1" applyFill="1"/>
    <xf numFmtId="3" fontId="18" fillId="0" borderId="5" xfId="0" applyNumberFormat="1" applyFont="1" applyBorder="1" applyAlignment="1">
      <alignment horizontal="center" vertical="center" readingOrder="1"/>
    </xf>
    <xf numFmtId="3" fontId="18" fillId="0" borderId="6" xfId="0" applyNumberFormat="1" applyFont="1" applyBorder="1" applyAlignment="1">
      <alignment horizontal="center" vertical="center" readingOrder="1"/>
    </xf>
    <xf numFmtId="1" fontId="17" fillId="9" borderId="19" xfId="0" applyNumberFormat="1" applyFont="1" applyFill="1" applyBorder="1"/>
    <xf numFmtId="1" fontId="17" fillId="0" borderId="0" xfId="0" applyNumberFormat="1" applyFont="1"/>
    <xf numFmtId="1" fontId="17" fillId="5" borderId="0" xfId="0" applyNumberFormat="1" applyFont="1" applyFill="1"/>
    <xf numFmtId="1" fontId="22" fillId="0" borderId="7" xfId="0" applyNumberFormat="1" applyFont="1" applyBorder="1" applyAlignment="1">
      <alignment horizontal="left"/>
    </xf>
    <xf numFmtId="1" fontId="22" fillId="0" borderId="0" xfId="0" applyNumberFormat="1" applyFont="1" applyAlignment="1">
      <alignment horizontal="right"/>
    </xf>
    <xf numFmtId="1" fontId="22" fillId="0" borderId="8" xfId="0" applyNumberFormat="1" applyFont="1" applyBorder="1" applyAlignment="1">
      <alignment horizontal="right"/>
    </xf>
    <xf numFmtId="3" fontId="18" fillId="0" borderId="9" xfId="0" applyNumberFormat="1" applyFont="1" applyBorder="1" applyAlignment="1">
      <alignment horizontal="center" vertical="center" readingOrder="1"/>
    </xf>
    <xf numFmtId="3" fontId="18" fillId="0" borderId="10" xfId="0" quotePrefix="1" applyNumberFormat="1" applyFont="1" applyBorder="1" applyAlignment="1">
      <alignment horizontal="center" vertical="center" readingOrder="1"/>
    </xf>
    <xf numFmtId="1" fontId="17" fillId="9" borderId="21" xfId="0" applyNumberFormat="1" applyFont="1" applyFill="1" applyBorder="1"/>
    <xf numFmtId="1" fontId="22" fillId="0" borderId="11" xfId="0" applyNumberFormat="1" applyFont="1" applyBorder="1" applyAlignment="1">
      <alignment horizontal="left"/>
    </xf>
    <xf numFmtId="1" fontId="22" fillId="0" borderId="12" xfId="0" applyNumberFormat="1" applyFont="1" applyBorder="1" applyAlignment="1">
      <alignment horizontal="right"/>
    </xf>
    <xf numFmtId="1" fontId="22" fillId="0" borderId="0" xfId="0" applyNumberFormat="1" applyFont="1" applyAlignment="1">
      <alignment horizontal="left"/>
    </xf>
    <xf numFmtId="1" fontId="22" fillId="5" borderId="0" xfId="0" applyNumberFormat="1" applyFont="1" applyFill="1" applyAlignment="1">
      <alignment horizontal="left"/>
    </xf>
    <xf numFmtId="1" fontId="22" fillId="5" borderId="0" xfId="0" applyNumberFormat="1" applyFont="1" applyFill="1" applyAlignment="1">
      <alignment horizontal="right"/>
    </xf>
    <xf numFmtId="1" fontId="22" fillId="0" borderId="2" xfId="0" applyNumberFormat="1" applyFont="1" applyBorder="1" applyAlignment="1">
      <alignment horizontal="right"/>
    </xf>
    <xf numFmtId="1" fontId="22" fillId="0" borderId="3" xfId="0" applyNumberFormat="1" applyFont="1" applyBorder="1" applyAlignment="1">
      <alignment horizontal="right"/>
    </xf>
    <xf numFmtId="1" fontId="22" fillId="0" borderId="4" xfId="0" applyNumberFormat="1" applyFont="1" applyBorder="1" applyAlignment="1">
      <alignment horizontal="right"/>
    </xf>
    <xf numFmtId="1" fontId="22" fillId="0" borderId="24" xfId="0" applyNumberFormat="1" applyFont="1" applyBorder="1" applyAlignment="1">
      <alignment horizontal="right"/>
    </xf>
    <xf numFmtId="1" fontId="22" fillId="0" borderId="25" xfId="0" applyNumberFormat="1" applyFont="1" applyBorder="1" applyAlignment="1">
      <alignment horizontal="right"/>
    </xf>
    <xf numFmtId="1" fontId="22" fillId="0" borderId="26" xfId="0" applyNumberFormat="1" applyFont="1" applyBorder="1" applyAlignment="1">
      <alignment horizontal="right"/>
    </xf>
    <xf numFmtId="1" fontId="22" fillId="0" borderId="27" xfId="0" applyNumberFormat="1" applyFont="1" applyBorder="1" applyAlignment="1">
      <alignment horizontal="right"/>
    </xf>
    <xf numFmtId="1" fontId="22" fillId="0" borderId="28" xfId="0" applyNumberFormat="1" applyFont="1" applyBorder="1" applyAlignment="1">
      <alignment horizontal="right"/>
    </xf>
    <xf numFmtId="1" fontId="17" fillId="9" borderId="23" xfId="0" applyNumberFormat="1" applyFont="1" applyFill="1" applyBorder="1"/>
    <xf numFmtId="0" fontId="22" fillId="5" borderId="0" xfId="0" applyFont="1" applyFill="1" applyAlignment="1">
      <alignment horizontal="left"/>
    </xf>
    <xf numFmtId="0" fontId="22" fillId="0" borderId="29" xfId="0" applyFont="1" applyBorder="1" applyAlignment="1">
      <alignment horizontal="right"/>
    </xf>
    <xf numFmtId="0" fontId="22" fillId="0" borderId="30" xfId="0" applyFont="1" applyBorder="1" applyAlignment="1">
      <alignment horizontal="right"/>
    </xf>
    <xf numFmtId="0" fontId="22" fillId="0" borderId="31" xfId="0" applyFont="1" applyBorder="1" applyAlignment="1">
      <alignment horizontal="right"/>
    </xf>
    <xf numFmtId="0" fontId="17" fillId="0" borderId="0" xfId="0" applyFont="1" applyAlignment="1">
      <alignment horizontal="center" vertical="center"/>
    </xf>
    <xf numFmtId="0" fontId="22" fillId="0" borderId="0" xfId="0" applyFont="1" applyAlignment="1">
      <alignment horizontal="left"/>
    </xf>
    <xf numFmtId="0" fontId="22" fillId="0" borderId="0" xfId="0" applyFont="1" applyAlignment="1">
      <alignment horizontal="right"/>
    </xf>
    <xf numFmtId="0" fontId="20" fillId="4" borderId="0" xfId="0" applyFont="1" applyFill="1"/>
    <xf numFmtId="0" fontId="17" fillId="4" borderId="0" xfId="0" applyFont="1" applyFill="1" applyAlignment="1">
      <alignment horizontal="center" vertical="center"/>
    </xf>
    <xf numFmtId="0" fontId="20" fillId="4" borderId="0" xfId="0" applyFont="1" applyFill="1" applyAlignment="1">
      <alignment horizontal="center" vertical="center"/>
    </xf>
    <xf numFmtId="0" fontId="20" fillId="4" borderId="0" xfId="0" applyFont="1" applyFill="1" applyAlignment="1">
      <alignment horizontal="right" vertical="center"/>
    </xf>
    <xf numFmtId="0" fontId="16" fillId="2" borderId="0" xfId="0" applyFont="1" applyFill="1" applyAlignment="1">
      <alignment horizontal="center" vertical="center" readingOrder="1"/>
    </xf>
    <xf numFmtId="0" fontId="19" fillId="0" borderId="0" xfId="0" applyFont="1" applyAlignment="1">
      <alignment horizontal="left" vertical="center" readingOrder="1"/>
    </xf>
    <xf numFmtId="0" fontId="19" fillId="6" borderId="0" xfId="0" applyFont="1" applyFill="1" applyAlignment="1">
      <alignment horizontal="left" vertical="center" readingOrder="1"/>
    </xf>
    <xf numFmtId="0" fontId="18" fillId="6" borderId="0" xfId="0" applyFont="1" applyFill="1" applyAlignment="1">
      <alignment horizontal="left" vertical="center" readingOrder="1"/>
    </xf>
    <xf numFmtId="0" fontId="24" fillId="6" borderId="0" xfId="0" applyFont="1" applyFill="1" applyAlignment="1">
      <alignment horizontal="left" vertical="center"/>
    </xf>
    <xf numFmtId="0" fontId="18" fillId="0" borderId="0" xfId="0" applyFont="1" applyAlignment="1">
      <alignment horizontal="left" vertical="center" readingOrder="1"/>
    </xf>
    <xf numFmtId="0" fontId="24" fillId="0" borderId="0" xfId="0" applyFont="1" applyAlignment="1">
      <alignment horizontal="left" vertical="center"/>
    </xf>
    <xf numFmtId="0" fontId="25" fillId="2" borderId="0" xfId="0" applyFont="1" applyFill="1" applyAlignment="1">
      <alignment horizontal="left" indent="1"/>
    </xf>
    <xf numFmtId="0" fontId="25" fillId="2" borderId="0" xfId="0" applyFont="1" applyFill="1" applyAlignment="1">
      <alignment horizontal="right" vertical="center" indent="1"/>
    </xf>
    <xf numFmtId="0" fontId="25" fillId="2" borderId="13" xfId="0" applyFont="1" applyFill="1" applyBorder="1" applyAlignment="1">
      <alignment horizontal="right" vertical="center" indent="1"/>
    </xf>
    <xf numFmtId="0" fontId="25" fillId="2" borderId="14" xfId="0" applyFont="1" applyFill="1" applyBorder="1" applyAlignment="1">
      <alignment horizontal="right" vertical="center" indent="1"/>
    </xf>
    <xf numFmtId="0" fontId="24" fillId="0" borderId="0" xfId="0" applyFont="1" applyAlignment="1">
      <alignment horizontal="left" vertical="top" indent="1" shrinkToFit="1"/>
    </xf>
    <xf numFmtId="0" fontId="24" fillId="7" borderId="13" xfId="0" applyFont="1" applyFill="1" applyBorder="1" applyAlignment="1">
      <alignment horizontal="right" vertical="center" indent="1" shrinkToFit="1"/>
    </xf>
    <xf numFmtId="0" fontId="24" fillId="0" borderId="13" xfId="0" applyFont="1" applyBorder="1" applyAlignment="1">
      <alignment horizontal="right" vertical="center" indent="1" shrinkToFit="1"/>
    </xf>
    <xf numFmtId="3" fontId="26" fillId="0" borderId="14" xfId="0" applyNumberFormat="1" applyFont="1" applyBorder="1" applyAlignment="1">
      <alignment horizontal="right" vertical="center" wrapText="1" indent="1" shrinkToFit="1"/>
    </xf>
    <xf numFmtId="3" fontId="24" fillId="0" borderId="14" xfId="0" applyNumberFormat="1" applyFont="1" applyBorder="1" applyAlignment="1">
      <alignment horizontal="right" vertical="center" wrapText="1" indent="1" shrinkToFit="1"/>
    </xf>
    <xf numFmtId="3" fontId="26" fillId="7" borderId="14" xfId="0" applyNumberFormat="1" applyFont="1" applyFill="1" applyBorder="1" applyAlignment="1">
      <alignment horizontal="right" vertical="center" wrapText="1" indent="1" shrinkToFit="1"/>
    </xf>
    <xf numFmtId="3" fontId="24" fillId="7" borderId="14" xfId="0" applyNumberFormat="1" applyFont="1" applyFill="1" applyBorder="1" applyAlignment="1">
      <alignment horizontal="right" vertical="center" wrapText="1" indent="1" shrinkToFit="1"/>
    </xf>
    <xf numFmtId="0" fontId="17" fillId="0" borderId="0" xfId="0" applyFont="1" applyAlignment="1">
      <alignment horizontal="left" indent="1"/>
    </xf>
    <xf numFmtId="0" fontId="25" fillId="2" borderId="13" xfId="0" applyFont="1" applyFill="1" applyBorder="1" applyAlignment="1">
      <alignment horizontal="left" indent="1"/>
    </xf>
    <xf numFmtId="167" fontId="24" fillId="7" borderId="13" xfId="0" applyNumberFormat="1" applyFont="1" applyFill="1" applyBorder="1" applyAlignment="1">
      <alignment horizontal="left" vertical="top" indent="1" shrinkToFit="1"/>
    </xf>
    <xf numFmtId="167" fontId="17" fillId="0" borderId="0" xfId="0" applyNumberFormat="1" applyFont="1" applyAlignment="1">
      <alignment horizontal="right" vertical="center" indent="1"/>
    </xf>
    <xf numFmtId="167" fontId="24" fillId="7" borderId="13" xfId="0" applyNumberFormat="1" applyFont="1" applyFill="1" applyBorder="1" applyAlignment="1">
      <alignment horizontal="right" vertical="center" indent="1" shrinkToFit="1"/>
    </xf>
    <xf numFmtId="0" fontId="24" fillId="0" borderId="13" xfId="0" applyFont="1" applyBorder="1" applyAlignment="1">
      <alignment horizontal="left" vertical="top" indent="1" shrinkToFit="1"/>
    </xf>
    <xf numFmtId="0" fontId="24" fillId="7" borderId="13" xfId="0" applyFont="1" applyFill="1" applyBorder="1" applyAlignment="1">
      <alignment horizontal="left" vertical="top" indent="1" shrinkToFit="1"/>
    </xf>
    <xf numFmtId="6" fontId="26" fillId="0" borderId="0" xfId="0" applyNumberFormat="1" applyFont="1" applyAlignment="1">
      <alignment horizontal="right" vertical="center" wrapText="1" indent="1" shrinkToFit="1"/>
    </xf>
    <xf numFmtId="3" fontId="26" fillId="0" borderId="0" xfId="0" applyNumberFormat="1" applyFont="1" applyAlignment="1">
      <alignment horizontal="right" vertical="center" wrapText="1" indent="1" shrinkToFit="1"/>
    </xf>
    <xf numFmtId="6" fontId="24" fillId="0" borderId="0" xfId="0" applyNumberFormat="1" applyFont="1" applyAlignment="1">
      <alignment horizontal="right" vertical="center" wrapText="1" indent="1" shrinkToFit="1"/>
    </xf>
    <xf numFmtId="3" fontId="24" fillId="0" borderId="0" xfId="0" applyNumberFormat="1" applyFont="1" applyAlignment="1">
      <alignment horizontal="right" vertical="center" wrapText="1" indent="1" shrinkToFit="1"/>
    </xf>
    <xf numFmtId="6" fontId="26" fillId="7" borderId="14" xfId="0" applyNumberFormat="1" applyFont="1" applyFill="1" applyBorder="1" applyAlignment="1">
      <alignment horizontal="right" vertical="center" wrapText="1" indent="1" shrinkToFit="1"/>
    </xf>
    <xf numFmtId="6" fontId="24" fillId="7" borderId="14" xfId="0" applyNumberFormat="1" applyFont="1" applyFill="1" applyBorder="1" applyAlignment="1">
      <alignment horizontal="right" vertical="center" wrapText="1" indent="1" shrinkToFit="1"/>
    </xf>
    <xf numFmtId="0" fontId="24" fillId="7" borderId="33" xfId="0" applyFont="1" applyFill="1" applyBorder="1" applyAlignment="1">
      <alignment horizontal="left" vertical="top" indent="1" shrinkToFit="1"/>
    </xf>
    <xf numFmtId="3" fontId="26" fillId="7" borderId="34" xfId="0" applyNumberFormat="1" applyFont="1" applyFill="1" applyBorder="1" applyAlignment="1">
      <alignment horizontal="right" vertical="center" wrapText="1" indent="1" shrinkToFit="1"/>
    </xf>
    <xf numFmtId="3" fontId="24" fillId="7" borderId="34" xfId="0" applyNumberFormat="1" applyFont="1" applyFill="1" applyBorder="1" applyAlignment="1">
      <alignment horizontal="right" vertical="center" wrapText="1" indent="1" shrinkToFit="1"/>
    </xf>
    <xf numFmtId="0" fontId="25" fillId="2" borderId="36" xfId="0" applyFont="1" applyFill="1" applyBorder="1" applyAlignment="1">
      <alignment horizontal="left" indent="1"/>
    </xf>
    <xf numFmtId="9" fontId="26" fillId="0" borderId="0" xfId="1" applyFont="1" applyAlignment="1">
      <alignment horizontal="right" vertical="center" wrapText="1" indent="1" shrinkToFit="1"/>
    </xf>
    <xf numFmtId="9" fontId="24" fillId="0" borderId="0" xfId="1" applyFont="1" applyAlignment="1">
      <alignment horizontal="right" vertical="center" wrapText="1" indent="1" shrinkToFit="1"/>
    </xf>
    <xf numFmtId="165" fontId="12" fillId="0" borderId="0" xfId="0" applyNumberFormat="1" applyFont="1"/>
    <xf numFmtId="0" fontId="11" fillId="0" borderId="0" xfId="0" applyFont="1" applyAlignment="1">
      <alignment horizontal="left" vertical="center" indent="1"/>
    </xf>
    <xf numFmtId="3" fontId="10" fillId="0" borderId="0" xfId="0" applyNumberFormat="1" applyFont="1" applyAlignment="1">
      <alignment horizontal="right" vertical="center" wrapText="1" readingOrder="1"/>
    </xf>
    <xf numFmtId="3" fontId="10" fillId="0" borderId="0" xfId="0" applyNumberFormat="1" applyFont="1" applyAlignment="1">
      <alignment horizontal="right" wrapText="1" readingOrder="1"/>
    </xf>
    <xf numFmtId="1" fontId="8" fillId="0" borderId="0" xfId="0" applyNumberFormat="1" applyFont="1" applyAlignment="1">
      <alignment horizontal="right" vertical="center" indent="1"/>
    </xf>
    <xf numFmtId="10" fontId="10" fillId="0" borderId="0" xfId="0" applyNumberFormat="1" applyFont="1" applyAlignment="1">
      <alignment horizontal="right" vertical="center" wrapText="1" readingOrder="1"/>
    </xf>
    <xf numFmtId="10" fontId="27" fillId="0" borderId="0" xfId="0" applyNumberFormat="1" applyFont="1" applyAlignment="1">
      <alignment horizontal="right" wrapText="1" readingOrder="1"/>
    </xf>
    <xf numFmtId="6" fontId="27" fillId="0" borderId="0" xfId="0" applyNumberFormat="1" applyFont="1" applyAlignment="1">
      <alignment horizontal="right" wrapText="1" readingOrder="1"/>
    </xf>
    <xf numFmtId="168" fontId="28" fillId="0" borderId="0" xfId="0" applyNumberFormat="1" applyFont="1" applyAlignment="1">
      <alignment horizontal="left" vertical="center" wrapText="1"/>
    </xf>
    <xf numFmtId="9" fontId="29" fillId="0" borderId="0" xfId="0" applyNumberFormat="1" applyFont="1" applyAlignment="1">
      <alignment horizontal="center" vertical="center"/>
    </xf>
    <xf numFmtId="0" fontId="31" fillId="0" borderId="0" xfId="0" applyFont="1"/>
    <xf numFmtId="0" fontId="31" fillId="0" borderId="0" xfId="0" applyFont="1" applyAlignment="1">
      <alignment vertical="center"/>
    </xf>
    <xf numFmtId="0" fontId="30" fillId="0" borderId="0" xfId="0" applyFont="1" applyAlignment="1">
      <alignment horizontal="left" vertical="center"/>
    </xf>
    <xf numFmtId="49" fontId="32" fillId="0" borderId="0" xfId="0" applyNumberFormat="1" applyFont="1" applyAlignment="1">
      <alignment horizontal="center" vertical="top" wrapText="1"/>
    </xf>
    <xf numFmtId="49" fontId="33" fillId="0" borderId="0" xfId="0" applyNumberFormat="1" applyFont="1" applyAlignment="1">
      <alignment horizontal="center" wrapText="1"/>
    </xf>
    <xf numFmtId="9" fontId="33" fillId="0" borderId="0" xfId="0" applyNumberFormat="1" applyFont="1" applyAlignment="1">
      <alignment horizontal="center" vertical="center"/>
    </xf>
    <xf numFmtId="3" fontId="33" fillId="0" borderId="0" xfId="0" applyNumberFormat="1" applyFont="1" applyAlignment="1">
      <alignment horizontal="center" vertical="center"/>
    </xf>
    <xf numFmtId="168" fontId="33" fillId="0" borderId="0" xfId="0" applyNumberFormat="1" applyFont="1" applyAlignment="1">
      <alignment horizontal="center" vertical="center"/>
    </xf>
    <xf numFmtId="167" fontId="33" fillId="0" borderId="0" xfId="0" applyNumberFormat="1" applyFont="1" applyAlignment="1">
      <alignment horizontal="center" vertical="center"/>
    </xf>
    <xf numFmtId="167" fontId="34" fillId="0" borderId="0" xfId="0" applyNumberFormat="1" applyFont="1" applyAlignment="1">
      <alignment horizontal="center" vertical="center"/>
    </xf>
    <xf numFmtId="165" fontId="34" fillId="0" borderId="0" xfId="1" applyNumberFormat="1" applyFont="1" applyAlignment="1">
      <alignment horizontal="center" vertical="center"/>
    </xf>
    <xf numFmtId="0" fontId="32" fillId="0" borderId="0" xfId="0" applyFont="1" applyAlignment="1">
      <alignment vertical="center"/>
    </xf>
    <xf numFmtId="165" fontId="9" fillId="0" borderId="0" xfId="1" applyNumberFormat="1" applyFont="1" applyFill="1" applyBorder="1" applyAlignment="1">
      <alignment horizontal="right" vertical="center" wrapText="1" indent="1" readingOrder="1"/>
    </xf>
    <xf numFmtId="165" fontId="10" fillId="0" borderId="0" xfId="1" applyNumberFormat="1" applyFont="1" applyFill="1" applyBorder="1" applyAlignment="1">
      <alignment horizontal="right" vertical="center" wrapText="1" indent="1" readingOrder="1"/>
    </xf>
    <xf numFmtId="165" fontId="9" fillId="0" borderId="0" xfId="1" applyNumberFormat="1" applyFont="1" applyAlignment="1">
      <alignment horizontal="left" vertical="center" wrapText="1" indent="1" readingOrder="1"/>
    </xf>
    <xf numFmtId="0" fontId="25" fillId="2" borderId="15" xfId="0" applyFont="1" applyFill="1" applyBorder="1" applyAlignment="1">
      <alignment horizontal="right" vertical="center" indent="1"/>
    </xf>
    <xf numFmtId="6" fontId="24" fillId="7" borderId="15" xfId="0" applyNumberFormat="1" applyFont="1" applyFill="1" applyBorder="1" applyAlignment="1">
      <alignment horizontal="right" vertical="center" wrapText="1" indent="1" shrinkToFit="1"/>
    </xf>
    <xf numFmtId="3" fontId="24" fillId="0" borderId="15" xfId="0" applyNumberFormat="1" applyFont="1" applyBorder="1" applyAlignment="1">
      <alignment horizontal="right" vertical="center" wrapText="1" indent="1" shrinkToFit="1"/>
    </xf>
    <xf numFmtId="3" fontId="24" fillId="7" borderId="35" xfId="0" applyNumberFormat="1" applyFont="1" applyFill="1" applyBorder="1" applyAlignment="1">
      <alignment horizontal="right" vertical="center" wrapText="1" indent="1" shrinkToFit="1"/>
    </xf>
    <xf numFmtId="3" fontId="24" fillId="7" borderId="15" xfId="0" applyNumberFormat="1" applyFont="1" applyFill="1" applyBorder="1" applyAlignment="1">
      <alignment horizontal="right" vertical="center" wrapText="1" indent="1" shrinkToFit="1"/>
    </xf>
    <xf numFmtId="0" fontId="35" fillId="0" borderId="0" xfId="0" applyFont="1"/>
    <xf numFmtId="0" fontId="12" fillId="0" borderId="0" xfId="0" applyFont="1" applyAlignment="1">
      <alignment horizontal="left" vertical="center" indent="3"/>
    </xf>
    <xf numFmtId="0" fontId="13" fillId="0" borderId="0" xfId="0" applyFont="1" applyAlignment="1">
      <alignment vertical="center"/>
    </xf>
    <xf numFmtId="0" fontId="13" fillId="10" borderId="0" xfId="0" applyFont="1" applyFill="1" applyAlignment="1">
      <alignment vertical="center" wrapText="1"/>
    </xf>
    <xf numFmtId="0" fontId="35" fillId="0" borderId="0" xfId="0" applyFont="1" applyAlignment="1">
      <alignment horizontal="center" vertical="center"/>
    </xf>
    <xf numFmtId="0" fontId="12" fillId="0" borderId="0" xfId="0" applyFont="1" applyAlignment="1">
      <alignment horizontal="center" vertical="center"/>
    </xf>
    <xf numFmtId="0" fontId="13" fillId="5" borderId="0" xfId="0" applyFont="1" applyFill="1"/>
    <xf numFmtId="0" fontId="0" fillId="5" borderId="0" xfId="0" applyFill="1"/>
    <xf numFmtId="0" fontId="7" fillId="2" borderId="13" xfId="0" applyFont="1" applyFill="1" applyBorder="1" applyAlignment="1">
      <alignment horizontal="left" vertical="center" readingOrder="1"/>
    </xf>
    <xf numFmtId="0" fontId="7" fillId="2" borderId="14" xfId="0" applyFont="1" applyFill="1" applyBorder="1" applyAlignment="1">
      <alignment horizontal="right" vertical="center" wrapText="1" indent="1" readingOrder="1"/>
    </xf>
    <xf numFmtId="0" fontId="7" fillId="2" borderId="37" xfId="0" applyFont="1" applyFill="1" applyBorder="1" applyAlignment="1">
      <alignment horizontal="right" vertical="center" wrapText="1" indent="1" readingOrder="1"/>
    </xf>
    <xf numFmtId="0" fontId="7" fillId="2" borderId="15" xfId="0" applyFont="1" applyFill="1" applyBorder="1" applyAlignment="1">
      <alignment horizontal="right" vertical="center" wrapText="1" indent="1" readingOrder="1"/>
    </xf>
    <xf numFmtId="49" fontId="9" fillId="7" borderId="13" xfId="0" applyNumberFormat="1" applyFont="1" applyFill="1" applyBorder="1" applyAlignment="1">
      <alignment horizontal="left" vertical="center" indent="1" readingOrder="1"/>
    </xf>
    <xf numFmtId="165" fontId="9" fillId="7" borderId="14" xfId="1" applyNumberFormat="1" applyFont="1" applyFill="1" applyBorder="1" applyAlignment="1">
      <alignment horizontal="right" vertical="center" wrapText="1" indent="1" readingOrder="1"/>
    </xf>
    <xf numFmtId="165" fontId="9" fillId="7" borderId="14" xfId="1" applyNumberFormat="1" applyFont="1" applyFill="1" applyBorder="1" applyAlignment="1">
      <alignment horizontal="right" vertical="center" indent="1" readingOrder="1"/>
    </xf>
    <xf numFmtId="165" fontId="9" fillId="7" borderId="37" xfId="1" applyNumberFormat="1" applyFont="1" applyFill="1" applyBorder="1" applyAlignment="1">
      <alignment horizontal="right" vertical="center" indent="1" readingOrder="1"/>
    </xf>
    <xf numFmtId="165" fontId="9" fillId="7" borderId="15" xfId="1" applyNumberFormat="1" applyFont="1" applyFill="1" applyBorder="1" applyAlignment="1">
      <alignment horizontal="right" vertical="center" wrapText="1" indent="1" readingOrder="1"/>
    </xf>
    <xf numFmtId="0" fontId="10" fillId="0" borderId="13" xfId="0" applyFont="1" applyBorder="1" applyAlignment="1">
      <alignment horizontal="left" vertical="center" indent="2" readingOrder="1"/>
    </xf>
    <xf numFmtId="165" fontId="10" fillId="0" borderId="14" xfId="1" applyNumberFormat="1" applyFont="1" applyBorder="1" applyAlignment="1">
      <alignment horizontal="right" vertical="center" wrapText="1" indent="1" readingOrder="1"/>
    </xf>
    <xf numFmtId="165" fontId="10" fillId="0" borderId="14" xfId="1" applyNumberFormat="1" applyFont="1" applyBorder="1" applyAlignment="1">
      <alignment horizontal="right" vertical="center" indent="1" readingOrder="1"/>
    </xf>
    <xf numFmtId="165" fontId="10" fillId="0" borderId="37" xfId="1" applyNumberFormat="1" applyFont="1" applyBorder="1" applyAlignment="1">
      <alignment horizontal="right" vertical="center" indent="1" readingOrder="1"/>
    </xf>
    <xf numFmtId="165" fontId="10" fillId="0" borderId="15" xfId="1" applyNumberFormat="1" applyFont="1" applyBorder="1" applyAlignment="1">
      <alignment horizontal="right" vertical="center" wrapText="1" indent="1" readingOrder="1"/>
    </xf>
    <xf numFmtId="0" fontId="10" fillId="7" borderId="13" xfId="0" applyFont="1" applyFill="1" applyBorder="1" applyAlignment="1">
      <alignment horizontal="left" vertical="center" indent="2" readingOrder="1"/>
    </xf>
    <xf numFmtId="165" fontId="10" fillId="7" borderId="14" xfId="1" applyNumberFormat="1" applyFont="1" applyFill="1" applyBorder="1" applyAlignment="1">
      <alignment horizontal="right" vertical="center" wrapText="1" indent="1" readingOrder="1"/>
    </xf>
    <xf numFmtId="165" fontId="10" fillId="7" borderId="37" xfId="1" applyNumberFormat="1" applyFont="1" applyFill="1" applyBorder="1" applyAlignment="1">
      <alignment horizontal="right" vertical="center" wrapText="1" indent="1" readingOrder="1"/>
    </xf>
    <xf numFmtId="165" fontId="10" fillId="7" borderId="15" xfId="1" applyNumberFormat="1" applyFont="1" applyFill="1" applyBorder="1" applyAlignment="1">
      <alignment horizontal="right" vertical="center" wrapText="1" indent="1" readingOrder="1"/>
    </xf>
    <xf numFmtId="165" fontId="10" fillId="0" borderId="37" xfId="1" applyNumberFormat="1" applyFont="1" applyBorder="1" applyAlignment="1">
      <alignment horizontal="right" vertical="center" wrapText="1" indent="1" readingOrder="1"/>
    </xf>
    <xf numFmtId="166" fontId="10" fillId="0" borderId="14" xfId="0" applyNumberFormat="1" applyFont="1" applyBorder="1" applyAlignment="1">
      <alignment horizontal="right" vertical="center" wrapText="1" indent="1" readingOrder="1"/>
    </xf>
    <xf numFmtId="166" fontId="10" fillId="0" borderId="37" xfId="0" applyNumberFormat="1" applyFont="1" applyBorder="1" applyAlignment="1">
      <alignment horizontal="right" vertical="center" wrapText="1" indent="1" readingOrder="1"/>
    </xf>
    <xf numFmtId="166" fontId="10" fillId="0" borderId="15" xfId="0" applyNumberFormat="1" applyFont="1" applyBorder="1" applyAlignment="1">
      <alignment horizontal="right" vertical="center" wrapText="1" indent="1" readingOrder="1"/>
    </xf>
    <xf numFmtId="0" fontId="9" fillId="7" borderId="13" xfId="0" applyFont="1" applyFill="1" applyBorder="1" applyAlignment="1">
      <alignment horizontal="left" vertical="center" indent="1" readingOrder="1"/>
    </xf>
    <xf numFmtId="165" fontId="10" fillId="7" borderId="14" xfId="1" applyNumberFormat="1" applyFont="1" applyFill="1" applyBorder="1" applyAlignment="1">
      <alignment horizontal="right" vertical="center" indent="1" readingOrder="1"/>
    </xf>
    <xf numFmtId="165" fontId="10" fillId="7" borderId="37" xfId="1" applyNumberFormat="1" applyFont="1" applyFill="1" applyBorder="1" applyAlignment="1">
      <alignment horizontal="right" vertical="center" indent="1" readingOrder="1"/>
    </xf>
    <xf numFmtId="165" fontId="10" fillId="7" borderId="15" xfId="1" applyNumberFormat="1" applyFont="1" applyFill="1" applyBorder="1" applyAlignment="1">
      <alignment horizontal="right" vertical="center" indent="1" readingOrder="1"/>
    </xf>
    <xf numFmtId="0" fontId="37" fillId="0" borderId="18" xfId="0" applyFont="1" applyBorder="1"/>
    <xf numFmtId="0" fontId="37" fillId="0" borderId="39" xfId="0" applyFont="1" applyBorder="1"/>
    <xf numFmtId="0" fontId="37" fillId="0" borderId="19" xfId="0" applyFont="1" applyBorder="1"/>
    <xf numFmtId="0" fontId="37" fillId="0" borderId="20" xfId="0" applyFont="1" applyBorder="1"/>
    <xf numFmtId="0" fontId="37" fillId="0" borderId="0" xfId="0" applyFont="1"/>
    <xf numFmtId="0" fontId="37" fillId="0" borderId="21" xfId="0" applyFont="1" applyBorder="1"/>
    <xf numFmtId="167" fontId="10" fillId="7" borderId="14" xfId="0" applyNumberFormat="1" applyFont="1" applyFill="1" applyBorder="1" applyAlignment="1">
      <alignment horizontal="right" vertical="center" wrapText="1" indent="1" readingOrder="1"/>
    </xf>
    <xf numFmtId="167" fontId="10" fillId="7" borderId="37" xfId="0" applyNumberFormat="1" applyFont="1" applyFill="1" applyBorder="1" applyAlignment="1">
      <alignment horizontal="right" vertical="center" wrapText="1" indent="1" readingOrder="1"/>
    </xf>
    <xf numFmtId="167" fontId="10" fillId="7" borderId="15" xfId="0" applyNumberFormat="1" applyFont="1" applyFill="1" applyBorder="1" applyAlignment="1">
      <alignment horizontal="right" vertical="center" wrapText="1" indent="1" readingOrder="1"/>
    </xf>
    <xf numFmtId="0" fontId="9" fillId="0" borderId="13" xfId="0" applyFont="1" applyBorder="1" applyAlignment="1">
      <alignment horizontal="left" vertical="center" indent="1" readingOrder="1"/>
    </xf>
    <xf numFmtId="165" fontId="10" fillId="0" borderId="15" xfId="1" applyNumberFormat="1" applyFont="1" applyBorder="1" applyAlignment="1">
      <alignment horizontal="right" vertical="center" indent="1" readingOrder="1"/>
    </xf>
    <xf numFmtId="9" fontId="8" fillId="0" borderId="0" xfId="0" applyNumberFormat="1" applyFont="1"/>
    <xf numFmtId="9" fontId="37" fillId="0" borderId="0" xfId="0" applyNumberFormat="1" applyFont="1"/>
    <xf numFmtId="9" fontId="37" fillId="4" borderId="0" xfId="0" applyNumberFormat="1" applyFont="1" applyFill="1"/>
    <xf numFmtId="0" fontId="37" fillId="0" borderId="22" xfId="0" applyFont="1" applyBorder="1"/>
    <xf numFmtId="0" fontId="37" fillId="0" borderId="38" xfId="0" applyFont="1" applyBorder="1"/>
    <xf numFmtId="0" fontId="37" fillId="0" borderId="23" xfId="0" applyFont="1" applyBorder="1"/>
    <xf numFmtId="0" fontId="7" fillId="2" borderId="17" xfId="0" applyFont="1" applyFill="1" applyBorder="1" applyAlignment="1">
      <alignment horizontal="left" vertical="center" readingOrder="1"/>
    </xf>
    <xf numFmtId="1" fontId="10" fillId="0" borderId="14" xfId="1" applyNumberFormat="1" applyFont="1" applyBorder="1" applyAlignment="1">
      <alignment horizontal="right" vertical="center" wrapText="1" indent="1" readingOrder="1"/>
    </xf>
    <xf numFmtId="1" fontId="10" fillId="0" borderId="37" xfId="1"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wrapText="1" indent="1" readingOrder="1"/>
    </xf>
    <xf numFmtId="1" fontId="10" fillId="7" borderId="37" xfId="1" applyNumberFormat="1" applyFont="1" applyFill="1" applyBorder="1" applyAlignment="1">
      <alignment horizontal="right" vertical="center" wrapText="1" indent="1" readingOrder="1"/>
    </xf>
    <xf numFmtId="1" fontId="10" fillId="0" borderId="14" xfId="0" applyNumberFormat="1" applyFont="1" applyBorder="1" applyAlignment="1">
      <alignment horizontal="right" vertical="center" wrapText="1" indent="1" readingOrder="1"/>
    </xf>
    <xf numFmtId="1" fontId="10" fillId="0" borderId="37" xfId="0"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indent="1" readingOrder="1"/>
    </xf>
    <xf numFmtId="1" fontId="10" fillId="7" borderId="37" xfId="1" applyNumberFormat="1" applyFont="1" applyFill="1" applyBorder="1" applyAlignment="1">
      <alignment horizontal="right" vertical="center" indent="1" readingOrder="1"/>
    </xf>
    <xf numFmtId="1" fontId="10" fillId="7" borderId="14" xfId="0" applyNumberFormat="1" applyFont="1" applyFill="1" applyBorder="1" applyAlignment="1">
      <alignment horizontal="right" vertical="center" wrapText="1" indent="1" readingOrder="1"/>
    </xf>
    <xf numFmtId="1" fontId="10" fillId="7" borderId="37" xfId="0" applyNumberFormat="1" applyFont="1" applyFill="1" applyBorder="1" applyAlignment="1">
      <alignment horizontal="right" vertical="center" wrapText="1" indent="1" readingOrder="1"/>
    </xf>
    <xf numFmtId="1" fontId="10" fillId="0" borderId="14" xfId="1" applyNumberFormat="1" applyFont="1" applyBorder="1" applyAlignment="1">
      <alignment horizontal="right" vertical="center" indent="1" readingOrder="1"/>
    </xf>
    <xf numFmtId="1" fontId="10" fillId="0" borderId="37" xfId="1" applyNumberFormat="1" applyFont="1" applyBorder="1" applyAlignment="1">
      <alignment horizontal="right" vertical="center" indent="1" readingOrder="1"/>
    </xf>
    <xf numFmtId="0" fontId="8" fillId="0" borderId="0" xfId="0" applyFont="1" applyAlignment="1">
      <alignment horizontal="left" indent="1"/>
    </xf>
    <xf numFmtId="0" fontId="8" fillId="0" borderId="0" xfId="0" applyFont="1" applyAlignment="1">
      <alignment horizontal="right" wrapText="1" indent="1"/>
    </xf>
    <xf numFmtId="165" fontId="8" fillId="0" borderId="0" xfId="1" applyNumberFormat="1" applyFont="1" applyAlignment="1">
      <alignment horizontal="right" wrapText="1" indent="1"/>
    </xf>
    <xf numFmtId="0" fontId="39" fillId="2" borderId="0" xfId="0" applyFont="1" applyFill="1" applyAlignment="1">
      <alignment horizontal="left" indent="1"/>
    </xf>
    <xf numFmtId="0" fontId="39" fillId="2" borderId="0" xfId="0" applyFont="1" applyFill="1" applyAlignment="1">
      <alignment horizontal="right" wrapText="1" indent="1"/>
    </xf>
    <xf numFmtId="0" fontId="40" fillId="7" borderId="13" xfId="0" applyFont="1" applyFill="1" applyBorder="1" applyAlignment="1">
      <alignment horizontal="left" vertical="center" indent="1" readingOrder="1"/>
    </xf>
    <xf numFmtId="165" fontId="41" fillId="7" borderId="14" xfId="1" applyNumberFormat="1" applyFont="1" applyFill="1" applyBorder="1" applyAlignment="1">
      <alignment horizontal="right" vertical="center" wrapText="1" indent="1" readingOrder="1"/>
    </xf>
    <xf numFmtId="165" fontId="40" fillId="7" borderId="14" xfId="1" applyNumberFormat="1" applyFont="1" applyFill="1" applyBorder="1" applyAlignment="1">
      <alignment horizontal="right" vertical="center" wrapText="1" indent="1" readingOrder="1"/>
    </xf>
    <xf numFmtId="165" fontId="40" fillId="7" borderId="15" xfId="1" applyNumberFormat="1" applyFont="1" applyFill="1" applyBorder="1" applyAlignment="1">
      <alignment horizontal="right" vertical="center" wrapText="1" indent="1" readingOrder="1"/>
    </xf>
    <xf numFmtId="0" fontId="40" fillId="0" borderId="13" xfId="0" applyFont="1" applyBorder="1" applyAlignment="1">
      <alignment horizontal="left" vertical="center" indent="1" readingOrder="1"/>
    </xf>
    <xf numFmtId="165" fontId="41" fillId="0" borderId="14" xfId="1" applyNumberFormat="1" applyFont="1" applyBorder="1" applyAlignment="1">
      <alignment horizontal="right" vertical="center" wrapText="1" indent="1" readingOrder="1"/>
    </xf>
    <xf numFmtId="165" fontId="40" fillId="0" borderId="14" xfId="1" applyNumberFormat="1" applyFont="1" applyBorder="1" applyAlignment="1">
      <alignment horizontal="right" vertical="center" wrapText="1" indent="1" readingOrder="1"/>
    </xf>
    <xf numFmtId="165" fontId="40" fillId="0" borderId="15" xfId="1" applyNumberFormat="1" applyFont="1" applyBorder="1" applyAlignment="1">
      <alignment horizontal="right" vertical="center" wrapText="1" indent="1" readingOrder="1"/>
    </xf>
    <xf numFmtId="165" fontId="17" fillId="11" borderId="40" xfId="0" applyNumberFormat="1" applyFont="1" applyFill="1" applyBorder="1" applyAlignment="1">
      <alignment horizontal="center" vertical="center" wrapText="1"/>
    </xf>
    <xf numFmtId="165" fontId="17" fillId="12" borderId="40" xfId="0" applyNumberFormat="1" applyFont="1" applyFill="1" applyBorder="1" applyAlignment="1">
      <alignment horizontal="center" vertical="center" wrapText="1"/>
    </xf>
    <xf numFmtId="6" fontId="17" fillId="12" borderId="40" xfId="0" applyNumberFormat="1" applyFont="1" applyFill="1" applyBorder="1" applyAlignment="1">
      <alignment horizontal="center" vertical="center" wrapText="1"/>
    </xf>
    <xf numFmtId="0" fontId="42" fillId="0" borderId="0" xfId="0" applyFont="1" applyAlignment="1">
      <alignment horizontal="left" vertical="center" wrapText="1" readingOrder="1"/>
    </xf>
    <xf numFmtId="0" fontId="43" fillId="0" borderId="0" xfId="0" applyFont="1" applyAlignment="1">
      <alignment horizontal="left" vertical="center" readingOrder="1"/>
    </xf>
    <xf numFmtId="0" fontId="43" fillId="0" borderId="0" xfId="0" applyFont="1" applyAlignment="1">
      <alignment horizontal="left" vertical="center" wrapText="1" readingOrder="1"/>
    </xf>
    <xf numFmtId="9" fontId="44" fillId="0" borderId="0" xfId="0" applyNumberFormat="1" applyFont="1" applyAlignment="1">
      <alignment horizontal="center" vertical="center"/>
    </xf>
    <xf numFmtId="0" fontId="44" fillId="0" borderId="0" xfId="0" applyFont="1" applyAlignment="1">
      <alignment horizontal="center" vertical="center"/>
    </xf>
    <xf numFmtId="0" fontId="45" fillId="0" borderId="0" xfId="0" applyFont="1" applyAlignment="1">
      <alignment horizontal="right"/>
    </xf>
    <xf numFmtId="9" fontId="8" fillId="0" borderId="0" xfId="1" applyFont="1"/>
    <xf numFmtId="0" fontId="48" fillId="0" borderId="0" xfId="0" applyFont="1"/>
    <xf numFmtId="169" fontId="48" fillId="13" borderId="0" xfId="3" applyNumberFormat="1" applyFont="1" applyFill="1" applyAlignment="1">
      <alignment horizontal="center" vertical="center"/>
    </xf>
    <xf numFmtId="165" fontId="48" fillId="13" borderId="0" xfId="1" applyNumberFormat="1" applyFont="1" applyFill="1" applyAlignment="1">
      <alignment horizontal="center" vertical="center"/>
    </xf>
    <xf numFmtId="166" fontId="48" fillId="13" borderId="0" xfId="0" applyNumberFormat="1" applyFont="1" applyFill="1" applyAlignment="1">
      <alignment horizontal="center" vertical="center"/>
    </xf>
    <xf numFmtId="0" fontId="48" fillId="13" borderId="0" xfId="0" applyFont="1" applyFill="1" applyAlignment="1">
      <alignment horizontal="center" vertical="center"/>
    </xf>
    <xf numFmtId="167" fontId="48" fillId="13" borderId="0" xfId="0" applyNumberFormat="1" applyFont="1" applyFill="1" applyAlignment="1">
      <alignment horizontal="center" vertical="center"/>
    </xf>
    <xf numFmtId="0" fontId="48" fillId="14" borderId="0" xfId="0" applyFont="1" applyFill="1"/>
    <xf numFmtId="169" fontId="48" fillId="14" borderId="0" xfId="3" applyNumberFormat="1" applyFont="1" applyFill="1" applyAlignment="1">
      <alignment horizontal="center" vertical="center"/>
    </xf>
    <xf numFmtId="165" fontId="48" fillId="14" borderId="0" xfId="1" applyNumberFormat="1" applyFont="1" applyFill="1" applyAlignment="1">
      <alignment horizontal="center" vertical="center"/>
    </xf>
    <xf numFmtId="166" fontId="48" fillId="14" borderId="0" xfId="0" applyNumberFormat="1" applyFont="1" applyFill="1" applyAlignment="1">
      <alignment horizontal="center" vertical="center"/>
    </xf>
    <xf numFmtId="167" fontId="48" fillId="14" borderId="0" xfId="0" applyNumberFormat="1" applyFont="1" applyFill="1" applyAlignment="1">
      <alignment horizontal="center" vertical="center"/>
    </xf>
    <xf numFmtId="10" fontId="0" fillId="0" borderId="0" xfId="0" applyNumberFormat="1"/>
    <xf numFmtId="3" fontId="0" fillId="0" borderId="0" xfId="0" applyNumberFormat="1"/>
    <xf numFmtId="0" fontId="2" fillId="0" borderId="0" xfId="0" applyFont="1"/>
    <xf numFmtId="0" fontId="49" fillId="2" borderId="0" xfId="0" applyFont="1" applyFill="1" applyAlignment="1">
      <alignment vertical="center" wrapText="1"/>
    </xf>
    <xf numFmtId="165" fontId="0" fillId="0" borderId="0" xfId="0" applyNumberFormat="1"/>
    <xf numFmtId="0" fontId="0" fillId="13" borderId="0" xfId="0" applyFill="1"/>
    <xf numFmtId="0" fontId="47" fillId="14" borderId="0" xfId="4" applyFill="1"/>
    <xf numFmtId="0" fontId="0" fillId="14" borderId="0" xfId="0" applyFill="1"/>
    <xf numFmtId="0" fontId="2" fillId="14" borderId="0" xfId="0" applyFont="1" applyFill="1"/>
    <xf numFmtId="0" fontId="2" fillId="13" borderId="0" xfId="0" applyFont="1" applyFill="1"/>
    <xf numFmtId="0" fontId="48" fillId="13" borderId="0" xfId="0" applyFont="1" applyFill="1" applyAlignment="1">
      <alignment horizontal="left"/>
    </xf>
    <xf numFmtId="0" fontId="48" fillId="14" borderId="0" xfId="0" applyFont="1" applyFill="1" applyAlignment="1">
      <alignment horizontal="left"/>
    </xf>
    <xf numFmtId="9" fontId="0" fillId="14" borderId="0" xfId="1" applyFont="1" applyFill="1"/>
    <xf numFmtId="9" fontId="0" fillId="13" borderId="0" xfId="1" applyFont="1" applyFill="1"/>
    <xf numFmtId="0" fontId="50" fillId="15" borderId="44" xfId="0" applyFont="1" applyFill="1" applyBorder="1" applyAlignment="1">
      <alignment horizontal="center" vertical="center" wrapText="1"/>
    </xf>
    <xf numFmtId="0" fontId="50" fillId="15" borderId="45" xfId="0" applyFont="1" applyFill="1" applyBorder="1" applyAlignment="1">
      <alignment horizontal="center" vertical="center" wrapText="1"/>
    </xf>
    <xf numFmtId="0" fontId="51" fillId="11" borderId="0" xfId="0" applyFont="1" applyFill="1" applyAlignment="1">
      <alignment vertical="center" wrapText="1"/>
    </xf>
    <xf numFmtId="0" fontId="17" fillId="11" borderId="40" xfId="0" applyFont="1" applyFill="1" applyBorder="1" applyAlignment="1">
      <alignment horizontal="center" vertical="center" wrapText="1"/>
    </xf>
    <xf numFmtId="166" fontId="17" fillId="11" borderId="40" xfId="0" applyNumberFormat="1" applyFont="1" applyFill="1" applyBorder="1" applyAlignment="1">
      <alignment horizontal="center" vertical="center" wrapText="1"/>
    </xf>
    <xf numFmtId="0" fontId="48" fillId="13" borderId="0" xfId="0" applyFont="1" applyFill="1" applyAlignment="1">
      <alignment horizontal="center"/>
    </xf>
    <xf numFmtId="0" fontId="0" fillId="14" borderId="0" xfId="0" applyFill="1" applyAlignment="1">
      <alignment horizontal="right"/>
    </xf>
    <xf numFmtId="1" fontId="9" fillId="0" borderId="0" xfId="0" applyNumberFormat="1" applyFont="1" applyAlignment="1">
      <alignment horizontal="right" vertical="center" wrapText="1" indent="1" readingOrder="1"/>
    </xf>
    <xf numFmtId="1" fontId="10" fillId="0" borderId="0" xfId="0" applyNumberFormat="1" applyFont="1" applyAlignment="1">
      <alignment horizontal="right" vertical="center" wrapText="1" indent="1" readingOrder="1"/>
    </xf>
    <xf numFmtId="1" fontId="9" fillId="3" borderId="0" xfId="0" applyNumberFormat="1" applyFont="1" applyFill="1" applyAlignment="1">
      <alignment horizontal="right" vertical="center" wrapText="1" indent="1" readingOrder="1"/>
    </xf>
    <xf numFmtId="0" fontId="53" fillId="11" borderId="42" xfId="0" applyFont="1" applyFill="1" applyBorder="1" applyAlignment="1">
      <alignment horizontal="left" vertical="center" wrapText="1"/>
    </xf>
    <xf numFmtId="3" fontId="52" fillId="11" borderId="40" xfId="0" applyNumberFormat="1" applyFont="1" applyFill="1" applyBorder="1" applyAlignment="1">
      <alignment horizontal="center" vertical="center" wrapText="1"/>
    </xf>
    <xf numFmtId="3" fontId="52" fillId="11" borderId="45" xfId="0" applyNumberFormat="1" applyFont="1" applyFill="1" applyBorder="1" applyAlignment="1">
      <alignment horizontal="center" vertical="center" wrapText="1"/>
    </xf>
    <xf numFmtId="0" fontId="52" fillId="11" borderId="45" xfId="0" applyFont="1" applyFill="1" applyBorder="1" applyAlignment="1">
      <alignment horizontal="center" vertical="center" wrapText="1"/>
    </xf>
    <xf numFmtId="0" fontId="53" fillId="12" borderId="42" xfId="0" applyFont="1" applyFill="1" applyBorder="1" applyAlignment="1">
      <alignment horizontal="left" vertical="center" wrapText="1"/>
    </xf>
    <xf numFmtId="0" fontId="52" fillId="12" borderId="40" xfId="0" applyFont="1" applyFill="1" applyBorder="1" applyAlignment="1">
      <alignment horizontal="center" vertical="center" wrapText="1"/>
    </xf>
    <xf numFmtId="0" fontId="52" fillId="12" borderId="45" xfId="0" applyFont="1" applyFill="1" applyBorder="1" applyAlignment="1">
      <alignment horizontal="center" vertical="center" wrapText="1"/>
    </xf>
    <xf numFmtId="10" fontId="52" fillId="11" borderId="40" xfId="0" applyNumberFormat="1" applyFont="1" applyFill="1" applyBorder="1" applyAlignment="1">
      <alignment horizontal="center" vertical="center" wrapText="1"/>
    </xf>
    <xf numFmtId="10" fontId="52" fillId="11" borderId="45" xfId="0" applyNumberFormat="1" applyFont="1" applyFill="1" applyBorder="1" applyAlignment="1">
      <alignment horizontal="center" vertical="center" wrapText="1"/>
    </xf>
    <xf numFmtId="10" fontId="52" fillId="12" borderId="40" xfId="0" applyNumberFormat="1" applyFont="1" applyFill="1" applyBorder="1" applyAlignment="1">
      <alignment horizontal="center" vertical="center" wrapText="1"/>
    </xf>
    <xf numFmtId="10" fontId="52" fillId="12" borderId="45" xfId="0" applyNumberFormat="1" applyFont="1" applyFill="1" applyBorder="1" applyAlignment="1">
      <alignment horizontal="center" vertical="center" wrapText="1"/>
    </xf>
    <xf numFmtId="10" fontId="52" fillId="15" borderId="40" xfId="0" applyNumberFormat="1" applyFont="1" applyFill="1" applyBorder="1" applyAlignment="1">
      <alignment horizontal="center" vertical="center" wrapText="1"/>
    </xf>
    <xf numFmtId="10" fontId="52" fillId="15" borderId="45" xfId="0" applyNumberFormat="1" applyFont="1" applyFill="1" applyBorder="1" applyAlignment="1">
      <alignment horizontal="center" vertical="center" wrapText="1"/>
    </xf>
    <xf numFmtId="0" fontId="0" fillId="11" borderId="0" xfId="0" applyFill="1"/>
    <xf numFmtId="0" fontId="54" fillId="11" borderId="42" xfId="0" applyFont="1" applyFill="1" applyBorder="1" applyAlignment="1">
      <alignment horizontal="left" vertical="center" wrapText="1"/>
    </xf>
    <xf numFmtId="0" fontId="54" fillId="12" borderId="42" xfId="0" applyFont="1" applyFill="1" applyBorder="1" applyAlignment="1">
      <alignment horizontal="left" vertical="center" wrapText="1"/>
    </xf>
    <xf numFmtId="0" fontId="52" fillId="11" borderId="40" xfId="0" applyFont="1" applyFill="1" applyBorder="1" applyAlignment="1">
      <alignment horizontal="center" vertical="center" wrapText="1"/>
    </xf>
    <xf numFmtId="164" fontId="52" fillId="12" borderId="40" xfId="0" applyNumberFormat="1" applyFont="1" applyFill="1" applyBorder="1" applyAlignment="1">
      <alignment horizontal="center" vertical="center" wrapText="1"/>
    </xf>
    <xf numFmtId="164" fontId="52" fillId="12" borderId="45" xfId="0" applyNumberFormat="1" applyFont="1" applyFill="1" applyBorder="1" applyAlignment="1">
      <alignment horizontal="center" vertical="center" wrapText="1"/>
    </xf>
    <xf numFmtId="0" fontId="53" fillId="15" borderId="42" xfId="0" applyFont="1" applyFill="1" applyBorder="1" applyAlignment="1">
      <alignment horizontal="left" vertical="center" wrapText="1"/>
    </xf>
    <xf numFmtId="164" fontId="0" fillId="0" borderId="0" xfId="0" applyNumberFormat="1"/>
    <xf numFmtId="1" fontId="48" fillId="14" borderId="0" xfId="0" applyNumberFormat="1" applyFont="1" applyFill="1" applyAlignment="1">
      <alignment horizontal="center" vertical="center"/>
    </xf>
    <xf numFmtId="9" fontId="0" fillId="0" borderId="0" xfId="0" applyNumberFormat="1" applyAlignment="1">
      <alignment horizontal="left"/>
    </xf>
    <xf numFmtId="0" fontId="17" fillId="0" borderId="0" xfId="0" applyFont="1" applyAlignment="1">
      <alignment wrapText="1"/>
    </xf>
    <xf numFmtId="0" fontId="17" fillId="4" borderId="0" xfId="0" applyFont="1" applyFill="1" applyAlignment="1">
      <alignment vertical="center"/>
    </xf>
    <xf numFmtId="0" fontId="17" fillId="4" borderId="50" xfId="0" applyFont="1" applyFill="1" applyBorder="1" applyAlignment="1">
      <alignment vertical="center"/>
    </xf>
    <xf numFmtId="0" fontId="2" fillId="0" borderId="0" xfId="0" applyFont="1" applyAlignment="1">
      <alignment horizontal="center"/>
    </xf>
    <xf numFmtId="0" fontId="0" fillId="0" borderId="0" xfId="0" applyAlignment="1">
      <alignment horizontal="left" wrapText="1"/>
    </xf>
    <xf numFmtId="0" fontId="2" fillId="0" borderId="0" xfId="0" applyFont="1" applyAlignment="1">
      <alignment horizontal="center" wrapText="1"/>
    </xf>
    <xf numFmtId="0" fontId="17" fillId="0" borderId="0" xfId="0" applyFont="1" applyAlignment="1">
      <alignment horizontal="center" wrapText="1"/>
    </xf>
    <xf numFmtId="0" fontId="50" fillId="15" borderId="41" xfId="0" applyFont="1" applyFill="1" applyBorder="1" applyAlignment="1">
      <alignment horizontal="center" vertical="center" wrapText="1"/>
    </xf>
    <xf numFmtId="0" fontId="50" fillId="15" borderId="42" xfId="0" applyFont="1" applyFill="1" applyBorder="1" applyAlignment="1">
      <alignment horizontal="center" vertical="center" wrapText="1"/>
    </xf>
    <xf numFmtId="0" fontId="50" fillId="15" borderId="46" xfId="0" applyFont="1" applyFill="1" applyBorder="1" applyAlignment="1">
      <alignment horizontal="center" vertical="center" wrapText="1"/>
    </xf>
    <xf numFmtId="0" fontId="50" fillId="15" borderId="47" xfId="0" applyFont="1" applyFill="1" applyBorder="1" applyAlignment="1">
      <alignment horizontal="center" vertical="center" wrapText="1"/>
    </xf>
    <xf numFmtId="0" fontId="50" fillId="15" borderId="48" xfId="0" applyFont="1" applyFill="1" applyBorder="1" applyAlignment="1">
      <alignment horizontal="center" vertical="center" wrapText="1"/>
    </xf>
    <xf numFmtId="0" fontId="50" fillId="15" borderId="49" xfId="0" applyFont="1" applyFill="1" applyBorder="1" applyAlignment="1">
      <alignment horizontal="center" vertical="center" wrapText="1"/>
    </xf>
    <xf numFmtId="0" fontId="50" fillId="15" borderId="43" xfId="0" applyFont="1" applyFill="1" applyBorder="1" applyAlignment="1">
      <alignment horizontal="center" vertical="center" wrapText="1"/>
    </xf>
    <xf numFmtId="0" fontId="16" fillId="2" borderId="0" xfId="0" applyFont="1" applyFill="1" applyAlignment="1">
      <alignment horizontal="left" vertical="center" readingOrder="1"/>
    </xf>
    <xf numFmtId="0" fontId="19" fillId="0" borderId="0" xfId="0" applyFont="1" applyAlignment="1">
      <alignment horizontal="left" vertical="center" readingOrder="1"/>
    </xf>
    <xf numFmtId="0" fontId="19" fillId="0" borderId="10" xfId="0" applyFont="1" applyBorder="1" applyAlignment="1">
      <alignment horizontal="left" vertical="center" readingOrder="1"/>
    </xf>
    <xf numFmtId="1" fontId="21" fillId="5" borderId="0" xfId="0" applyNumberFormat="1" applyFont="1" applyFill="1" applyAlignment="1">
      <alignment horizontal="center" vertical="center"/>
    </xf>
    <xf numFmtId="0" fontId="19" fillId="6" borderId="0" xfId="0" applyFont="1" applyFill="1" applyAlignment="1">
      <alignment horizontal="left" vertical="center" readingOrder="1"/>
    </xf>
    <xf numFmtId="0" fontId="20" fillId="5" borderId="0" xfId="0" applyFont="1" applyFill="1" applyAlignment="1">
      <alignment horizontal="center" vertical="center" wrapText="1"/>
    </xf>
    <xf numFmtId="0" fontId="21" fillId="5" borderId="0" xfId="0" applyFont="1" applyFill="1" applyAlignment="1">
      <alignment horizontal="center" vertical="center"/>
    </xf>
    <xf numFmtId="0" fontId="20" fillId="8" borderId="18" xfId="0" applyFont="1" applyFill="1" applyBorder="1" applyAlignment="1">
      <alignment horizontal="center" vertical="center" wrapText="1"/>
    </xf>
    <xf numFmtId="0" fontId="20" fillId="8" borderId="20" xfId="0" applyFont="1" applyFill="1" applyBorder="1" applyAlignment="1">
      <alignment horizontal="center" vertical="center" wrapText="1"/>
    </xf>
    <xf numFmtId="0" fontId="20" fillId="8" borderId="22" xfId="0" applyFont="1" applyFill="1" applyBorder="1" applyAlignment="1">
      <alignment horizontal="center" vertical="center" wrapText="1"/>
    </xf>
    <xf numFmtId="0" fontId="38" fillId="4" borderId="20" xfId="0" applyFont="1" applyFill="1" applyBorder="1" applyAlignment="1">
      <alignment horizontal="center" vertical="center" wrapText="1"/>
    </xf>
    <xf numFmtId="0" fontId="38" fillId="4" borderId="0" xfId="0" applyFont="1" applyFill="1" applyAlignment="1">
      <alignment horizontal="center" vertical="center" wrapText="1"/>
    </xf>
    <xf numFmtId="0" fontId="38" fillId="4" borderId="21" xfId="0" applyFont="1" applyFill="1" applyBorder="1" applyAlignment="1">
      <alignment horizontal="center" vertical="center" wrapText="1"/>
    </xf>
    <xf numFmtId="0" fontId="0" fillId="0" borderId="0" xfId="0" applyAlignment="1">
      <alignment horizontal="center" wrapText="1"/>
    </xf>
    <xf numFmtId="0" fontId="7" fillId="2" borderId="0" xfId="0" applyFont="1" applyFill="1" applyAlignment="1">
      <alignment horizontal="center" vertical="center" wrapText="1" readingOrder="1"/>
    </xf>
    <xf numFmtId="0" fontId="12" fillId="0" borderId="0" xfId="0" applyFont="1" applyAlignment="1">
      <alignment horizontal="center" wrapText="1"/>
    </xf>
    <xf numFmtId="0" fontId="14" fillId="5" borderId="0" xfId="0" applyFont="1" applyFill="1" applyAlignment="1">
      <alignment horizontal="center"/>
    </xf>
    <xf numFmtId="0" fontId="7" fillId="2" borderId="32" xfId="0" applyFont="1" applyFill="1" applyBorder="1" applyAlignment="1">
      <alignment horizontal="center" vertical="center" wrapText="1" readingOrder="1"/>
    </xf>
    <xf numFmtId="0" fontId="46" fillId="2" borderId="0" xfId="0" applyFont="1" applyFill="1" applyAlignment="1">
      <alignment horizontal="center" vertical="center" wrapText="1"/>
    </xf>
    <xf numFmtId="0" fontId="46" fillId="2" borderId="0" xfId="0" applyFont="1" applyFill="1" applyAlignment="1">
      <alignment horizontal="center" vertical="center"/>
    </xf>
  </cellXfs>
  <cellStyles count="5">
    <cellStyle name="Comma" xfId="3" builtinId="3"/>
    <cellStyle name="Hyperlink" xfId="4" builtinId="8"/>
    <cellStyle name="Normal" xfId="0" builtinId="0"/>
    <cellStyle name="Percent" xfId="1" builtinId="5"/>
    <cellStyle name="style1464809130984" xfId="2" xr:uid="{00000000-0005-0000-0000-000003000000}"/>
  </cellStyles>
  <dxfs count="65">
    <dxf>
      <fill>
        <patternFill>
          <bgColor rgb="FFFFCC66"/>
        </patternFill>
      </fill>
    </dxf>
    <dxf>
      <font>
        <color auto="1"/>
      </font>
      <fill>
        <patternFill>
          <bgColor theme="9" tint="0.39994506668294322"/>
        </patternFill>
      </fill>
    </dxf>
    <dxf>
      <fill>
        <patternFill>
          <bgColor rgb="FFC0E3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i val="0"/>
        <strike val="0"/>
        <condense val="0"/>
        <extend val="0"/>
        <outline val="0"/>
        <shadow val="0"/>
        <u val="none"/>
        <vertAlign val="baseline"/>
        <sz val="9"/>
        <color auto="1"/>
        <name val="Roboto"/>
        <scheme val="none"/>
      </font>
      <numFmt numFmtId="10" formatCode="&quot;$&quot;#,##0_);[Red]\(&quot;$&quot;#,##0\)"/>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left" vertical="top" textRotation="0" wrapText="0" indent="1" justifyLastLine="0" shrinkToFit="1" readingOrder="0"/>
    </dxf>
    <dxf>
      <font>
        <b val="0"/>
        <i val="0"/>
        <strike val="0"/>
        <condense val="0"/>
        <extend val="0"/>
        <outline val="0"/>
        <shadow val="0"/>
        <u val="none"/>
        <vertAlign val="baseline"/>
        <sz val="9"/>
        <color auto="1"/>
        <name val="Roboto"/>
        <scheme val="none"/>
      </font>
      <alignment horizontal="right" vertical="top" textRotation="0" wrapText="1" indent="1" justifyLastLine="0" shrinkToFit="1" readingOrder="0"/>
    </dxf>
    <dxf>
      <font>
        <b/>
        <i val="0"/>
        <strike val="0"/>
        <condense val="0"/>
        <extend val="0"/>
        <outline val="0"/>
        <shadow val="0"/>
        <u val="none"/>
        <vertAlign val="baseline"/>
        <sz val="9"/>
        <color theme="0"/>
        <name val="Roboto"/>
        <scheme val="none"/>
      </font>
      <fill>
        <patternFill patternType="solid">
          <fgColor indexed="64"/>
          <bgColor rgb="FF1B4273"/>
        </patternFill>
      </fill>
      <alignment horizontal="right" vertical="bottom" textRotation="0" wrapText="0" indent="1" justifyLastLine="0" shrinkToFit="0" readingOrder="0"/>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9"/>
        <color rgb="FF000000"/>
        <name val="Roboto"/>
        <scheme val="none"/>
      </font>
      <numFmt numFmtId="167" formatCode="&quot;$&quot;#,##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6"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alignment horizontal="right" vertical="center" textRotation="0" wrapText="0" indent="1" justifyLastLine="0" shrinkToFit="0" readingOrder="0"/>
    </dxf>
    <dxf>
      <font>
        <b/>
        <i val="0"/>
        <strike val="0"/>
        <condense val="0"/>
        <extend val="0"/>
        <outline val="0"/>
        <shadow val="0"/>
        <u val="none"/>
        <vertAlign val="baseline"/>
        <sz val="9"/>
        <color rgb="FFFFFFFF"/>
        <name val="Roboto"/>
        <scheme val="none"/>
      </font>
      <fill>
        <patternFill patternType="solid">
          <fgColor indexed="64"/>
          <bgColor rgb="FF1B4273"/>
        </patternFill>
      </fill>
      <alignment horizontal="right" vertical="bottom" textRotation="0" wrapText="1" indent="1" justifyLastLine="0" shrinkToFit="0" readingOrder="0"/>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7" formatCode="&quot;$&quot;#,##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3"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bottom" textRotation="0" wrapText="1" indent="0" justifyLastLine="0" shrinkToFit="0" readingOrder="1"/>
    </dxf>
    <dxf>
      <fill>
        <patternFill patternType="solid">
          <fgColor rgb="FFDDEBF7"/>
          <bgColor rgb="FFDDEBF7"/>
        </patternFill>
      </fill>
    </dxf>
    <dxf>
      <fill>
        <patternFill patternType="solid">
          <fgColor rgb="FFDDEBF7"/>
          <bgColor rgb="FFDDEBF7"/>
        </patternFill>
      </fill>
    </dxf>
    <dxf>
      <font>
        <b/>
        <color rgb="FF000000"/>
      </font>
    </dxf>
    <dxf>
      <font>
        <b/>
        <color rgb="FF000000"/>
      </font>
    </dxf>
    <dxf>
      <font>
        <b/>
        <color rgb="FF000000"/>
      </font>
      <border>
        <top style="double">
          <color rgb="FF5B9BD5"/>
        </top>
      </border>
    </dxf>
    <dxf>
      <font>
        <b/>
        <color rgb="FFFFFFFF"/>
      </font>
      <fill>
        <patternFill patternType="solid">
          <fgColor rgb="FF5B9BD5"/>
          <bgColor rgb="FF5B9BD5"/>
        </patternFill>
      </fill>
    </dxf>
    <dxf>
      <font>
        <color rgb="FF000000"/>
      </font>
      <border>
        <left style="thin">
          <color rgb="FF9BC2E6"/>
        </left>
        <right style="thin">
          <color rgb="FF9BC2E6"/>
        </right>
        <top style="thin">
          <color rgb="FF9BC2E6"/>
        </top>
        <bottom style="thin">
          <color rgb="FF9BC2E6"/>
        </bottom>
        <horizontal style="thin">
          <color rgb="FF9BC2E6"/>
        </horizontal>
      </border>
    </dxf>
  </dxfs>
  <tableStyles count="1" defaultTableStyle="TableStyleMedium2" defaultPivotStyle="PivotStyleLight16">
    <tableStyle name="TableStyleMedium2 2" pivot="0" count="7" xr9:uid="{00000000-0011-0000-FFFF-FFFF00000000}">
      <tableStyleElement type="wholeTable" dxfId="64"/>
      <tableStyleElement type="headerRow" dxfId="63"/>
      <tableStyleElement type="totalRow" dxfId="62"/>
      <tableStyleElement type="firstColumn" dxfId="61"/>
      <tableStyleElement type="lastColumn" dxfId="60"/>
      <tableStyleElement type="firstRowStripe" dxfId="59"/>
      <tableStyleElement type="firstColumnStripe" dxfId="58"/>
    </tableStyle>
  </tableStyles>
  <colors>
    <mruColors>
      <color rgb="FF1B4273"/>
      <color rgb="FFFF9999"/>
      <color rgb="FFC0E399"/>
      <color rgb="FF9BC2E6"/>
      <color rgb="FFFFCC66"/>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21" Type="http://schemas.openxmlformats.org/officeDocument/2006/relationships/externalLink" Target="externalLinks/externalLink5.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sheetMetadata" Target="metadata.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5011921629003253"/>
          <c:y val="0.1098155617376485"/>
          <c:w val="0.64871440121921065"/>
          <c:h val="0.78036887652470299"/>
        </c:manualLayout>
      </c:layout>
      <c:barChart>
        <c:barDir val="bar"/>
        <c:grouping val="clustered"/>
        <c:varyColors val="0"/>
        <c:ser>
          <c:idx val="0"/>
          <c:order val="0"/>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LeasingInfographic!$N$18:$N$23</c:f>
              <c:strCache>
                <c:ptCount val="6"/>
                <c:pt idx="0">
                  <c:v>Alpha</c:v>
                </c:pt>
                <c:pt idx="1">
                  <c:v>Silent</c:v>
                </c:pt>
                <c:pt idx="2">
                  <c:v>Generation X</c:v>
                </c:pt>
                <c:pt idx="3">
                  <c:v>Baby Boomers</c:v>
                </c:pt>
                <c:pt idx="4">
                  <c:v>Millennials</c:v>
                </c:pt>
                <c:pt idx="5">
                  <c:v>Generation Z</c:v>
                </c:pt>
              </c:strCache>
            </c:strRef>
          </c:cat>
          <c:val>
            <c:numRef>
              <c:f>LeasingInfographic!$O$18:$O$23</c:f>
              <c:numCache>
                <c:formatCode>0%</c:formatCode>
                <c:ptCount val="6"/>
                <c:pt idx="0">
                  <c:v>6.4000000000000001E-2</c:v>
                </c:pt>
                <c:pt idx="1">
                  <c:v>6.8000000000000005E-2</c:v>
                </c:pt>
                <c:pt idx="2">
                  <c:v>0.20399999999999999</c:v>
                </c:pt>
                <c:pt idx="3">
                  <c:v>0.215</c:v>
                </c:pt>
                <c:pt idx="4">
                  <c:v>0.222</c:v>
                </c:pt>
                <c:pt idx="5">
                  <c:v>0.22700000000000001</c:v>
                </c:pt>
              </c:numCache>
            </c:numRef>
          </c:val>
          <c:extLst>
            <c:ext xmlns:c16="http://schemas.microsoft.com/office/drawing/2014/chart" uri="{C3380CC4-5D6E-409C-BE32-E72D297353CC}">
              <c16:uniqueId val="{00000003-196B-4989-A146-DE8CEC06FE5C}"/>
            </c:ext>
          </c:extLst>
        </c:ser>
        <c:dLbls>
          <c:dLblPos val="outEnd"/>
          <c:showLegendKey val="0"/>
          <c:showVal val="1"/>
          <c:showCatName val="0"/>
          <c:showSerName val="0"/>
          <c:showPercent val="0"/>
          <c:showBubbleSize val="0"/>
        </c:dLbls>
        <c:gapWidth val="10"/>
        <c:axId val="487748287"/>
        <c:axId val="482576239"/>
      </c:barChart>
      <c:catAx>
        <c:axId val="487748287"/>
        <c:scaling>
          <c:orientation val="minMax"/>
        </c:scaling>
        <c:delete val="0"/>
        <c:axPos val="l"/>
        <c:numFmt formatCode="General" sourceLinked="1"/>
        <c:majorTickMark val="out"/>
        <c:minorTickMark val="none"/>
        <c:tickLblPos val="nextTo"/>
        <c:spPr>
          <a:ln>
            <a:noFill/>
          </a:ln>
        </c:spPr>
        <c:crossAx val="482576239"/>
        <c:crosses val="autoZero"/>
        <c:auto val="1"/>
        <c:lblAlgn val="ctr"/>
        <c:lblOffset val="100"/>
        <c:noMultiLvlLbl val="0"/>
      </c:catAx>
      <c:valAx>
        <c:axId val="482576239"/>
        <c:scaling>
          <c:orientation val="minMax"/>
        </c:scaling>
        <c:delete val="1"/>
        <c:axPos val="b"/>
        <c:numFmt formatCode="0%" sourceLinked="1"/>
        <c:majorTickMark val="out"/>
        <c:minorTickMark val="none"/>
        <c:tickLblPos val="nextTo"/>
        <c:crossAx val="487748287"/>
        <c:crosses val="autoZero"/>
        <c:crossBetween val="between"/>
      </c:valAx>
      <c:spPr>
        <a:noFill/>
        <a:ln>
          <a:noFill/>
        </a:ln>
        <a:effectLst/>
      </c:spPr>
    </c:plotArea>
    <c:plotVisOnly val="1"/>
    <c:dispBlanksAs val="gap"/>
    <c:showDLblsOverMax val="0"/>
  </c:chart>
  <c:spPr>
    <a:noFill/>
    <a:ln>
      <a:noFill/>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4"/>
          <c:order val="0"/>
          <c:spPr>
            <a:solidFill>
              <a:srgbClr val="1B427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Roboto" panose="02000000000000000000" pitchFamily="2" charset="0"/>
                    <a:ea typeface="Roboto" panose="02000000000000000000" pitchFamily="2"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MileageDemo!$B$24:$B$28</c:f>
              <c:strCache>
                <c:ptCount val="5"/>
                <c:pt idx="0">
                  <c:v>Caucasian/White</c:v>
                </c:pt>
                <c:pt idx="1">
                  <c:v>African-American/Black</c:v>
                </c:pt>
                <c:pt idx="2">
                  <c:v>Hispanic/Latino</c:v>
                </c:pt>
                <c:pt idx="3">
                  <c:v>Asian</c:v>
                </c:pt>
                <c:pt idx="4">
                  <c:v>Other</c:v>
                </c:pt>
              </c:strCache>
            </c:strRef>
          </c:cat>
          <c:val>
            <c:numRef>
              <c:f>MileageDemo!$F$24:$F$28</c:f>
              <c:numCache>
                <c:formatCode>0.0%</c:formatCode>
                <c:ptCount val="5"/>
                <c:pt idx="0">
                  <c:v>0.64200000000000002</c:v>
                </c:pt>
                <c:pt idx="1">
                  <c:v>5.5E-2</c:v>
                </c:pt>
                <c:pt idx="2">
                  <c:v>0.152</c:v>
                </c:pt>
                <c:pt idx="3">
                  <c:v>0.113</c:v>
                </c:pt>
                <c:pt idx="4">
                  <c:v>3.9E-2</c:v>
                </c:pt>
              </c:numCache>
            </c:numRef>
          </c:val>
          <c:extLst>
            <c:ext xmlns:c16="http://schemas.microsoft.com/office/drawing/2014/chart" uri="{C3380CC4-5D6E-409C-BE32-E72D297353CC}">
              <c16:uniqueId val="{00000000-E6E1-4273-8635-B3A2EE93C252}"/>
            </c:ext>
          </c:extLst>
        </c:ser>
        <c:dLbls>
          <c:showLegendKey val="0"/>
          <c:showVal val="0"/>
          <c:showCatName val="0"/>
          <c:showSerName val="0"/>
          <c:showPercent val="0"/>
          <c:showBubbleSize val="0"/>
        </c:dLbls>
        <c:gapWidth val="182"/>
        <c:axId val="-324414064"/>
        <c:axId val="-324412432"/>
      </c:barChart>
      <c:catAx>
        <c:axId val="-324414064"/>
        <c:scaling>
          <c:orientation val="maxMin"/>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rgbClr val="3D7FD2"/>
                </a:solidFill>
                <a:latin typeface="Roboto" panose="02000000000000000000" pitchFamily="2" charset="0"/>
                <a:ea typeface="Roboto" panose="02000000000000000000" pitchFamily="2" charset="0"/>
                <a:cs typeface="+mn-cs"/>
              </a:defRPr>
            </a:pPr>
            <a:endParaRPr lang="en-US"/>
          </a:p>
        </c:txPr>
        <c:crossAx val="-324412432"/>
        <c:crosses val="autoZero"/>
        <c:auto val="1"/>
        <c:lblAlgn val="ctr"/>
        <c:lblOffset val="100"/>
        <c:noMultiLvlLbl val="0"/>
      </c:catAx>
      <c:valAx>
        <c:axId val="-324412432"/>
        <c:scaling>
          <c:orientation val="minMax"/>
          <c:max val="1"/>
        </c:scaling>
        <c:delete val="1"/>
        <c:axPos val="t"/>
        <c:numFmt formatCode="0.0%" sourceLinked="1"/>
        <c:majorTickMark val="none"/>
        <c:minorTickMark val="none"/>
        <c:tickLblPos val="nextTo"/>
        <c:crossAx val="-32441406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'YOY Change'!$I$1</c:f>
              <c:strCache>
                <c:ptCount val="1"/>
                <c:pt idx="0">
                  <c:v>Prev Year</c:v>
                </c:pt>
              </c:strCache>
            </c:strRef>
          </c:tx>
          <c:spPr>
            <a:solidFill>
              <a:schemeClr val="accent1"/>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Change'!$I$2:$I$6</c:f>
              <c:numCache>
                <c:formatCode>0%</c:formatCode>
                <c:ptCount val="5"/>
                <c:pt idx="0">
                  <c:v>5.2999999999999999E-2</c:v>
                </c:pt>
                <c:pt idx="1">
                  <c:v>3.9E-2</c:v>
                </c:pt>
                <c:pt idx="2">
                  <c:v>0.14799999999999999</c:v>
                </c:pt>
                <c:pt idx="3">
                  <c:v>0.115</c:v>
                </c:pt>
                <c:pt idx="4">
                  <c:v>0.64600000000000002</c:v>
                </c:pt>
              </c:numCache>
            </c:numRef>
          </c:val>
          <c:extLst>
            <c:ext xmlns:c16="http://schemas.microsoft.com/office/drawing/2014/chart" uri="{C3380CC4-5D6E-409C-BE32-E72D297353CC}">
              <c16:uniqueId val="{00000000-E4B4-45F5-BD30-0FCE362D6A66}"/>
            </c:ext>
          </c:extLst>
        </c:ser>
        <c:ser>
          <c:idx val="1"/>
          <c:order val="1"/>
          <c:tx>
            <c:strRef>
              <c:f>'YOY Change'!$J$1</c:f>
              <c:strCache>
                <c:ptCount val="1"/>
                <c:pt idx="0">
                  <c:v>Present Year</c:v>
                </c:pt>
              </c:strCache>
            </c:strRef>
          </c:tx>
          <c:spPr>
            <a:solidFill>
              <a:schemeClr val="accent2"/>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Change'!$J$2:$J$6</c:f>
              <c:numCache>
                <c:formatCode>0%</c:formatCode>
                <c:ptCount val="5"/>
                <c:pt idx="0">
                  <c:v>5.5E-2</c:v>
                </c:pt>
                <c:pt idx="1">
                  <c:v>3.9E-2</c:v>
                </c:pt>
                <c:pt idx="2">
                  <c:v>0.152</c:v>
                </c:pt>
                <c:pt idx="3">
                  <c:v>0.113</c:v>
                </c:pt>
                <c:pt idx="4">
                  <c:v>0.64200000000000002</c:v>
                </c:pt>
              </c:numCache>
            </c:numRef>
          </c:val>
          <c:extLst>
            <c:ext xmlns:c16="http://schemas.microsoft.com/office/drawing/2014/chart" uri="{C3380CC4-5D6E-409C-BE32-E72D297353CC}">
              <c16:uniqueId val="{00000001-E4B4-45F5-BD30-0FCE362D6A66}"/>
            </c:ext>
          </c:extLst>
        </c:ser>
        <c:dLbls>
          <c:showLegendKey val="0"/>
          <c:showVal val="0"/>
          <c:showCatName val="0"/>
          <c:showSerName val="0"/>
          <c:showPercent val="0"/>
          <c:showBubbleSize val="0"/>
        </c:dLbls>
        <c:gapWidth val="219"/>
        <c:overlap val="-27"/>
        <c:axId val="1832390031"/>
        <c:axId val="1832378799"/>
      </c:barChart>
      <c:catAx>
        <c:axId val="183239003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832378799"/>
        <c:crosses val="autoZero"/>
        <c:auto val="1"/>
        <c:lblAlgn val="ctr"/>
        <c:lblOffset val="100"/>
        <c:noMultiLvlLbl val="0"/>
      </c:catAx>
      <c:valAx>
        <c:axId val="1832378799"/>
        <c:scaling>
          <c:orientation val="minMax"/>
        </c:scaling>
        <c:delete val="1"/>
        <c:axPos val="r"/>
        <c:numFmt formatCode="0%" sourceLinked="1"/>
        <c:majorTickMark val="out"/>
        <c:minorTickMark val="none"/>
        <c:tickLblPos val="nextTo"/>
        <c:crossAx val="1832390031"/>
        <c:crosses val="autoZero"/>
        <c:crossBetween val="between"/>
      </c:valAx>
      <c:spPr>
        <a:noFill/>
        <a:ln>
          <a:noFill/>
        </a:ln>
        <a:effectLst/>
      </c:spPr>
    </c:plotArea>
    <c:legend>
      <c:legendPos val="r"/>
      <c:layout>
        <c:manualLayout>
          <c:xMode val="edge"/>
          <c:yMode val="edge"/>
          <c:x val="0.84183198030478756"/>
          <c:y val="2.8355752405949255E-2"/>
          <c:w val="0.14001556491485076"/>
          <c:h val="0.1562510936132983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123266</xdr:colOff>
      <xdr:row>15</xdr:row>
      <xdr:rowOff>168087</xdr:rowOff>
    </xdr:from>
    <xdr:to>
      <xdr:col>22</xdr:col>
      <xdr:colOff>145678</xdr:colOff>
      <xdr:row>24</xdr:row>
      <xdr:rowOff>168087</xdr:rowOff>
    </xdr:to>
    <xdr:graphicFrame macro="">
      <xdr:nvGraphicFramePr>
        <xdr:cNvPr id="2" name="Chart 1">
          <a:extLst>
            <a:ext uri="{FF2B5EF4-FFF2-40B4-BE49-F238E27FC236}">
              <a16:creationId xmlns:a16="http://schemas.microsoft.com/office/drawing/2014/main" id="{3CA9C49D-5C48-41BF-A010-BB2CED44A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74295</xdr:colOff>
      <xdr:row>35</xdr:row>
      <xdr:rowOff>60960</xdr:rowOff>
    </xdr:from>
    <xdr:to>
      <xdr:col>17</xdr:col>
      <xdr:colOff>30480</xdr:colOff>
      <xdr:row>53</xdr:row>
      <xdr:rowOff>60960</xdr:rowOff>
    </xdr:to>
    <xdr:graphicFrame macro="">
      <xdr:nvGraphicFramePr>
        <xdr:cNvPr id="2" name="Chart 1">
          <a:extLst>
            <a:ext uri="{FF2B5EF4-FFF2-40B4-BE49-F238E27FC236}">
              <a16:creationId xmlns:a16="http://schemas.microsoft.com/office/drawing/2014/main" id="{4A7C449B-331D-4D0A-88F8-30691F6604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571500</xdr:colOff>
      <xdr:row>1</xdr:row>
      <xdr:rowOff>0</xdr:rowOff>
    </xdr:from>
    <xdr:to>
      <xdr:col>18</xdr:col>
      <xdr:colOff>236220</xdr:colOff>
      <xdr:row>6</xdr:row>
      <xdr:rowOff>125645</xdr:rowOff>
    </xdr:to>
    <xdr:graphicFrame macro="">
      <xdr:nvGraphicFramePr>
        <xdr:cNvPr id="2" name="Chart 1">
          <a:extLst>
            <a:ext uri="{FF2B5EF4-FFF2-40B4-BE49-F238E27FC236}">
              <a16:creationId xmlns:a16="http://schemas.microsoft.com/office/drawing/2014/main" id="{483C1F46-2B29-4289-9F16-92F976FDD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aro36579709.sharepoint.com/sites/ABClients/Shared%20Documents/General/Atlanta%20Botanical%20Garden/10621%20&#8211;%202024-2027%20-%20TruTrade/Reports/2024%20Trutrade/Competitive%20Market%20Position%20-%2012%20Months%20Ending%20Mar%202025%20(05-10-2025).xlsx?0021E939" TargetMode="External"/><Relationship Id="rId1" Type="http://schemas.openxmlformats.org/officeDocument/2006/relationships/externalLinkPath" Target="file:///\\0021E939\Competitive%20Market%20Position%20-%2012%20Months%20Ending%20Mar%202025%20(05-10-2025).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Lady%20Bird%20Johnson%20Wildflower%20Center/10639%20-%20090124%20&#8211;%20083127%20Lady%20Bird%20Johnson%20Wildflower%20Center%20TruTrade/Reports/2025/LBJWC%20Exec%20Report%20Workbook%20v1%20(10-15-2025).xlsx" TargetMode="External"/><Relationship Id="rId2" Type="http://schemas.microsoft.com/office/2019/04/relationships/externalLinkLongPath" Target="https://aro36579709.sharepoint.com/sites/ABClients/Shared%20Documents/General/Lady%20Bird%20Johnson%20Wildflower%20Center/10639%20-%20090124%20&#8211;%20083127%20Lady%20Bird%20Johnson%20Wildflower%20Center%20TruTrade/Reports/2025/LBJWC%20Exec%20Report%20Workbook%20v1%20(10-15-2025).xlsx?23B5295E" TargetMode="External"/><Relationship Id="rId1" Type="http://schemas.openxmlformats.org/officeDocument/2006/relationships/externalLinkPath" Target="file:///\\23B5295E\LBJWC%20Exec%20Report%20Workbook%20v1%20(10-15-2025).xlsx"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Atlanta%20Botanical%20Garden/10621%20&#8211;%202024-2027%20-%20TruTrade/Reports/2024%20Trutrade/Visitor%20Draw%20Demographics%20-%2012%20Months%20Ending%20Mar%202025%20(05-10-2025)%20(1).xlsx" TargetMode="External"/><Relationship Id="rId2" Type="http://schemas.microsoft.com/office/2019/04/relationships/externalLinkLongPath" Target="https://aro36579709.sharepoint.com/sites/ABClients/Shared%20Documents/General/Atlanta%20Botanical%20Garden/10621%20&#8211;%202024-2027%20-%20TruTrade/Reports/2024%20Trutrade/Visitor%20Draw%20Demographics%20-%2012%20Months%20Ending%20Mar%202025%20(05-10-2025)%20(1).xlsx?0021E939" TargetMode="External"/><Relationship Id="rId1" Type="http://schemas.openxmlformats.org/officeDocument/2006/relationships/externalLinkPath" Target="file:///\\0021E939\Visitor%20Draw%20Demographics%20-%2012%20Months%20Ending%20Mar%202025%20(05-10-2025)%20(1).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 Id="rId1"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s>
</file>

<file path=xl/externalLinks/_rels/externalLink5.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Visitor%20Draw%20Demographics%20-%2012%20Months%20Ending%20Dec%202024%20(02-12-2025).xlsx?F4B05936" TargetMode="External"/><Relationship Id="rId1" Type="http://schemas.openxmlformats.org/officeDocument/2006/relationships/externalLinkPath" Target="file:///\\F4B05936\Visitor%20Draw%20Demographics%20-%2012%20Months%20Ending%20Dec%202024%20(02-12-2025).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Top%20Zip%20Codes%20-%2012%20Months%20Ending%20Mar%202025%20(05-10-2025).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Distance%20Traveled%20-%2012%20Months%20Ending%20Mar%202025%20(05-10-2025).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289%20-%202021-2024%20-%20TruTrade/2.%20Analysis/ABG%20Gainesville%20GLHN%20Estimates/top_states.xlsx" TargetMode="External"/></Relationships>
</file>

<file path=xl/externalLinks/_rels/externalLink11.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4%20(02-12-2025).xlsx?F4B05936" TargetMode="External"/><Relationship Id="rId1" Type="http://schemas.openxmlformats.org/officeDocument/2006/relationships/externalLinkPath" Target="file:///\\F4B05936\Summary%20Report%20-%2012%20Months%20Ending%20Dec%202024%20(02-12-2025).xlsx" TargetMode="External"/></Relationships>
</file>

<file path=xl/externalLinks/_rels/externalLink12.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3%20(02-12-2025).xlsx?F4B05936" TargetMode="External"/><Relationship Id="rId1" Type="http://schemas.openxmlformats.org/officeDocument/2006/relationships/externalLinkPath" Target="file:///\\F4B05936\Summary%20Report%20-%2012%20Months%20Ending%20Dec%202023%20(02-12-2025).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Place%20Strategists/10286%20-%202021-2022%20-%20Redlands%20TruTrade/3.%20Analysis/competitive_overla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 Market Position - 1"/>
    </sheetNames>
    <sheetDataSet>
      <sheetData sheetId="0">
        <row r="2">
          <cell r="A2" t="str">
            <v>Atlanta-Sandy Springs-Alpharetta, GA MSA</v>
          </cell>
          <cell r="B2">
            <v>6399274</v>
          </cell>
          <cell r="C2">
            <v>123829</v>
          </cell>
          <cell r="D2">
            <v>0.45100000000000001</v>
          </cell>
          <cell r="E2">
            <v>46.1</v>
          </cell>
          <cell r="F2">
            <v>0.35099999999999998</v>
          </cell>
          <cell r="G2">
            <v>0.42799999999999999</v>
          </cell>
        </row>
        <row r="3">
          <cell r="A3" t="str">
            <v xml:space="preserve">Atlanta Botanical Garden - Atlanta, GA  </v>
          </cell>
          <cell r="B3">
            <v>5807232</v>
          </cell>
          <cell r="C3">
            <v>114598</v>
          </cell>
          <cell r="D3">
            <v>0.41699999999999998</v>
          </cell>
          <cell r="E3">
            <v>46</v>
          </cell>
          <cell r="F3">
            <v>0.33900000000000002</v>
          </cell>
          <cell r="G3">
            <v>0.48299999999999998</v>
          </cell>
        </row>
        <row r="4">
          <cell r="A4" t="str">
            <v>Atlanta Botanical Garden Gainesville - Gainesville, GA 30501</v>
          </cell>
          <cell r="B4">
            <v>453645</v>
          </cell>
          <cell r="C4">
            <v>115367</v>
          </cell>
          <cell r="D4">
            <v>0.39200000000000002</v>
          </cell>
          <cell r="E4">
            <v>47.1</v>
          </cell>
          <cell r="F4">
            <v>0.41</v>
          </cell>
          <cell r="G4">
            <v>0.34399999999999997</v>
          </cell>
        </row>
        <row r="5">
          <cell r="A5" t="str">
            <v>Avalon - Alpharetta, GA 30009</v>
          </cell>
          <cell r="B5">
            <v>2009948</v>
          </cell>
          <cell r="C5">
            <v>116088</v>
          </cell>
          <cell r="D5">
            <v>0.56100000000000005</v>
          </cell>
          <cell r="E5">
            <v>46.7</v>
          </cell>
          <cell r="F5">
            <v>0.4</v>
          </cell>
          <cell r="G5">
            <v>0.59199999999999997</v>
          </cell>
        </row>
        <row r="6">
          <cell r="A6" t="str">
            <v>Fernbank Museum of Natural History - ATL, GA 30307</v>
          </cell>
          <cell r="B6">
            <v>3210764</v>
          </cell>
          <cell r="C6">
            <v>116752</v>
          </cell>
          <cell r="D6">
            <v>0.40400000000000003</v>
          </cell>
          <cell r="E6">
            <v>46</v>
          </cell>
          <cell r="F6">
            <v>0.36299999999999999</v>
          </cell>
          <cell r="G6">
            <v>0.45600000000000002</v>
          </cell>
        </row>
        <row r="7">
          <cell r="A7" t="str">
            <v>Gainesville Square - Gainesville, GA 30501</v>
          </cell>
          <cell r="B7">
            <v>454285</v>
          </cell>
          <cell r="C7">
            <v>102374</v>
          </cell>
          <cell r="D7">
            <v>0.316</v>
          </cell>
          <cell r="E7">
            <v>46.8</v>
          </cell>
          <cell r="F7">
            <v>0.38200000000000001</v>
          </cell>
          <cell r="G7">
            <v>0.28100000000000003</v>
          </cell>
        </row>
        <row r="8">
          <cell r="A8" t="str">
            <v>High Museum of Art - ATL, GA 30309</v>
          </cell>
          <cell r="B8">
            <v>3558297</v>
          </cell>
          <cell r="C8">
            <v>117704</v>
          </cell>
          <cell r="D8">
            <v>0.40699999999999997</v>
          </cell>
          <cell r="E8">
            <v>45.5</v>
          </cell>
          <cell r="F8">
            <v>0.32600000000000001</v>
          </cell>
          <cell r="G8">
            <v>0.48899999999999999</v>
          </cell>
        </row>
        <row r="9">
          <cell r="A9" t="str">
            <v>Krog Street Market - ATL, GA 30307</v>
          </cell>
          <cell r="B9">
            <v>4729244</v>
          </cell>
          <cell r="C9">
            <v>115371</v>
          </cell>
          <cell r="D9">
            <v>0.40799999999999997</v>
          </cell>
          <cell r="E9">
            <v>45.6</v>
          </cell>
          <cell r="F9">
            <v>0.32</v>
          </cell>
          <cell r="G9">
            <v>0.496</v>
          </cell>
        </row>
        <row r="10">
          <cell r="A10" t="str">
            <v>Lenox Square - ATL, GA 30326</v>
          </cell>
          <cell r="B10">
            <v>6952060</v>
          </cell>
          <cell r="C10">
            <v>104759</v>
          </cell>
          <cell r="D10">
            <v>0.39200000000000002</v>
          </cell>
          <cell r="E10">
            <v>46.1</v>
          </cell>
          <cell r="F10">
            <v>0.34300000000000003</v>
          </cell>
          <cell r="G10">
            <v>0.46600000000000003</v>
          </cell>
        </row>
        <row r="11">
          <cell r="A11" t="str">
            <v>Piedmont Park - ATL, GA 30309</v>
          </cell>
          <cell r="B11">
            <v>5231123</v>
          </cell>
          <cell r="C11">
            <v>106701</v>
          </cell>
          <cell r="D11">
            <v>0.41799999999999998</v>
          </cell>
          <cell r="E11">
            <v>46</v>
          </cell>
          <cell r="F11">
            <v>0.28699999999999998</v>
          </cell>
          <cell r="G11">
            <v>0.51900000000000002</v>
          </cell>
        </row>
        <row r="12">
          <cell r="A12" t="str">
            <v>Ponce City Market - ATL, GA 30308</v>
          </cell>
          <cell r="B12">
            <v>5746329</v>
          </cell>
          <cell r="C12">
            <v>110458</v>
          </cell>
          <cell r="D12">
            <v>0.40100000000000002</v>
          </cell>
          <cell r="E12">
            <v>46</v>
          </cell>
          <cell r="F12">
            <v>0.32500000000000001</v>
          </cell>
          <cell r="G12">
            <v>0.48399999999999999</v>
          </cell>
        </row>
        <row r="13">
          <cell r="A13" t="str">
            <v>The Works - Atlanta, GA, 30318</v>
          </cell>
          <cell r="B13">
            <v>3070789</v>
          </cell>
          <cell r="C13">
            <v>116954</v>
          </cell>
          <cell r="D13">
            <v>0.39800000000000002</v>
          </cell>
          <cell r="E13">
            <v>45.6</v>
          </cell>
          <cell r="F13">
            <v>0.32700000000000001</v>
          </cell>
          <cell r="G13">
            <v>0.498</v>
          </cell>
        </row>
        <row r="14">
          <cell r="A14" t="str">
            <v>Westside Paper - Atlanta, GA 30318</v>
          </cell>
          <cell r="B14">
            <v>302332</v>
          </cell>
          <cell r="C14">
            <v>114268</v>
          </cell>
          <cell r="D14">
            <v>0.222</v>
          </cell>
          <cell r="E14">
            <v>43.9</v>
          </cell>
          <cell r="F14">
            <v>0.34100000000000003</v>
          </cell>
          <cell r="G14">
            <v>0.45900000000000002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s>
    <sheetDataSet>
      <sheetData sheetId="0"/>
      <sheetData sheetId="1"/>
      <sheetData sheetId="2"/>
      <sheetData sheetId="3">
        <row r="3">
          <cell r="B3">
            <v>999570</v>
          </cell>
        </row>
      </sheetData>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Visitor Draw Demographics - 12 "/>
    </sheetNames>
    <sheetDataSet>
      <sheetData sheetId="0">
        <row r="2">
          <cell r="A2" t="str">
            <v>Atlanta-Sandy Springs-Alpharetta, GA Metropolitan Statistical Area</v>
          </cell>
          <cell r="B2">
            <v>0.125</v>
          </cell>
          <cell r="C2">
            <v>0.185</v>
          </cell>
          <cell r="D2">
            <v>0.18</v>
          </cell>
          <cell r="E2">
            <v>0.17100000000000001</v>
          </cell>
          <cell r="F2">
            <v>0.154</v>
          </cell>
          <cell r="G2">
            <v>0.184</v>
          </cell>
          <cell r="H2">
            <v>46.1</v>
          </cell>
          <cell r="I2">
            <v>0.25900000000000001</v>
          </cell>
          <cell r="J2">
            <v>0.156</v>
          </cell>
          <cell r="K2">
            <v>0.13400000000000001</v>
          </cell>
          <cell r="L2">
            <v>0.19600000000000001</v>
          </cell>
          <cell r="M2">
            <v>0.255</v>
          </cell>
          <cell r="N2">
            <v>123829</v>
          </cell>
          <cell r="O2">
            <v>0.35099999999999998</v>
          </cell>
          <cell r="P2">
            <v>0.315</v>
          </cell>
          <cell r="Q2">
            <v>0.25700000000000001</v>
          </cell>
          <cell r="R2">
            <v>0.26</v>
          </cell>
          <cell r="S2">
            <v>0.16900000000000001</v>
          </cell>
          <cell r="T2">
            <v>0.42</v>
          </cell>
          <cell r="U2">
            <v>0.32600000000000001</v>
          </cell>
          <cell r="V2">
            <v>0.121</v>
          </cell>
          <cell r="W2">
            <v>6.8000000000000005E-2</v>
          </cell>
          <cell r="X2">
            <v>6.6000000000000003E-2</v>
          </cell>
        </row>
        <row r="3">
          <cell r="A3" t="str">
            <v xml:space="preserve">Atlanta Botanical Garden - Atlanta, GA  </v>
          </cell>
          <cell r="B3">
            <v>0.13200000000000001</v>
          </cell>
          <cell r="C3">
            <v>0.19400000000000001</v>
          </cell>
          <cell r="D3">
            <v>0.17599999999999999</v>
          </cell>
          <cell r="E3">
            <v>0.16400000000000001</v>
          </cell>
          <cell r="F3">
            <v>0.153</v>
          </cell>
          <cell r="G3">
            <v>0.18</v>
          </cell>
          <cell r="H3">
            <v>46</v>
          </cell>
          <cell r="I3">
            <v>0.28299999999999997</v>
          </cell>
          <cell r="J3">
            <v>0.155</v>
          </cell>
          <cell r="K3">
            <v>0.14499999999999999</v>
          </cell>
          <cell r="L3">
            <v>0.17699999999999999</v>
          </cell>
          <cell r="M3">
            <v>0.24099999999999999</v>
          </cell>
          <cell r="N3">
            <v>114598</v>
          </cell>
          <cell r="O3">
            <v>0.33900000000000002</v>
          </cell>
          <cell r="P3">
            <v>0.27500000000000002</v>
          </cell>
          <cell r="Q3">
            <v>0.24199999999999999</v>
          </cell>
          <cell r="R3">
            <v>0.28199999999999997</v>
          </cell>
          <cell r="S3">
            <v>0.20200000000000001</v>
          </cell>
          <cell r="T3">
            <v>0.52300000000000002</v>
          </cell>
          <cell r="U3">
            <v>0.24299999999999999</v>
          </cell>
          <cell r="V3">
            <v>0.115</v>
          </cell>
          <cell r="W3">
            <v>6.8000000000000005E-2</v>
          </cell>
          <cell r="X3">
            <v>0.05</v>
          </cell>
        </row>
        <row r="4">
          <cell r="A4" t="str">
            <v>Atlanta Botanical Garden Gainesville - Gainesville, GA 30501</v>
          </cell>
          <cell r="B4">
            <v>0.113</v>
          </cell>
          <cell r="C4">
            <v>0.17599999999999999</v>
          </cell>
          <cell r="D4">
            <v>0.17100000000000001</v>
          </cell>
          <cell r="E4">
            <v>0.17100000000000001</v>
          </cell>
          <cell r="F4">
            <v>0.16500000000000001</v>
          </cell>
          <cell r="G4">
            <v>0.20399999999999999</v>
          </cell>
          <cell r="H4">
            <v>47.1</v>
          </cell>
          <cell r="I4">
            <v>0.29799999999999999</v>
          </cell>
          <cell r="J4">
            <v>0.16400000000000001</v>
          </cell>
          <cell r="K4">
            <v>0.14499999999999999</v>
          </cell>
          <cell r="L4">
            <v>0.193</v>
          </cell>
          <cell r="M4">
            <v>0.19900000000000001</v>
          </cell>
          <cell r="N4">
            <v>115367</v>
          </cell>
          <cell r="O4">
            <v>0.41</v>
          </cell>
          <cell r="P4">
            <v>0.38700000000000001</v>
          </cell>
          <cell r="Q4">
            <v>0.26800000000000002</v>
          </cell>
          <cell r="R4">
            <v>0.20399999999999999</v>
          </cell>
          <cell r="S4">
            <v>0.14099999999999999</v>
          </cell>
          <cell r="T4">
            <v>0.625</v>
          </cell>
          <cell r="U4">
            <v>0.10299999999999999</v>
          </cell>
          <cell r="V4">
            <v>0.16700000000000001</v>
          </cell>
          <cell r="W4">
            <v>4.9000000000000002E-2</v>
          </cell>
          <cell r="X4">
            <v>5.5E-2</v>
          </cell>
        </row>
        <row r="5">
          <cell r="A5" t="str">
            <v>Avalon - Alpharetta, GA 30009</v>
          </cell>
          <cell r="B5">
            <v>0.11899999999999999</v>
          </cell>
          <cell r="C5">
            <v>0.16400000000000001</v>
          </cell>
          <cell r="D5">
            <v>0.184</v>
          </cell>
          <cell r="E5">
            <v>0.189</v>
          </cell>
          <cell r="F5">
            <v>0.16800000000000001</v>
          </cell>
          <cell r="G5">
            <v>0.17599999999999999</v>
          </cell>
          <cell r="H5">
            <v>46.7</v>
          </cell>
          <cell r="I5">
            <v>0.191</v>
          </cell>
          <cell r="J5">
            <v>0.123</v>
          </cell>
          <cell r="K5">
            <v>0.126</v>
          </cell>
          <cell r="L5">
            <v>0.193</v>
          </cell>
          <cell r="M5">
            <v>0.36799999999999999</v>
          </cell>
          <cell r="N5">
            <v>116088</v>
          </cell>
          <cell r="O5">
            <v>0.4</v>
          </cell>
          <cell r="P5">
            <v>0.19900000000000001</v>
          </cell>
          <cell r="Q5">
            <v>0.20899999999999999</v>
          </cell>
          <cell r="R5">
            <v>0.36699999999999999</v>
          </cell>
          <cell r="S5">
            <v>0.22500000000000001</v>
          </cell>
          <cell r="T5">
            <v>0.59</v>
          </cell>
          <cell r="U5">
            <v>0.11700000000000001</v>
          </cell>
          <cell r="V5">
            <v>0.106</v>
          </cell>
          <cell r="W5">
            <v>0.13900000000000001</v>
          </cell>
          <cell r="X5">
            <v>4.9000000000000002E-2</v>
          </cell>
        </row>
        <row r="6">
          <cell r="A6" t="str">
            <v>Fernbank Museum of Natural History - ATL, GA 30307</v>
          </cell>
          <cell r="B6">
            <v>0.13100000000000001</v>
          </cell>
          <cell r="C6">
            <v>0.187</v>
          </cell>
          <cell r="D6">
            <v>0.17799999999999999</v>
          </cell>
          <cell r="E6">
            <v>0.16700000000000001</v>
          </cell>
          <cell r="F6">
            <v>0.156</v>
          </cell>
          <cell r="G6">
            <v>0.182</v>
          </cell>
          <cell r="H6">
            <v>46</v>
          </cell>
          <cell r="I6">
            <v>0.29699999999999999</v>
          </cell>
          <cell r="J6">
            <v>0.156</v>
          </cell>
          <cell r="K6">
            <v>0.14399999999999999</v>
          </cell>
          <cell r="L6">
            <v>0.17399999999999999</v>
          </cell>
          <cell r="M6">
            <v>0.22900000000000001</v>
          </cell>
          <cell r="N6">
            <v>116752</v>
          </cell>
          <cell r="O6">
            <v>0.36299999999999999</v>
          </cell>
          <cell r="P6">
            <v>0.29299999999999998</v>
          </cell>
          <cell r="Q6">
            <v>0.251</v>
          </cell>
          <cell r="R6">
            <v>0.27</v>
          </cell>
          <cell r="S6">
            <v>0.186</v>
          </cell>
          <cell r="T6">
            <v>0.49299999999999999</v>
          </cell>
          <cell r="U6">
            <v>0.27</v>
          </cell>
          <cell r="V6">
            <v>0.12</v>
          </cell>
          <cell r="W6">
            <v>6.6000000000000003E-2</v>
          </cell>
          <cell r="X6">
            <v>5.0999999999999997E-2</v>
          </cell>
        </row>
        <row r="7">
          <cell r="A7" t="str">
            <v>Gainesville Square - Gainesville, GA 30501</v>
          </cell>
          <cell r="B7">
            <v>0.13100000000000001</v>
          </cell>
          <cell r="C7">
            <v>0.183</v>
          </cell>
          <cell r="D7">
            <v>0.17199999999999999</v>
          </cell>
          <cell r="E7">
            <v>0.159</v>
          </cell>
          <cell r="F7">
            <v>0.155</v>
          </cell>
          <cell r="G7">
            <v>0.19900000000000001</v>
          </cell>
          <cell r="H7">
            <v>46.8</v>
          </cell>
          <cell r="I7">
            <v>0.36299999999999999</v>
          </cell>
          <cell r="J7">
            <v>0.17599999999999999</v>
          </cell>
          <cell r="K7">
            <v>0.14599999999999999</v>
          </cell>
          <cell r="L7">
            <v>0.156</v>
          </cell>
          <cell r="M7">
            <v>0.159</v>
          </cell>
          <cell r="N7">
            <v>102342</v>
          </cell>
          <cell r="O7">
            <v>0.39200000000000002</v>
          </cell>
          <cell r="P7">
            <v>0.46700000000000003</v>
          </cell>
          <cell r="Q7">
            <v>0.252</v>
          </cell>
          <cell r="R7">
            <v>0.17299999999999999</v>
          </cell>
          <cell r="S7">
            <v>0.108</v>
          </cell>
          <cell r="T7">
            <v>0.56100000000000005</v>
          </cell>
          <cell r="U7">
            <v>9.1999999999999998E-2</v>
          </cell>
          <cell r="V7">
            <v>0.24099999999999999</v>
          </cell>
          <cell r="W7">
            <v>2.8000000000000001E-2</v>
          </cell>
          <cell r="X7">
            <v>7.9000000000000001E-2</v>
          </cell>
        </row>
        <row r="8">
          <cell r="A8" t="str">
            <v>High Museum of Art - ATL, GA 30309</v>
          </cell>
          <cell r="B8">
            <v>0.14399999999999999</v>
          </cell>
          <cell r="C8">
            <v>0.20100000000000001</v>
          </cell>
          <cell r="D8">
            <v>0.17499999999999999</v>
          </cell>
          <cell r="E8">
            <v>0.159</v>
          </cell>
          <cell r="F8">
            <v>0.14799999999999999</v>
          </cell>
          <cell r="G8">
            <v>0.17399999999999999</v>
          </cell>
          <cell r="H8">
            <v>45.5</v>
          </cell>
          <cell r="I8">
            <v>0.307</v>
          </cell>
          <cell r="J8">
            <v>0.15</v>
          </cell>
          <cell r="K8">
            <v>0.13600000000000001</v>
          </cell>
          <cell r="L8">
            <v>0.16700000000000001</v>
          </cell>
          <cell r="M8">
            <v>0.24</v>
          </cell>
          <cell r="N8">
            <v>117704</v>
          </cell>
          <cell r="O8">
            <v>0.32600000000000001</v>
          </cell>
          <cell r="P8">
            <v>0.27800000000000002</v>
          </cell>
          <cell r="Q8">
            <v>0.23300000000000001</v>
          </cell>
          <cell r="R8">
            <v>0.28599999999999998</v>
          </cell>
          <cell r="S8">
            <v>0.20399999999999999</v>
          </cell>
          <cell r="T8">
            <v>0.46700000000000003</v>
          </cell>
          <cell r="U8">
            <v>0.30099999999999999</v>
          </cell>
          <cell r="V8">
            <v>0.115</v>
          </cell>
          <cell r="W8">
            <v>6.9000000000000006E-2</v>
          </cell>
          <cell r="X8">
            <v>4.9000000000000002E-2</v>
          </cell>
        </row>
        <row r="9">
          <cell r="A9" t="str">
            <v>Krog Street Market - ATL, GA 30307</v>
          </cell>
          <cell r="B9">
            <v>0.14399999999999999</v>
          </cell>
          <cell r="C9">
            <v>0.21299999999999999</v>
          </cell>
          <cell r="D9">
            <v>0.18099999999999999</v>
          </cell>
          <cell r="E9">
            <v>0.157</v>
          </cell>
          <cell r="F9">
            <v>0.14199999999999999</v>
          </cell>
          <cell r="G9">
            <v>0.16400000000000001</v>
          </cell>
          <cell r="H9">
            <v>45.6</v>
          </cell>
          <cell r="I9">
            <v>0.3</v>
          </cell>
          <cell r="J9">
            <v>0.152</v>
          </cell>
          <cell r="K9">
            <v>0.14000000000000001</v>
          </cell>
          <cell r="L9">
            <v>0.17699999999999999</v>
          </cell>
          <cell r="M9">
            <v>0.23100000000000001</v>
          </cell>
          <cell r="N9">
            <v>115371</v>
          </cell>
          <cell r="O9">
            <v>0.32</v>
          </cell>
          <cell r="P9">
            <v>0.27</v>
          </cell>
          <cell r="Q9">
            <v>0.23400000000000001</v>
          </cell>
          <cell r="R9">
            <v>0.28999999999999998</v>
          </cell>
          <cell r="S9">
            <v>0.20599999999999999</v>
          </cell>
          <cell r="T9">
            <v>0.47099999999999997</v>
          </cell>
          <cell r="U9">
            <v>0.29399999999999998</v>
          </cell>
          <cell r="V9">
            <v>0.11700000000000001</v>
          </cell>
          <cell r="W9">
            <v>6.8000000000000005E-2</v>
          </cell>
          <cell r="X9">
            <v>5.0999999999999997E-2</v>
          </cell>
        </row>
        <row r="10">
          <cell r="A10" t="str">
            <v>Lenox Square - ATL, GA 30326</v>
          </cell>
          <cell r="B10">
            <v>0.13800000000000001</v>
          </cell>
          <cell r="C10">
            <v>0.20200000000000001</v>
          </cell>
          <cell r="D10">
            <v>0.18</v>
          </cell>
          <cell r="E10">
            <v>0.161</v>
          </cell>
          <cell r="F10">
            <v>0.14699999999999999</v>
          </cell>
          <cell r="G10">
            <v>0.17100000000000001</v>
          </cell>
          <cell r="H10">
            <v>46.1</v>
          </cell>
          <cell r="I10">
            <v>0.311</v>
          </cell>
          <cell r="J10">
            <v>0.158</v>
          </cell>
          <cell r="K10">
            <v>0.13900000000000001</v>
          </cell>
          <cell r="L10">
            <v>0.16800000000000001</v>
          </cell>
          <cell r="M10">
            <v>0.224</v>
          </cell>
          <cell r="N10">
            <v>104759</v>
          </cell>
          <cell r="O10">
            <v>0.34300000000000003</v>
          </cell>
          <cell r="P10">
            <v>0.28899999999999998</v>
          </cell>
          <cell r="Q10">
            <v>0.245</v>
          </cell>
          <cell r="R10">
            <v>0.28100000000000003</v>
          </cell>
          <cell r="S10">
            <v>0.186</v>
          </cell>
          <cell r="T10">
            <v>0.44900000000000001</v>
          </cell>
          <cell r="U10">
            <v>0.308</v>
          </cell>
          <cell r="V10">
            <v>0.121</v>
          </cell>
          <cell r="W10">
            <v>7.0000000000000007E-2</v>
          </cell>
          <cell r="X10">
            <v>5.0999999999999997E-2</v>
          </cell>
        </row>
        <row r="11">
          <cell r="A11" t="str">
            <v>Piedmont Park - ATL, GA 30309</v>
          </cell>
          <cell r="B11">
            <v>0.14099999999999999</v>
          </cell>
          <cell r="C11">
            <v>0.219</v>
          </cell>
          <cell r="D11">
            <v>0.17799999999999999</v>
          </cell>
          <cell r="E11">
            <v>0.154</v>
          </cell>
          <cell r="F11">
            <v>0.14199999999999999</v>
          </cell>
          <cell r="G11">
            <v>0.16600000000000001</v>
          </cell>
          <cell r="H11">
            <v>46</v>
          </cell>
          <cell r="I11">
            <v>0.28999999999999998</v>
          </cell>
          <cell r="J11">
            <v>0.151</v>
          </cell>
          <cell r="K11">
            <v>0.14000000000000001</v>
          </cell>
          <cell r="L11">
            <v>0.17100000000000001</v>
          </cell>
          <cell r="M11">
            <v>0.247</v>
          </cell>
          <cell r="N11">
            <v>106701</v>
          </cell>
          <cell r="O11">
            <v>0.28699999999999998</v>
          </cell>
          <cell r="P11">
            <v>0.25800000000000001</v>
          </cell>
          <cell r="Q11">
            <v>0.223</v>
          </cell>
          <cell r="R11">
            <v>0.28899999999999998</v>
          </cell>
          <cell r="S11">
            <v>0.23</v>
          </cell>
          <cell r="T11">
            <v>0.48699999999999999</v>
          </cell>
          <cell r="U11">
            <v>0.28899999999999998</v>
          </cell>
          <cell r="V11">
            <v>0.11</v>
          </cell>
          <cell r="W11">
            <v>6.5000000000000002E-2</v>
          </cell>
          <cell r="X11">
            <v>4.9000000000000002E-2</v>
          </cell>
        </row>
        <row r="12">
          <cell r="A12" t="str">
            <v>Ponce City Market - ATL, GA 30308</v>
          </cell>
          <cell r="B12">
            <v>0.14599999999999999</v>
          </cell>
          <cell r="C12">
            <v>0.21099999999999999</v>
          </cell>
          <cell r="D12">
            <v>0.17799999999999999</v>
          </cell>
          <cell r="E12">
            <v>0.158</v>
          </cell>
          <cell r="F12">
            <v>0.14299999999999999</v>
          </cell>
          <cell r="G12">
            <v>0.16500000000000001</v>
          </cell>
          <cell r="H12">
            <v>46</v>
          </cell>
          <cell r="I12">
            <v>0.30499999999999999</v>
          </cell>
          <cell r="J12">
            <v>0.154</v>
          </cell>
          <cell r="K12">
            <v>0.14000000000000001</v>
          </cell>
          <cell r="L12">
            <v>0.17899999999999999</v>
          </cell>
          <cell r="M12">
            <v>0.223</v>
          </cell>
          <cell r="N12">
            <v>110458</v>
          </cell>
          <cell r="O12">
            <v>0.32500000000000001</v>
          </cell>
          <cell r="P12">
            <v>0.27600000000000002</v>
          </cell>
          <cell r="Q12">
            <v>0.24</v>
          </cell>
          <cell r="R12">
            <v>0.28599999999999998</v>
          </cell>
          <cell r="S12">
            <v>0.19800000000000001</v>
          </cell>
          <cell r="T12">
            <v>0.46500000000000002</v>
          </cell>
          <cell r="U12">
            <v>0.30199999999999999</v>
          </cell>
          <cell r="V12">
            <v>0.115</v>
          </cell>
          <cell r="W12">
            <v>6.8000000000000005E-2</v>
          </cell>
          <cell r="X12">
            <v>5.0999999999999997E-2</v>
          </cell>
        </row>
        <row r="13">
          <cell r="A13" t="str">
            <v>The Works - Atlanta, GA, 30318</v>
          </cell>
          <cell r="B13">
            <v>0.13500000000000001</v>
          </cell>
          <cell r="C13">
            <v>0.215</v>
          </cell>
          <cell r="D13">
            <v>0.186</v>
          </cell>
          <cell r="E13">
            <v>0.16</v>
          </cell>
          <cell r="F13">
            <v>0.14199999999999999</v>
          </cell>
          <cell r="G13">
            <v>0.16200000000000001</v>
          </cell>
          <cell r="H13">
            <v>45.6</v>
          </cell>
          <cell r="I13">
            <v>0.29399999999999998</v>
          </cell>
          <cell r="J13">
            <v>0.16200000000000001</v>
          </cell>
          <cell r="K13">
            <v>0.14599999999999999</v>
          </cell>
          <cell r="L13">
            <v>0.17499999999999999</v>
          </cell>
          <cell r="M13">
            <v>0.223</v>
          </cell>
          <cell r="N13">
            <v>116954</v>
          </cell>
          <cell r="P13">
            <v>0.26700000000000002</v>
          </cell>
          <cell r="Q13">
            <v>0.23499999999999999</v>
          </cell>
          <cell r="R13">
            <v>0.30099999999999999</v>
          </cell>
          <cell r="S13">
            <v>0.19600000000000001</v>
          </cell>
          <cell r="T13">
            <v>0.46</v>
          </cell>
          <cell r="U13">
            <v>0.311</v>
          </cell>
          <cell r="V13">
            <v>0.11700000000000001</v>
          </cell>
          <cell r="W13">
            <v>6.0999999999999999E-2</v>
          </cell>
          <cell r="X13">
            <v>5.1999999999999998E-2</v>
          </cell>
        </row>
        <row r="14">
          <cell r="A14" t="str">
            <v>Westside Paper - Atlanta, GA 30318</v>
          </cell>
          <cell r="B14">
            <v>0.13800000000000001</v>
          </cell>
          <cell r="C14">
            <v>0.247</v>
          </cell>
          <cell r="D14">
            <v>0.187</v>
          </cell>
          <cell r="E14">
            <v>0.157</v>
          </cell>
          <cell r="F14">
            <v>0.13600000000000001</v>
          </cell>
          <cell r="G14">
            <v>0.13600000000000001</v>
          </cell>
          <cell r="H14">
            <v>43.9</v>
          </cell>
          <cell r="I14">
            <v>0.438</v>
          </cell>
          <cell r="J14">
            <v>0.14699999999999999</v>
          </cell>
          <cell r="K14">
            <v>0.19400000000000001</v>
          </cell>
          <cell r="L14">
            <v>0.104</v>
          </cell>
          <cell r="M14">
            <v>0.11799999999999999</v>
          </cell>
          <cell r="N14">
            <v>114268</v>
          </cell>
          <cell r="P14">
            <v>0.27900000000000003</v>
          </cell>
          <cell r="Q14">
            <v>0.26300000000000001</v>
          </cell>
          <cell r="R14">
            <v>0.28100000000000003</v>
          </cell>
          <cell r="S14">
            <v>0.17699999999999999</v>
          </cell>
          <cell r="T14">
            <v>0.34799999999999998</v>
          </cell>
          <cell r="U14">
            <v>0.40600000000000003</v>
          </cell>
          <cell r="V14">
            <v>0.127</v>
          </cell>
          <cell r="W14">
            <v>5.6000000000000001E-2</v>
          </cell>
          <cell r="X14">
            <v>6.3E-2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 val="TEMPLATE TruTrade - Report Work"/>
    </sheetNames>
    <sheetDataSet>
      <sheetData sheetId="0"/>
      <sheetData sheetId="1"/>
      <sheetData sheetId="2"/>
      <sheetData sheetId="3">
        <row r="3">
          <cell r="B3">
            <v>5807232</v>
          </cell>
        </row>
        <row r="15">
          <cell r="F15">
            <v>0.34950000000000003</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isitor Draw Demographics - 12 "/>
      <sheetName val="Sheet1"/>
    </sheetNames>
    <sheetDataSet>
      <sheetData sheetId="0">
        <row r="2">
          <cell r="A2" t="str">
            <v>Chicago-Naperville-Elgin, IL-IN-WI Metropolitan Statistical Area</v>
          </cell>
        </row>
        <row r="3">
          <cell r="A3" t="str">
            <v>Chicago Botanic Garden - Glencoe, IL 60022</v>
          </cell>
        </row>
        <row r="4">
          <cell r="A4" t="str">
            <v>Art Institute of Chicago - Chicago, IL, 60603</v>
          </cell>
        </row>
        <row r="5">
          <cell r="A5" t="str">
            <v xml:space="preserve">Atlanta Botanical Garden - Atlanta, GA  </v>
          </cell>
        </row>
        <row r="6">
          <cell r="A6" t="str">
            <v>Brookfield Zoo - Brookfield, IL 60513</v>
          </cell>
        </row>
        <row r="7">
          <cell r="A7" t="str">
            <v>Denver Botanic Gardens - Denver, CO 80206</v>
          </cell>
        </row>
        <row r="8">
          <cell r="A8" t="str">
            <v>Longwood Gardens - Longwood, PA 19348</v>
          </cell>
        </row>
        <row r="9">
          <cell r="A9" t="str">
            <v>Missouri Botanical Garden - St Louis, MO 63110</v>
          </cell>
        </row>
        <row r="10">
          <cell r="A10" t="str">
            <v>Ravinia Festival - Highland Park, IL 60035</v>
          </cell>
        </row>
        <row r="11">
          <cell r="A11" t="str">
            <v>The Huntington - San Marino, CA 91108</v>
          </cell>
        </row>
        <row r="12">
          <cell r="A12" t="str">
            <v>The Morton Arboretum - Lisle, IL 60532</v>
          </cell>
        </row>
        <row r="13">
          <cell r="A13" t="str">
            <v>Average</v>
          </cell>
        </row>
      </sheetData>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 Zip Codes - 12 Months Endin"/>
    </sheetNames>
    <sheetDataSet>
      <sheetData sheetId="0">
        <row r="2">
          <cell r="B2">
            <v>30309</v>
          </cell>
          <cell r="C2" t="str">
            <v>Atlanta</v>
          </cell>
          <cell r="D2" t="str">
            <v>GA</v>
          </cell>
          <cell r="E2">
            <v>1</v>
          </cell>
          <cell r="F2">
            <v>5.3400000000000003E-2</v>
          </cell>
          <cell r="H2">
            <v>20627</v>
          </cell>
          <cell r="I2">
            <v>163225</v>
          </cell>
          <cell r="K2">
            <v>32958</v>
          </cell>
          <cell r="L2">
            <v>1.4E-2</v>
          </cell>
        </row>
        <row r="3">
          <cell r="B3">
            <v>30306</v>
          </cell>
          <cell r="C3" t="str">
            <v>Atlanta</v>
          </cell>
          <cell r="D3" t="str">
            <v>GA</v>
          </cell>
          <cell r="E3">
            <v>1</v>
          </cell>
          <cell r="F3">
            <v>1.44E-2</v>
          </cell>
          <cell r="H3">
            <v>12083</v>
          </cell>
          <cell r="I3">
            <v>195485</v>
          </cell>
          <cell r="K3">
            <v>25250</v>
          </cell>
          <cell r="L3">
            <v>0</v>
          </cell>
        </row>
        <row r="4">
          <cell r="B4">
            <v>30318</v>
          </cell>
          <cell r="C4" t="str">
            <v>Atlanta</v>
          </cell>
          <cell r="D4" t="str">
            <v>GA</v>
          </cell>
          <cell r="E4">
            <v>4</v>
          </cell>
          <cell r="F4">
            <v>1.4E-2</v>
          </cell>
          <cell r="H4">
            <v>30173</v>
          </cell>
          <cell r="I4">
            <v>119670</v>
          </cell>
          <cell r="K4">
            <v>69546</v>
          </cell>
          <cell r="L4">
            <v>2.1999999999999999E-2</v>
          </cell>
        </row>
        <row r="5">
          <cell r="B5">
            <v>30324</v>
          </cell>
          <cell r="C5" t="str">
            <v>Atlanta</v>
          </cell>
          <cell r="D5" t="str">
            <v>GA</v>
          </cell>
          <cell r="E5">
            <v>2</v>
          </cell>
          <cell r="F5">
            <v>1.38E-2</v>
          </cell>
          <cell r="H5">
            <v>17292</v>
          </cell>
          <cell r="I5">
            <v>140368</v>
          </cell>
          <cell r="K5">
            <v>31130</v>
          </cell>
          <cell r="L5">
            <v>4.0000000000000001E-3</v>
          </cell>
        </row>
        <row r="6">
          <cell r="B6">
            <v>30308</v>
          </cell>
          <cell r="C6" t="str">
            <v>Atlanta</v>
          </cell>
          <cell r="D6" t="str">
            <v>GA</v>
          </cell>
          <cell r="E6">
            <v>1</v>
          </cell>
          <cell r="F6">
            <v>1.14E-2</v>
          </cell>
          <cell r="H6">
            <v>16035</v>
          </cell>
          <cell r="I6">
            <v>135026</v>
          </cell>
          <cell r="K6">
            <v>28411</v>
          </cell>
          <cell r="L6">
            <v>1.7999999999999999E-2</v>
          </cell>
        </row>
        <row r="7">
          <cell r="B7">
            <v>30319</v>
          </cell>
          <cell r="C7" t="str">
            <v>Atlanta</v>
          </cell>
          <cell r="D7" t="str">
            <v>GA</v>
          </cell>
          <cell r="E7">
            <v>6</v>
          </cell>
          <cell r="F7">
            <v>1.1299999999999999E-2</v>
          </cell>
          <cell r="H7">
            <v>20945</v>
          </cell>
          <cell r="I7">
            <v>203135</v>
          </cell>
          <cell r="K7">
            <v>47541</v>
          </cell>
          <cell r="L7">
            <v>8.0000000000000002E-3</v>
          </cell>
        </row>
        <row r="8">
          <cell r="B8">
            <v>30075</v>
          </cell>
          <cell r="C8" t="str">
            <v>Roswell</v>
          </cell>
          <cell r="D8" t="str">
            <v>GA</v>
          </cell>
          <cell r="E8">
            <v>17</v>
          </cell>
          <cell r="F8">
            <v>1.0800000000000001E-2</v>
          </cell>
          <cell r="H8">
            <v>20798</v>
          </cell>
          <cell r="I8">
            <v>214817</v>
          </cell>
          <cell r="K8">
            <v>55478</v>
          </cell>
          <cell r="L8">
            <v>-3.0000000000000001E-3</v>
          </cell>
        </row>
        <row r="9">
          <cell r="B9">
            <v>30024</v>
          </cell>
          <cell r="C9" t="str">
            <v>Suwanee</v>
          </cell>
          <cell r="D9" t="str">
            <v>GA</v>
          </cell>
          <cell r="E9">
            <v>25</v>
          </cell>
          <cell r="F9">
            <v>1.06E-2</v>
          </cell>
          <cell r="H9">
            <v>30245</v>
          </cell>
          <cell r="I9">
            <v>176664</v>
          </cell>
          <cell r="K9">
            <v>93765</v>
          </cell>
          <cell r="L9">
            <v>1.7000000000000001E-2</v>
          </cell>
        </row>
        <row r="10">
          <cell r="B10">
            <v>30144</v>
          </cell>
          <cell r="C10" t="str">
            <v>Kennesaw</v>
          </cell>
          <cell r="D10" t="str">
            <v>GA</v>
          </cell>
          <cell r="E10">
            <v>21</v>
          </cell>
          <cell r="F10">
            <v>1.0500000000000001E-2</v>
          </cell>
          <cell r="H10">
            <v>21705</v>
          </cell>
          <cell r="I10">
            <v>116713</v>
          </cell>
          <cell r="K10">
            <v>56548</v>
          </cell>
          <cell r="L10">
            <v>5.0000000000000001E-3</v>
          </cell>
        </row>
        <row r="11">
          <cell r="B11">
            <v>30022</v>
          </cell>
          <cell r="C11" t="str">
            <v>Alpharetta</v>
          </cell>
          <cell r="D11" t="str">
            <v>GA</v>
          </cell>
          <cell r="E11">
            <v>18</v>
          </cell>
          <cell r="F11">
            <v>0.01</v>
          </cell>
          <cell r="H11">
            <v>23792</v>
          </cell>
          <cell r="I11">
            <v>197324</v>
          </cell>
          <cell r="K11">
            <v>66003</v>
          </cell>
          <cell r="L11">
            <v>-2E-3</v>
          </cell>
        </row>
        <row r="12">
          <cell r="B12">
            <v>30062</v>
          </cell>
          <cell r="C12" t="str">
            <v>Marietta</v>
          </cell>
          <cell r="D12" t="str">
            <v>GA</v>
          </cell>
          <cell r="E12">
            <v>15</v>
          </cell>
          <cell r="F12">
            <v>9.7000000000000003E-3</v>
          </cell>
          <cell r="H12">
            <v>23889</v>
          </cell>
          <cell r="I12">
            <v>175511</v>
          </cell>
          <cell r="K12">
            <v>66519</v>
          </cell>
          <cell r="L12">
            <v>0</v>
          </cell>
        </row>
        <row r="13">
          <cell r="B13">
            <v>30004</v>
          </cell>
          <cell r="C13" t="str">
            <v>Alpharetta</v>
          </cell>
          <cell r="D13" t="str">
            <v>GA</v>
          </cell>
          <cell r="E13">
            <v>23</v>
          </cell>
          <cell r="F13">
            <v>8.3999999999999995E-3</v>
          </cell>
          <cell r="H13">
            <v>24386</v>
          </cell>
          <cell r="I13">
            <v>194246</v>
          </cell>
          <cell r="K13">
            <v>70126</v>
          </cell>
          <cell r="L13">
            <v>6.0000000000000001E-3</v>
          </cell>
        </row>
        <row r="14">
          <cell r="B14">
            <v>30066</v>
          </cell>
          <cell r="C14" t="str">
            <v>Marietta</v>
          </cell>
          <cell r="D14" t="str">
            <v>GA</v>
          </cell>
          <cell r="E14">
            <v>18</v>
          </cell>
          <cell r="F14">
            <v>8.0999999999999996E-3</v>
          </cell>
          <cell r="H14">
            <v>22485</v>
          </cell>
          <cell r="I14">
            <v>146129</v>
          </cell>
          <cell r="K14">
            <v>62755</v>
          </cell>
          <cell r="L14">
            <v>2E-3</v>
          </cell>
        </row>
        <row r="15">
          <cell r="B15">
            <v>30067</v>
          </cell>
          <cell r="C15" t="str">
            <v>Marietta</v>
          </cell>
          <cell r="D15" t="str">
            <v>GA</v>
          </cell>
          <cell r="E15">
            <v>11</v>
          </cell>
          <cell r="F15">
            <v>7.7999999999999996E-3</v>
          </cell>
          <cell r="H15">
            <v>21377</v>
          </cell>
          <cell r="I15">
            <v>121519</v>
          </cell>
          <cell r="K15">
            <v>49910</v>
          </cell>
          <cell r="L15">
            <v>0.01</v>
          </cell>
        </row>
        <row r="16">
          <cell r="B16">
            <v>30040</v>
          </cell>
          <cell r="C16" t="str">
            <v>Cumming</v>
          </cell>
          <cell r="D16" t="str">
            <v>GA</v>
          </cell>
          <cell r="E16">
            <v>31</v>
          </cell>
          <cell r="F16">
            <v>7.7999999999999996E-3</v>
          </cell>
          <cell r="H16">
            <v>30243</v>
          </cell>
          <cell r="I16">
            <v>162841</v>
          </cell>
          <cell r="K16">
            <v>91216</v>
          </cell>
          <cell r="L16">
            <v>2.7E-2</v>
          </cell>
        </row>
        <row r="17">
          <cell r="B17">
            <v>30327</v>
          </cell>
          <cell r="C17" t="str">
            <v>Atlanta</v>
          </cell>
          <cell r="D17" t="str">
            <v>GA</v>
          </cell>
          <cell r="E17">
            <v>6</v>
          </cell>
          <cell r="F17">
            <v>7.7999999999999996E-3</v>
          </cell>
          <cell r="H17">
            <v>10248</v>
          </cell>
          <cell r="I17">
            <v>250485</v>
          </cell>
          <cell r="K17">
            <v>25055</v>
          </cell>
          <cell r="L17">
            <v>-2E-3</v>
          </cell>
        </row>
        <row r="18">
          <cell r="B18">
            <v>30080</v>
          </cell>
          <cell r="C18" t="str">
            <v>Smyrna</v>
          </cell>
          <cell r="D18" t="str">
            <v>GA</v>
          </cell>
          <cell r="E18">
            <v>9</v>
          </cell>
          <cell r="F18">
            <v>7.7000000000000002E-3</v>
          </cell>
          <cell r="H18">
            <v>25381</v>
          </cell>
          <cell r="I18">
            <v>136323</v>
          </cell>
          <cell r="K18">
            <v>54490</v>
          </cell>
          <cell r="L18">
            <v>1.0999999999999999E-2</v>
          </cell>
        </row>
        <row r="19">
          <cell r="B19">
            <v>30101</v>
          </cell>
          <cell r="C19" t="str">
            <v>Acworth</v>
          </cell>
          <cell r="D19" t="str">
            <v>GA</v>
          </cell>
          <cell r="E19">
            <v>25</v>
          </cell>
          <cell r="F19">
            <v>7.7000000000000002E-3</v>
          </cell>
          <cell r="H19">
            <v>21902</v>
          </cell>
          <cell r="I19">
            <v>143815</v>
          </cell>
          <cell r="K19">
            <v>63647</v>
          </cell>
          <cell r="L19">
            <v>0.01</v>
          </cell>
        </row>
        <row r="20">
          <cell r="B20">
            <v>30305</v>
          </cell>
          <cell r="C20" t="str">
            <v>Atlanta</v>
          </cell>
          <cell r="D20" t="str">
            <v>GA</v>
          </cell>
          <cell r="E20">
            <v>3</v>
          </cell>
          <cell r="F20">
            <v>7.6E-3</v>
          </cell>
          <cell r="H20">
            <v>17853</v>
          </cell>
          <cell r="I20">
            <v>191879</v>
          </cell>
          <cell r="K20">
            <v>32230</v>
          </cell>
          <cell r="L20">
            <v>1.9E-2</v>
          </cell>
        </row>
        <row r="21">
          <cell r="B21">
            <v>30342</v>
          </cell>
          <cell r="C21" t="str">
            <v>Atlanta</v>
          </cell>
          <cell r="D21" t="str">
            <v>GA</v>
          </cell>
          <cell r="E21">
            <v>6</v>
          </cell>
          <cell r="F21">
            <v>7.6E-3</v>
          </cell>
          <cell r="H21">
            <v>14117</v>
          </cell>
          <cell r="I21">
            <v>198264</v>
          </cell>
          <cell r="K21">
            <v>32047</v>
          </cell>
          <cell r="L21">
            <v>-1E-3</v>
          </cell>
        </row>
        <row r="22">
          <cell r="B22">
            <v>30328</v>
          </cell>
          <cell r="C22" t="str">
            <v>Atlanta</v>
          </cell>
          <cell r="D22" t="str">
            <v>GA</v>
          </cell>
          <cell r="E22">
            <v>10</v>
          </cell>
          <cell r="F22">
            <v>7.4999999999999997E-3</v>
          </cell>
          <cell r="H22">
            <v>19642</v>
          </cell>
          <cell r="I22">
            <v>166423</v>
          </cell>
          <cell r="K22">
            <v>42242</v>
          </cell>
          <cell r="L22">
            <v>0.01</v>
          </cell>
        </row>
        <row r="23">
          <cell r="B23">
            <v>30180</v>
          </cell>
          <cell r="C23" t="str">
            <v>Villa Rica</v>
          </cell>
          <cell r="D23" t="str">
            <v>GA</v>
          </cell>
          <cell r="E23">
            <v>32</v>
          </cell>
          <cell r="F23">
            <v>7.0000000000000001E-3</v>
          </cell>
          <cell r="H23">
            <v>15648</v>
          </cell>
          <cell r="I23">
            <v>103428</v>
          </cell>
          <cell r="K23">
            <v>43791</v>
          </cell>
          <cell r="L23">
            <v>0.02</v>
          </cell>
        </row>
        <row r="24">
          <cell r="B24">
            <v>30068</v>
          </cell>
          <cell r="C24" t="str">
            <v>Marietta</v>
          </cell>
          <cell r="D24" t="str">
            <v>GA</v>
          </cell>
          <cell r="E24">
            <v>13</v>
          </cell>
          <cell r="F24">
            <v>6.8999999999999999E-3</v>
          </cell>
          <cell r="H24">
            <v>12600</v>
          </cell>
          <cell r="I24">
            <v>213908</v>
          </cell>
          <cell r="K24">
            <v>34724</v>
          </cell>
          <cell r="L24">
            <v>-1E-3</v>
          </cell>
        </row>
        <row r="25">
          <cell r="B25">
            <v>30043</v>
          </cell>
          <cell r="C25" t="str">
            <v>Lawrenceville</v>
          </cell>
          <cell r="D25" t="str">
            <v>GA</v>
          </cell>
          <cell r="E25">
            <v>25</v>
          </cell>
          <cell r="F25">
            <v>6.8999999999999999E-3</v>
          </cell>
          <cell r="H25">
            <v>30324</v>
          </cell>
          <cell r="I25">
            <v>121614</v>
          </cell>
          <cell r="K25">
            <v>90606</v>
          </cell>
          <cell r="L25">
            <v>5.0000000000000001E-3</v>
          </cell>
        </row>
        <row r="26">
          <cell r="B26">
            <v>30041</v>
          </cell>
          <cell r="C26" t="str">
            <v>Cumming</v>
          </cell>
          <cell r="D26" t="str">
            <v>GA</v>
          </cell>
          <cell r="E26">
            <v>33</v>
          </cell>
          <cell r="F26">
            <v>6.8999999999999999E-3</v>
          </cell>
          <cell r="H26">
            <v>27086</v>
          </cell>
          <cell r="I26">
            <v>179907</v>
          </cell>
          <cell r="K26">
            <v>80828</v>
          </cell>
          <cell r="L26">
            <v>2.5000000000000001E-2</v>
          </cell>
        </row>
        <row r="27">
          <cell r="C27" t="str">
            <v>Atlanta</v>
          </cell>
          <cell r="D27" t="str">
            <v>GA</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ance Traveled - 12 Months E"/>
    </sheetNames>
    <sheetDataSet>
      <sheetData sheetId="0">
        <row r="2">
          <cell r="A2" t="str">
            <v xml:space="preserve">Atlanta Botanical Garden - Atlanta, GA  </v>
          </cell>
          <cell r="B2">
            <v>162.6</v>
          </cell>
          <cell r="C2">
            <v>13.3</v>
          </cell>
          <cell r="D2">
            <v>0.19400000000000001</v>
          </cell>
          <cell r="E2">
            <v>0.109</v>
          </cell>
          <cell r="F2">
            <v>0.15</v>
          </cell>
          <cell r="G2">
            <v>0.154</v>
          </cell>
          <cell r="H2">
            <v>0.39200000000000002</v>
          </cell>
        </row>
        <row r="3">
          <cell r="A3" t="str">
            <v>Atlanta Botanical Garden Gainesville - Gainesville, GA 30501</v>
          </cell>
          <cell r="B3">
            <v>67.599999999999994</v>
          </cell>
          <cell r="C3">
            <v>12.4</v>
          </cell>
          <cell r="D3">
            <v>0.09</v>
          </cell>
          <cell r="E3">
            <v>0.44400000000000001</v>
          </cell>
          <cell r="F3">
            <v>0.155</v>
          </cell>
          <cell r="G3">
            <v>0.14099999999999999</v>
          </cell>
          <cell r="H3">
            <v>0.17</v>
          </cell>
        </row>
        <row r="4">
          <cell r="A4" t="str">
            <v>Avalon - Alpharetta, GA 30009</v>
          </cell>
          <cell r="B4">
            <v>112.8</v>
          </cell>
          <cell r="C4">
            <v>12.2</v>
          </cell>
          <cell r="D4">
            <v>0.105</v>
          </cell>
          <cell r="E4">
            <v>0.312</v>
          </cell>
          <cell r="F4">
            <v>0.23599999999999999</v>
          </cell>
          <cell r="G4">
            <v>0.104</v>
          </cell>
          <cell r="H4">
            <v>0.24299999999999999</v>
          </cell>
        </row>
        <row r="5">
          <cell r="A5" t="str">
            <v>Fernbank Museum of Natural History - ATL, GA 30307</v>
          </cell>
          <cell r="B5">
            <v>165.3</v>
          </cell>
          <cell r="C5">
            <v>12.4</v>
          </cell>
          <cell r="D5">
            <v>0.224</v>
          </cell>
          <cell r="E5">
            <v>0.115</v>
          </cell>
          <cell r="F5">
            <v>0.126</v>
          </cell>
          <cell r="G5">
            <v>0.14899999999999999</v>
          </cell>
          <cell r="H5">
            <v>0.38600000000000001</v>
          </cell>
        </row>
        <row r="6">
          <cell r="A6" t="str">
            <v>Gainesville Square - Gainesville, GA 30501</v>
          </cell>
          <cell r="B6">
            <v>39.1</v>
          </cell>
          <cell r="C6">
            <v>9.8000000000000007</v>
          </cell>
          <cell r="D6">
            <v>0.26700000000000002</v>
          </cell>
          <cell r="E6">
            <v>0.33800000000000002</v>
          </cell>
          <cell r="F6">
            <v>0.19</v>
          </cell>
          <cell r="G6">
            <v>0.112</v>
          </cell>
          <cell r="H6">
            <v>9.2999999999999999E-2</v>
          </cell>
        </row>
        <row r="7">
          <cell r="A7" t="str">
            <v>High Museum of Art - ATL, GA 30309</v>
          </cell>
          <cell r="B7">
            <v>134.4</v>
          </cell>
          <cell r="C7">
            <v>11</v>
          </cell>
          <cell r="D7">
            <v>0.26700000000000002</v>
          </cell>
          <cell r="E7">
            <v>0.16400000000000001</v>
          </cell>
          <cell r="F7">
            <v>0.15</v>
          </cell>
          <cell r="G7">
            <v>0.13700000000000001</v>
          </cell>
          <cell r="H7">
            <v>0.28199999999999997</v>
          </cell>
        </row>
        <row r="8">
          <cell r="A8" t="str">
            <v>Krog Street Market - ATL, GA 30307</v>
          </cell>
          <cell r="B8">
            <v>178</v>
          </cell>
          <cell r="C8">
            <v>9.6999999999999993</v>
          </cell>
          <cell r="D8">
            <v>0.314</v>
          </cell>
          <cell r="E8">
            <v>0.109</v>
          </cell>
          <cell r="F8">
            <v>0.13400000000000001</v>
          </cell>
          <cell r="G8">
            <v>0.115</v>
          </cell>
          <cell r="H8">
            <v>0.32700000000000001</v>
          </cell>
        </row>
        <row r="9">
          <cell r="A9" t="str">
            <v>Lenox Square - ATL, GA 30326</v>
          </cell>
          <cell r="B9">
            <v>180</v>
          </cell>
          <cell r="C9">
            <v>13.7</v>
          </cell>
          <cell r="D9">
            <v>9.8000000000000004E-2</v>
          </cell>
          <cell r="E9">
            <v>0.16900000000000001</v>
          </cell>
          <cell r="F9">
            <v>0.16700000000000001</v>
          </cell>
          <cell r="G9">
            <v>0.122</v>
          </cell>
          <cell r="H9">
            <v>0.44400000000000001</v>
          </cell>
        </row>
        <row r="10">
          <cell r="A10" t="str">
            <v>Piedmont Park - ATL, GA 30309</v>
          </cell>
          <cell r="B10">
            <v>139.1</v>
          </cell>
          <cell r="C10">
            <v>9</v>
          </cell>
          <cell r="D10">
            <v>0.32</v>
          </cell>
          <cell r="E10">
            <v>0.129</v>
          </cell>
          <cell r="F10">
            <v>0.128</v>
          </cell>
          <cell r="G10">
            <v>9.2999999999999999E-2</v>
          </cell>
          <cell r="H10">
            <v>0.33</v>
          </cell>
        </row>
        <row r="11">
          <cell r="A11" t="str">
            <v>Ponce City Market - ATL, GA 30308</v>
          </cell>
          <cell r="B11">
            <v>171.7</v>
          </cell>
          <cell r="C11">
            <v>12.4</v>
          </cell>
          <cell r="D11">
            <v>0.21199999999999999</v>
          </cell>
          <cell r="E11">
            <v>0.127</v>
          </cell>
          <cell r="F11">
            <v>0.151</v>
          </cell>
          <cell r="G11">
            <v>0.13500000000000001</v>
          </cell>
          <cell r="H11">
            <v>0.375</v>
          </cell>
        </row>
        <row r="12">
          <cell r="A12" t="str">
            <v>The Works - Atlanta, GA, 30318</v>
          </cell>
          <cell r="B12">
            <v>137.6</v>
          </cell>
          <cell r="C12">
            <v>13.3</v>
          </cell>
          <cell r="D12">
            <v>0.14000000000000001</v>
          </cell>
          <cell r="E12">
            <v>0.20100000000000001</v>
          </cell>
          <cell r="F12">
            <v>0.20599999999999999</v>
          </cell>
          <cell r="G12">
            <v>0.14099999999999999</v>
          </cell>
          <cell r="H12">
            <v>0.311</v>
          </cell>
        </row>
        <row r="13">
          <cell r="A13" t="str">
            <v>Westside Paper - Atlanta, GA 30318</v>
          </cell>
          <cell r="B13">
            <v>147.5</v>
          </cell>
          <cell r="C13">
            <v>9.5</v>
          </cell>
          <cell r="D13">
            <v>0.33</v>
          </cell>
          <cell r="E13">
            <v>0.106</v>
          </cell>
          <cell r="F13">
            <v>0.252</v>
          </cell>
          <cell r="G13">
            <v>9.1999999999999998E-2</v>
          </cell>
          <cell r="H13">
            <v>0.221</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Frequency - 12 Months End"/>
    </sheetNames>
    <sheetDataSet>
      <sheetData sheetId="0">
        <row r="2">
          <cell r="A2" t="str">
            <v xml:space="preserve">Atlanta Botanical Garden - Atlanta, GA  </v>
          </cell>
          <cell r="B2">
            <v>1.2</v>
          </cell>
          <cell r="C2">
            <v>0.85099999999999998</v>
          </cell>
          <cell r="D2">
            <v>0.14199999999999999</v>
          </cell>
          <cell r="E2">
            <v>8.0000000000000002E-3</v>
          </cell>
        </row>
        <row r="3">
          <cell r="A3" t="str">
            <v>Atlanta Botanical Garden Gainesville - Gainesville, GA 30501</v>
          </cell>
          <cell r="B3">
            <v>1.5</v>
          </cell>
          <cell r="C3">
            <v>0.82399999999999995</v>
          </cell>
          <cell r="D3">
            <v>0.15</v>
          </cell>
          <cell r="E3">
            <v>2.5999999999999999E-2</v>
          </cell>
        </row>
        <row r="4">
          <cell r="A4" t="str">
            <v>Avalon - Alpharetta, GA 30009</v>
          </cell>
          <cell r="B4">
            <v>1.4</v>
          </cell>
          <cell r="C4">
            <v>0.78500000000000003</v>
          </cell>
          <cell r="D4">
            <v>0.19500000000000001</v>
          </cell>
          <cell r="E4">
            <v>1.9E-2</v>
          </cell>
        </row>
        <row r="5">
          <cell r="A5" t="str">
            <v>Fernbank Museum of Natural History - ATL, GA 30307</v>
          </cell>
          <cell r="B5">
            <v>1.3</v>
          </cell>
          <cell r="C5">
            <v>0.82199999999999995</v>
          </cell>
          <cell r="D5">
            <v>0.16600000000000001</v>
          </cell>
          <cell r="E5">
            <v>1.2E-2</v>
          </cell>
        </row>
        <row r="6">
          <cell r="A6" t="str">
            <v>Gainesville Square - Gainesville, GA 30501</v>
          </cell>
          <cell r="B6">
            <v>1.3</v>
          </cell>
          <cell r="C6">
            <v>0.85</v>
          </cell>
          <cell r="D6">
            <v>0.128</v>
          </cell>
          <cell r="E6">
            <v>2.1999999999999999E-2</v>
          </cell>
        </row>
        <row r="7">
          <cell r="A7" t="str">
            <v>High Museum of Art - ATL, GA 30309</v>
          </cell>
          <cell r="B7">
            <v>1.3</v>
          </cell>
          <cell r="C7">
            <v>0.84899999999999998</v>
          </cell>
          <cell r="D7">
            <v>0.13500000000000001</v>
          </cell>
          <cell r="E7">
            <v>1.6E-2</v>
          </cell>
        </row>
        <row r="8">
          <cell r="A8" t="str">
            <v>Krog Street Market - ATL, GA 30307</v>
          </cell>
          <cell r="B8">
            <v>1.2</v>
          </cell>
          <cell r="C8">
            <v>0.89900000000000002</v>
          </cell>
          <cell r="D8">
            <v>9.0999999999999998E-2</v>
          </cell>
          <cell r="E8">
            <v>1.0999999999999999E-2</v>
          </cell>
        </row>
        <row r="9">
          <cell r="A9" t="str">
            <v>Lenox Square - ATL, GA 30326</v>
          </cell>
          <cell r="B9">
            <v>1.2</v>
          </cell>
          <cell r="C9">
            <v>0.877</v>
          </cell>
          <cell r="D9">
            <v>0.114</v>
          </cell>
          <cell r="E9">
            <v>8.9999999999999993E-3</v>
          </cell>
        </row>
        <row r="10">
          <cell r="A10" t="str">
            <v>Piedmont Park - ATL, GA 30309</v>
          </cell>
          <cell r="B10">
            <v>1.4</v>
          </cell>
          <cell r="C10">
            <v>0.77500000000000002</v>
          </cell>
          <cell r="D10">
            <v>0.20899999999999999</v>
          </cell>
          <cell r="E10">
            <v>1.6E-2</v>
          </cell>
        </row>
        <row r="11">
          <cell r="A11" t="str">
            <v>Ponce City Market - ATL, GA 30308</v>
          </cell>
          <cell r="B11">
            <v>1.3</v>
          </cell>
          <cell r="C11">
            <v>0.84899999999999998</v>
          </cell>
          <cell r="D11">
            <v>0.13700000000000001</v>
          </cell>
          <cell r="E11">
            <v>1.4999999999999999E-2</v>
          </cell>
        </row>
        <row r="12">
          <cell r="A12" t="str">
            <v>The Works - Atlanta, GA, 30318</v>
          </cell>
          <cell r="B12">
            <v>1.4</v>
          </cell>
          <cell r="C12">
            <v>0.81</v>
          </cell>
          <cell r="D12">
            <v>0.16900000000000001</v>
          </cell>
          <cell r="E12">
            <v>2.1000000000000001E-2</v>
          </cell>
        </row>
        <row r="13">
          <cell r="A13" t="str">
            <v>Westside Paper - Atlanta, GA 30318</v>
          </cell>
          <cell r="B13">
            <v>1.7</v>
          </cell>
          <cell r="C13">
            <v>0.71399999999999997</v>
          </cell>
          <cell r="D13">
            <v>0.23599999999999999</v>
          </cell>
          <cell r="E13">
            <v>5.0999999999999997E-2</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Duration - 12 Months Endi"/>
    </sheetNames>
    <sheetDataSet>
      <sheetData sheetId="0">
        <row r="2">
          <cell r="A2" t="str">
            <v xml:space="preserve">Atlanta Botanical Garden - Atlanta, GA  </v>
          </cell>
          <cell r="B2">
            <v>100.2</v>
          </cell>
          <cell r="C2">
            <v>7.8E-2</v>
          </cell>
          <cell r="D2">
            <v>0.35299999999999998</v>
          </cell>
          <cell r="E2">
            <v>0.501</v>
          </cell>
          <cell r="F2">
            <v>6.8000000000000005E-2</v>
          </cell>
        </row>
        <row r="3">
          <cell r="A3" t="str">
            <v>Atlanta Botanical Garden Gainesville - Gainesville, GA 30501</v>
          </cell>
          <cell r="B3">
            <v>111.7</v>
          </cell>
          <cell r="C3">
            <v>0.09</v>
          </cell>
          <cell r="D3">
            <v>0.36199999999999999</v>
          </cell>
          <cell r="E3">
            <v>0.39900000000000002</v>
          </cell>
          <cell r="F3">
            <v>0.14899999999999999</v>
          </cell>
        </row>
        <row r="4">
          <cell r="A4" t="str">
            <v>Avalon - Alpharetta, GA 30009</v>
          </cell>
          <cell r="B4">
            <v>101.7</v>
          </cell>
          <cell r="C4">
            <v>0.14499999999999999</v>
          </cell>
          <cell r="D4">
            <v>0.36099999999999999</v>
          </cell>
          <cell r="E4">
            <v>0.372</v>
          </cell>
          <cell r="F4">
            <v>0.121</v>
          </cell>
        </row>
        <row r="5">
          <cell r="A5" t="str">
            <v>Fernbank Museum of Natural History - ATL, GA 30307</v>
          </cell>
          <cell r="B5">
            <v>125.9</v>
          </cell>
          <cell r="C5">
            <v>6.9000000000000006E-2</v>
          </cell>
          <cell r="D5">
            <v>0.28499999999999998</v>
          </cell>
          <cell r="E5">
            <v>0.48499999999999999</v>
          </cell>
          <cell r="F5">
            <v>0.16</v>
          </cell>
        </row>
        <row r="6">
          <cell r="A6" t="str">
            <v>Gainesville Square - Gainesville, GA 30501</v>
          </cell>
          <cell r="B6">
            <v>103.7</v>
          </cell>
          <cell r="C6">
            <v>0.157</v>
          </cell>
          <cell r="D6">
            <v>0.33700000000000002</v>
          </cell>
          <cell r="E6">
            <v>0.376</v>
          </cell>
          <cell r="F6">
            <v>0.129</v>
          </cell>
        </row>
        <row r="7">
          <cell r="A7" t="str">
            <v>High Museum of Art - ATL, GA 30309</v>
          </cell>
          <cell r="B7">
            <v>113.3</v>
          </cell>
          <cell r="C7">
            <v>0.12</v>
          </cell>
          <cell r="D7">
            <v>0.31</v>
          </cell>
          <cell r="E7">
            <v>0.42899999999999999</v>
          </cell>
          <cell r="F7">
            <v>0.14099999999999999</v>
          </cell>
        </row>
        <row r="8">
          <cell r="A8" t="str">
            <v>Krog Street Market - ATL, GA 30307</v>
          </cell>
          <cell r="B8">
            <v>85.8</v>
          </cell>
          <cell r="C8">
            <v>0.16400000000000001</v>
          </cell>
          <cell r="D8">
            <v>0.44</v>
          </cell>
          <cell r="E8">
            <v>0.30199999999999999</v>
          </cell>
          <cell r="F8">
            <v>9.4E-2</v>
          </cell>
        </row>
        <row r="9">
          <cell r="A9" t="str">
            <v>Lenox Square - ATL, GA 30326</v>
          </cell>
          <cell r="B9">
            <v>95.8</v>
          </cell>
          <cell r="C9">
            <v>0.106</v>
          </cell>
          <cell r="D9">
            <v>0.42099999999999999</v>
          </cell>
          <cell r="E9">
            <v>0.375</v>
          </cell>
          <cell r="F9">
            <v>9.7000000000000003E-2</v>
          </cell>
        </row>
        <row r="10">
          <cell r="A10" t="str">
            <v>Piedmont Park - ATL, GA 30309</v>
          </cell>
          <cell r="B10">
            <v>95.6</v>
          </cell>
          <cell r="C10">
            <v>0.158</v>
          </cell>
          <cell r="D10">
            <v>0.40400000000000003</v>
          </cell>
          <cell r="E10">
            <v>0.32300000000000001</v>
          </cell>
          <cell r="F10">
            <v>0.11600000000000001</v>
          </cell>
        </row>
        <row r="11">
          <cell r="A11" t="str">
            <v>Ponce City Market - ATL, GA 30308</v>
          </cell>
          <cell r="B11">
            <v>105.7</v>
          </cell>
          <cell r="C11">
            <v>0.125</v>
          </cell>
          <cell r="D11">
            <v>0.34399999999999997</v>
          </cell>
          <cell r="E11">
            <v>0.41399999999999998</v>
          </cell>
          <cell r="F11">
            <v>0.11700000000000001</v>
          </cell>
        </row>
        <row r="12">
          <cell r="A12" t="str">
            <v>The Works - Atlanta, GA, 30318</v>
          </cell>
          <cell r="B12">
            <v>105.6</v>
          </cell>
          <cell r="C12">
            <v>0.123</v>
          </cell>
          <cell r="D12">
            <v>0.35499999999999998</v>
          </cell>
          <cell r="E12">
            <v>0.39100000000000001</v>
          </cell>
          <cell r="F12">
            <v>0.13</v>
          </cell>
        </row>
        <row r="13">
          <cell r="A13" t="str">
            <v>Westside Paper - Atlanta, GA 30318</v>
          </cell>
          <cell r="B13">
            <v>126.5</v>
          </cell>
          <cell r="C13">
            <v>0.14299999999999999</v>
          </cell>
          <cell r="D13">
            <v>0.29199999999999998</v>
          </cell>
          <cell r="E13">
            <v>0.33400000000000002</v>
          </cell>
          <cell r="F13">
            <v>0.23200000000000001</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_states"/>
      <sheetName val="top_states(2)"/>
    </sheetNames>
    <sheetDataSet>
      <sheetData sheetId="0">
        <row r="1">
          <cell r="A1" t="str">
            <v>State</v>
          </cell>
          <cell r="B1" t="str">
            <v>Atlanta Botanical Garden Gainesville</v>
          </cell>
        </row>
        <row r="3">
          <cell r="A3" t="str">
            <v>GA</v>
          </cell>
          <cell r="B3">
            <v>0.96799999999999997</v>
          </cell>
        </row>
        <row r="4">
          <cell r="A4" t="str">
            <v>AL</v>
          </cell>
          <cell r="B4">
            <v>1.2999999999999999E-2</v>
          </cell>
        </row>
        <row r="5">
          <cell r="A5" t="str">
            <v>KY</v>
          </cell>
          <cell r="B5">
            <v>1.2999999999999999E-2</v>
          </cell>
        </row>
        <row r="6">
          <cell r="A6" t="str">
            <v>FL</v>
          </cell>
          <cell r="B6">
            <v>5.0000000000000001E-3</v>
          </cell>
        </row>
        <row r="7">
          <cell r="A7" t="str">
            <v>SC</v>
          </cell>
          <cell r="B7">
            <v>5.0000000000000001E-3</v>
          </cell>
        </row>
        <row r="8">
          <cell r="A8" t="str">
            <v>TX</v>
          </cell>
          <cell r="B8">
            <v>5.0000000000000001E-3</v>
          </cell>
        </row>
      </sheetData>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4"/>
    </sheetNames>
    <sheetDataSet>
      <sheetData sheetId="0">
        <row r="1">
          <cell r="A1" t="str">
            <v>Location</v>
          </cell>
          <cell r="B1" t="str">
            <v>TruTrade Population @ 75%</v>
          </cell>
          <cell r="C1" t="str">
            <v>TruTrade Population @ 65%</v>
          </cell>
          <cell r="D1" t="str">
            <v>TruTrade Population @ 50%</v>
          </cell>
          <cell r="E1" t="str">
            <v>Dwell Time</v>
          </cell>
          <cell r="F1" t="str">
            <v>Frequency</v>
          </cell>
          <cell r="G1" t="str">
            <v>Distance Traveled - Local Visitors</v>
          </cell>
          <cell r="H1" t="str">
            <v>Distance Traveled - Out of Market Visitors</v>
          </cell>
          <cell r="I1" t="str">
            <v>Households with Children</v>
          </cell>
          <cell r="J1" t="str">
            <v>18-24</v>
          </cell>
          <cell r="K1" t="str">
            <v>25-34</v>
          </cell>
          <cell r="L1" t="str">
            <v>35-44</v>
          </cell>
          <cell r="M1" t="str">
            <v>45-54</v>
          </cell>
          <cell r="N1" t="str">
            <v>55-64</v>
          </cell>
          <cell r="O1" t="str">
            <v>65+</v>
          </cell>
          <cell r="P1" t="str">
            <v>Average Age</v>
          </cell>
          <cell r="Q1" t="str">
            <v>Alpha</v>
          </cell>
          <cell r="R1" t="str">
            <v>Generation Z</v>
          </cell>
          <cell r="S1" t="str">
            <v>Millennials</v>
          </cell>
          <cell r="T1" t="str">
            <v>Generation X</v>
          </cell>
          <cell r="U1" t="str">
            <v>Baby Boomers</v>
          </cell>
          <cell r="V1" t="str">
            <v>Silent</v>
          </cell>
          <cell r="W1" t="str">
            <v>Less Than $50,000</v>
          </cell>
          <cell r="X1" t="str">
            <v>$50,000 - $74,999</v>
          </cell>
          <cell r="Y1" t="str">
            <v>$75,000 - $99,999</v>
          </cell>
          <cell r="Z1" t="str">
            <v>$100,000 - $149,999</v>
          </cell>
          <cell r="AA1" t="str">
            <v>$150,000 or more</v>
          </cell>
          <cell r="AB1" t="str">
            <v>Avg Household Income</v>
          </cell>
          <cell r="AC1" t="str">
            <v>Less than College</v>
          </cell>
          <cell r="AD1" t="str">
            <v>Some College</v>
          </cell>
          <cell r="AE1" t="str">
            <v>College Degree</v>
          </cell>
          <cell r="AF1" t="str">
            <v>Post-graduate Degree</v>
          </cell>
          <cell r="AG1" t="str">
            <v>Caucasian / White</v>
          </cell>
          <cell r="AH1" t="str">
            <v>African-American / Black</v>
          </cell>
          <cell r="AI1" t="str">
            <v>Hispanic / Latino</v>
          </cell>
          <cell r="AJ1" t="str">
            <v>Asian</v>
          </cell>
          <cell r="AK1" t="str">
            <v>Other</v>
          </cell>
          <cell r="AL1" t="str">
            <v>Racial Ethnic Diversity</v>
          </cell>
        </row>
        <row r="2">
          <cell r="A2" t="str">
            <v>Chicago Botanic Garden - Glencoe, IL 60022</v>
          </cell>
          <cell r="B2">
            <v>2834800</v>
          </cell>
          <cell r="C2">
            <v>1806283</v>
          </cell>
          <cell r="D2">
            <v>889016</v>
          </cell>
          <cell r="E2">
            <v>98.091666000000004</v>
          </cell>
          <cell r="F2">
            <v>1.4166666666666601</v>
          </cell>
          <cell r="G2">
            <v>12.3</v>
          </cell>
          <cell r="H2">
            <v>49.9</v>
          </cell>
          <cell r="I2">
            <v>0.34100000000000003</v>
          </cell>
          <cell r="J2">
            <v>0.108</v>
          </cell>
          <cell r="K2">
            <v>0.156</v>
          </cell>
          <cell r="L2">
            <v>0.16</v>
          </cell>
          <cell r="M2">
            <v>0.16200000000000001</v>
          </cell>
          <cell r="N2">
            <v>0.17299999999999999</v>
          </cell>
          <cell r="O2">
            <v>0.24099999999999999</v>
          </cell>
          <cell r="P2">
            <v>47.1</v>
          </cell>
          <cell r="Q2">
            <v>6.4000000000000001E-2</v>
          </cell>
          <cell r="R2">
            <v>0.22700000000000001</v>
          </cell>
          <cell r="S2">
            <v>0.222</v>
          </cell>
          <cell r="T2">
            <v>0.20399999999999999</v>
          </cell>
          <cell r="U2">
            <v>0.215</v>
          </cell>
          <cell r="V2">
            <v>6.8000000000000005E-2</v>
          </cell>
          <cell r="W2">
            <v>0.22</v>
          </cell>
          <cell r="X2">
            <v>0.124</v>
          </cell>
          <cell r="Y2">
            <v>0.114</v>
          </cell>
          <cell r="Z2">
            <v>0.191</v>
          </cell>
          <cell r="AA2">
            <v>0.35199999999999998</v>
          </cell>
          <cell r="AB2">
            <v>128869</v>
          </cell>
          <cell r="AC2">
            <v>0.22800000000000001</v>
          </cell>
          <cell r="AD2">
            <v>0.20300000000000001</v>
          </cell>
          <cell r="AE2">
            <v>0.317</v>
          </cell>
          <cell r="AF2">
            <v>0.252</v>
          </cell>
          <cell r="AG2">
            <v>0.64200000000000002</v>
          </cell>
          <cell r="AH2">
            <v>5.5E-2</v>
          </cell>
          <cell r="AI2">
            <v>0.152</v>
          </cell>
          <cell r="AJ2">
            <v>0.113</v>
          </cell>
          <cell r="AK2">
            <v>3.9E-2</v>
          </cell>
          <cell r="AL2">
            <v>0.35799999999999998</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3"/>
    </sheetNames>
    <sheetDataSet>
      <sheetData sheetId="0">
        <row r="2">
          <cell r="A2" t="str">
            <v>Chicago Botanic Garden - Glencoe, IL 60022</v>
          </cell>
          <cell r="B2">
            <v>2704727</v>
          </cell>
          <cell r="C2">
            <v>1659395</v>
          </cell>
          <cell r="D2">
            <v>802232</v>
          </cell>
          <cell r="E2">
            <v>98.616665999999995</v>
          </cell>
          <cell r="F2">
            <v>1.2249999999999901</v>
          </cell>
          <cell r="G2">
            <v>12.1</v>
          </cell>
          <cell r="H2">
            <v>45.1</v>
          </cell>
          <cell r="I2">
            <v>0.34200000000000003</v>
          </cell>
          <cell r="J2">
            <v>0.109</v>
          </cell>
          <cell r="K2">
            <v>0.155</v>
          </cell>
          <cell r="L2">
            <v>0.16</v>
          </cell>
          <cell r="M2">
            <v>0.16200000000000001</v>
          </cell>
          <cell r="N2">
            <v>0.17299999999999999</v>
          </cell>
          <cell r="O2">
            <v>0.24199999999999999</v>
          </cell>
          <cell r="P2">
            <v>47.1</v>
          </cell>
          <cell r="Q2">
            <v>6.4000000000000001E-2</v>
          </cell>
          <cell r="R2">
            <v>0.22800000000000001</v>
          </cell>
          <cell r="S2">
            <v>0.22</v>
          </cell>
          <cell r="T2">
            <v>0.20499999999999999</v>
          </cell>
          <cell r="U2">
            <v>0.215</v>
          </cell>
          <cell r="V2">
            <v>6.9000000000000006E-2</v>
          </cell>
          <cell r="W2">
            <v>0.214</v>
          </cell>
          <cell r="X2">
            <v>0.123</v>
          </cell>
          <cell r="Y2">
            <v>0.112</v>
          </cell>
          <cell r="Z2">
            <v>0.191</v>
          </cell>
          <cell r="AA2">
            <v>0.36099999999999999</v>
          </cell>
          <cell r="AB2">
            <v>133173</v>
          </cell>
          <cell r="AC2">
            <v>0.219</v>
          </cell>
          <cell r="AD2">
            <v>0.2</v>
          </cell>
          <cell r="AE2">
            <v>0.32200000000000001</v>
          </cell>
          <cell r="AF2">
            <v>0.25800000000000001</v>
          </cell>
          <cell r="AG2">
            <v>0.64600000000000002</v>
          </cell>
          <cell r="AH2">
            <v>5.2999999999999999E-2</v>
          </cell>
          <cell r="AI2">
            <v>0.14799999999999999</v>
          </cell>
          <cell r="AJ2">
            <v>0.115</v>
          </cell>
          <cell r="AK2">
            <v>3.9E-2</v>
          </cell>
          <cell r="AL2">
            <v>0.35399999999999998</v>
          </cell>
        </row>
      </sheetData>
      <sheetData sheetId="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_overlay(4)"/>
      <sheetName val="competitive_overlay"/>
      <sheetName val="competitive_market_position"/>
    </sheetNames>
    <sheetDataSet>
      <sheetData sheetId="0">
        <row r="3">
          <cell r="B3">
            <v>85772</v>
          </cell>
          <cell r="C3">
            <v>103777</v>
          </cell>
          <cell r="D3">
            <v>101762</v>
          </cell>
        </row>
        <row r="4">
          <cell r="B4">
            <v>174595</v>
          </cell>
          <cell r="C4">
            <v>19232</v>
          </cell>
          <cell r="D4">
            <v>295806</v>
          </cell>
        </row>
        <row r="5">
          <cell r="B5">
            <v>529509</v>
          </cell>
          <cell r="C5">
            <v>61264</v>
          </cell>
          <cell r="D5">
            <v>979048</v>
          </cell>
        </row>
        <row r="7">
          <cell r="B7">
            <v>85617</v>
          </cell>
          <cell r="C7">
            <v>114872</v>
          </cell>
          <cell r="D7">
            <v>106517</v>
          </cell>
        </row>
        <row r="8">
          <cell r="B8">
            <v>177486</v>
          </cell>
          <cell r="C8">
            <v>16341</v>
          </cell>
          <cell r="D8">
            <v>654319</v>
          </cell>
        </row>
        <row r="9">
          <cell r="B9">
            <v>535855</v>
          </cell>
          <cell r="C9">
            <v>54918</v>
          </cell>
          <cell r="D9">
            <v>2147026</v>
          </cell>
        </row>
        <row r="11">
          <cell r="B11">
            <v>86402</v>
          </cell>
          <cell r="C11">
            <v>80548</v>
          </cell>
          <cell r="D11">
            <v>97433</v>
          </cell>
        </row>
        <row r="12">
          <cell r="B12">
            <v>191246</v>
          </cell>
          <cell r="C12">
            <v>2581</v>
          </cell>
          <cell r="D12">
            <v>233877</v>
          </cell>
        </row>
        <row r="13">
          <cell r="B13">
            <v>582648</v>
          </cell>
          <cell r="C13">
            <v>8125</v>
          </cell>
          <cell r="D13">
            <v>565677</v>
          </cell>
        </row>
        <row r="15">
          <cell r="B15">
            <v>86225</v>
          </cell>
          <cell r="C15">
            <v>123281</v>
          </cell>
          <cell r="D15">
            <v>103723</v>
          </cell>
        </row>
        <row r="16">
          <cell r="B16">
            <v>191160</v>
          </cell>
          <cell r="C16">
            <v>2667</v>
          </cell>
          <cell r="D16">
            <v>155442</v>
          </cell>
        </row>
        <row r="17">
          <cell r="B17">
            <v>580072</v>
          </cell>
          <cell r="C17">
            <v>10701</v>
          </cell>
          <cell r="D17">
            <v>475324</v>
          </cell>
        </row>
        <row r="19">
          <cell r="B19">
            <v>86207</v>
          </cell>
          <cell r="C19">
            <v>128341</v>
          </cell>
          <cell r="D19">
            <v>118918</v>
          </cell>
        </row>
        <row r="20">
          <cell r="B20">
            <v>192417</v>
          </cell>
          <cell r="C20">
            <v>1410</v>
          </cell>
          <cell r="D20">
            <v>509933</v>
          </cell>
        </row>
        <row r="21">
          <cell r="B21">
            <v>586024</v>
          </cell>
          <cell r="C21">
            <v>4749</v>
          </cell>
          <cell r="D21">
            <v>1594691</v>
          </cell>
        </row>
        <row r="23">
          <cell r="B23">
            <v>76240</v>
          </cell>
          <cell r="C23">
            <v>99133</v>
          </cell>
          <cell r="D23">
            <v>124738</v>
          </cell>
        </row>
        <row r="24">
          <cell r="B24">
            <v>84652</v>
          </cell>
          <cell r="C24">
            <v>109175</v>
          </cell>
          <cell r="D24">
            <v>3606049</v>
          </cell>
        </row>
        <row r="25">
          <cell r="B25">
            <v>261106</v>
          </cell>
          <cell r="C25">
            <v>329667</v>
          </cell>
          <cell r="D25">
            <v>9500672</v>
          </cell>
        </row>
        <row r="27">
          <cell r="B27">
            <v>79897</v>
          </cell>
          <cell r="C27">
            <v>90975</v>
          </cell>
          <cell r="D27">
            <v>91350</v>
          </cell>
        </row>
        <row r="28">
          <cell r="B28">
            <v>57099</v>
          </cell>
          <cell r="C28">
            <v>136728</v>
          </cell>
          <cell r="D28">
            <v>677753</v>
          </cell>
        </row>
        <row r="29">
          <cell r="B29">
            <v>172538</v>
          </cell>
          <cell r="C29">
            <v>418235</v>
          </cell>
          <cell r="D29">
            <v>2337682</v>
          </cell>
        </row>
        <row r="31">
          <cell r="B31">
            <v>81235</v>
          </cell>
          <cell r="C31">
            <v>95521</v>
          </cell>
          <cell r="D31">
            <v>91054</v>
          </cell>
        </row>
        <row r="32">
          <cell r="B32">
            <v>103191</v>
          </cell>
          <cell r="C32">
            <v>90636</v>
          </cell>
          <cell r="D32">
            <v>414225</v>
          </cell>
        </row>
        <row r="33">
          <cell r="B33">
            <v>301919</v>
          </cell>
          <cell r="C33">
            <v>288854</v>
          </cell>
          <cell r="D33">
            <v>1450310</v>
          </cell>
        </row>
        <row r="35">
          <cell r="B35">
            <v>85928</v>
          </cell>
          <cell r="C35">
            <v>145432</v>
          </cell>
          <cell r="D35">
            <v>91307</v>
          </cell>
        </row>
        <row r="36">
          <cell r="B36">
            <v>189806</v>
          </cell>
          <cell r="C36">
            <v>4021</v>
          </cell>
          <cell r="D36">
            <v>174229</v>
          </cell>
        </row>
        <row r="37">
          <cell r="B37">
            <v>575705</v>
          </cell>
          <cell r="C37">
            <v>15068</v>
          </cell>
          <cell r="D37">
            <v>597062</v>
          </cell>
        </row>
      </sheetData>
      <sheetData sheetId="1" refreshError="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7766C4-2C23-4FDA-AE9E-2995CEAB58FE}" name="Table2" displayName="Table2" ref="A1:G15" totalsRowShown="0" headerRowDxfId="57" dataDxfId="56" dataCellStyle="Percent">
  <tableColumns count="7">
    <tableColumn id="1" xr3:uid="{87C93C01-4C50-4D47-9974-8D3C0AD9EA04}" name=" " dataDxfId="55"/>
    <tableColumn id="2" xr3:uid="{A267FBED-9C14-4817-B1BF-3A7D11F79D51}" name="Visitor Origin Population" dataDxfId="54"/>
    <tableColumn id="3" xr3:uid="{AD4C518E-8B7B-4874-9802-D843E8B639DB}" name="Visitor Avg. HH Income" dataDxfId="53"/>
    <tableColumn id="4" xr3:uid="{9B17A064-0ABF-49E5-B060-A14687B37BFC}" name="% Visitors &gt;$100,000 HHI" dataDxfId="52" dataCellStyle="Percent"/>
    <tableColumn id="5" xr3:uid="{4AAE6B66-B782-4730-96FE-9AF54A9DA8EF}" name="Avg. Age of Head of Visitor Household" dataDxfId="51"/>
    <tableColumn id="6" xr3:uid="{D8A85CC8-D246-4F38-9E6F-6923C22A38F0}" name="% Visitor Households with Children" dataDxfId="50" dataCellStyle="Percent"/>
    <tableColumn id="7" xr3:uid="{9AAAE008-80DE-4669-BF96-8C49343B6001}" name="% College Degree or Higher" dataDxfId="49" dataCellStyle="Perc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D558FA7-0ABA-43FF-AB51-40A9394F2032}" name="Table8" displayName="Table8" ref="A1:J27" totalsRowShown="0" headerRowDxfId="48" dataDxfId="47">
  <tableColumns count="10">
    <tableColumn id="1" xr3:uid="{E13B8E71-CBAA-4295-888A-BBBA643BE086}" name="ZIP" dataDxfId="46"/>
    <tableColumn id="2" xr3:uid="{E7D71876-4D51-4E58-856B-5A94C7E6F46C}" name="City" dataDxfId="45">
      <calculatedColumnFormula>'[6]Top Zip Codes - 12 Months Endin'!C2</calculatedColumnFormula>
    </tableColumn>
    <tableColumn id="3" xr3:uid="{9E2AEC8A-9EC8-4A4B-BE7F-58DA12E80B0D}" name="State" dataDxfId="44">
      <calculatedColumnFormula>'[6]Top Zip Codes - 12 Months Endin'!D2</calculatedColumnFormula>
    </tableColumn>
    <tableColumn id="4" xr3:uid="{F9743C1C-A0D0-4AC1-B851-6A921262D223}" name="Distance from Center" dataDxfId="43" dataCellStyle="Percent"/>
    <tableColumn id="5" xr3:uid="{711D1CD5-50BA-4148-B2F4-7794BBDF1F56}" name="Percent of Visits" dataDxfId="42" dataCellStyle="Percent"/>
    <tableColumn id="6" xr3:uid="{719802AA-B2C8-4CA5-93A9-8210F0CD9A47}" name="Cumulative Percent Visits " dataDxfId="41" dataCellStyle="Percent"/>
    <tableColumn id="7" xr3:uid="{CBC6D52A-5C68-4858-9C95-0035EF2D929A}" name="Total Households" dataDxfId="40"/>
    <tableColumn id="8" xr3:uid="{C7908A80-7FBC-4A8E-A5C5-19D311BA01EE}" name="Total Population" dataDxfId="39"/>
    <tableColumn id="9" xr3:uid="{81BE3478-D529-4C40-A448-919BFA3899F1}" name="5-year Population Growth" dataDxfId="38" dataCellStyle="Percent"/>
    <tableColumn id="10" xr3:uid="{D2688E93-115A-40C3-85BD-C37A498C499D}" name="Avg. HH Income" dataDxfId="3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5DC5C82-7C06-4D76-99B0-721D8A19A6F3}" name="Table3" displayName="Table3" ref="A2:H15" totalsRowShown="0" headerRowDxfId="36" dataDxfId="35" dataCellStyle="Percent">
  <tableColumns count="8">
    <tableColumn id="1" xr3:uid="{30BB62CC-D2A9-4616-AA43-020FA6685FFA}" name=" " dataDxfId="34"/>
    <tableColumn id="2" xr3:uid="{7C601485-E422-4F28-8417-8934DC877BF7}" name="Less than 5 miles" dataDxfId="33" dataCellStyle="Percent"/>
    <tableColumn id="3" xr3:uid="{67F466F4-E773-496F-A3AC-11147D7EAE98}" name="5 to 10 miles" dataDxfId="32" dataCellStyle="Percent"/>
    <tableColumn id="4" xr3:uid="{2DA3E0CD-4234-4DDD-9FD3-E4C4C0037553}" name="11 to 20 miles" dataDxfId="31" dataCellStyle="Percent"/>
    <tableColumn id="5" xr3:uid="{F590506A-DE3E-448C-B7DD-72EBF69DE9B1}" name="21 to 50 miles" dataDxfId="30" dataCellStyle="Percent"/>
    <tableColumn id="6" xr3:uid="{D13D5B83-1464-439B-9D9E-97AD8C6636D1}" name="More than 50 miles" dataDxfId="29" dataCellStyle="Percent"/>
    <tableColumn id="7" xr3:uid="{899FA870-BD7A-4661-A0B3-498FF05F5759}" name="Avg. Distance (miles)" dataDxfId="28"/>
    <tableColumn id="8" xr3:uid="{D2044883-38FF-4407-B224-EB9186A0A791}" name="Avg. Distance (&lt;50mi)"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BD73822-84CD-4D18-AA5F-EDDBDFDE836C}" name="Table4" displayName="Table4" ref="A2:E15" totalsRowShown="0" headerRowDxfId="26" dataDxfId="25" dataCellStyle="Percent">
  <tableColumns count="5">
    <tableColumn id="1" xr3:uid="{7D35552E-013C-4AE8-9276-87515DF6B259}" name=" " dataDxfId="24"/>
    <tableColumn id="2" xr3:uid="{2F752A6A-3AC0-4D95-829E-FB25436A5896}" name="Visited once" dataDxfId="23" dataCellStyle="Percent"/>
    <tableColumn id="3" xr3:uid="{29D7B14B-EAD2-4412-A28B-EB190EF914EE}" name="Visited 2-4 times" dataDxfId="22" dataCellStyle="Percent"/>
    <tableColumn id="4" xr3:uid="{B13C2D62-44D2-4AFE-B2B7-CCD662001D75}" name="Visited 5+ times" dataDxfId="21" dataCellStyle="Percent"/>
    <tableColumn id="5" xr3:uid="{CA3A2E3A-F245-4873-8A40-B31FBF02CA2C}" name="Avg. Number Annual Visits"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6D0F9-AC92-4B3F-A9DA-4F3900139A00}" name="Table5" displayName="Table5" ref="A2:F15" totalsRowShown="0" headerRowDxfId="19" dataDxfId="18" dataCellStyle="Percent">
  <tableColumns count="6">
    <tableColumn id="1" xr3:uid="{84C72E71-BC84-4DA4-B997-C8D620EDE4A2}" name=" " dataDxfId="17"/>
    <tableColumn id="2" xr3:uid="{86458E2F-761E-4BE2-877C-4C8B227A9463}" name="Less than 15 mins." dataDxfId="16" dataCellStyle="Percent"/>
    <tableColumn id="3" xr3:uid="{BDB5CDCA-B796-4EE1-B808-0C405C3C7E04}" name="15 to 60 mins." dataDxfId="15" dataCellStyle="Percent"/>
    <tableColumn id="6" xr3:uid="{40AD439D-B312-4DA1-B101-A305169C28C7}" name="60 mins. to 3 hours" dataDxfId="14" dataCellStyle="Percent"/>
    <tableColumn id="4" xr3:uid="{E5960710-B6C3-42B4-BD6C-82E56FD25E6C}" name="More than 3 hours" dataDxfId="13" dataCellStyle="Percent"/>
    <tableColumn id="5" xr3:uid="{94E1B13A-53A0-4A92-A52A-379D7DED34E3}" name="Avg. Duration (mins)" dataDxfId="12"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DEDFAC8-847A-49B8-BE3A-00C4D65A12F8}" name="Table1" displayName="Table1" ref="A1:D4" totalsRowShown="0" headerRowDxfId="11" dataDxfId="10">
  <tableColumns count="4">
    <tableColumn id="1" xr3:uid="{56848E1B-B8AF-48C4-B635-0146398B545B}" name="Demographic" dataDxfId="9"/>
    <tableColumn id="2" xr3:uid="{E1CAB80B-C6A8-4444-AF28-7602A793AE28}" name="Primary Location Only" dataDxfId="8">
      <calculatedColumnFormula>'[13]competitive_overlay(4)'!B3</calculatedColumnFormula>
    </tableColumn>
    <tableColumn id="3" xr3:uid="{8163A639-F5D2-4978-B794-38EC043BB35F}" name="Overlay" dataDxfId="7">
      <calculatedColumnFormula>'[13]competitive_overlay(4)'!C3</calculatedColumnFormula>
    </tableColumn>
    <tableColumn id="4" xr3:uid="{B42B807C-0F7C-4C91-95DB-C7907164A403}" name="Competitor Only" dataDxfId="6">
      <calculatedColumnFormula>'[13]competitive_overlay(4)'!D3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Custom">
    <a:dk1>
      <a:srgbClr val="0C0C0C"/>
    </a:dk1>
    <a:lt1>
      <a:srgbClr val="FFFFFF"/>
    </a:lt1>
    <a:dk2>
      <a:srgbClr val="1B4273"/>
    </a:dk2>
    <a:lt2>
      <a:srgbClr val="FFFFFF"/>
    </a:lt2>
    <a:accent1>
      <a:srgbClr val="005390"/>
    </a:accent1>
    <a:accent2>
      <a:srgbClr val="C20A29"/>
    </a:accent2>
    <a:accent3>
      <a:srgbClr val="7DA222"/>
    </a:accent3>
    <a:accent4>
      <a:srgbClr val="FFC000"/>
    </a:accent4>
    <a:accent5>
      <a:srgbClr val="67A5D9"/>
    </a:accent5>
    <a:accent6>
      <a:srgbClr val="491A1F"/>
    </a:accent6>
    <a:hlink>
      <a:srgbClr val="93353E"/>
    </a:hlink>
    <a:folHlink>
      <a:srgbClr val="422B95"/>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5CC36-0BBD-466F-9CB3-DAA133BB3CCC}">
  <sheetPr codeName="Sheet1">
    <tabColor rgb="FFFF9999"/>
  </sheetPr>
  <dimension ref="A1:D19"/>
  <sheetViews>
    <sheetView showGridLines="0" workbookViewId="0">
      <selection activeCell="B24" sqref="B24"/>
    </sheetView>
  </sheetViews>
  <sheetFormatPr defaultRowHeight="18" customHeight="1"/>
  <cols>
    <col min="1" max="1" width="11.5703125" style="203" customWidth="1"/>
    <col min="2" max="2" width="180.5703125" style="48" customWidth="1"/>
  </cols>
  <sheetData>
    <row r="1" spans="1:4" ht="18" customHeight="1">
      <c r="A1" s="202" t="s">
        <v>0</v>
      </c>
      <c r="B1" s="198" t="s">
        <v>1</v>
      </c>
    </row>
    <row r="2" spans="1:4" ht="18" customHeight="1">
      <c r="A2" s="203">
        <v>1</v>
      </c>
      <c r="B2" s="52" t="s">
        <v>2</v>
      </c>
    </row>
    <row r="3" spans="1:4" ht="18" customHeight="1">
      <c r="A3" s="203">
        <v>2</v>
      </c>
      <c r="B3" s="52" t="s">
        <v>3</v>
      </c>
    </row>
    <row r="4" spans="1:4" ht="18" customHeight="1">
      <c r="A4" s="203">
        <v>3</v>
      </c>
      <c r="B4" s="52" t="s">
        <v>4</v>
      </c>
    </row>
    <row r="5" spans="1:4" ht="18" customHeight="1">
      <c r="A5" s="203">
        <v>4</v>
      </c>
      <c r="B5" s="52" t="s">
        <v>5</v>
      </c>
    </row>
    <row r="6" spans="1:4" ht="18" customHeight="1">
      <c r="B6" s="199" t="s">
        <v>6</v>
      </c>
    </row>
    <row r="7" spans="1:4" ht="18" customHeight="1">
      <c r="B7" s="199" t="s">
        <v>7</v>
      </c>
    </row>
    <row r="8" spans="1:4" ht="18" customHeight="1">
      <c r="B8" s="199" t="s">
        <v>8</v>
      </c>
    </row>
    <row r="9" spans="1:4" ht="18" customHeight="1">
      <c r="B9" s="199" t="s">
        <v>9</v>
      </c>
    </row>
    <row r="10" spans="1:4" ht="18" customHeight="1">
      <c r="B10" s="199" t="s">
        <v>10</v>
      </c>
    </row>
    <row r="11" spans="1:4" ht="18" customHeight="1">
      <c r="B11" s="199" t="s">
        <v>11</v>
      </c>
    </row>
    <row r="12" spans="1:4" ht="18" customHeight="1">
      <c r="B12" s="199" t="s">
        <v>12</v>
      </c>
    </row>
    <row r="13" spans="1:4" ht="18" customHeight="1">
      <c r="A13" s="203">
        <v>5</v>
      </c>
      <c r="B13" s="52" t="s">
        <v>13</v>
      </c>
    </row>
    <row r="14" spans="1:4" ht="18" customHeight="1">
      <c r="A14" s="203">
        <v>6</v>
      </c>
      <c r="B14" s="52" t="s">
        <v>235</v>
      </c>
    </row>
    <row r="15" spans="1:4" ht="18" customHeight="1">
      <c r="B15" s="204" t="s">
        <v>236</v>
      </c>
      <c r="C15" s="205"/>
      <c r="D15" s="205"/>
    </row>
    <row r="16" spans="1:4" ht="18" customHeight="1">
      <c r="A16" s="203">
        <v>7</v>
      </c>
      <c r="B16" s="200" t="s">
        <v>14</v>
      </c>
    </row>
    <row r="17" spans="1:2" ht="30">
      <c r="A17" s="203">
        <v>8</v>
      </c>
      <c r="B17" s="201" t="s">
        <v>15</v>
      </c>
    </row>
    <row r="18" spans="1:2" ht="15">
      <c r="A18" s="203">
        <v>9</v>
      </c>
      <c r="B18" s="52" t="s">
        <v>16</v>
      </c>
    </row>
    <row r="19" spans="1:2" ht="18" customHeight="1">
      <c r="A19" s="203">
        <v>10</v>
      </c>
      <c r="B19" s="5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A643D-28E1-4E58-A287-AD5C9FC452A0}">
  <sheetPr codeName="Sheet2"/>
  <dimension ref="A1:O38"/>
  <sheetViews>
    <sheetView showGridLines="0" zoomScale="85" zoomScaleNormal="85" workbookViewId="0">
      <selection activeCell="B17" sqref="B17"/>
    </sheetView>
  </sheetViews>
  <sheetFormatPr defaultRowHeight="26.25"/>
  <cols>
    <col min="1" max="1" width="17.140625" style="11" bestFit="1" customWidth="1"/>
    <col min="2" max="2" width="89.85546875" style="16" customWidth="1"/>
    <col min="3" max="3" width="9.140625" style="11"/>
    <col min="4" max="4" width="14.5703125" style="11" bestFit="1" customWidth="1"/>
    <col min="5" max="5" width="11.42578125" style="11" bestFit="1" customWidth="1"/>
    <col min="6" max="6" width="36" style="11" customWidth="1"/>
    <col min="8" max="8" width="12.42578125" style="178" bestFit="1" customWidth="1"/>
    <col min="9" max="9" width="12.7109375" style="20" customWidth="1"/>
    <col min="10" max="10" width="27.7109375" customWidth="1"/>
    <col min="14" max="14" width="13.42578125" bestFit="1" customWidth="1"/>
  </cols>
  <sheetData>
    <row r="1" spans="1:11" ht="30" customHeight="1">
      <c r="A1" s="1"/>
      <c r="B1" s="12"/>
      <c r="C1" s="2"/>
      <c r="D1" s="181"/>
      <c r="E1" s="182" t="s">
        <v>18</v>
      </c>
      <c r="F1" s="1"/>
      <c r="I1" s="182" t="s">
        <v>18</v>
      </c>
    </row>
    <row r="2" spans="1:11" s="5" customFormat="1" ht="94.5">
      <c r="A2" s="177">
        <f>DistanceTravelled!B3+DistanceTravelled!C3</f>
        <v>0.30299999999999999</v>
      </c>
      <c r="B2" s="17" t="s">
        <v>19</v>
      </c>
      <c r="C2" s="3"/>
      <c r="D2" s="184">
        <f>CompetitiveMarketPosition!B3</f>
        <v>5807232</v>
      </c>
      <c r="E2" s="185"/>
      <c r="F2" s="176" t="str">
        <f>"DRAWS FROM A VISITOR ORIGIN POPULATION OF "&amp;TEXT(D2,"#,##0")</f>
        <v>DRAWS FROM A VISITOR ORIGIN POPULATION OF 5,807,232</v>
      </c>
      <c r="G2" s="178"/>
      <c r="H2" s="183">
        <f>CompetitiveMarketPosition!D3</f>
        <v>0.41699999999999998</v>
      </c>
      <c r="I2" s="183">
        <f>CompetitiveMarketPosition!D2</f>
        <v>0.45100000000000001</v>
      </c>
      <c r="J2" s="18" t="str">
        <f>TEXT(H2,"0%")&amp;" OF "&amp;UPPER(CompetitiveMarketPosition!A3)&amp;"'S VISITOR HOUSEHOLDS EARN $100K+ A YEAR VS. "&amp;TEXT(I2,"0%")&amp;" IN THE MSA"</f>
        <v>42% OF ATLANTA BOTANICAL GARDEN - ATLANTA, GA  'S VISITOR HOUSEHOLDS EARN $100K+ A YEAR VS. 45% IN THE MSA</v>
      </c>
      <c r="K2" s="6"/>
    </row>
    <row r="3" spans="1:11" s="5" customFormat="1" ht="22.5" customHeight="1">
      <c r="A3" s="4"/>
      <c r="B3" s="17"/>
      <c r="C3" s="3"/>
      <c r="K3" s="6"/>
    </row>
    <row r="4" spans="1:11" s="5" customFormat="1" ht="15">
      <c r="C4" s="3"/>
      <c r="K4" s="6"/>
    </row>
    <row r="5" spans="1:11" s="5" customFormat="1" ht="45" customHeight="1">
      <c r="A5" s="25" t="str">
        <f>ZipCodes!L2</f>
        <v>30309: Atlanta, GA (5.3%)</v>
      </c>
      <c r="C5" s="3"/>
      <c r="D5" s="281">
        <f>SUM(DistanceTravelled!B3:E3)</f>
        <v>0.60699999999999998</v>
      </c>
      <c r="E5" s="183"/>
      <c r="F5" s="278" t="s">
        <v>239</v>
      </c>
      <c r="H5" s="186">
        <f>CompetitiveMarketPosition!C3</f>
        <v>114598</v>
      </c>
      <c r="I5" s="186">
        <f>CompetitiveMarketPosition!C2</f>
        <v>123829</v>
      </c>
      <c r="J5" s="180" t="str">
        <f>TEXT(CompetitiveMarketPosition!C3,"$##0,000")</f>
        <v>$114,598</v>
      </c>
    </row>
    <row r="6" spans="1:11" s="5" customFormat="1" ht="33.75" customHeight="1">
      <c r="A6" s="25" t="str">
        <f>ZipCodes!L3</f>
        <v>30306: Atlanta, GA (1.4%)</v>
      </c>
      <c r="C6" s="3"/>
      <c r="H6" s="187"/>
      <c r="I6" s="188"/>
      <c r="J6" s="180" t="str">
        <f>"vs. "&amp;TEXT(CompetitiveMarketPosition!C2,"$##0,000")</f>
        <v>vs. $123,829</v>
      </c>
    </row>
    <row r="7" spans="1:11" s="5" customFormat="1">
      <c r="A7" s="25" t="str">
        <f>ZipCodes!L4</f>
        <v>30318: Atlanta, GA (1.4%)</v>
      </c>
      <c r="C7" s="3"/>
      <c r="H7" s="179"/>
      <c r="I7" s="189"/>
    </row>
    <row r="8" spans="1:11" s="5" customFormat="1" ht="44.25" customHeight="1">
      <c r="A8" s="25" t="str">
        <f>ZipCodes!L5</f>
        <v>30324: Atlanta, GA (1.4%)</v>
      </c>
      <c r="C8" s="3"/>
      <c r="D8" s="4">
        <f>DistanceTravelled!F3</f>
        <v>0.39200000000000002</v>
      </c>
      <c r="E8" s="183"/>
      <c r="F8" s="278" t="s">
        <v>242</v>
      </c>
      <c r="H8" s="4">
        <f>CompetitiveMarketPosition!G3</f>
        <v>0.48299999999999998</v>
      </c>
      <c r="I8" s="183">
        <f>CompetitiveMarketPosition!G2</f>
        <v>0.42799999999999999</v>
      </c>
      <c r="J8" s="176" t="str">
        <f>"OF VISITORS HAVE COLLEGE DEGREES VS. "&amp;TEXT(I8,"0%")&amp;" IN THE MSA"</f>
        <v>OF VISITORS HAVE COLLEGE DEGREES VS. 43% IN THE MSA</v>
      </c>
    </row>
    <row r="9" spans="1:11" s="5" customFormat="1">
      <c r="A9" s="25" t="str">
        <f>ZipCodes!L6</f>
        <v>30308: Atlanta, GA (1.1%)</v>
      </c>
      <c r="C9" s="3"/>
      <c r="D9" s="4"/>
      <c r="E9" s="4"/>
    </row>
    <row r="10" spans="1:11" s="5" customFormat="1" ht="15" customHeight="1">
      <c r="B10" s="14"/>
      <c r="C10" s="3"/>
      <c r="D10" s="4"/>
      <c r="E10" s="4"/>
      <c r="F10" s="4"/>
      <c r="H10" s="179"/>
      <c r="I10" s="19"/>
      <c r="J10" s="9"/>
    </row>
    <row r="11" spans="1:11" s="5" customFormat="1" ht="49.5" customHeight="1">
      <c r="B11" s="13"/>
      <c r="C11" s="3"/>
      <c r="E11" s="4"/>
      <c r="F11" s="4"/>
      <c r="H11" s="4">
        <f>CompetitiveMarketPosition!F3</f>
        <v>0.33900000000000002</v>
      </c>
      <c r="I11" s="183">
        <f>CompetitiveMarketPosition!F2</f>
        <v>0.35099999999999998</v>
      </c>
      <c r="J11" s="176" t="str">
        <f>"OF VISITORS HAVE CHILDREN AT HOME VS. "&amp;TEXT(I11,"0%")&amp;" IN THE MSA"</f>
        <v>OF VISITORS HAVE CHILDREN AT HOME VS. 35% IN THE MSA</v>
      </c>
    </row>
    <row r="12" spans="1:11" s="5" customFormat="1" ht="15" customHeight="1">
      <c r="B12" s="15"/>
      <c r="C12" s="3"/>
      <c r="D12" s="10"/>
      <c r="E12" s="10"/>
      <c r="F12" s="10"/>
    </row>
    <row r="13" spans="1:11" ht="39">
      <c r="D13" s="282">
        <f>Frequency!E3</f>
        <v>1.2</v>
      </c>
      <c r="F13" s="280" t="s">
        <v>240</v>
      </c>
      <c r="H13" s="282">
        <f>Duration!F3</f>
        <v>100.2</v>
      </c>
      <c r="I13" s="183"/>
      <c r="J13" s="279" t="s">
        <v>241</v>
      </c>
    </row>
    <row r="14" spans="1:11" ht="19.5" customHeight="1"/>
    <row r="15" spans="1:11">
      <c r="B15" s="342">
        <f>A2</f>
        <v>0.30299999999999999</v>
      </c>
      <c r="E15" s="183"/>
      <c r="F15" s="183"/>
      <c r="G15" s="18"/>
      <c r="H15" s="179"/>
      <c r="I15" s="189"/>
      <c r="J15" s="5"/>
    </row>
    <row r="16" spans="1:11">
      <c r="B16"/>
    </row>
    <row r="17" spans="1:15" ht="15">
      <c r="B17"/>
      <c r="H17" s="34"/>
      <c r="I17" s="34" t="s">
        <v>243</v>
      </c>
      <c r="J17" s="34" t="s">
        <v>89</v>
      </c>
      <c r="K17" s="34" t="s">
        <v>90</v>
      </c>
      <c r="M17" s="34" t="s">
        <v>90</v>
      </c>
      <c r="N17" s="34"/>
      <c r="O17" s="34"/>
    </row>
    <row r="18" spans="1:15" ht="15">
      <c r="B18"/>
      <c r="H18" s="34">
        <v>1</v>
      </c>
      <c r="I18" s="34" t="str">
        <f>Summary!A22</f>
        <v>Alpha</v>
      </c>
      <c r="J18" s="243">
        <f>Summary!B22</f>
        <v>6.4000000000000001E-2</v>
      </c>
      <c r="K18" s="34">
        <f>_xlfn.RANK.EQ(J18, $J$18:$J$23, 1) + COUNTIF($J$18:J18, J18) - 1</f>
        <v>1</v>
      </c>
      <c r="M18" s="34">
        <f t="shared" ref="M18:M23" si="0">SMALL($K$18:$K$23, ROW()-ROW($L$18)+1)</f>
        <v>1</v>
      </c>
      <c r="N18" s="34" t="str">
        <f t="shared" ref="N18:N23" si="1">_xlfn.XLOOKUP(M18,K$18:K$23,I$18:I$23,,0)</f>
        <v>Alpha</v>
      </c>
      <c r="O18" s="284">
        <f t="shared" ref="O18:O23" si="2">_xlfn.XLOOKUP(N18,I$18:I$23,J$18:J$23,,0)</f>
        <v>6.4000000000000001E-2</v>
      </c>
    </row>
    <row r="19" spans="1:15" ht="15">
      <c r="B19"/>
      <c r="H19" s="34">
        <v>2</v>
      </c>
      <c r="I19" s="34" t="str">
        <f>Summary!A23</f>
        <v>Generation Z</v>
      </c>
      <c r="J19" s="243">
        <f>Summary!B23</f>
        <v>0.22700000000000001</v>
      </c>
      <c r="K19" s="34">
        <f>_xlfn.RANK.EQ(J19, $J$18:$J$23, 1) + COUNTIF($J$18:J19, J19) - 1</f>
        <v>6</v>
      </c>
      <c r="M19" s="34">
        <f t="shared" si="0"/>
        <v>2</v>
      </c>
      <c r="N19" s="34" t="str">
        <f t="shared" si="1"/>
        <v>Silent</v>
      </c>
      <c r="O19" s="284">
        <f t="shared" si="2"/>
        <v>6.8000000000000005E-2</v>
      </c>
    </row>
    <row r="20" spans="1:15" ht="15">
      <c r="B20"/>
      <c r="H20" s="34">
        <v>3</v>
      </c>
      <c r="I20" s="34" t="str">
        <f>Summary!A24</f>
        <v>Millennials</v>
      </c>
      <c r="J20" s="243">
        <f>Summary!B24</f>
        <v>0.222</v>
      </c>
      <c r="K20" s="34">
        <f>_xlfn.RANK.EQ(J20, $J$18:$J$23, 1) + COUNTIF($J$18:J20, J20) - 1</f>
        <v>5</v>
      </c>
      <c r="M20" s="34">
        <f t="shared" si="0"/>
        <v>3</v>
      </c>
      <c r="N20" s="34" t="str">
        <f t="shared" si="1"/>
        <v>Generation X</v>
      </c>
      <c r="O20" s="284">
        <f t="shared" si="2"/>
        <v>0.20399999999999999</v>
      </c>
    </row>
    <row r="21" spans="1:15" ht="15">
      <c r="H21" s="34">
        <v>4</v>
      </c>
      <c r="I21" s="34" t="str">
        <f>Summary!A25</f>
        <v>Generation X</v>
      </c>
      <c r="J21" s="243">
        <f>Summary!B25</f>
        <v>0.20399999999999999</v>
      </c>
      <c r="K21" s="34">
        <f>_xlfn.RANK.EQ(J21, $J$18:$J$23, 1) + COUNTIF($J$18:J21, J21) - 1</f>
        <v>3</v>
      </c>
      <c r="M21" s="34">
        <f t="shared" si="0"/>
        <v>4</v>
      </c>
      <c r="N21" s="34" t="str">
        <f t="shared" si="1"/>
        <v>Baby Boomers</v>
      </c>
      <c r="O21" s="284">
        <f t="shared" si="2"/>
        <v>0.215</v>
      </c>
    </row>
    <row r="22" spans="1:15" ht="15">
      <c r="H22" s="34">
        <v>5</v>
      </c>
      <c r="I22" s="34" t="str">
        <f>Summary!A26</f>
        <v>Baby Boomers</v>
      </c>
      <c r="J22" s="243">
        <f>Summary!B26</f>
        <v>0.215</v>
      </c>
      <c r="K22" s="34">
        <f>_xlfn.RANK.EQ(J22, $J$18:$J$23, 1) + COUNTIF($J$18:J22, J22) - 1</f>
        <v>4</v>
      </c>
      <c r="M22" s="34">
        <f t="shared" si="0"/>
        <v>5</v>
      </c>
      <c r="N22" s="34" t="str">
        <f t="shared" si="1"/>
        <v>Millennials</v>
      </c>
      <c r="O22" s="284">
        <f t="shared" si="2"/>
        <v>0.222</v>
      </c>
    </row>
    <row r="23" spans="1:15" ht="15">
      <c r="H23" s="283">
        <v>6</v>
      </c>
      <c r="I23" s="34" t="str">
        <f>Summary!A27</f>
        <v>Silent</v>
      </c>
      <c r="J23" s="243">
        <f>Summary!B27</f>
        <v>6.8000000000000005E-2</v>
      </c>
      <c r="K23" s="34">
        <f>_xlfn.RANK.EQ(J23, $J$18:$J$23, 1) + COUNTIF($J$18:J23, J23) - 1</f>
        <v>2</v>
      </c>
      <c r="M23" s="34">
        <f t="shared" si="0"/>
        <v>6</v>
      </c>
      <c r="N23" s="34" t="str">
        <f t="shared" si="1"/>
        <v>Generation Z</v>
      </c>
      <c r="O23" s="284">
        <f t="shared" si="2"/>
        <v>0.22700000000000001</v>
      </c>
    </row>
    <row r="27" spans="1:15">
      <c r="A27" s="11" t="s">
        <v>2566</v>
      </c>
    </row>
    <row r="28" spans="1:15">
      <c r="A28" s="11" t="s">
        <v>2567</v>
      </c>
      <c r="B28" s="16" t="str">
        <f>CompetitiveMarketPosition!J2</f>
        <v>The Atlanta Botanical Garden is a destination for a well-educated, high-income audience, closely mirroring the broader metro area's demographic. The visitor profile showcases a slightly more educated base than the metro average, indicative of its appeal to intellectual curiosity. However, the garden draws slightly fewer family-oriented visitors compared to the metro area, signifying an opportunity to expand its appeal to households with children.</v>
      </c>
    </row>
    <row r="29" spans="1:15">
      <c r="A29" s="11" t="s">
        <v>2568</v>
      </c>
      <c r="B29" s="16" t="str">
        <f>MileageDemo!D2</f>
        <v>Atlanta Botanical Garden in Atlanta, GA, exhibits above-average representation of older adults, high-income households, and highly educated visitors, demonstrating notable appeal across affluent and academically accomplished sectors.</v>
      </c>
    </row>
    <row r="30" spans="1:15">
      <c r="A30" s="11" t="s">
        <v>2569</v>
      </c>
      <c r="B30" s="16" t="str">
        <f>DrawDemo!S2</f>
        <v>The Atlanta Botanical Garden in Atlanta, GA is a destination of choice for an older, affluent, and educated audience. With the average age of visitors being 46.1 and over 40% of the households having an income of $100,000 or more, it caters to a sophisticated demographic that appreciates its curated beauty and botanic exhibits. The Garden's appeal to families, with 35.1% of visitors having children, suggests an opportunity to further enhance its family-friendly offerings.</v>
      </c>
    </row>
    <row r="31" spans="1:15">
      <c r="A31" s="11" t="s">
        <v>2570</v>
      </c>
      <c r="B31" s="16" t="str">
        <f>ZipCodes!O2</f>
        <v>The Atlanta Botanical Garden is a vibrant local attraction, garnering significant visits from residents of Atlanta and surrounding cities. Its popularity is particularly high in close proximity neighborhoods, reflecting a strong sense of local loyalty and ease of access. Opportunities for growth may exist in expanding outreach to nearby suburbs.</v>
      </c>
    </row>
    <row r="32" spans="1:15">
      <c r="A32" s="11" t="s">
        <v>2571</v>
      </c>
      <c r="B32" s="16" t="str">
        <f>DistanceTravelled!M2</f>
        <v>Atlanta Botanical Garden is a significant regional draw with almost 40% of visitors traveling more than 50 miles, signifying its status as a prestigious destination. This underscores the potential for increased engagement with audiences within a 50-mile radius, deepening its local connection.</v>
      </c>
    </row>
    <row r="33" spans="1:7">
      <c r="A33" s="11" t="s">
        <v>251</v>
      </c>
      <c r="B33" s="16" t="str">
        <f>Frequency!H2</f>
        <v>The Atlanta Botanical Garden demonstrates a strong base of repeat visitors, signifying high visitor loyalty and satisfaction. This robust return behavior underscores its success in fostering enduring connections with its audience.</v>
      </c>
    </row>
    <row r="34" spans="1:7">
      <c r="A34" s="11" t="s">
        <v>2572</v>
      </c>
      <c r="B34" s="16" t="str">
        <f>Duration!I2</f>
        <v>Guests at the Atlanta Botanical Garden often engage in longer stays, indicating a high level of visitor immersion and satisfaction with the facility's amenities and programs. This extended time-on-site demonstrates the Garden's strong experiential appeal and visitor satisfaction.</v>
      </c>
    </row>
    <row r="35" spans="1:7">
      <c r="A35" s="11" t="s">
        <v>2565</v>
      </c>
      <c r="B35" s="16" t="str">
        <f>ZipCodes!O8</f>
        <v>The Atlanta Botanical Garden draws a significant portion of its visitors from high-income neighborhoods within Atlanta, demonstrating its strong local appeal and brand recognition. To foster growth, there is potential to further tap into regional markets in the larger Georgia area.</v>
      </c>
    </row>
    <row r="36" spans="1:7">
      <c r="A36" s="11" t="s">
        <v>2573</v>
      </c>
      <c r="B36" s="16" t="str">
        <f>DistanceTravelled!M9</f>
        <v>The Atlanta Botanical Garden sees 45.3% of its visitors traveling less than 20 miles, with 19.4% traveling less than 5 miles and 15.0% traveling between 11 to 20 miles. \n\nThe zip code table shows that 27.6% of visitors are from Atlanta, GA, with an average distance of 14.2 miles from the Botanical Garden. \n\nComparatively, the percentage of visitors from Atlanta is lower than the total percentage of visitors traveling less than 20 miles to the Garden.</v>
      </c>
    </row>
    <row r="38" spans="1:7" ht="227.25">
      <c r="A38" s="346" t="s">
        <v>2574</v>
      </c>
      <c r="B38" s="347" t="str" cm="1">
        <f t="array" ref="B38">ExecAIAnalysis(A28:B36)</f>
        <v>The Atlanta Botanical Garden is a distinguished attraction, primarily drawing an affluent, educated audience that mirrors the metro areaâs demographic, thus presenting a unique appeal to intellectual curiosity. The Garden's popularity extends to local neighborhoods, showcasing strong brand familiarity and accessibility, and it thrives as a significant regional draw with a sizeable portion of its visitors traveling considerable distances. This highlights the Gardenâs dual role as both a local gem and a destination of prestige. It has also demonstrated a high level of visitor loyalty and satisfaction, with guests frequently returning and engaging in longer stays. This underscores the Garden's success in creating compelling experiences and programming that foster enduring connections with the audience. While the Garden's appeal to families is notable, there exists an opportunity to further enhance its family-friendly offerings, broadening its reach to households with children. There is also potential for expansion by deepening its connections within a larger radius and extending its outreach to high-income neighborhoods in the broader Georgia area, thereby augmenting its regional market penetration.</v>
      </c>
      <c r="C38" s="347"/>
      <c r="D38" s="347"/>
      <c r="E38" s="347"/>
      <c r="F38" s="347"/>
      <c r="G38" s="347"/>
    </row>
  </sheetData>
  <conditionalFormatting sqref="H2">
    <cfRule type="cellIs" dxfId="5" priority="5" operator="lessThan">
      <formula>$I$2</formula>
    </cfRule>
  </conditionalFormatting>
  <conditionalFormatting sqref="H5">
    <cfRule type="cellIs" dxfId="4" priority="4" operator="lessThan">
      <formula>$I$5</formula>
    </cfRule>
  </conditionalFormatting>
  <conditionalFormatting sqref="H8">
    <cfRule type="cellIs" dxfId="3" priority="3" operator="lessThan">
      <formula>$I$8</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AE357-27F9-4C2B-8905-5C8940731AFB}">
  <sheetPr codeName="Sheet3"/>
  <dimension ref="A1:K11"/>
  <sheetViews>
    <sheetView showGridLines="0" workbookViewId="0">
      <selection activeCell="J4" sqref="J4"/>
    </sheetView>
  </sheetViews>
  <sheetFormatPr defaultRowHeight="15"/>
  <cols>
    <col min="1" max="1" width="18.28515625" customWidth="1"/>
    <col min="2" max="3" width="21.42578125" style="11" customWidth="1"/>
    <col min="4" max="4" width="9.140625" style="11"/>
    <col min="5" max="5" width="18.28515625" customWidth="1"/>
    <col min="6" max="7" width="21.42578125" style="11" customWidth="1"/>
  </cols>
  <sheetData>
    <row r="1" spans="1:11" ht="60" customHeight="1">
      <c r="B1" s="1" t="str">
        <f>CompetitiveMarketPosition!A3</f>
        <v xml:space="preserve">Atlanta Botanical Garden - Atlanta, GA  </v>
      </c>
      <c r="C1" s="1" t="str">
        <f>CompetitiveMarketPosition!A2</f>
        <v>Atlanta-Sandy Springs-Alpharetta, GA MSA</v>
      </c>
      <c r="D1" s="2"/>
      <c r="E1" s="21"/>
      <c r="F1" s="1" t="str">
        <f>B1</f>
        <v xml:space="preserve">Atlanta Botanical Garden - Atlanta, GA  </v>
      </c>
      <c r="G1" s="1" t="str">
        <f>C1</f>
        <v>Atlanta-Sandy Springs-Alpharetta, GA MSA</v>
      </c>
    </row>
    <row r="2" spans="1:11" s="5" customFormat="1" ht="30" customHeight="1">
      <c r="A2" s="22" t="s">
        <v>20</v>
      </c>
      <c r="B2" s="23" t="str">
        <f>IF(CompetitiveMarketPosition!B3&gt;=1000000,ROUND(CompetitiveMarketPosition!B3,-5)/1000000&amp;"M",(ROUND(CompetitiveMarketPosition!B3,-3)/1000&amp;"K"))</f>
        <v>5.8M</v>
      </c>
      <c r="C2" s="23" t="str">
        <f>IF(CompetitiveMarketPosition!B2&gt;=1000000,ROUND(CompetitiveMarketPosition!B2,-5)/1000000&amp;"M",(ROUND(CompetitiveMarketPosition!B2,-3)/1000&amp;"K"))</f>
        <v>6.4M</v>
      </c>
      <c r="D2" s="3"/>
      <c r="E2" s="22" t="s">
        <v>21</v>
      </c>
      <c r="F2" s="4">
        <f>CompetitiveMarketPosition!D3</f>
        <v>0.41699999999999998</v>
      </c>
      <c r="G2" s="4">
        <f>CompetitiveMarketPosition!D2</f>
        <v>0.45100000000000001</v>
      </c>
      <c r="K2" s="6"/>
    </row>
    <row r="3" spans="1:11" s="5" customFormat="1" ht="30" customHeight="1">
      <c r="A3" s="3"/>
      <c r="B3" s="23"/>
      <c r="C3" s="23"/>
      <c r="D3" s="3"/>
      <c r="E3" s="3"/>
      <c r="F3" s="4"/>
      <c r="G3" s="4"/>
      <c r="K3" s="6"/>
    </row>
    <row r="4" spans="1:11" s="5" customFormat="1" ht="30" customHeight="1">
      <c r="A4" s="3"/>
      <c r="B4" s="3"/>
      <c r="C4" s="3"/>
      <c r="D4" s="3"/>
      <c r="E4" s="3"/>
      <c r="F4" s="7"/>
      <c r="G4" s="7"/>
    </row>
    <row r="5" spans="1:11" s="5" customFormat="1" ht="30" customHeight="1">
      <c r="A5" s="22" t="s">
        <v>22</v>
      </c>
      <c r="B5" s="24" t="str">
        <f>IF(ROUND(DistanceTravelled!$H$3,0)=ROUND(DistanceTravelled!$H$3,1),ROUND(DistanceTravelled!$H$3,0)&amp;".0 miles",ROUND(DistanceTravelled!$H$3,1)&amp;" miles")</f>
        <v>13.3 miles</v>
      </c>
      <c r="C5" s="24" t="s">
        <v>23</v>
      </c>
      <c r="D5" s="3"/>
      <c r="E5" s="22" t="s">
        <v>24</v>
      </c>
      <c r="F5" s="8">
        <f>CompetitiveMarketPosition!C3</f>
        <v>114598</v>
      </c>
      <c r="G5" s="8">
        <f>CompetitiveMarketPosition!C2</f>
        <v>123829</v>
      </c>
    </row>
    <row r="6" spans="1:11" s="5" customFormat="1" ht="30" customHeight="1">
      <c r="A6" s="3"/>
      <c r="B6" s="24"/>
      <c r="C6" s="24"/>
      <c r="D6" s="3"/>
      <c r="E6" s="3"/>
      <c r="F6" s="8"/>
      <c r="G6" s="8"/>
    </row>
    <row r="7" spans="1:11" s="5" customFormat="1" ht="30" customHeight="1">
      <c r="A7" s="3"/>
      <c r="B7" s="3"/>
      <c r="C7" s="3"/>
      <c r="D7" s="3"/>
      <c r="E7" s="3"/>
      <c r="F7" s="3"/>
      <c r="G7" s="3"/>
    </row>
    <row r="8" spans="1:11" s="5" customFormat="1" ht="30" customHeight="1">
      <c r="A8" s="22" t="s">
        <v>25</v>
      </c>
      <c r="B8" s="24" t="str">
        <f>IF(ROUND(Duration!$F$3,0)=ROUND(Duration!$F$3,1),ROUND(Duration!$F$3,0)&amp;".0 min",ROUND(Duration!$F$3,1)&amp;" min")</f>
        <v>100.2 min</v>
      </c>
      <c r="C8" s="24" t="s">
        <v>23</v>
      </c>
      <c r="D8" s="3"/>
      <c r="E8" s="22" t="s">
        <v>26</v>
      </c>
      <c r="F8" s="4">
        <f>DrawDemo!C4+DrawDemo!C5</f>
        <v>0.37</v>
      </c>
      <c r="G8" s="4">
        <f>DrawDemo!B4+DrawDemo!B5</f>
        <v>0.36499999999999999</v>
      </c>
      <c r="J8" s="9"/>
    </row>
    <row r="9" spans="1:11" s="5" customFormat="1" ht="30" customHeight="1">
      <c r="A9" s="3"/>
      <c r="B9" s="24"/>
      <c r="C9" s="24"/>
      <c r="D9" s="3"/>
      <c r="E9" s="3" t="s">
        <v>27</v>
      </c>
      <c r="F9" s="4">
        <f>DrawDemo!C6+DrawDemo!C7</f>
        <v>0.317</v>
      </c>
      <c r="G9" s="4">
        <f>DrawDemo!B6+DrawDemo!B7</f>
        <v>0.32500000000000001</v>
      </c>
      <c r="J9" s="9"/>
    </row>
    <row r="10" spans="1:11" s="5" customFormat="1" ht="30" customHeight="1">
      <c r="A10" s="3"/>
      <c r="B10" s="3"/>
      <c r="C10" s="3"/>
      <c r="D10" s="3"/>
      <c r="E10" s="3" t="s">
        <v>28</v>
      </c>
      <c r="F10" s="4">
        <f>DrawDemo!C8</f>
        <v>0.18</v>
      </c>
      <c r="G10" s="4">
        <f>DrawDemo!B8</f>
        <v>0.184</v>
      </c>
    </row>
    <row r="11" spans="1:11" s="5" customFormat="1" ht="30" customHeight="1">
      <c r="A11" s="22" t="s">
        <v>29</v>
      </c>
      <c r="B11" s="4">
        <f>CompetitiveMarketPosition!G3</f>
        <v>0.48299999999999998</v>
      </c>
      <c r="C11" s="4">
        <f>CompetitiveMarketPosition!G2</f>
        <v>0.42799999999999999</v>
      </c>
      <c r="D11" s="3"/>
      <c r="E11" s="22" t="s">
        <v>30</v>
      </c>
      <c r="F11" s="10">
        <f>DrawDemo!C9</f>
        <v>46</v>
      </c>
      <c r="G11" s="10">
        <f>DrawDemo!B9</f>
        <v>46.1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J35"/>
  <sheetViews>
    <sheetView workbookViewId="0">
      <selection activeCell="A2" sqref="A2:G15"/>
    </sheetView>
  </sheetViews>
  <sheetFormatPr defaultColWidth="8.85546875" defaultRowHeight="12.75"/>
  <cols>
    <col min="1" max="1" width="49.5703125" style="46" bestFit="1" customWidth="1"/>
    <col min="2" max="7" width="20.42578125" style="47" customWidth="1"/>
    <col min="8" max="8" width="9.5703125" style="47" customWidth="1"/>
    <col min="9" max="9" width="8.85546875" style="34"/>
    <col min="10" max="10" width="74.140625" style="34" customWidth="1"/>
    <col min="11" max="16384" width="8.85546875" style="34"/>
  </cols>
  <sheetData>
    <row r="1" spans="1:10" s="28" customFormat="1" ht="25.5">
      <c r="A1" s="26" t="s">
        <v>31</v>
      </c>
      <c r="B1" s="27" t="s">
        <v>32</v>
      </c>
      <c r="C1" s="27" t="s">
        <v>33</v>
      </c>
      <c r="D1" s="27" t="s">
        <v>34</v>
      </c>
      <c r="E1" s="27" t="s">
        <v>35</v>
      </c>
      <c r="F1" s="27" t="s">
        <v>36</v>
      </c>
      <c r="G1" s="27" t="s">
        <v>37</v>
      </c>
      <c r="H1" s="34"/>
    </row>
    <row r="2" spans="1:10" ht="21.95" customHeight="1">
      <c r="A2" s="29" t="str">
        <f>'[1]Competitive Market Position - 1'!A2</f>
        <v>Atlanta-Sandy Springs-Alpharetta, GA MSA</v>
      </c>
      <c r="B2" s="30">
        <f>'[1]Competitive Market Position - 1'!B2</f>
        <v>6399274</v>
      </c>
      <c r="C2" s="31">
        <f>'[1]Competitive Market Position - 1'!C2</f>
        <v>123829</v>
      </c>
      <c r="D2" s="32">
        <f>'[1]Competitive Market Position - 1'!D2</f>
        <v>0.45100000000000001</v>
      </c>
      <c r="E2" s="33">
        <f>'[1]Competitive Market Position - 1'!E2</f>
        <v>46.1</v>
      </c>
      <c r="F2" s="32">
        <f>'[1]Competitive Market Position - 1'!F2</f>
        <v>0.35099999999999998</v>
      </c>
      <c r="G2" s="32">
        <f>'[1]Competitive Market Position - 1'!G2</f>
        <v>0.42799999999999999</v>
      </c>
      <c r="H2" s="32"/>
      <c r="I2" s="34" t="s">
        <v>2555</v>
      </c>
      <c r="J2" s="348" t="str" cm="1">
        <f t="array" ref="J2">CMPAIAnalysis(Table2[#All])</f>
        <v>The Atlanta Botanical Garden is a destination for a well-educated, high-income audience, closely mirroring the broader metro area's demographic. The visitor profile showcases a slightly more educated base than the metro average, indicative of its appeal to intellectual curiosity. However, the garden draws slightly fewer family-oriented visitors compared to the metro area, signifying an opportunity to expand its appeal to households with children.</v>
      </c>
    </row>
    <row r="3" spans="1:10" ht="21.95" customHeight="1">
      <c r="A3" s="29" t="str">
        <f>'[1]Competitive Market Position - 1'!$A3</f>
        <v xml:space="preserve">Atlanta Botanical Garden - Atlanta, GA  </v>
      </c>
      <c r="B3" s="30">
        <f>'[1]Competitive Market Position - 1'!B3</f>
        <v>5807232</v>
      </c>
      <c r="C3" s="31">
        <f>'[1]Competitive Market Position - 1'!C3</f>
        <v>114598</v>
      </c>
      <c r="D3" s="32">
        <f>'[1]Competitive Market Position - 1'!D3</f>
        <v>0.41699999999999998</v>
      </c>
      <c r="E3" s="33">
        <f>'[1]Competitive Market Position - 1'!E3</f>
        <v>46</v>
      </c>
      <c r="F3" s="32">
        <f>'[1]Competitive Market Position - 1'!F3</f>
        <v>0.33900000000000002</v>
      </c>
      <c r="G3" s="32">
        <f>'[1]Competitive Market Position - 1'!G3</f>
        <v>0.48299999999999998</v>
      </c>
      <c r="H3" s="32"/>
      <c r="J3" s="348"/>
    </row>
    <row r="4" spans="1:10" ht="21.95" customHeight="1">
      <c r="A4" s="35" t="str">
        <f>'[1]Competitive Market Position - 1'!$A4</f>
        <v>Atlanta Botanical Garden Gainesville - Gainesville, GA 30501</v>
      </c>
      <c r="B4" s="36">
        <f>'[1]Competitive Market Position - 1'!B4</f>
        <v>453645</v>
      </c>
      <c r="C4" s="37">
        <f>'[1]Competitive Market Position - 1'!C4</f>
        <v>115367</v>
      </c>
      <c r="D4" s="38">
        <f>'[1]Competitive Market Position - 1'!D4</f>
        <v>0.39200000000000002</v>
      </c>
      <c r="E4" s="39">
        <f>'[1]Competitive Market Position - 1'!E4</f>
        <v>47.1</v>
      </c>
      <c r="F4" s="38">
        <f>'[1]Competitive Market Position - 1'!F4</f>
        <v>0.41</v>
      </c>
      <c r="G4" s="38">
        <f>'[1]Competitive Market Position - 1'!G4</f>
        <v>0.34399999999999997</v>
      </c>
      <c r="H4" s="38"/>
      <c r="J4" s="348"/>
    </row>
    <row r="5" spans="1:10" ht="21.95" customHeight="1">
      <c r="A5" s="35" t="str">
        <f>'[1]Competitive Market Position - 1'!$A5</f>
        <v>Avalon - Alpharetta, GA 30009</v>
      </c>
      <c r="B5" s="36">
        <f>'[1]Competitive Market Position - 1'!B5</f>
        <v>2009948</v>
      </c>
      <c r="C5" s="37">
        <f>'[1]Competitive Market Position - 1'!C5</f>
        <v>116088</v>
      </c>
      <c r="D5" s="38">
        <f>'[1]Competitive Market Position - 1'!D5</f>
        <v>0.56100000000000005</v>
      </c>
      <c r="E5" s="39">
        <f>'[1]Competitive Market Position - 1'!E5</f>
        <v>46.7</v>
      </c>
      <c r="F5" s="38">
        <f>'[1]Competitive Market Position - 1'!F5</f>
        <v>0.4</v>
      </c>
      <c r="G5" s="38">
        <f>'[1]Competitive Market Position - 1'!G5</f>
        <v>0.59199999999999997</v>
      </c>
      <c r="H5" s="38"/>
      <c r="J5" s="348"/>
    </row>
    <row r="6" spans="1:10" ht="21.95" customHeight="1">
      <c r="A6" s="35" t="str">
        <f>'[1]Competitive Market Position - 1'!$A6</f>
        <v>Fernbank Museum of Natural History - ATL, GA 30307</v>
      </c>
      <c r="B6" s="36">
        <f>'[1]Competitive Market Position - 1'!B6</f>
        <v>3210764</v>
      </c>
      <c r="C6" s="37">
        <f>'[1]Competitive Market Position - 1'!C6</f>
        <v>116752</v>
      </c>
      <c r="D6" s="38">
        <f>'[1]Competitive Market Position - 1'!D6</f>
        <v>0.40400000000000003</v>
      </c>
      <c r="E6" s="39">
        <f>'[1]Competitive Market Position - 1'!E6</f>
        <v>46</v>
      </c>
      <c r="F6" s="38">
        <f>'[1]Competitive Market Position - 1'!F6</f>
        <v>0.36299999999999999</v>
      </c>
      <c r="G6" s="38">
        <f>'[1]Competitive Market Position - 1'!G6</f>
        <v>0.45600000000000002</v>
      </c>
      <c r="H6" s="38"/>
      <c r="J6" s="34" t="str" cm="1">
        <f t="array" ref="J6">CMPAIAnalysis(Table2[#All])</f>
        <v>The Atlanta Botanical Garden attracts a highly educated audience with a notable household income, aligning closely with the demographic characteristics of the Atlanta-Sandy Springs-Alpharetta, GA MSA. Despite a slightly lower representation of visitor households with children, the Garden mirrors the average age of the metro area. There exists a promising opportunity to further engage the younger, family-oriented demographic within the metro area.</v>
      </c>
    </row>
    <row r="7" spans="1:10" ht="21.95" customHeight="1">
      <c r="A7" s="35" t="str">
        <f>'[1]Competitive Market Position - 1'!$A7</f>
        <v>Gainesville Square - Gainesville, GA 30501</v>
      </c>
      <c r="B7" s="36">
        <f>'[1]Competitive Market Position - 1'!B7</f>
        <v>454285</v>
      </c>
      <c r="C7" s="37">
        <f>'[1]Competitive Market Position - 1'!C7</f>
        <v>102374</v>
      </c>
      <c r="D7" s="38">
        <f>'[1]Competitive Market Position - 1'!D7</f>
        <v>0.316</v>
      </c>
      <c r="E7" s="39">
        <f>'[1]Competitive Market Position - 1'!E7</f>
        <v>46.8</v>
      </c>
      <c r="F7" s="38">
        <f>'[1]Competitive Market Position - 1'!F7</f>
        <v>0.38200000000000001</v>
      </c>
      <c r="G7" s="38">
        <f>'[1]Competitive Market Position - 1'!G7</f>
        <v>0.28100000000000003</v>
      </c>
      <c r="H7" s="38"/>
    </row>
    <row r="8" spans="1:10" ht="21.95" customHeight="1">
      <c r="A8" s="35" t="str">
        <f>'[1]Competitive Market Position - 1'!$A8</f>
        <v>High Museum of Art - ATL, GA 30309</v>
      </c>
      <c r="B8" s="36">
        <f>'[1]Competitive Market Position - 1'!B8</f>
        <v>3558297</v>
      </c>
      <c r="C8" s="37">
        <f>'[1]Competitive Market Position - 1'!C8</f>
        <v>117704</v>
      </c>
      <c r="D8" s="38">
        <f>'[1]Competitive Market Position - 1'!D8</f>
        <v>0.40699999999999997</v>
      </c>
      <c r="E8" s="39">
        <f>'[1]Competitive Market Position - 1'!E8</f>
        <v>45.5</v>
      </c>
      <c r="F8" s="38">
        <f>'[1]Competitive Market Position - 1'!F8</f>
        <v>0.32600000000000001</v>
      </c>
      <c r="G8" s="38">
        <f>'[1]Competitive Market Position - 1'!G8</f>
        <v>0.48899999999999999</v>
      </c>
      <c r="H8" s="38"/>
    </row>
    <row r="9" spans="1:10" ht="21.95" customHeight="1">
      <c r="A9" s="35" t="str">
        <f>'[1]Competitive Market Position - 1'!$A9</f>
        <v>Krog Street Market - ATL, GA 30307</v>
      </c>
      <c r="B9" s="36">
        <f>'[1]Competitive Market Position - 1'!B9</f>
        <v>4729244</v>
      </c>
      <c r="C9" s="37">
        <f>'[1]Competitive Market Position - 1'!C9</f>
        <v>115371</v>
      </c>
      <c r="D9" s="38">
        <f>'[1]Competitive Market Position - 1'!D9</f>
        <v>0.40799999999999997</v>
      </c>
      <c r="E9" s="39">
        <f>'[1]Competitive Market Position - 1'!E9</f>
        <v>45.6</v>
      </c>
      <c r="F9" s="38">
        <f>'[1]Competitive Market Position - 1'!F9</f>
        <v>0.32</v>
      </c>
      <c r="G9" s="38">
        <f>'[1]Competitive Market Position - 1'!G9</f>
        <v>0.496</v>
      </c>
      <c r="H9" s="38"/>
    </row>
    <row r="10" spans="1:10" ht="21.95" customHeight="1">
      <c r="A10" s="35" t="str">
        <f>'[1]Competitive Market Position - 1'!$A10</f>
        <v>Lenox Square - ATL, GA 30326</v>
      </c>
      <c r="B10" s="36">
        <f>'[1]Competitive Market Position - 1'!B10</f>
        <v>6952060</v>
      </c>
      <c r="C10" s="37">
        <f>'[1]Competitive Market Position - 1'!C10</f>
        <v>104759</v>
      </c>
      <c r="D10" s="38">
        <f>'[1]Competitive Market Position - 1'!D10</f>
        <v>0.39200000000000002</v>
      </c>
      <c r="E10" s="39">
        <f>'[1]Competitive Market Position - 1'!E10</f>
        <v>46.1</v>
      </c>
      <c r="F10" s="38">
        <f>'[1]Competitive Market Position - 1'!F10</f>
        <v>0.34300000000000003</v>
      </c>
      <c r="G10" s="38">
        <f>'[1]Competitive Market Position - 1'!G10</f>
        <v>0.46600000000000003</v>
      </c>
      <c r="H10" s="38"/>
    </row>
    <row r="11" spans="1:10" ht="21.95" customHeight="1">
      <c r="A11" s="35" t="str">
        <f>'[1]Competitive Market Position - 1'!$A11</f>
        <v>Piedmont Park - ATL, GA 30309</v>
      </c>
      <c r="B11" s="36">
        <f>'[1]Competitive Market Position - 1'!B11</f>
        <v>5231123</v>
      </c>
      <c r="C11" s="37">
        <f>'[1]Competitive Market Position - 1'!C11</f>
        <v>106701</v>
      </c>
      <c r="D11" s="38">
        <f>'[1]Competitive Market Position - 1'!D11</f>
        <v>0.41799999999999998</v>
      </c>
      <c r="E11" s="39">
        <f>'[1]Competitive Market Position - 1'!E11</f>
        <v>46</v>
      </c>
      <c r="F11" s="38">
        <f>'[1]Competitive Market Position - 1'!F11</f>
        <v>0.28699999999999998</v>
      </c>
      <c r="G11" s="38">
        <f>'[1]Competitive Market Position - 1'!G11</f>
        <v>0.51900000000000002</v>
      </c>
      <c r="H11" s="38"/>
    </row>
    <row r="12" spans="1:10" ht="21.95" customHeight="1">
      <c r="A12" s="35" t="str">
        <f>'[1]Competitive Market Position - 1'!$A12</f>
        <v>Ponce City Market - ATL, GA 30308</v>
      </c>
      <c r="B12" s="36">
        <f>'[1]Competitive Market Position - 1'!B12</f>
        <v>5746329</v>
      </c>
      <c r="C12" s="37">
        <f>'[1]Competitive Market Position - 1'!C12</f>
        <v>110458</v>
      </c>
      <c r="D12" s="38">
        <f>'[1]Competitive Market Position - 1'!D12</f>
        <v>0.40100000000000002</v>
      </c>
      <c r="E12" s="39">
        <f>'[1]Competitive Market Position - 1'!E12</f>
        <v>46</v>
      </c>
      <c r="F12" s="38">
        <f>'[1]Competitive Market Position - 1'!F12</f>
        <v>0.32500000000000001</v>
      </c>
      <c r="G12" s="38">
        <f>'[1]Competitive Market Position - 1'!G12</f>
        <v>0.48399999999999999</v>
      </c>
      <c r="H12" s="38"/>
    </row>
    <row r="13" spans="1:10" s="45" customFormat="1" ht="21.95" customHeight="1">
      <c r="A13" s="35" t="str">
        <f>'[1]Competitive Market Position - 1'!$A13</f>
        <v>The Works - Atlanta, GA, 30318</v>
      </c>
      <c r="B13" s="36">
        <f>'[1]Competitive Market Position - 1'!B13</f>
        <v>3070789</v>
      </c>
      <c r="C13" s="37">
        <f>'[1]Competitive Market Position - 1'!C13</f>
        <v>116954</v>
      </c>
      <c r="D13" s="38">
        <f>'[1]Competitive Market Position - 1'!D13</f>
        <v>0.39800000000000002</v>
      </c>
      <c r="E13" s="39">
        <f>'[1]Competitive Market Position - 1'!E13</f>
        <v>45.6</v>
      </c>
      <c r="F13" s="38">
        <f>'[1]Competitive Market Position - 1'!F13</f>
        <v>0.32700000000000001</v>
      </c>
      <c r="G13" s="38">
        <f>'[1]Competitive Market Position - 1'!G13</f>
        <v>0.498</v>
      </c>
      <c r="H13" s="34"/>
    </row>
    <row r="14" spans="1:10">
      <c r="A14" s="35" t="str">
        <f>'[1]Competitive Market Position - 1'!$A14</f>
        <v>Westside Paper - Atlanta, GA 30318</v>
      </c>
      <c r="B14" s="36">
        <f>'[1]Competitive Market Position - 1'!B14</f>
        <v>302332</v>
      </c>
      <c r="C14" s="37">
        <f>'[1]Competitive Market Position - 1'!C14</f>
        <v>114268</v>
      </c>
      <c r="D14" s="38">
        <f>'[1]Competitive Market Position - 1'!D14</f>
        <v>0.222</v>
      </c>
      <c r="E14" s="39">
        <f>'[1]Competitive Market Position - 1'!E14</f>
        <v>43.9</v>
      </c>
      <c r="F14" s="38">
        <f>'[1]Competitive Market Position - 1'!F14</f>
        <v>0.34100000000000003</v>
      </c>
      <c r="G14" s="38">
        <f>'[1]Competitive Market Position - 1'!G14</f>
        <v>0.45900000000000002</v>
      </c>
    </row>
    <row r="15" spans="1:10">
      <c r="A15" s="40" t="s">
        <v>38</v>
      </c>
      <c r="B15" s="41">
        <f>AVERAGE(B3:B12)</f>
        <v>3815292.7</v>
      </c>
      <c r="C15" s="42">
        <f t="shared" ref="C15:G15" si="0">AVERAGE(C3:C12)</f>
        <v>112017.2</v>
      </c>
      <c r="D15" s="43">
        <f t="shared" si="0"/>
        <v>0.41159999999999997</v>
      </c>
      <c r="E15" s="44">
        <f t="shared" si="0"/>
        <v>46.180000000000007</v>
      </c>
      <c r="F15" s="43">
        <f t="shared" si="0"/>
        <v>0.34950000000000003</v>
      </c>
      <c r="G15" s="43">
        <f t="shared" si="0"/>
        <v>0.46100000000000002</v>
      </c>
    </row>
    <row r="19" spans="1:4">
      <c r="A19" s="46" t="s">
        <v>39</v>
      </c>
    </row>
    <row r="20" spans="1:4">
      <c r="A20" s="169"/>
    </row>
    <row r="26" spans="1:4">
      <c r="B26" s="170"/>
      <c r="C26" s="171"/>
      <c r="D26" s="172"/>
    </row>
    <row r="27" spans="1:4">
      <c r="B27" s="173"/>
      <c r="C27" s="174"/>
      <c r="D27" s="172"/>
    </row>
    <row r="28" spans="1:4">
      <c r="B28" s="174"/>
      <c r="C28" s="174"/>
      <c r="D28" s="172"/>
    </row>
    <row r="29" spans="1:4">
      <c r="B29" s="175"/>
      <c r="C29" s="175"/>
      <c r="D29" s="172"/>
    </row>
    <row r="30" spans="1:4">
      <c r="B30" s="174"/>
      <c r="C30" s="174"/>
      <c r="D30" s="172"/>
    </row>
    <row r="31" spans="1:4">
      <c r="B31" s="173"/>
      <c r="C31" s="173"/>
      <c r="D31" s="172"/>
    </row>
    <row r="32" spans="1:4">
      <c r="B32" s="173"/>
      <c r="C32" s="173"/>
      <c r="D32" s="172"/>
    </row>
    <row r="33" spans="2:10">
      <c r="B33" s="173"/>
      <c r="C33" s="173"/>
      <c r="D33" s="172"/>
      <c r="H33" s="46"/>
      <c r="I33" s="46"/>
      <c r="J33" s="46"/>
    </row>
    <row r="34" spans="2:10">
      <c r="B34" s="173"/>
      <c r="C34" s="173"/>
      <c r="D34" s="172"/>
    </row>
    <row r="35" spans="2:10">
      <c r="B35" s="46"/>
      <c r="C35" s="46"/>
      <c r="D35" s="46"/>
      <c r="E35" s="46"/>
      <c r="F35" s="46"/>
      <c r="G35" s="46"/>
    </row>
  </sheetData>
  <mergeCells count="1">
    <mergeCell ref="J2:J5"/>
  </mergeCell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E90E3-DA99-4233-AB2D-904282ED6090}">
  <sheetPr codeName="Sheet5"/>
  <dimension ref="A1:Z37"/>
  <sheetViews>
    <sheetView zoomScale="85" zoomScaleNormal="85" workbookViewId="0">
      <selection activeCell="C41" sqref="C41"/>
    </sheetView>
  </sheetViews>
  <sheetFormatPr defaultColWidth="8.85546875" defaultRowHeight="12"/>
  <cols>
    <col min="1" max="1" width="14.140625" style="79" customWidth="1"/>
    <col min="2" max="2" width="25.5703125" style="79" customWidth="1"/>
    <col min="3" max="5" width="23" style="124" customWidth="1"/>
    <col min="6" max="6" width="45.28515625" style="124" customWidth="1"/>
    <col min="7" max="9" width="8.85546875" style="79"/>
    <col min="10" max="10" width="8.85546875" style="79" customWidth="1"/>
    <col min="11" max="11" width="8.85546875" style="79" hidden="1" customWidth="1"/>
    <col min="12" max="12" width="8.85546875" style="125" hidden="1" customWidth="1"/>
    <col min="13" max="15" width="8.85546875" style="126" hidden="1" customWidth="1"/>
    <col min="16" max="16" width="8.85546875" style="79" hidden="1" customWidth="1"/>
    <col min="17" max="17" width="8.85546875" style="79" customWidth="1"/>
    <col min="18" max="18" width="6" style="79" customWidth="1"/>
    <col min="19" max="19" width="20.42578125" style="79" customWidth="1"/>
    <col min="20" max="21" width="8.85546875" style="79"/>
    <col min="22" max="25" width="10.5703125" style="79" customWidth="1"/>
    <col min="26" max="16384" width="8.85546875" style="79"/>
  </cols>
  <sheetData>
    <row r="1" spans="1:26" s="93" customFormat="1" ht="17.25" thickBot="1">
      <c r="A1" s="127" t="s">
        <v>40</v>
      </c>
      <c r="B1" s="127"/>
      <c r="C1" s="128">
        <v>0</v>
      </c>
      <c r="D1" s="128">
        <v>0</v>
      </c>
      <c r="E1" s="128"/>
      <c r="F1" s="129"/>
      <c r="H1" s="79" t="s">
        <v>2556</v>
      </c>
      <c r="I1" s="343"/>
      <c r="J1" s="343"/>
      <c r="K1" s="343"/>
      <c r="L1" s="343"/>
      <c r="M1" s="343"/>
      <c r="N1" s="343"/>
      <c r="O1" s="343"/>
      <c r="P1" s="343"/>
      <c r="Q1" s="343"/>
      <c r="R1" s="343"/>
      <c r="S1" s="343"/>
      <c r="T1" s="350" t="s">
        <v>231</v>
      </c>
      <c r="U1" s="352" t="s">
        <v>354</v>
      </c>
      <c r="V1" s="353"/>
      <c r="W1" s="353"/>
      <c r="X1" s="354"/>
      <c r="Y1" s="355" t="s">
        <v>355</v>
      </c>
      <c r="Z1" s="356"/>
    </row>
    <row r="2" spans="1:26" s="93" customFormat="1" ht="17.25" customHeight="1" thickBot="1">
      <c r="A2" s="127"/>
      <c r="B2" s="127"/>
      <c r="C2" s="130" t="s">
        <v>41</v>
      </c>
      <c r="D2" s="344" t="str" cm="1">
        <f t="array" ref="D2">MileageDemosAIAnalysis(A3:F28)</f>
        <v>Atlanta Botanical Garden in Atlanta, GA, exhibits above-average representation of older adults, high-income households, and highly educated visitors, demonstrating notable appeal across affluent and academically accomplished sectors.</v>
      </c>
      <c r="E2" s="344"/>
      <c r="F2" s="344"/>
      <c r="G2" s="344"/>
      <c r="H2" s="344"/>
      <c r="I2" s="344"/>
      <c r="J2" s="344"/>
      <c r="K2" s="344"/>
      <c r="L2" s="344"/>
      <c r="M2" s="344"/>
      <c r="N2" s="344"/>
      <c r="O2" s="344"/>
      <c r="P2" s="344"/>
      <c r="Q2" s="344"/>
      <c r="R2" s="344"/>
      <c r="S2" s="345"/>
      <c r="T2" s="351"/>
      <c r="U2" s="310" t="s">
        <v>356</v>
      </c>
      <c r="V2" s="310" t="s">
        <v>357</v>
      </c>
      <c r="W2" s="310" t="s">
        <v>358</v>
      </c>
      <c r="X2" s="310" t="s">
        <v>359</v>
      </c>
      <c r="Y2" s="311" t="s">
        <v>360</v>
      </c>
      <c r="Z2" s="311" t="s">
        <v>361</v>
      </c>
    </row>
    <row r="3" spans="1:26" ht="24.95" customHeight="1" thickBot="1">
      <c r="A3" s="357" t="s">
        <v>2562</v>
      </c>
      <c r="B3" s="357"/>
      <c r="C3" s="131" t="s">
        <v>2557</v>
      </c>
      <c r="D3" s="131" t="s">
        <v>2558</v>
      </c>
      <c r="E3" s="131" t="s">
        <v>2559</v>
      </c>
      <c r="F3" s="131" t="str">
        <f>Table2[[#This Row],[ ]] &amp; " Actual visitors"</f>
        <v>Atlanta Botanical Garden - Atlanta, GA   Actual visitors</v>
      </c>
      <c r="I3" s="343"/>
      <c r="J3" s="343"/>
      <c r="K3" s="343"/>
      <c r="L3" s="343"/>
      <c r="M3" s="343"/>
      <c r="N3" s="343"/>
      <c r="O3" s="343"/>
      <c r="P3" s="343"/>
      <c r="Q3" s="343"/>
      <c r="R3" s="343"/>
      <c r="S3" s="343"/>
      <c r="T3" s="312"/>
      <c r="U3" s="312"/>
      <c r="V3" s="312"/>
      <c r="W3" s="312"/>
      <c r="X3" s="312"/>
      <c r="Y3" s="312"/>
      <c r="Z3" s="312"/>
    </row>
    <row r="4" spans="1:26" ht="20.100000000000001" customHeight="1" thickTop="1" thickBot="1">
      <c r="A4" s="358" t="s">
        <v>45</v>
      </c>
      <c r="B4" s="359"/>
      <c r="C4" s="95">
        <f>U4</f>
        <v>65381</v>
      </c>
      <c r="D4" s="95">
        <f t="shared" ref="D4:E4" si="0">V4</f>
        <v>167030</v>
      </c>
      <c r="E4" s="95">
        <f t="shared" si="0"/>
        <v>758184</v>
      </c>
      <c r="F4" s="96">
        <f>[2]CompetitiveMarketPosition!B3</f>
        <v>999570</v>
      </c>
      <c r="H4" s="364" t="s">
        <v>46</v>
      </c>
      <c r="I4" s="97"/>
      <c r="J4" s="98"/>
      <c r="K4" s="99"/>
      <c r="L4" s="100"/>
      <c r="M4" s="101"/>
      <c r="N4" s="101"/>
      <c r="O4" s="102"/>
      <c r="P4" s="99"/>
      <c r="Q4" s="98">
        <f>I28</f>
        <v>169.56521739130434</v>
      </c>
      <c r="T4" s="334" t="s">
        <v>20</v>
      </c>
      <c r="U4" s="321">
        <v>65381</v>
      </c>
      <c r="V4" s="321">
        <v>167030</v>
      </c>
      <c r="W4" s="321">
        <v>758184</v>
      </c>
      <c r="X4" s="322">
        <v>9601766</v>
      </c>
      <c r="Y4" s="321">
        <v>2834800</v>
      </c>
      <c r="Z4" s="323" t="s">
        <v>307</v>
      </c>
    </row>
    <row r="5" spans="1:26" ht="20.100000000000001" customHeight="1" thickBot="1">
      <c r="A5" s="132" t="s">
        <v>47</v>
      </c>
      <c r="B5" s="132"/>
      <c r="C5" s="103">
        <f>C4/2.6</f>
        <v>25146.538461538461</v>
      </c>
      <c r="D5" s="103">
        <f t="shared" ref="D5:E5" si="1">D4/2.6</f>
        <v>64242.307692307688</v>
      </c>
      <c r="E5" s="103">
        <f t="shared" si="1"/>
        <v>291609.23076923075</v>
      </c>
      <c r="F5" s="104">
        <f>F4/2.6</f>
        <v>384450</v>
      </c>
      <c r="H5" s="365"/>
      <c r="I5" s="105"/>
      <c r="J5" s="98"/>
      <c r="K5" s="99"/>
      <c r="L5" s="100">
        <v>21</v>
      </c>
      <c r="M5" s="101">
        <v>8330</v>
      </c>
      <c r="N5" s="101">
        <v>14350</v>
      </c>
      <c r="O5" s="102">
        <v>66657</v>
      </c>
      <c r="P5" s="99"/>
      <c r="Q5" s="98">
        <f>I27</f>
        <v>73.856209150326805</v>
      </c>
      <c r="T5" s="335" t="s">
        <v>48</v>
      </c>
      <c r="U5" s="325"/>
      <c r="V5" s="325"/>
      <c r="W5" s="325"/>
      <c r="X5" s="326"/>
      <c r="Y5" s="325"/>
      <c r="Z5" s="326"/>
    </row>
    <row r="6" spans="1:26" ht="20.100000000000001" customHeight="1" thickBot="1">
      <c r="A6" s="133" t="s">
        <v>48</v>
      </c>
      <c r="B6" s="134" t="s">
        <v>49</v>
      </c>
      <c r="C6" s="275">
        <f>U6</f>
        <v>0.08</v>
      </c>
      <c r="D6" s="275">
        <f t="shared" ref="D6:E12" si="2">V6</f>
        <v>8.5999999999999993E-2</v>
      </c>
      <c r="E6" s="275">
        <f t="shared" si="2"/>
        <v>0.10100000000000001</v>
      </c>
      <c r="F6" s="275">
        <f>Y6</f>
        <v>0.108</v>
      </c>
      <c r="H6" s="365"/>
      <c r="I6" s="105">
        <f t="shared" ref="I6:I28" si="3">F6/E6*100</f>
        <v>106.93069306930691</v>
      </c>
      <c r="J6" s="98"/>
      <c r="K6" s="99"/>
      <c r="L6" s="100">
        <v>29.5</v>
      </c>
      <c r="M6" s="101">
        <v>11534</v>
      </c>
      <c r="N6" s="101">
        <v>22711</v>
      </c>
      <c r="O6" s="102">
        <v>104285</v>
      </c>
      <c r="P6" s="99"/>
      <c r="Q6" s="98">
        <f>I26</f>
        <v>142.05607476635512</v>
      </c>
      <c r="T6" s="320" t="s">
        <v>49</v>
      </c>
      <c r="U6" s="327">
        <v>0.08</v>
      </c>
      <c r="V6" s="327">
        <v>8.5999999999999993E-2</v>
      </c>
      <c r="W6" s="327">
        <v>0.10100000000000001</v>
      </c>
      <c r="X6" s="328">
        <v>0.11799999999999999</v>
      </c>
      <c r="Y6" s="327">
        <v>0.108</v>
      </c>
      <c r="Z6" s="323">
        <v>91</v>
      </c>
    </row>
    <row r="7" spans="1:26" ht="20.100000000000001" customHeight="1" thickBot="1">
      <c r="A7" s="135"/>
      <c r="B7" s="134" t="s">
        <v>50</v>
      </c>
      <c r="C7" s="275">
        <f t="shared" ref="C7:C11" si="4">U7</f>
        <v>0.08</v>
      </c>
      <c r="D7" s="275">
        <f t="shared" si="2"/>
        <v>9.1999999999999998E-2</v>
      </c>
      <c r="E7" s="275">
        <f t="shared" si="2"/>
        <v>0.13400000000000001</v>
      </c>
      <c r="F7" s="275">
        <f t="shared" ref="F7:F12" si="5">Y7</f>
        <v>0.156</v>
      </c>
      <c r="H7" s="365"/>
      <c r="I7" s="105">
        <f t="shared" si="3"/>
        <v>116.4179104477612</v>
      </c>
      <c r="J7" s="98"/>
      <c r="K7" s="99"/>
      <c r="L7" s="100">
        <v>39.5</v>
      </c>
      <c r="M7" s="101">
        <v>10046</v>
      </c>
      <c r="N7" s="101">
        <v>18643</v>
      </c>
      <c r="O7" s="102">
        <v>77151</v>
      </c>
      <c r="P7" s="99"/>
      <c r="Q7" s="98">
        <f>I25</f>
        <v>166.66666666666666</v>
      </c>
      <c r="T7" s="324" t="s">
        <v>50</v>
      </c>
      <c r="U7" s="329">
        <v>0.08</v>
      </c>
      <c r="V7" s="329">
        <v>9.1999999999999998E-2</v>
      </c>
      <c r="W7" s="329">
        <v>0.13400000000000001</v>
      </c>
      <c r="X7" s="330">
        <v>0.191</v>
      </c>
      <c r="Y7" s="329">
        <v>0.156</v>
      </c>
      <c r="Z7" s="326">
        <v>81</v>
      </c>
    </row>
    <row r="8" spans="1:26" ht="20.100000000000001" customHeight="1" thickBot="1">
      <c r="A8" s="135"/>
      <c r="B8" s="134" t="s">
        <v>51</v>
      </c>
      <c r="C8" s="275">
        <f t="shared" si="4"/>
        <v>0.125</v>
      </c>
      <c r="D8" s="275">
        <f t="shared" si="2"/>
        <v>0.13300000000000001</v>
      </c>
      <c r="E8" s="275">
        <f t="shared" si="2"/>
        <v>0.14499999999999999</v>
      </c>
      <c r="F8" s="275">
        <f t="shared" si="5"/>
        <v>0.16</v>
      </c>
      <c r="H8" s="365"/>
      <c r="I8" s="105">
        <f t="shared" si="3"/>
        <v>110.34482758620692</v>
      </c>
      <c r="J8" s="98"/>
      <c r="K8" s="99"/>
      <c r="L8" s="100">
        <v>49.5</v>
      </c>
      <c r="M8" s="101">
        <v>8813</v>
      </c>
      <c r="N8" s="101">
        <v>16516</v>
      </c>
      <c r="O8" s="102">
        <v>66021</v>
      </c>
      <c r="P8" s="99"/>
      <c r="Q8" s="98">
        <f>I24</f>
        <v>93.859649122807014</v>
      </c>
      <c r="T8" s="320" t="s">
        <v>51</v>
      </c>
      <c r="U8" s="327">
        <v>0.125</v>
      </c>
      <c r="V8" s="327">
        <v>0.13300000000000001</v>
      </c>
      <c r="W8" s="327">
        <v>0.14499999999999999</v>
      </c>
      <c r="X8" s="328">
        <v>0.17299999999999999</v>
      </c>
      <c r="Y8" s="327">
        <v>0.16</v>
      </c>
      <c r="Z8" s="323">
        <v>92</v>
      </c>
    </row>
    <row r="9" spans="1:26" ht="20.100000000000001" customHeight="1" thickBot="1">
      <c r="A9" s="135"/>
      <c r="B9" s="134" t="s">
        <v>52</v>
      </c>
      <c r="C9" s="275">
        <f t="shared" si="4"/>
        <v>0.183</v>
      </c>
      <c r="D9" s="275">
        <f t="shared" si="2"/>
        <v>0.182</v>
      </c>
      <c r="E9" s="275">
        <f t="shared" si="2"/>
        <v>0.16700000000000001</v>
      </c>
      <c r="F9" s="275">
        <f t="shared" si="5"/>
        <v>0.16200000000000001</v>
      </c>
      <c r="H9" s="365"/>
      <c r="I9" s="105">
        <f t="shared" si="3"/>
        <v>97.005988023952099</v>
      </c>
      <c r="J9" s="98"/>
      <c r="K9" s="99"/>
      <c r="L9" s="100">
        <v>59.5</v>
      </c>
      <c r="M9" s="101">
        <v>9369</v>
      </c>
      <c r="N9" s="101">
        <v>17566</v>
      </c>
      <c r="O9" s="102">
        <v>67065</v>
      </c>
      <c r="P9" s="99"/>
      <c r="Q9" s="98">
        <f>I23</f>
        <v>95.094339622641513</v>
      </c>
      <c r="T9" s="324" t="s">
        <v>52</v>
      </c>
      <c r="U9" s="329">
        <v>0.183</v>
      </c>
      <c r="V9" s="329">
        <v>0.182</v>
      </c>
      <c r="W9" s="329">
        <v>0.16700000000000001</v>
      </c>
      <c r="X9" s="330">
        <v>0.16500000000000001</v>
      </c>
      <c r="Y9" s="329">
        <v>0.16200000000000001</v>
      </c>
      <c r="Z9" s="326">
        <v>98</v>
      </c>
    </row>
    <row r="10" spans="1:26" ht="20.100000000000001" customHeight="1" thickBot="1">
      <c r="A10" s="135"/>
      <c r="B10" s="134" t="s">
        <v>53</v>
      </c>
      <c r="C10" s="275">
        <f t="shared" si="4"/>
        <v>0.20499999999999999</v>
      </c>
      <c r="D10" s="275">
        <f t="shared" si="2"/>
        <v>0.20100000000000001</v>
      </c>
      <c r="E10" s="275">
        <f t="shared" si="2"/>
        <v>0.187</v>
      </c>
      <c r="F10" s="275">
        <f t="shared" si="5"/>
        <v>0.17299999999999999</v>
      </c>
      <c r="H10" s="365"/>
      <c r="I10" s="105">
        <f t="shared" si="3"/>
        <v>92.513368983957207</v>
      </c>
      <c r="J10" s="98"/>
      <c r="K10" s="99"/>
      <c r="L10" s="100">
        <v>70</v>
      </c>
      <c r="M10" s="101">
        <v>12545</v>
      </c>
      <c r="N10" s="101">
        <v>22742</v>
      </c>
      <c r="O10" s="102">
        <v>77404</v>
      </c>
      <c r="P10" s="99"/>
      <c r="Q10" s="98">
        <f>I22</f>
        <v>100</v>
      </c>
      <c r="T10" s="320" t="s">
        <v>53</v>
      </c>
      <c r="U10" s="327">
        <v>0.20499999999999999</v>
      </c>
      <c r="V10" s="327">
        <v>0.20100000000000001</v>
      </c>
      <c r="W10" s="327">
        <v>0.187</v>
      </c>
      <c r="X10" s="328">
        <v>0.16300000000000001</v>
      </c>
      <c r="Y10" s="327">
        <v>0.17299999999999999</v>
      </c>
      <c r="Z10" s="323">
        <v>106</v>
      </c>
    </row>
    <row r="11" spans="1:26" ht="20.100000000000001" customHeight="1" thickBot="1">
      <c r="A11" s="135"/>
      <c r="B11" s="134" t="s">
        <v>54</v>
      </c>
      <c r="C11" s="275">
        <f t="shared" si="4"/>
        <v>0.32700000000000001</v>
      </c>
      <c r="D11" s="275">
        <f t="shared" si="2"/>
        <v>0.30599999999999999</v>
      </c>
      <c r="E11" s="275">
        <f t="shared" si="2"/>
        <v>0.26700000000000002</v>
      </c>
      <c r="F11" s="275">
        <f t="shared" si="5"/>
        <v>0.24099999999999999</v>
      </c>
      <c r="H11" s="365"/>
      <c r="I11" s="105">
        <f t="shared" si="3"/>
        <v>90.26217228464418</v>
      </c>
      <c r="J11" s="98"/>
      <c r="K11" s="99"/>
      <c r="L11" s="100"/>
      <c r="M11" s="101">
        <f>(M5*$L$5)+(M6*$L$6)+(M7*$L$7)+(M8*$L$8)+(M9*$L$9)+(M10*$L$10)</f>
        <v>2783849</v>
      </c>
      <c r="N11" s="101">
        <f>(N5*$L$5)+(N6*$L$6)+(N7*$L$7)+(N8*$L$8)+(N9*$L$9)+(N10*$L$10)</f>
        <v>5162382</v>
      </c>
      <c r="O11" s="102">
        <f>(O5*$L$5)+(O6*$L$6)+(O7*$L$7)+(O8*$L$8)+(O9*$L$9)+(O10*$L$10)</f>
        <v>20200356</v>
      </c>
      <c r="P11" s="99"/>
      <c r="Q11" s="98">
        <f>I21</f>
        <v>101.49999999999999</v>
      </c>
      <c r="T11" s="324" t="s">
        <v>362</v>
      </c>
      <c r="U11" s="329">
        <v>0.32700000000000001</v>
      </c>
      <c r="V11" s="329">
        <v>0.30599999999999999</v>
      </c>
      <c r="W11" s="329">
        <v>0.26700000000000002</v>
      </c>
      <c r="X11" s="330">
        <v>0.191</v>
      </c>
      <c r="Y11" s="329">
        <v>0.24099999999999999</v>
      </c>
      <c r="Z11" s="326">
        <v>126</v>
      </c>
    </row>
    <row r="12" spans="1:26" ht="20.100000000000001" customHeight="1" thickBot="1">
      <c r="A12" s="135"/>
      <c r="B12" s="134" t="s">
        <v>30</v>
      </c>
      <c r="C12" s="313">
        <f>U12</f>
        <v>53.4</v>
      </c>
      <c r="D12" s="314">
        <f t="shared" si="2"/>
        <v>52.5</v>
      </c>
      <c r="E12" s="313">
        <f t="shared" si="2"/>
        <v>50.2</v>
      </c>
      <c r="F12" s="313">
        <f t="shared" si="5"/>
        <v>47.1</v>
      </c>
      <c r="H12" s="365"/>
      <c r="I12" s="105">
        <f t="shared" si="3"/>
        <v>93.82470119521912</v>
      </c>
      <c r="J12" s="98"/>
      <c r="K12" s="99" t="s">
        <v>55</v>
      </c>
      <c r="L12" s="106"/>
      <c r="M12" s="107">
        <f>SUM(M5:M10)</f>
        <v>60637</v>
      </c>
      <c r="N12" s="107">
        <f>SUM(N5:N10)</f>
        <v>112528</v>
      </c>
      <c r="O12" s="107">
        <f>SUM(O5:O10)</f>
        <v>458583</v>
      </c>
      <c r="P12" s="99"/>
      <c r="Q12" s="98">
        <f>I20</f>
        <v>104.58715596330275</v>
      </c>
      <c r="T12" s="320" t="s">
        <v>30</v>
      </c>
      <c r="U12" s="336">
        <v>53.4</v>
      </c>
      <c r="V12" s="336">
        <v>52.5</v>
      </c>
      <c r="W12" s="336">
        <v>50.2</v>
      </c>
      <c r="X12" s="323">
        <v>46.5</v>
      </c>
      <c r="Y12" s="336">
        <v>47.1</v>
      </c>
      <c r="Z12" s="323">
        <v>101</v>
      </c>
    </row>
    <row r="13" spans="1:26" ht="20.100000000000001" customHeight="1" thickBot="1">
      <c r="A13" s="132" t="s">
        <v>56</v>
      </c>
      <c r="B13" s="136" t="s">
        <v>57</v>
      </c>
      <c r="C13" s="275">
        <f>U14</f>
        <v>0.189</v>
      </c>
      <c r="D13" s="275">
        <f t="shared" ref="D13:E18" si="6">V14</f>
        <v>0.192</v>
      </c>
      <c r="E13" s="275">
        <f t="shared" si="6"/>
        <v>0.26900000000000002</v>
      </c>
      <c r="F13" s="275">
        <f>Y14</f>
        <v>0.22</v>
      </c>
      <c r="H13" s="365"/>
      <c r="I13" s="105">
        <f t="shared" si="3"/>
        <v>81.784386617100367</v>
      </c>
      <c r="J13" s="98"/>
      <c r="K13" s="360"/>
      <c r="L13" s="360"/>
      <c r="M13" s="360"/>
      <c r="N13" s="360"/>
      <c r="O13" s="360"/>
      <c r="P13" s="360"/>
      <c r="Q13" s="98">
        <f>I19</f>
        <v>106.5625</v>
      </c>
      <c r="T13" s="335" t="s">
        <v>363</v>
      </c>
      <c r="U13" s="325"/>
      <c r="V13" s="325"/>
      <c r="W13" s="325"/>
      <c r="X13" s="326"/>
      <c r="Y13" s="325"/>
      <c r="Z13" s="326"/>
    </row>
    <row r="14" spans="1:26" ht="20.100000000000001" customHeight="1" thickBot="1">
      <c r="A14" s="137"/>
      <c r="B14" s="136" t="s">
        <v>58</v>
      </c>
      <c r="C14" s="275">
        <f t="shared" ref="C14:C17" si="7">U15</f>
        <v>8.5000000000000006E-2</v>
      </c>
      <c r="D14" s="275">
        <f t="shared" si="6"/>
        <v>9.6000000000000002E-2</v>
      </c>
      <c r="E14" s="275">
        <f t="shared" si="6"/>
        <v>0.13600000000000001</v>
      </c>
      <c r="F14" s="275">
        <f t="shared" ref="F14:F17" si="8">Y15</f>
        <v>0.124</v>
      </c>
      <c r="H14" s="365"/>
      <c r="I14" s="105">
        <f t="shared" si="3"/>
        <v>91.17647058823529</v>
      </c>
      <c r="J14" s="98"/>
      <c r="K14" s="360"/>
      <c r="L14" s="360"/>
      <c r="M14" s="360"/>
      <c r="N14" s="360"/>
      <c r="O14" s="360"/>
      <c r="P14" s="360"/>
      <c r="Q14" s="98">
        <f>I18</f>
        <v>89.147533498896621</v>
      </c>
      <c r="T14" s="320" t="s">
        <v>364</v>
      </c>
      <c r="U14" s="327">
        <v>0.189</v>
      </c>
      <c r="V14" s="327">
        <v>0.192</v>
      </c>
      <c r="W14" s="327">
        <v>0.26900000000000002</v>
      </c>
      <c r="X14" s="328">
        <v>0.35899999999999999</v>
      </c>
      <c r="Y14" s="327">
        <v>0.22</v>
      </c>
      <c r="Z14" s="323">
        <v>61</v>
      </c>
    </row>
    <row r="15" spans="1:26" ht="20.100000000000001" customHeight="1" thickBot="1">
      <c r="A15" s="137"/>
      <c r="B15" s="136" t="s">
        <v>59</v>
      </c>
      <c r="C15" s="275">
        <f t="shared" si="7"/>
        <v>8.3000000000000004E-2</v>
      </c>
      <c r="D15" s="275">
        <f t="shared" si="6"/>
        <v>8.5000000000000006E-2</v>
      </c>
      <c r="E15" s="275">
        <f t="shared" si="6"/>
        <v>0.11899999999999999</v>
      </c>
      <c r="F15" s="275">
        <f t="shared" si="8"/>
        <v>0.114</v>
      </c>
      <c r="H15" s="365"/>
      <c r="I15" s="105">
        <f t="shared" si="3"/>
        <v>95.798319327731093</v>
      </c>
      <c r="J15" s="98"/>
      <c r="K15" s="98"/>
      <c r="L15" s="108"/>
      <c r="M15" s="101"/>
      <c r="N15" s="101"/>
      <c r="O15" s="101"/>
      <c r="P15" s="98"/>
      <c r="Q15" s="98">
        <f>I17</f>
        <v>116.55629139072848</v>
      </c>
      <c r="T15" s="324" t="s">
        <v>58</v>
      </c>
      <c r="U15" s="329">
        <v>8.5000000000000006E-2</v>
      </c>
      <c r="V15" s="329">
        <v>9.6000000000000002E-2</v>
      </c>
      <c r="W15" s="329">
        <v>0.13600000000000001</v>
      </c>
      <c r="X15" s="330">
        <v>0.16600000000000001</v>
      </c>
      <c r="Y15" s="329">
        <v>0.124</v>
      </c>
      <c r="Z15" s="326">
        <v>74</v>
      </c>
    </row>
    <row r="16" spans="1:26" ht="20.100000000000001" customHeight="1" thickBot="1">
      <c r="A16" s="137"/>
      <c r="B16" s="136" t="s">
        <v>60</v>
      </c>
      <c r="C16" s="275">
        <f t="shared" si="7"/>
        <v>0.17</v>
      </c>
      <c r="D16" s="275">
        <f t="shared" si="6"/>
        <v>0.16300000000000001</v>
      </c>
      <c r="E16" s="275">
        <f t="shared" si="6"/>
        <v>0.17399999999999999</v>
      </c>
      <c r="F16" s="275">
        <f t="shared" si="8"/>
        <v>0.191</v>
      </c>
      <c r="H16" s="365"/>
      <c r="I16" s="105">
        <f t="shared" si="3"/>
        <v>109.77011494252875</v>
      </c>
      <c r="J16" s="98"/>
      <c r="K16" s="98"/>
      <c r="L16" s="108"/>
      <c r="M16" s="101"/>
      <c r="N16" s="101"/>
      <c r="O16" s="101"/>
      <c r="P16" s="98"/>
      <c r="Q16" s="98">
        <f>I16</f>
        <v>109.77011494252875</v>
      </c>
      <c r="T16" s="320" t="s">
        <v>261</v>
      </c>
      <c r="U16" s="327">
        <v>8.3000000000000004E-2</v>
      </c>
      <c r="V16" s="327">
        <v>8.5000000000000006E-2</v>
      </c>
      <c r="W16" s="327">
        <v>0.11899999999999999</v>
      </c>
      <c r="X16" s="328">
        <v>0.13100000000000001</v>
      </c>
      <c r="Y16" s="327">
        <v>0.114</v>
      </c>
      <c r="Z16" s="323">
        <v>87</v>
      </c>
    </row>
    <row r="17" spans="1:26" ht="20.100000000000001" customHeight="1" thickBot="1">
      <c r="A17" s="137"/>
      <c r="B17" s="136" t="s">
        <v>61</v>
      </c>
      <c r="C17" s="275">
        <f t="shared" si="7"/>
        <v>0.47399999999999998</v>
      </c>
      <c r="D17" s="275">
        <f t="shared" si="6"/>
        <v>0.46400000000000002</v>
      </c>
      <c r="E17" s="275">
        <f t="shared" si="6"/>
        <v>0.30199999999999999</v>
      </c>
      <c r="F17" s="275">
        <f t="shared" si="8"/>
        <v>0.35199999999999998</v>
      </c>
      <c r="H17" s="365"/>
      <c r="I17" s="105">
        <f t="shared" si="3"/>
        <v>116.55629139072848</v>
      </c>
      <c r="J17" s="98"/>
      <c r="K17" s="98"/>
      <c r="L17" s="108"/>
      <c r="M17" s="101"/>
      <c r="N17" s="101"/>
      <c r="O17" s="101"/>
      <c r="P17" s="98"/>
      <c r="Q17" s="98">
        <f>I15</f>
        <v>95.798319327731093</v>
      </c>
      <c r="T17" s="324" t="s">
        <v>60</v>
      </c>
      <c r="U17" s="329">
        <v>0.17</v>
      </c>
      <c r="V17" s="329">
        <v>0.16300000000000001</v>
      </c>
      <c r="W17" s="329">
        <v>0.17399999999999999</v>
      </c>
      <c r="X17" s="330">
        <v>0.16900000000000001</v>
      </c>
      <c r="Y17" s="329">
        <v>0.191</v>
      </c>
      <c r="Z17" s="326">
        <v>113</v>
      </c>
    </row>
    <row r="18" spans="1:26" ht="20.100000000000001" customHeight="1" thickBot="1">
      <c r="A18" s="137"/>
      <c r="B18" s="136" t="s">
        <v>24</v>
      </c>
      <c r="C18" s="277">
        <f>U19</f>
        <v>210445</v>
      </c>
      <c r="D18" s="277">
        <f t="shared" si="6"/>
        <v>208673</v>
      </c>
      <c r="E18" s="277">
        <f t="shared" si="6"/>
        <v>144557</v>
      </c>
      <c r="F18" s="277">
        <f>Y19</f>
        <v>128869</v>
      </c>
      <c r="H18" s="365"/>
      <c r="I18" s="105">
        <f t="shared" si="3"/>
        <v>89.147533498896621</v>
      </c>
      <c r="J18" s="98"/>
      <c r="K18" s="98"/>
      <c r="L18" s="108"/>
      <c r="M18" s="101"/>
      <c r="N18" s="101"/>
      <c r="O18" s="101"/>
      <c r="P18" s="98"/>
      <c r="Q18" s="98">
        <f>I14</f>
        <v>91.17647058823529</v>
      </c>
      <c r="T18" s="320" t="s">
        <v>365</v>
      </c>
      <c r="U18" s="327">
        <v>0.47399999999999998</v>
      </c>
      <c r="V18" s="327">
        <v>0.46400000000000002</v>
      </c>
      <c r="W18" s="327">
        <v>0.30199999999999999</v>
      </c>
      <c r="X18" s="328">
        <v>0.17399999999999999</v>
      </c>
      <c r="Y18" s="327">
        <v>0.35199999999999998</v>
      </c>
      <c r="Z18" s="323">
        <v>202</v>
      </c>
    </row>
    <row r="19" spans="1:26" ht="20.100000000000001" customHeight="1" thickBot="1">
      <c r="A19" s="361" t="s">
        <v>62</v>
      </c>
      <c r="B19" s="361"/>
      <c r="C19" s="276">
        <f>U21</f>
        <v>0.34499999999999997</v>
      </c>
      <c r="D19" s="276">
        <f t="shared" ref="D19:E19" si="9">V21</f>
        <v>0.35499999999999998</v>
      </c>
      <c r="E19" s="276">
        <f t="shared" si="9"/>
        <v>0.32</v>
      </c>
      <c r="F19" s="276">
        <f>Y21</f>
        <v>0.34100000000000003</v>
      </c>
      <c r="H19" s="365"/>
      <c r="I19" s="105">
        <f t="shared" si="3"/>
        <v>106.5625</v>
      </c>
      <c r="J19" s="98"/>
      <c r="K19" s="98"/>
      <c r="L19" s="108"/>
      <c r="M19" s="101"/>
      <c r="N19" s="101"/>
      <c r="O19" s="101"/>
      <c r="P19" s="98"/>
      <c r="Q19" s="98">
        <f>I13</f>
        <v>81.784386617100367</v>
      </c>
      <c r="T19" s="324" t="s">
        <v>262</v>
      </c>
      <c r="U19" s="337">
        <v>210445</v>
      </c>
      <c r="V19" s="337">
        <v>208673</v>
      </c>
      <c r="W19" s="337">
        <v>144557</v>
      </c>
      <c r="X19" s="338">
        <v>97963</v>
      </c>
      <c r="Y19" s="337">
        <v>128869</v>
      </c>
      <c r="Z19" s="326">
        <v>131</v>
      </c>
    </row>
    <row r="20" spans="1:26" ht="20.100000000000001" customHeight="1" thickBot="1">
      <c r="A20" s="132" t="s">
        <v>63</v>
      </c>
      <c r="B20" s="136" t="s">
        <v>64</v>
      </c>
      <c r="C20" s="276">
        <f>U23</f>
        <v>0.109</v>
      </c>
      <c r="D20" s="276">
        <f t="shared" ref="D20:E23" si="10">V23</f>
        <v>0.125</v>
      </c>
      <c r="E20" s="276">
        <f t="shared" si="10"/>
        <v>0.218</v>
      </c>
      <c r="F20" s="276">
        <f>Y23</f>
        <v>0.22800000000000001</v>
      </c>
      <c r="H20" s="365"/>
      <c r="I20" s="105">
        <f t="shared" si="3"/>
        <v>104.58715596330275</v>
      </c>
      <c r="J20" s="98"/>
      <c r="K20" s="98"/>
      <c r="L20" s="108"/>
      <c r="M20" s="101"/>
      <c r="N20" s="101"/>
      <c r="O20" s="101"/>
      <c r="P20" s="98"/>
      <c r="Q20" s="98">
        <f>I12</f>
        <v>93.82470119521912</v>
      </c>
      <c r="T20" s="334" t="s">
        <v>366</v>
      </c>
      <c r="U20" s="336"/>
      <c r="V20" s="336"/>
      <c r="W20" s="336"/>
      <c r="X20" s="323"/>
      <c r="Y20" s="336"/>
      <c r="Z20" s="323"/>
    </row>
    <row r="21" spans="1:26" ht="20.100000000000001" customHeight="1" thickBot="1">
      <c r="A21" s="137"/>
      <c r="B21" s="136" t="s">
        <v>65</v>
      </c>
      <c r="C21" s="276">
        <f t="shared" ref="C21:C23" si="11">U24</f>
        <v>0.14199999999999999</v>
      </c>
      <c r="D21" s="276">
        <f t="shared" si="10"/>
        <v>0.14099999999999999</v>
      </c>
      <c r="E21" s="276">
        <f t="shared" si="10"/>
        <v>0.2</v>
      </c>
      <c r="F21" s="276">
        <f t="shared" ref="F21:F23" si="12">Y24</f>
        <v>0.20300000000000001</v>
      </c>
      <c r="H21" s="365"/>
      <c r="I21" s="105">
        <f t="shared" si="3"/>
        <v>101.49999999999999</v>
      </c>
      <c r="J21" s="98"/>
      <c r="K21" s="98"/>
      <c r="L21" s="109"/>
      <c r="M21" s="110"/>
      <c r="N21" s="110"/>
      <c r="O21" s="110"/>
      <c r="P21" s="99"/>
      <c r="Q21" s="98">
        <f>I11</f>
        <v>90.26217228464418</v>
      </c>
      <c r="T21" s="324" t="s">
        <v>254</v>
      </c>
      <c r="U21" s="329">
        <v>0.34499999999999997</v>
      </c>
      <c r="V21" s="329">
        <v>0.35499999999999998</v>
      </c>
      <c r="W21" s="329">
        <v>0.32</v>
      </c>
      <c r="X21" s="330">
        <v>0.35</v>
      </c>
      <c r="Y21" s="329">
        <v>0.34100000000000003</v>
      </c>
      <c r="Z21" s="326">
        <v>97</v>
      </c>
    </row>
    <row r="22" spans="1:26" ht="20.100000000000001" customHeight="1" thickBot="1">
      <c r="A22" s="137"/>
      <c r="B22" s="136" t="s">
        <v>66</v>
      </c>
      <c r="C22" s="276">
        <f t="shared" si="11"/>
        <v>0.36499999999999999</v>
      </c>
      <c r="D22" s="276">
        <f t="shared" si="10"/>
        <v>0.36699999999999999</v>
      </c>
      <c r="E22" s="276">
        <f t="shared" si="10"/>
        <v>0.317</v>
      </c>
      <c r="F22" s="276">
        <f t="shared" si="12"/>
        <v>0.317</v>
      </c>
      <c r="H22" s="365"/>
      <c r="I22" s="105">
        <f t="shared" si="3"/>
        <v>100</v>
      </c>
      <c r="J22" s="98"/>
      <c r="K22" s="98"/>
      <c r="L22" s="109"/>
      <c r="M22" s="110" t="s">
        <v>42</v>
      </c>
      <c r="N22" s="110" t="s">
        <v>43</v>
      </c>
      <c r="O22" s="110" t="s">
        <v>44</v>
      </c>
      <c r="P22" s="99"/>
      <c r="Q22" s="98">
        <f>I10</f>
        <v>92.513368983957207</v>
      </c>
      <c r="T22" s="334" t="s">
        <v>63</v>
      </c>
      <c r="U22" s="336"/>
      <c r="V22" s="336"/>
      <c r="W22" s="336"/>
      <c r="X22" s="323"/>
      <c r="Y22" s="336"/>
      <c r="Z22" s="323"/>
    </row>
    <row r="23" spans="1:26" ht="20.100000000000001" customHeight="1" thickBot="1">
      <c r="A23" s="137"/>
      <c r="B23" s="136" t="s">
        <v>67</v>
      </c>
      <c r="C23" s="276">
        <f t="shared" si="11"/>
        <v>0.38400000000000001</v>
      </c>
      <c r="D23" s="276">
        <f t="shared" si="10"/>
        <v>0.36699999999999999</v>
      </c>
      <c r="E23" s="276">
        <f t="shared" si="10"/>
        <v>0.26500000000000001</v>
      </c>
      <c r="F23" s="276">
        <f t="shared" si="12"/>
        <v>0.252</v>
      </c>
      <c r="H23" s="365"/>
      <c r="I23" s="105">
        <f t="shared" si="3"/>
        <v>95.094339622641513</v>
      </c>
      <c r="J23" s="98"/>
      <c r="K23" s="98"/>
      <c r="L23" s="109"/>
      <c r="M23" s="111"/>
      <c r="N23" s="112"/>
      <c r="O23" s="113"/>
      <c r="P23" s="99"/>
      <c r="Q23" s="98">
        <f>I9</f>
        <v>97.005988023952099</v>
      </c>
      <c r="T23" s="324" t="s">
        <v>367</v>
      </c>
      <c r="U23" s="329">
        <v>0.109</v>
      </c>
      <c r="V23" s="329">
        <v>0.125</v>
      </c>
      <c r="W23" s="329">
        <v>0.218</v>
      </c>
      <c r="X23" s="330">
        <v>0.35</v>
      </c>
      <c r="Y23" s="329">
        <v>0.22800000000000001</v>
      </c>
      <c r="Z23" s="326">
        <v>65</v>
      </c>
    </row>
    <row r="24" spans="1:26" ht="20.100000000000001" customHeight="1" thickBot="1">
      <c r="A24" s="133" t="s">
        <v>68</v>
      </c>
      <c r="B24" s="134" t="s">
        <v>69</v>
      </c>
      <c r="C24" s="275">
        <f>U28</f>
        <v>0.84299999999999997</v>
      </c>
      <c r="D24" s="275">
        <f t="shared" ref="D24:E28" si="13">V28</f>
        <v>0.79500000000000004</v>
      </c>
      <c r="E24" s="275">
        <f t="shared" si="13"/>
        <v>0.68400000000000005</v>
      </c>
      <c r="F24" s="275">
        <f>Y28</f>
        <v>0.64200000000000002</v>
      </c>
      <c r="H24" s="365"/>
      <c r="I24" s="105">
        <f t="shared" si="3"/>
        <v>93.859649122807014</v>
      </c>
      <c r="J24" s="98"/>
      <c r="K24" s="98"/>
      <c r="L24" s="109"/>
      <c r="M24" s="114">
        <v>4667251.2</v>
      </c>
      <c r="N24" s="115">
        <v>8135305.2000000002</v>
      </c>
      <c r="O24" s="116">
        <v>30390437</v>
      </c>
      <c r="P24" s="99"/>
      <c r="Q24" s="98">
        <f>I8</f>
        <v>110.34482758620692</v>
      </c>
      <c r="T24" s="320" t="s">
        <v>65</v>
      </c>
      <c r="U24" s="327">
        <v>0.14199999999999999</v>
      </c>
      <c r="V24" s="327">
        <v>0.14099999999999999</v>
      </c>
      <c r="W24" s="327">
        <v>0.2</v>
      </c>
      <c r="X24" s="328">
        <v>0.26700000000000002</v>
      </c>
      <c r="Y24" s="327">
        <v>0.20300000000000001</v>
      </c>
      <c r="Z24" s="323">
        <v>76</v>
      </c>
    </row>
    <row r="25" spans="1:26" ht="20.100000000000001" customHeight="1" thickBot="1">
      <c r="A25" s="135"/>
      <c r="B25" s="134" t="s">
        <v>70</v>
      </c>
      <c r="C25" s="275">
        <f t="shared" ref="C25:C28" si="14">U29</f>
        <v>8.9999999999999993E-3</v>
      </c>
      <c r="D25" s="275">
        <f t="shared" si="13"/>
        <v>0.01</v>
      </c>
      <c r="E25" s="275">
        <f t="shared" si="13"/>
        <v>3.3000000000000002E-2</v>
      </c>
      <c r="F25" s="275">
        <f>Y29</f>
        <v>5.5E-2</v>
      </c>
      <c r="H25" s="365"/>
      <c r="I25" s="105">
        <f t="shared" si="3"/>
        <v>166.66666666666666</v>
      </c>
      <c r="J25" s="98"/>
      <c r="K25" s="98"/>
      <c r="L25" s="109"/>
      <c r="M25" s="117">
        <v>429878.39999999997</v>
      </c>
      <c r="N25" s="101">
        <v>937579.5</v>
      </c>
      <c r="O25" s="118">
        <v>6512236.5</v>
      </c>
      <c r="P25" s="99"/>
      <c r="Q25" s="98">
        <f>I7</f>
        <v>116.4179104477612</v>
      </c>
      <c r="T25" s="324" t="s">
        <v>66</v>
      </c>
      <c r="U25" s="329">
        <v>0.36499999999999999</v>
      </c>
      <c r="V25" s="329">
        <v>0.36699999999999999</v>
      </c>
      <c r="W25" s="329">
        <v>0.317</v>
      </c>
      <c r="X25" s="330">
        <v>0.23200000000000001</v>
      </c>
      <c r="Y25" s="329">
        <v>0.317</v>
      </c>
      <c r="Z25" s="326">
        <v>136</v>
      </c>
    </row>
    <row r="26" spans="1:26" ht="20.100000000000001" customHeight="1" thickBot="1">
      <c r="A26" s="135"/>
      <c r="B26" s="134" t="s">
        <v>71</v>
      </c>
      <c r="C26" s="275">
        <f t="shared" si="14"/>
        <v>0.06</v>
      </c>
      <c r="D26" s="275">
        <f t="shared" si="13"/>
        <v>7.3999999999999996E-2</v>
      </c>
      <c r="E26" s="275">
        <f t="shared" si="13"/>
        <v>0.107</v>
      </c>
      <c r="F26" s="275">
        <f t="shared" ref="F26:F28" si="15">Y30</f>
        <v>0.152</v>
      </c>
      <c r="H26" s="365"/>
      <c r="I26" s="105">
        <f>F26/E26*100</f>
        <v>142.05607476635512</v>
      </c>
      <c r="J26" s="98"/>
      <c r="K26" s="98"/>
      <c r="L26" s="109"/>
      <c r="M26" s="117">
        <v>2855620.8000000003</v>
      </c>
      <c r="N26" s="101">
        <v>5538931.2000000002</v>
      </c>
      <c r="O26" s="118">
        <v>34235757.600000001</v>
      </c>
      <c r="P26" s="99"/>
      <c r="Q26" s="98">
        <f>I6</f>
        <v>106.93069306930691</v>
      </c>
      <c r="T26" s="320" t="s">
        <v>263</v>
      </c>
      <c r="U26" s="327">
        <v>0.38400000000000001</v>
      </c>
      <c r="V26" s="327">
        <v>0.36699999999999999</v>
      </c>
      <c r="W26" s="327">
        <v>0.26500000000000001</v>
      </c>
      <c r="X26" s="328">
        <v>0.152</v>
      </c>
      <c r="Y26" s="327">
        <v>0.252</v>
      </c>
      <c r="Z26" s="323">
        <v>165</v>
      </c>
    </row>
    <row r="27" spans="1:26" ht="20.100000000000001" customHeight="1" thickBot="1">
      <c r="A27" s="135"/>
      <c r="B27" s="134" t="s">
        <v>72</v>
      </c>
      <c r="C27" s="275">
        <f t="shared" si="14"/>
        <v>7.3999999999999996E-2</v>
      </c>
      <c r="D27" s="275">
        <f t="shared" si="13"/>
        <v>0.105</v>
      </c>
      <c r="E27" s="275">
        <f t="shared" si="13"/>
        <v>0.153</v>
      </c>
      <c r="F27" s="275">
        <f t="shared" si="15"/>
        <v>0.113</v>
      </c>
      <c r="H27" s="365"/>
      <c r="I27" s="105">
        <f t="shared" si="3"/>
        <v>73.856209150326805</v>
      </c>
      <c r="J27" s="98"/>
      <c r="K27" s="98"/>
      <c r="L27" s="109"/>
      <c r="M27" s="117">
        <v>928844.4</v>
      </c>
      <c r="N27" s="101">
        <v>2120372.1</v>
      </c>
      <c r="O27" s="118">
        <v>4899682.7</v>
      </c>
      <c r="P27" s="99"/>
      <c r="Q27" s="98"/>
      <c r="T27" s="335" t="s">
        <v>68</v>
      </c>
      <c r="U27" s="325"/>
      <c r="V27" s="325"/>
      <c r="W27" s="325"/>
      <c r="X27" s="326"/>
      <c r="Y27" s="325"/>
      <c r="Z27" s="326"/>
    </row>
    <row r="28" spans="1:26" ht="20.100000000000001" customHeight="1" thickBot="1">
      <c r="A28" s="135"/>
      <c r="B28" s="134" t="s">
        <v>73</v>
      </c>
      <c r="C28" s="275">
        <f t="shared" si="14"/>
        <v>1.4999999999999999E-2</v>
      </c>
      <c r="D28" s="275">
        <f t="shared" si="13"/>
        <v>1.6E-2</v>
      </c>
      <c r="E28" s="275">
        <f t="shared" si="13"/>
        <v>2.3E-2</v>
      </c>
      <c r="F28" s="275">
        <f t="shared" si="15"/>
        <v>3.9E-2</v>
      </c>
      <c r="H28" s="366"/>
      <c r="I28" s="119">
        <f t="shared" si="3"/>
        <v>169.56521739130434</v>
      </c>
      <c r="J28" s="98"/>
      <c r="K28" s="98"/>
      <c r="L28" s="109"/>
      <c r="M28" s="117">
        <v>1650426</v>
      </c>
      <c r="N28" s="101">
        <v>3231043.1999999997</v>
      </c>
      <c r="O28" s="118">
        <v>20218943.800000001</v>
      </c>
      <c r="P28" s="99"/>
      <c r="Q28" s="98"/>
      <c r="T28" s="320" t="s">
        <v>264</v>
      </c>
      <c r="U28" s="327">
        <v>0.84299999999999997</v>
      </c>
      <c r="V28" s="327">
        <v>0.79500000000000004</v>
      </c>
      <c r="W28" s="327">
        <v>0.68400000000000005</v>
      </c>
      <c r="X28" s="328">
        <v>0.52</v>
      </c>
      <c r="Y28" s="327">
        <v>0.64200000000000002</v>
      </c>
      <c r="Z28" s="323">
        <v>123</v>
      </c>
    </row>
    <row r="29" spans="1:26" ht="15.75" customHeight="1" thickBot="1">
      <c r="C29" s="362" t="s">
        <v>74</v>
      </c>
      <c r="D29" s="362"/>
      <c r="E29" s="362"/>
      <c r="F29" s="362"/>
      <c r="L29" s="120"/>
      <c r="M29" s="121">
        <f>SUM(M24:M28)</f>
        <v>10532020.800000001</v>
      </c>
      <c r="N29" s="122">
        <f>SUM(N24:N28)</f>
        <v>19963231.199999999</v>
      </c>
      <c r="O29" s="123">
        <f>SUM(O24:O28)</f>
        <v>96257057.599999994</v>
      </c>
      <c r="P29" s="94"/>
      <c r="Q29" s="98"/>
      <c r="T29" s="324" t="s">
        <v>265</v>
      </c>
      <c r="U29" s="329">
        <v>8.9999999999999993E-3</v>
      </c>
      <c r="V29" s="329">
        <v>0.01</v>
      </c>
      <c r="W29" s="329">
        <v>3.3000000000000002E-2</v>
      </c>
      <c r="X29" s="330">
        <v>0.16200000000000001</v>
      </c>
      <c r="Y29" s="329">
        <v>5.5E-2</v>
      </c>
      <c r="Z29" s="326">
        <v>33</v>
      </c>
    </row>
    <row r="30" spans="1:26" ht="15" customHeight="1" thickBot="1">
      <c r="C30" s="362"/>
      <c r="D30" s="362"/>
      <c r="E30" s="362"/>
      <c r="F30" s="362"/>
      <c r="L30" s="363" t="s">
        <v>55</v>
      </c>
      <c r="M30" s="363"/>
      <c r="N30" s="363"/>
      <c r="O30" s="363"/>
      <c r="P30" s="363"/>
      <c r="T30" s="320" t="s">
        <v>266</v>
      </c>
      <c r="U30" s="327">
        <v>0.06</v>
      </c>
      <c r="V30" s="327">
        <v>7.3999999999999996E-2</v>
      </c>
      <c r="W30" s="327">
        <v>0.107</v>
      </c>
      <c r="X30" s="328">
        <v>0.22900000000000001</v>
      </c>
      <c r="Y30" s="327">
        <v>0.152</v>
      </c>
      <c r="Z30" s="323">
        <v>66</v>
      </c>
    </row>
    <row r="31" spans="1:26" ht="15" customHeight="1" thickBot="1">
      <c r="C31" s="362"/>
      <c r="D31" s="362"/>
      <c r="E31" s="362"/>
      <c r="F31" s="362"/>
      <c r="L31" s="363"/>
      <c r="M31" s="363"/>
      <c r="N31" s="363"/>
      <c r="O31" s="363"/>
      <c r="P31" s="363"/>
      <c r="T31" s="324" t="s">
        <v>72</v>
      </c>
      <c r="U31" s="329">
        <v>7.3999999999999996E-2</v>
      </c>
      <c r="V31" s="329">
        <v>0.105</v>
      </c>
      <c r="W31" s="329">
        <v>0.153</v>
      </c>
      <c r="X31" s="330">
        <v>7.0000000000000007E-2</v>
      </c>
      <c r="Y31" s="329">
        <v>0.113</v>
      </c>
      <c r="Z31" s="326">
        <v>161</v>
      </c>
    </row>
    <row r="32" spans="1:26" ht="15.75" thickBot="1">
      <c r="T32" s="339" t="s">
        <v>73</v>
      </c>
      <c r="U32" s="331">
        <v>1.4999999999999999E-2</v>
      </c>
      <c r="V32" s="331">
        <v>1.6E-2</v>
      </c>
      <c r="W32" s="331">
        <v>2.3E-2</v>
      </c>
      <c r="X32" s="332">
        <v>0.02</v>
      </c>
      <c r="Y32" s="331">
        <v>3.9E-2</v>
      </c>
      <c r="Z32" s="333"/>
    </row>
    <row r="37" spans="1:4" ht="35.25" customHeight="1">
      <c r="A37" s="349" t="str" cm="1">
        <f t="array" ref="A37">MileageDemosAIAnalysis(A3:F28)</f>
        <v>The Atlanta Botanical Garden boasts a strong representation of mature adults, high-income households, families with children, and educated individuals, reflecting its appeal among affluent, family-oriented, and scholarly segments within a ten-mile radius.</v>
      </c>
      <c r="B37" s="349"/>
      <c r="C37" s="349"/>
      <c r="D37" s="349"/>
    </row>
  </sheetData>
  <mergeCells count="11">
    <mergeCell ref="A37:D37"/>
    <mergeCell ref="T1:T2"/>
    <mergeCell ref="U1:X1"/>
    <mergeCell ref="Y1:Z1"/>
    <mergeCell ref="A3:B3"/>
    <mergeCell ref="A4:B4"/>
    <mergeCell ref="K13:P14"/>
    <mergeCell ref="A19:B19"/>
    <mergeCell ref="C29:F31"/>
    <mergeCell ref="L30:P31"/>
    <mergeCell ref="H4:H28"/>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E2B28-D9DA-463D-97F3-7088A133DE69}">
  <sheetPr codeName="Sheet6"/>
  <dimension ref="A1:AH58"/>
  <sheetViews>
    <sheetView topLeftCell="F1" workbookViewId="0">
      <selection activeCell="V31" sqref="V31"/>
    </sheetView>
  </sheetViews>
  <sheetFormatPr defaultColWidth="9.140625" defaultRowHeight="12.75"/>
  <cols>
    <col min="1" max="1" width="24.85546875" style="34" bestFit="1" customWidth="1"/>
    <col min="2" max="2" width="18.140625" style="34" customWidth="1"/>
    <col min="3" max="11" width="15.28515625" style="34" customWidth="1"/>
    <col min="12" max="12" width="14.140625" style="34" bestFit="1" customWidth="1"/>
    <col min="13" max="14" width="15.28515625" style="34" hidden="1" customWidth="1"/>
    <col min="15" max="15" width="15.28515625" style="34" customWidth="1"/>
    <col min="16" max="16" width="9.140625" style="34"/>
    <col min="17" max="17" width="4.85546875" style="34" bestFit="1" customWidth="1"/>
    <col min="18" max="20" width="9.140625" style="34"/>
    <col min="21" max="21" width="5.7109375" style="34" customWidth="1"/>
    <col min="22" max="16384" width="9.140625" style="34"/>
  </cols>
  <sheetData>
    <row r="1" spans="1:34" ht="76.5">
      <c r="A1" s="206" t="s">
        <v>31</v>
      </c>
      <c r="B1" s="207" t="str">
        <f>'[3]Visitor Draw Demographics - 12 '!$A$2</f>
        <v>Atlanta-Sandy Springs-Alpharetta, GA Metropolitan Statistical Area</v>
      </c>
      <c r="C1" s="207" t="str">
        <f>'[3]Visitor Draw Demographics - 12 '!$A$3</f>
        <v xml:space="preserve">Atlanta Botanical Garden - Atlanta, GA  </v>
      </c>
      <c r="D1" s="207" t="str">
        <f>'[3]Visitor Draw Demographics - 12 '!$A$4</f>
        <v>Atlanta Botanical Garden Gainesville - Gainesville, GA 30501</v>
      </c>
      <c r="E1" s="207" t="str">
        <f>'[3]Visitor Draw Demographics - 12 '!$A$5</f>
        <v>Avalon - Alpharetta, GA 30009</v>
      </c>
      <c r="F1" s="207" t="str">
        <f>'[3]Visitor Draw Demographics - 12 '!$A$6</f>
        <v>Fernbank Museum of Natural History - ATL, GA 30307</v>
      </c>
      <c r="G1" s="207" t="str">
        <f>'[3]Visitor Draw Demographics - 12 '!$A$7</f>
        <v>Gainesville Square - Gainesville, GA 30501</v>
      </c>
      <c r="H1" s="207" t="str">
        <f>'[3]Visitor Draw Demographics - 12 '!$A$8</f>
        <v>High Museum of Art - ATL, GA 30309</v>
      </c>
      <c r="I1" s="207" t="str">
        <f>'[3]Visitor Draw Demographics - 12 '!$A$9</f>
        <v>Krog Street Market - ATL, GA 30307</v>
      </c>
      <c r="J1" s="207" t="str">
        <f>'[3]Visitor Draw Demographics - 12 '!$A$10</f>
        <v>Lenox Square - ATL, GA 30326</v>
      </c>
      <c r="K1" s="207" t="str">
        <f>'[3]Visitor Draw Demographics - 12 '!$A$11</f>
        <v>Piedmont Park - ATL, GA 30309</v>
      </c>
      <c r="L1" s="208" t="str">
        <f>'[3]Visitor Draw Demographics - 12 '!$A$12</f>
        <v>Ponce City Market - ATL, GA 30308</v>
      </c>
      <c r="M1" s="207" t="s">
        <v>2560</v>
      </c>
      <c r="N1" s="208" t="s">
        <v>2561</v>
      </c>
      <c r="O1" s="209" t="str">
        <f>'[3]Visitor Draw Demographics - 12 '!$A$13</f>
        <v>The Works - Atlanta, GA, 30318</v>
      </c>
      <c r="P1" s="209" t="str">
        <f>'[3]Visitor Draw Demographics - 12 '!$A$14</f>
        <v>Westside Paper - Atlanta, GA 30318</v>
      </c>
      <c r="Q1" s="209"/>
    </row>
    <row r="2" spans="1:34" ht="15" customHeight="1">
      <c r="A2" s="210" t="s">
        <v>75</v>
      </c>
      <c r="B2" s="211"/>
      <c r="C2" s="211"/>
      <c r="D2" s="211"/>
      <c r="E2" s="211"/>
      <c r="F2" s="212"/>
      <c r="G2" s="211"/>
      <c r="H2" s="211"/>
      <c r="I2" s="211"/>
      <c r="J2" s="211"/>
      <c r="K2" s="212"/>
      <c r="L2" s="213"/>
      <c r="M2" s="212"/>
      <c r="N2" s="213"/>
      <c r="O2" s="214"/>
      <c r="P2" s="214"/>
      <c r="Q2" s="214"/>
      <c r="R2" s="34" t="s">
        <v>2555</v>
      </c>
      <c r="S2" s="370" t="str" cm="1">
        <f t="array" ref="S2">AIAnalysis(A1:P28)</f>
        <v>The Atlanta Botanical Garden in Atlanta, GA is a destination of choice for an older, affluent, and educated audience. With the average age of visitors being 46.1 and over 40% of the households having an income of $100,000 or more, it caters to a sophisticated demographic that appreciates its curated beauty and botanic exhibits. The Garden's appeal to families, with 35.1% of visitors having children, suggests an opportunity to further enhance its family-friendly offerings.</v>
      </c>
      <c r="T2" s="370"/>
      <c r="U2" s="370"/>
      <c r="V2" s="370"/>
      <c r="W2" s="370"/>
      <c r="X2" s="370"/>
      <c r="Y2" s="370"/>
      <c r="Z2" s="370"/>
      <c r="AA2" s="370"/>
    </row>
    <row r="3" spans="1:34" ht="15" customHeight="1">
      <c r="A3" s="215" t="s">
        <v>49</v>
      </c>
      <c r="B3" s="216">
        <f>'[3]Visitor Draw Demographics - 12 '!$B$2</f>
        <v>0.125</v>
      </c>
      <c r="C3" s="216">
        <f>'[3]Visitor Draw Demographics - 12 '!$B$3</f>
        <v>0.13200000000000001</v>
      </c>
      <c r="D3" s="216">
        <f>'[3]Visitor Draw Demographics - 12 '!$B$4</f>
        <v>0.113</v>
      </c>
      <c r="E3" s="216">
        <f>'[3]Visitor Draw Demographics - 12 '!$B$5</f>
        <v>0.11899999999999999</v>
      </c>
      <c r="F3" s="217">
        <f>'[3]Visitor Draw Demographics - 12 '!$B$6</f>
        <v>0.13100000000000001</v>
      </c>
      <c r="G3" s="216">
        <f>'[3]Visitor Draw Demographics - 12 '!$B$7</f>
        <v>0.13100000000000001</v>
      </c>
      <c r="H3" s="216">
        <f>'[3]Visitor Draw Demographics - 12 '!$B$8</f>
        <v>0.14399999999999999</v>
      </c>
      <c r="I3" s="216">
        <f>'[3]Visitor Draw Demographics - 12 '!$B$9</f>
        <v>0.14399999999999999</v>
      </c>
      <c r="J3" s="216">
        <f>'[3]Visitor Draw Demographics - 12 '!$B$10</f>
        <v>0.13800000000000001</v>
      </c>
      <c r="K3" s="217">
        <f>'[3]Visitor Draw Demographics - 12 '!$B$11</f>
        <v>0.14099999999999999</v>
      </c>
      <c r="L3" s="218">
        <f>'[3]Visitor Draw Demographics - 12 '!$B$12</f>
        <v>0.14599999999999999</v>
      </c>
      <c r="M3" s="217">
        <v>0.13500000000000001</v>
      </c>
      <c r="N3" s="218">
        <v>0.13800000000000001</v>
      </c>
      <c r="O3" s="219">
        <f>'[3]Visitor Draw Demographics - 12 '!$B$13/100</f>
        <v>1.3500000000000001E-3</v>
      </c>
      <c r="P3" s="219">
        <f>'[3]Visitor Draw Demographics - 12 '!$B$14/100</f>
        <v>1.3800000000000002E-3</v>
      </c>
      <c r="Q3" s="219"/>
      <c r="S3" s="370"/>
      <c r="T3" s="370"/>
      <c r="U3" s="370"/>
      <c r="V3" s="370"/>
      <c r="W3" s="370"/>
      <c r="X3" s="370"/>
      <c r="Y3" s="370"/>
      <c r="Z3" s="370"/>
      <c r="AA3" s="370"/>
    </row>
    <row r="4" spans="1:34" ht="12.75" customHeight="1">
      <c r="A4" s="220" t="s">
        <v>50</v>
      </c>
      <c r="B4" s="221">
        <f>'[3]Visitor Draw Demographics - 12 '!$C$2</f>
        <v>0.185</v>
      </c>
      <c r="C4" s="221">
        <f>'[3]Visitor Draw Demographics - 12 '!$C$3</f>
        <v>0.19400000000000001</v>
      </c>
      <c r="D4" s="221">
        <f>'[3]Visitor Draw Demographics - 12 '!$C$4</f>
        <v>0.17599999999999999</v>
      </c>
      <c r="E4" s="221">
        <f>'[3]Visitor Draw Demographics - 12 '!$C$5</f>
        <v>0.16400000000000001</v>
      </c>
      <c r="F4" s="221">
        <f>'[3]Visitor Draw Demographics - 12 '!$C$6</f>
        <v>0.187</v>
      </c>
      <c r="G4" s="221">
        <f>'[3]Visitor Draw Demographics - 12 '!$C$7</f>
        <v>0.183</v>
      </c>
      <c r="H4" s="221">
        <f>'[3]Visitor Draw Demographics - 12 '!$C$8</f>
        <v>0.20100000000000001</v>
      </c>
      <c r="I4" s="221">
        <f>'[3]Visitor Draw Demographics - 12 '!$C$9</f>
        <v>0.21299999999999999</v>
      </c>
      <c r="J4" s="221">
        <f>'[3]Visitor Draw Demographics - 12 '!$C$10</f>
        <v>0.20200000000000001</v>
      </c>
      <c r="K4" s="221">
        <f>'[3]Visitor Draw Demographics - 12 '!$C$11</f>
        <v>0.219</v>
      </c>
      <c r="L4" s="222">
        <f>'[3]Visitor Draw Demographics - 12 '!$C$12</f>
        <v>0.21099999999999999</v>
      </c>
      <c r="M4" s="221">
        <v>0.215</v>
      </c>
      <c r="N4" s="222">
        <v>0.247</v>
      </c>
      <c r="O4" s="223">
        <f>'[3]Visitor Draw Demographics - 12 '!$C$13/100</f>
        <v>2.15E-3</v>
      </c>
      <c r="P4" s="223">
        <f>'[3]Visitor Draw Demographics - 12 '!$C$14/100</f>
        <v>2.47E-3</v>
      </c>
      <c r="Q4" s="223"/>
      <c r="S4" s="370"/>
      <c r="T4" s="370"/>
      <c r="U4" s="370"/>
      <c r="V4" s="370"/>
      <c r="W4" s="370"/>
      <c r="X4" s="370"/>
      <c r="Y4" s="370"/>
      <c r="Z4" s="370"/>
      <c r="AA4" s="370"/>
    </row>
    <row r="5" spans="1:34">
      <c r="A5" s="215" t="s">
        <v>51</v>
      </c>
      <c r="B5" s="216">
        <f>'[3]Visitor Draw Demographics - 12 '!$D$2</f>
        <v>0.18</v>
      </c>
      <c r="C5" s="216">
        <f>'[3]Visitor Draw Demographics - 12 '!$D$3</f>
        <v>0.17599999999999999</v>
      </c>
      <c r="D5" s="216">
        <f>'[3]Visitor Draw Demographics - 12 '!$D$4</f>
        <v>0.17100000000000001</v>
      </c>
      <c r="E5" s="216">
        <f>'[3]Visitor Draw Demographics - 12 '!$D$5</f>
        <v>0.184</v>
      </c>
      <c r="F5" s="216">
        <f>'[3]Visitor Draw Demographics - 12 '!$D$6</f>
        <v>0.17799999999999999</v>
      </c>
      <c r="G5" s="216">
        <f>'[3]Visitor Draw Demographics - 12 '!$D$7</f>
        <v>0.17199999999999999</v>
      </c>
      <c r="H5" s="216">
        <f>'[3]Visitor Draw Demographics - 12 '!$D$8</f>
        <v>0.17499999999999999</v>
      </c>
      <c r="I5" s="216">
        <f>'[3]Visitor Draw Demographics - 12 '!$D$9</f>
        <v>0.18099999999999999</v>
      </c>
      <c r="J5" s="216">
        <f>'[3]Visitor Draw Demographics - 12 '!$D$10</f>
        <v>0.18</v>
      </c>
      <c r="K5" s="216">
        <f>'[3]Visitor Draw Demographics - 12 '!$D$11</f>
        <v>0.17799999999999999</v>
      </c>
      <c r="L5" s="224">
        <f>'[3]Visitor Draw Demographics - 12 '!$D$12</f>
        <v>0.17799999999999999</v>
      </c>
      <c r="M5" s="216">
        <v>0.186</v>
      </c>
      <c r="N5" s="224">
        <v>0.187</v>
      </c>
      <c r="O5" s="219">
        <f>'[3]Visitor Draw Demographics - 12 '!$D$13/100</f>
        <v>1.8599999999999999E-3</v>
      </c>
      <c r="P5" s="219">
        <f>'[3]Visitor Draw Demographics - 12 '!$D$14/100</f>
        <v>1.8699999999999999E-3</v>
      </c>
      <c r="Q5" s="219"/>
      <c r="S5" s="370"/>
      <c r="T5" s="370"/>
      <c r="U5" s="370"/>
      <c r="V5" s="370"/>
      <c r="W5" s="370"/>
      <c r="X5" s="370"/>
      <c r="Y5" s="370"/>
      <c r="Z5" s="370"/>
      <c r="AA5" s="370"/>
    </row>
    <row r="6" spans="1:34">
      <c r="A6" s="220" t="s">
        <v>52</v>
      </c>
      <c r="B6" s="221">
        <f>'[3]Visitor Draw Demographics - 12 '!$E$2</f>
        <v>0.17100000000000001</v>
      </c>
      <c r="C6" s="221">
        <f>'[3]Visitor Draw Demographics - 12 '!$E$3</f>
        <v>0.16400000000000001</v>
      </c>
      <c r="D6" s="221">
        <f>'[3]Visitor Draw Demographics - 12 '!$E$4</f>
        <v>0.17100000000000001</v>
      </c>
      <c r="E6" s="221">
        <f>'[3]Visitor Draw Demographics - 12 '!$E$5</f>
        <v>0.189</v>
      </c>
      <c r="F6" s="221">
        <f>'[3]Visitor Draw Demographics - 12 '!$E$6</f>
        <v>0.16700000000000001</v>
      </c>
      <c r="G6" s="221">
        <f>'[3]Visitor Draw Demographics - 12 '!$E$7</f>
        <v>0.159</v>
      </c>
      <c r="H6" s="221">
        <f>'[3]Visitor Draw Demographics - 12 '!$E$8</f>
        <v>0.159</v>
      </c>
      <c r="I6" s="221">
        <f>'[3]Visitor Draw Demographics - 12 '!$E$9</f>
        <v>0.157</v>
      </c>
      <c r="J6" s="221">
        <f>'[3]Visitor Draw Demographics - 12 '!$E$10</f>
        <v>0.161</v>
      </c>
      <c r="K6" s="221">
        <f>'[3]Visitor Draw Demographics - 12 '!$E$11</f>
        <v>0.154</v>
      </c>
      <c r="L6" s="222">
        <f>'[3]Visitor Draw Demographics - 12 '!$E$12</f>
        <v>0.158</v>
      </c>
      <c r="M6" s="221">
        <v>0.16</v>
      </c>
      <c r="N6" s="222">
        <v>0.157</v>
      </c>
      <c r="O6" s="223">
        <f>'[3]Visitor Draw Demographics - 12 '!$E$13/100</f>
        <v>1.6000000000000001E-3</v>
      </c>
      <c r="P6" s="223">
        <f>'[3]Visitor Draw Demographics - 12 '!$E$14/100</f>
        <v>1.57E-3</v>
      </c>
      <c r="Q6" s="223"/>
      <c r="S6" s="370"/>
      <c r="T6" s="370"/>
      <c r="U6" s="370"/>
      <c r="V6" s="370"/>
      <c r="W6" s="370"/>
      <c r="X6" s="370"/>
      <c r="Y6" s="370"/>
      <c r="Z6" s="370"/>
      <c r="AA6" s="370"/>
    </row>
    <row r="7" spans="1:34">
      <c r="A7" s="215" t="s">
        <v>53</v>
      </c>
      <c r="B7" s="216">
        <f>'[3]Visitor Draw Demographics - 12 '!$F$2</f>
        <v>0.154</v>
      </c>
      <c r="C7" s="216">
        <f>'[3]Visitor Draw Demographics - 12 '!$F$3</f>
        <v>0.153</v>
      </c>
      <c r="D7" s="216">
        <f>'[3]Visitor Draw Demographics - 12 '!$F$4</f>
        <v>0.16500000000000001</v>
      </c>
      <c r="E7" s="216">
        <f>'[3]Visitor Draw Demographics - 12 '!$F$5</f>
        <v>0.16800000000000001</v>
      </c>
      <c r="F7" s="216">
        <f>'[3]Visitor Draw Demographics - 12 '!$F$6</f>
        <v>0.156</v>
      </c>
      <c r="G7" s="216">
        <f>'[3]Visitor Draw Demographics - 12 '!$F$7</f>
        <v>0.155</v>
      </c>
      <c r="H7" s="216">
        <f>'[3]Visitor Draw Demographics - 12 '!$F$8</f>
        <v>0.14799999999999999</v>
      </c>
      <c r="I7" s="216">
        <f>'[3]Visitor Draw Demographics - 12 '!$F$9</f>
        <v>0.14199999999999999</v>
      </c>
      <c r="J7" s="216">
        <f>'[3]Visitor Draw Demographics - 12 '!$F$10</f>
        <v>0.14699999999999999</v>
      </c>
      <c r="K7" s="216">
        <f>'[3]Visitor Draw Demographics - 12 '!$F$11</f>
        <v>0.14199999999999999</v>
      </c>
      <c r="L7" s="224">
        <f>'[3]Visitor Draw Demographics - 12 '!$F$12</f>
        <v>0.14299999999999999</v>
      </c>
      <c r="M7" s="216">
        <v>0.14199999999999999</v>
      </c>
      <c r="N7" s="224">
        <v>0.13600000000000001</v>
      </c>
      <c r="O7" s="219">
        <f>'[3]Visitor Draw Demographics - 12 '!$F$13/100</f>
        <v>1.4199999999999998E-3</v>
      </c>
      <c r="P7" s="219">
        <f>'[3]Visitor Draw Demographics - 12 '!$F$14/100</f>
        <v>1.3600000000000001E-3</v>
      </c>
      <c r="Q7" s="219"/>
    </row>
    <row r="8" spans="1:34">
      <c r="A8" s="220" t="s">
        <v>54</v>
      </c>
      <c r="B8" s="221">
        <f>'[3]Visitor Draw Demographics - 12 '!$G$2</f>
        <v>0.184</v>
      </c>
      <c r="C8" s="221">
        <f>'[3]Visitor Draw Demographics - 12 '!$G$3</f>
        <v>0.18</v>
      </c>
      <c r="D8" s="221">
        <f>'[3]Visitor Draw Demographics - 12 '!$G$4</f>
        <v>0.20399999999999999</v>
      </c>
      <c r="E8" s="221">
        <f>'[3]Visitor Draw Demographics - 12 '!$G$5</f>
        <v>0.17599999999999999</v>
      </c>
      <c r="F8" s="221">
        <f>'[3]Visitor Draw Demographics - 12 '!$G$6</f>
        <v>0.182</v>
      </c>
      <c r="G8" s="221">
        <f>'[3]Visitor Draw Demographics - 12 '!$G$7</f>
        <v>0.19900000000000001</v>
      </c>
      <c r="H8" s="221">
        <f>'[3]Visitor Draw Demographics - 12 '!$G$8</f>
        <v>0.17399999999999999</v>
      </c>
      <c r="I8" s="221">
        <f>'[3]Visitor Draw Demographics - 12 '!$G$9</f>
        <v>0.16400000000000001</v>
      </c>
      <c r="J8" s="221">
        <f>'[3]Visitor Draw Demographics - 12 '!$G$10</f>
        <v>0.17100000000000001</v>
      </c>
      <c r="K8" s="221">
        <f>'[3]Visitor Draw Demographics - 12 '!$G$11</f>
        <v>0.16600000000000001</v>
      </c>
      <c r="L8" s="222">
        <f>'[3]Visitor Draw Demographics - 12 '!$G$12</f>
        <v>0.16500000000000001</v>
      </c>
      <c r="M8" s="221">
        <v>0.16200000000000001</v>
      </c>
      <c r="N8" s="222">
        <v>0.13600000000000001</v>
      </c>
      <c r="O8" s="223">
        <f>'[3]Visitor Draw Demographics - 12 '!$G$13/100</f>
        <v>1.6200000000000001E-3</v>
      </c>
      <c r="P8" s="223">
        <f>'[3]Visitor Draw Demographics - 12 '!$G$14/100</f>
        <v>1.3600000000000001E-3</v>
      </c>
      <c r="Q8" s="223"/>
    </row>
    <row r="9" spans="1:34">
      <c r="A9" s="215" t="s">
        <v>30</v>
      </c>
      <c r="B9" s="225">
        <f>'[3]Visitor Draw Demographics - 12 '!$H$2</f>
        <v>46.1</v>
      </c>
      <c r="C9" s="225">
        <f>'[3]Visitor Draw Demographics - 12 '!$H$3</f>
        <v>46</v>
      </c>
      <c r="D9" s="225">
        <f>'[3]Visitor Draw Demographics - 12 '!$H$4</f>
        <v>47.1</v>
      </c>
      <c r="E9" s="225">
        <f>'[3]Visitor Draw Demographics - 12 '!$H$5</f>
        <v>46.7</v>
      </c>
      <c r="F9" s="225">
        <f>'[3]Visitor Draw Demographics - 12 '!$H$6</f>
        <v>46</v>
      </c>
      <c r="G9" s="225">
        <f>'[3]Visitor Draw Demographics - 12 '!$H$7</f>
        <v>46.8</v>
      </c>
      <c r="H9" s="225">
        <f>'[3]Visitor Draw Demographics - 12 '!$H$8</f>
        <v>45.5</v>
      </c>
      <c r="I9" s="225">
        <f>'[3]Visitor Draw Demographics - 12 '!$H$9</f>
        <v>45.6</v>
      </c>
      <c r="J9" s="225">
        <f>'[3]Visitor Draw Demographics - 12 '!$H$10</f>
        <v>46.1</v>
      </c>
      <c r="K9" s="225">
        <f>'[3]Visitor Draw Demographics - 12 '!$H$11</f>
        <v>46</v>
      </c>
      <c r="L9" s="226">
        <f>'[3]Visitor Draw Demographics - 12 '!$H$12</f>
        <v>46</v>
      </c>
      <c r="M9" s="225">
        <v>45.6</v>
      </c>
      <c r="N9" s="226">
        <v>43.9</v>
      </c>
      <c r="O9" s="227">
        <f>'[3]Visitor Draw Demographics - 12 '!$H$13</f>
        <v>45.6</v>
      </c>
      <c r="P9" s="227">
        <f>'[3]Visitor Draw Demographics - 12 '!$H$14</f>
        <v>43.9</v>
      </c>
      <c r="Q9" s="227"/>
    </row>
    <row r="10" spans="1:34">
      <c r="A10" s="228" t="s">
        <v>76</v>
      </c>
      <c r="B10" s="229"/>
      <c r="C10" s="229"/>
      <c r="D10" s="229"/>
      <c r="E10" s="229"/>
      <c r="F10" s="229"/>
      <c r="G10" s="229"/>
      <c r="H10" s="229"/>
      <c r="I10" s="229"/>
      <c r="J10" s="229"/>
      <c r="K10" s="229"/>
      <c r="L10" s="230"/>
      <c r="M10" s="229"/>
      <c r="N10" s="230"/>
      <c r="O10" s="231"/>
      <c r="P10" s="231"/>
      <c r="Q10" s="231"/>
    </row>
    <row r="11" spans="1:34">
      <c r="A11" s="215" t="s">
        <v>57</v>
      </c>
      <c r="B11" s="216">
        <f>'[3]Visitor Draw Demographics - 12 '!$I$2</f>
        <v>0.25900000000000001</v>
      </c>
      <c r="C11" s="216">
        <f>'[3]Visitor Draw Demographics - 12 '!$I$3</f>
        <v>0.28299999999999997</v>
      </c>
      <c r="D11" s="216">
        <f>'[3]Visitor Draw Demographics - 12 '!$I$4</f>
        <v>0.29799999999999999</v>
      </c>
      <c r="E11" s="216">
        <f>'[3]Visitor Draw Demographics - 12 '!$I$5</f>
        <v>0.191</v>
      </c>
      <c r="F11" s="216">
        <f>'[3]Visitor Draw Demographics - 12 '!$I$6</f>
        <v>0.29699999999999999</v>
      </c>
      <c r="G11" s="216">
        <f>'[3]Visitor Draw Demographics - 12 '!$I$7</f>
        <v>0.36299999999999999</v>
      </c>
      <c r="H11" s="216">
        <f>'[3]Visitor Draw Demographics - 12 '!$I$8</f>
        <v>0.307</v>
      </c>
      <c r="I11" s="216">
        <f>'[3]Visitor Draw Demographics - 12 '!$I$9</f>
        <v>0.3</v>
      </c>
      <c r="J11" s="216">
        <f>'[3]Visitor Draw Demographics - 12 '!$I$10</f>
        <v>0.311</v>
      </c>
      <c r="K11" s="216">
        <f>'[3]Visitor Draw Demographics - 12 '!$I$11</f>
        <v>0.28999999999999998</v>
      </c>
      <c r="L11" s="224">
        <f>'[3]Visitor Draw Demographics - 12 '!$I$12</f>
        <v>0.30499999999999999</v>
      </c>
      <c r="M11" s="216">
        <v>0.29399999999999998</v>
      </c>
      <c r="N11" s="224">
        <v>0.438</v>
      </c>
      <c r="O11" s="219">
        <f>'[3]Visitor Draw Demographics - 12 '!$I$13/100</f>
        <v>2.9399999999999999E-3</v>
      </c>
      <c r="P11" s="219">
        <f>'[3]Visitor Draw Demographics - 12 '!$I$14/100</f>
        <v>4.3800000000000002E-3</v>
      </c>
      <c r="Q11" s="219"/>
    </row>
    <row r="12" spans="1:34" ht="13.5" thickBot="1">
      <c r="A12" s="220" t="s">
        <v>77</v>
      </c>
      <c r="B12" s="221">
        <f>'[3]Visitor Draw Demographics - 12 '!$J$2</f>
        <v>0.156</v>
      </c>
      <c r="C12" s="221">
        <f>'[3]Visitor Draw Demographics - 12 '!$J$3</f>
        <v>0.155</v>
      </c>
      <c r="D12" s="221">
        <f>'[3]Visitor Draw Demographics - 12 '!$J$4</f>
        <v>0.16400000000000001</v>
      </c>
      <c r="E12" s="221">
        <f>'[3]Visitor Draw Demographics - 12 '!$J$5</f>
        <v>0.123</v>
      </c>
      <c r="F12" s="221">
        <f>'[3]Visitor Draw Demographics - 12 '!$J$6</f>
        <v>0.156</v>
      </c>
      <c r="G12" s="221">
        <f>'[3]Visitor Draw Demographics - 12 '!$J$7</f>
        <v>0.17599999999999999</v>
      </c>
      <c r="H12" s="221">
        <f>'[3]Visitor Draw Demographics - 12 '!$J$8</f>
        <v>0.15</v>
      </c>
      <c r="I12" s="221">
        <f>'[3]Visitor Draw Demographics - 12 '!$J$9</f>
        <v>0.152</v>
      </c>
      <c r="J12" s="221">
        <f>'[3]Visitor Draw Demographics - 12 '!$J$10</f>
        <v>0.158</v>
      </c>
      <c r="K12" s="221">
        <f>'[3]Visitor Draw Demographics - 12 '!$J$11</f>
        <v>0.151</v>
      </c>
      <c r="L12" s="222">
        <f>'[3]Visitor Draw Demographics - 12 '!$J$12</f>
        <v>0.154</v>
      </c>
      <c r="M12" s="221">
        <v>0.16200000000000001</v>
      </c>
      <c r="N12" s="222">
        <v>0.14699999999999999</v>
      </c>
      <c r="O12" s="223">
        <f>'[3]Visitor Draw Demographics - 12 '!$J$13/100</f>
        <v>1.6200000000000001E-3</v>
      </c>
      <c r="P12" s="223">
        <f>'[3]Visitor Draw Demographics - 12 '!$J$14/100</f>
        <v>1.47E-3</v>
      </c>
      <c r="Q12" s="223"/>
    </row>
    <row r="13" spans="1:34">
      <c r="A13" s="215" t="s">
        <v>78</v>
      </c>
      <c r="B13" s="216">
        <f>'[3]Visitor Draw Demographics - 12 '!$K$2</f>
        <v>0.13400000000000001</v>
      </c>
      <c r="C13" s="216">
        <f>'[3]Visitor Draw Demographics - 12 '!$K$3</f>
        <v>0.14499999999999999</v>
      </c>
      <c r="D13" s="216">
        <f>'[3]Visitor Draw Demographics - 12 '!$K$4</f>
        <v>0.14499999999999999</v>
      </c>
      <c r="E13" s="216">
        <f>'[3]Visitor Draw Demographics - 12 '!$K$5</f>
        <v>0.126</v>
      </c>
      <c r="F13" s="216">
        <f>'[3]Visitor Draw Demographics - 12 '!$K$6</f>
        <v>0.14399999999999999</v>
      </c>
      <c r="G13" s="216">
        <f>'[3]Visitor Draw Demographics - 12 '!$K$7</f>
        <v>0.14599999999999999</v>
      </c>
      <c r="H13" s="216">
        <f>'[3]Visitor Draw Demographics - 12 '!$K$8</f>
        <v>0.13600000000000001</v>
      </c>
      <c r="I13" s="216">
        <f>'[3]Visitor Draw Demographics - 12 '!$K$9</f>
        <v>0.14000000000000001</v>
      </c>
      <c r="J13" s="216">
        <f>'[3]Visitor Draw Demographics - 12 '!$K$10</f>
        <v>0.13900000000000001</v>
      </c>
      <c r="K13" s="216">
        <f>'[3]Visitor Draw Demographics - 12 '!$K$11</f>
        <v>0.14000000000000001</v>
      </c>
      <c r="L13" s="224">
        <f>'[3]Visitor Draw Demographics - 12 '!$K$12</f>
        <v>0.14000000000000001</v>
      </c>
      <c r="M13" s="216">
        <v>0.14599999999999999</v>
      </c>
      <c r="N13" s="224">
        <v>0.19400000000000001</v>
      </c>
      <c r="O13" s="219">
        <f>'[3]Visitor Draw Demographics - 12 '!$K$13/100</f>
        <v>1.4599999999999999E-3</v>
      </c>
      <c r="P13" s="219">
        <f>'[3]Visitor Draw Demographics - 12 '!$K$14/100</f>
        <v>1.9400000000000001E-3</v>
      </c>
      <c r="Q13" s="219"/>
      <c r="Y13" s="232"/>
      <c r="Z13" s="233"/>
      <c r="AA13" s="233"/>
      <c r="AB13" s="233"/>
      <c r="AC13" s="233"/>
      <c r="AD13" s="233"/>
      <c r="AE13" s="233"/>
      <c r="AF13" s="233"/>
      <c r="AG13" s="233"/>
      <c r="AH13" s="234"/>
    </row>
    <row r="14" spans="1:34">
      <c r="A14" s="220" t="s">
        <v>79</v>
      </c>
      <c r="B14" s="221">
        <f>'[3]Visitor Draw Demographics - 12 '!$L$2</f>
        <v>0.19600000000000001</v>
      </c>
      <c r="C14" s="221">
        <f>'[3]Visitor Draw Demographics - 12 '!$L$3</f>
        <v>0.17699999999999999</v>
      </c>
      <c r="D14" s="221">
        <f>'[3]Visitor Draw Demographics - 12 '!$L$4</f>
        <v>0.193</v>
      </c>
      <c r="E14" s="221">
        <f>'[3]Visitor Draw Demographics - 12 '!$L$5</f>
        <v>0.193</v>
      </c>
      <c r="F14" s="221">
        <f>'[3]Visitor Draw Demographics - 12 '!$L$6</f>
        <v>0.17399999999999999</v>
      </c>
      <c r="G14" s="221">
        <f>'[3]Visitor Draw Demographics - 12 '!$L$7</f>
        <v>0.156</v>
      </c>
      <c r="H14" s="221">
        <f>'[3]Visitor Draw Demographics - 12 '!$L$8</f>
        <v>0.16700000000000001</v>
      </c>
      <c r="I14" s="221">
        <f>'[3]Visitor Draw Demographics - 12 '!$L$9</f>
        <v>0.17699999999999999</v>
      </c>
      <c r="J14" s="221">
        <f>'[3]Visitor Draw Demographics - 12 '!$L$10</f>
        <v>0.16800000000000001</v>
      </c>
      <c r="K14" s="221">
        <f>'[3]Visitor Draw Demographics - 12 '!$L$11</f>
        <v>0.17100000000000001</v>
      </c>
      <c r="L14" s="222">
        <f>'[3]Visitor Draw Demographics - 12 '!$L$12</f>
        <v>0.17899999999999999</v>
      </c>
      <c r="M14" s="221">
        <v>0.17499999999999999</v>
      </c>
      <c r="N14" s="222">
        <v>0.104</v>
      </c>
      <c r="O14" s="223">
        <f>'[3]Visitor Draw Demographics - 12 '!$L$13/100</f>
        <v>1.7499999999999998E-3</v>
      </c>
      <c r="P14" s="223">
        <f>'[3]Visitor Draw Demographics - 12 '!$L$14/100</f>
        <v>1.0399999999999999E-3</v>
      </c>
      <c r="Q14" s="223"/>
      <c r="Y14" s="235"/>
      <c r="Z14" s="236"/>
      <c r="AA14" s="236"/>
      <c r="AB14" s="236"/>
      <c r="AC14" s="236"/>
      <c r="AD14" s="236"/>
      <c r="AE14" s="236"/>
      <c r="AF14" s="236"/>
      <c r="AG14" s="236"/>
      <c r="AH14" s="237"/>
    </row>
    <row r="15" spans="1:34">
      <c r="A15" s="215" t="s">
        <v>61</v>
      </c>
      <c r="B15" s="216">
        <f>'[3]Visitor Draw Demographics - 12 '!$M$2</f>
        <v>0.255</v>
      </c>
      <c r="C15" s="216">
        <f>'[3]Visitor Draw Demographics - 12 '!$M$3</f>
        <v>0.24099999999999999</v>
      </c>
      <c r="D15" s="216">
        <f>'[3]Visitor Draw Demographics - 12 '!$M$4</f>
        <v>0.19900000000000001</v>
      </c>
      <c r="E15" s="216">
        <f>'[3]Visitor Draw Demographics - 12 '!$M$5</f>
        <v>0.36799999999999999</v>
      </c>
      <c r="F15" s="216">
        <f>'[3]Visitor Draw Demographics - 12 '!$M$6</f>
        <v>0.22900000000000001</v>
      </c>
      <c r="G15" s="216">
        <f>'[3]Visitor Draw Demographics - 12 '!$M$7</f>
        <v>0.159</v>
      </c>
      <c r="H15" s="216">
        <f>'[3]Visitor Draw Demographics - 12 '!$M$8</f>
        <v>0.24</v>
      </c>
      <c r="I15" s="216">
        <f>'[3]Visitor Draw Demographics - 12 '!$M$9</f>
        <v>0.23100000000000001</v>
      </c>
      <c r="J15" s="216">
        <f>'[3]Visitor Draw Demographics - 12 '!$M$10</f>
        <v>0.224</v>
      </c>
      <c r="K15" s="216">
        <f>'[3]Visitor Draw Demographics - 12 '!$M$11</f>
        <v>0.247</v>
      </c>
      <c r="L15" s="224">
        <f>'[3]Visitor Draw Demographics - 12 '!$M$12</f>
        <v>0.223</v>
      </c>
      <c r="M15" s="216">
        <v>0.223</v>
      </c>
      <c r="N15" s="224">
        <v>0.11799999999999999</v>
      </c>
      <c r="O15" s="219">
        <f>'[3]Visitor Draw Demographics - 12 '!$M$13/100</f>
        <v>2.2300000000000002E-3</v>
      </c>
      <c r="P15" s="219">
        <f>'[3]Visitor Draw Demographics - 12 '!$M$14/100</f>
        <v>1.1799999999999998E-3</v>
      </c>
      <c r="Q15" s="219"/>
      <c r="Y15" s="367" t="s">
        <v>80</v>
      </c>
      <c r="Z15" s="368"/>
      <c r="AA15" s="368"/>
      <c r="AB15" s="368"/>
      <c r="AC15" s="368"/>
      <c r="AD15" s="368"/>
      <c r="AE15" s="368"/>
      <c r="AF15" s="368"/>
      <c r="AG15" s="368"/>
      <c r="AH15" s="369"/>
    </row>
    <row r="16" spans="1:34">
      <c r="A16" s="220" t="s">
        <v>81</v>
      </c>
      <c r="B16" s="238">
        <f>'[3]Visitor Draw Demographics - 12 '!$N$2</f>
        <v>123829</v>
      </c>
      <c r="C16" s="238">
        <f>'[3]Visitor Draw Demographics - 12 '!$N$3</f>
        <v>114598</v>
      </c>
      <c r="D16" s="238">
        <f>'[3]Visitor Draw Demographics - 12 '!$N$4</f>
        <v>115367</v>
      </c>
      <c r="E16" s="238">
        <f>'[3]Visitor Draw Demographics - 12 '!$N$5</f>
        <v>116088</v>
      </c>
      <c r="F16" s="238">
        <f>'[3]Visitor Draw Demographics - 12 '!$N$6</f>
        <v>116752</v>
      </c>
      <c r="G16" s="238">
        <f>'[3]Visitor Draw Demographics - 12 '!$N$7</f>
        <v>102342</v>
      </c>
      <c r="H16" s="238">
        <f>'[3]Visitor Draw Demographics - 12 '!$N$8</f>
        <v>117704</v>
      </c>
      <c r="I16" s="238">
        <f>'[3]Visitor Draw Demographics - 12 '!$N$9</f>
        <v>115371</v>
      </c>
      <c r="J16" s="238">
        <f>'[3]Visitor Draw Demographics - 12 '!$N$10</f>
        <v>104759</v>
      </c>
      <c r="K16" s="238">
        <f>'[3]Visitor Draw Demographics - 12 '!$N$11</f>
        <v>106701</v>
      </c>
      <c r="L16" s="239">
        <f>'[3]Visitor Draw Demographics - 12 '!$N$12</f>
        <v>110458</v>
      </c>
      <c r="M16" s="238">
        <v>116954</v>
      </c>
      <c r="N16" s="239">
        <v>114268</v>
      </c>
      <c r="O16" s="240">
        <f>'[3]Visitor Draw Demographics - 12 '!$N$13</f>
        <v>116954</v>
      </c>
      <c r="P16" s="240">
        <f>'[3]Visitor Draw Demographics - 12 '!$N$14</f>
        <v>114268</v>
      </c>
      <c r="Q16" s="240"/>
      <c r="Y16" s="367"/>
      <c r="Z16" s="368"/>
      <c r="AA16" s="368"/>
      <c r="AB16" s="368"/>
      <c r="AC16" s="368"/>
      <c r="AD16" s="368"/>
      <c r="AE16" s="368"/>
      <c r="AF16" s="368"/>
      <c r="AG16" s="368"/>
      <c r="AH16" s="369"/>
    </row>
    <row r="17" spans="1:34">
      <c r="A17" s="241" t="s">
        <v>82</v>
      </c>
      <c r="B17" s="216">
        <f>'[3]Visitor Draw Demographics - 12 '!$O$2</f>
        <v>0.35099999999999998</v>
      </c>
      <c r="C17" s="216">
        <f>'[3]Visitor Draw Demographics - 12 '!$O$3</f>
        <v>0.33900000000000002</v>
      </c>
      <c r="D17" s="216">
        <f>'[3]Visitor Draw Demographics - 12 '!$O$4</f>
        <v>0.41</v>
      </c>
      <c r="E17" s="216">
        <f>'[3]Visitor Draw Demographics - 12 '!$O$5</f>
        <v>0.4</v>
      </c>
      <c r="F17" s="216">
        <f>'[3]Visitor Draw Demographics - 12 '!$O$6</f>
        <v>0.36299999999999999</v>
      </c>
      <c r="G17" s="216">
        <f>'[3]Visitor Draw Demographics - 12 '!$O$7</f>
        <v>0.39200000000000002</v>
      </c>
      <c r="H17" s="216">
        <f>'[3]Visitor Draw Demographics - 12 '!$O$8</f>
        <v>0.32600000000000001</v>
      </c>
      <c r="I17" s="216">
        <f>'[3]Visitor Draw Demographics - 12 '!$O$9</f>
        <v>0.32</v>
      </c>
      <c r="J17" s="216">
        <f>'[3]Visitor Draw Demographics - 12 '!$O$10</f>
        <v>0.34300000000000003</v>
      </c>
      <c r="K17" s="216">
        <f>'[3]Visitor Draw Demographics - 12 '!$O$11</f>
        <v>0.28699999999999998</v>
      </c>
      <c r="L17" s="224">
        <f>'[3]Visitor Draw Demographics - 12 '!$O$12</f>
        <v>0.32500000000000001</v>
      </c>
      <c r="M17" s="216">
        <v>0.32700000000000001</v>
      </c>
      <c r="N17" s="224">
        <v>0.34100000000000003</v>
      </c>
      <c r="O17" s="216">
        <f>[4]CompetitiveMarketPosition!$F15</f>
        <v>0.34950000000000003</v>
      </c>
      <c r="P17" s="216">
        <f>[4]CompetitiveMarketPosition!$F16</f>
        <v>0</v>
      </c>
      <c r="Q17" s="216"/>
      <c r="Y17" s="367"/>
      <c r="Z17" s="368"/>
      <c r="AA17" s="368"/>
      <c r="AB17" s="368"/>
      <c r="AC17" s="368"/>
      <c r="AD17" s="368"/>
      <c r="AE17" s="368"/>
      <c r="AF17" s="368"/>
      <c r="AG17" s="368"/>
      <c r="AH17" s="369"/>
    </row>
    <row r="18" spans="1:34">
      <c r="A18" s="228" t="s">
        <v>83</v>
      </c>
      <c r="B18" s="229"/>
      <c r="C18" s="229"/>
      <c r="D18" s="229"/>
      <c r="E18" s="229"/>
      <c r="F18" s="229"/>
      <c r="G18" s="229"/>
      <c r="H18" s="229"/>
      <c r="I18" s="229"/>
      <c r="J18" s="229"/>
      <c r="K18" s="229"/>
      <c r="L18" s="230"/>
      <c r="M18" s="229"/>
      <c r="N18" s="230"/>
      <c r="O18" s="231"/>
      <c r="P18" s="231"/>
      <c r="Q18" s="231"/>
      <c r="Y18" s="367"/>
      <c r="Z18" s="368"/>
      <c r="AA18" s="368"/>
      <c r="AB18" s="368"/>
      <c r="AC18" s="368"/>
      <c r="AD18" s="368"/>
      <c r="AE18" s="368"/>
      <c r="AF18" s="368"/>
      <c r="AG18" s="368"/>
      <c r="AH18" s="369"/>
    </row>
    <row r="19" spans="1:34">
      <c r="A19" s="215" t="s">
        <v>84</v>
      </c>
      <c r="B19" s="216">
        <f>'[3]Visitor Draw Demographics - 12 '!$P$2</f>
        <v>0.315</v>
      </c>
      <c r="C19" s="216">
        <f>'[3]Visitor Draw Demographics - 12 '!$P$3</f>
        <v>0.27500000000000002</v>
      </c>
      <c r="D19" s="216">
        <f>'[3]Visitor Draw Demographics - 12 '!$P$4</f>
        <v>0.38700000000000001</v>
      </c>
      <c r="E19" s="216">
        <f>'[3]Visitor Draw Demographics - 12 '!$P$5</f>
        <v>0.19900000000000001</v>
      </c>
      <c r="F19" s="216">
        <f>'[3]Visitor Draw Demographics - 12 '!$P$6</f>
        <v>0.29299999999999998</v>
      </c>
      <c r="G19" s="216">
        <f>'[3]Visitor Draw Demographics - 12 '!$P$7</f>
        <v>0.46700000000000003</v>
      </c>
      <c r="H19" s="216">
        <f>'[3]Visitor Draw Demographics - 12 '!$P$8</f>
        <v>0.27800000000000002</v>
      </c>
      <c r="I19" s="216">
        <f>'[3]Visitor Draw Demographics - 12 '!$P$9</f>
        <v>0.27</v>
      </c>
      <c r="J19" s="216">
        <f>'[3]Visitor Draw Demographics - 12 '!$P$10</f>
        <v>0.28899999999999998</v>
      </c>
      <c r="K19" s="216">
        <f>'[3]Visitor Draw Demographics - 12 '!$P$11</f>
        <v>0.25800000000000001</v>
      </c>
      <c r="L19" s="224">
        <f>'[3]Visitor Draw Demographics - 12 '!$P$12</f>
        <v>0.27600000000000002</v>
      </c>
      <c r="M19" s="216">
        <v>0.26700000000000002</v>
      </c>
      <c r="N19" s="224">
        <v>0.27900000000000003</v>
      </c>
      <c r="O19" s="219">
        <f>'[3]Visitor Draw Demographics - 12 '!$P$13/100</f>
        <v>2.6700000000000001E-3</v>
      </c>
      <c r="P19" s="219">
        <f>'[3]Visitor Draw Demographics - 12 '!$P$14/100</f>
        <v>2.7900000000000004E-3</v>
      </c>
      <c r="Q19" s="219"/>
      <c r="Y19" s="367"/>
      <c r="Z19" s="368"/>
      <c r="AA19" s="368"/>
      <c r="AB19" s="368"/>
      <c r="AC19" s="368"/>
      <c r="AD19" s="368"/>
      <c r="AE19" s="368"/>
      <c r="AF19" s="368"/>
      <c r="AG19" s="368"/>
      <c r="AH19" s="369"/>
    </row>
    <row r="20" spans="1:34">
      <c r="A20" s="220" t="s">
        <v>85</v>
      </c>
      <c r="B20" s="221">
        <f>'[3]Visitor Draw Demographics - 12 '!$Q$2</f>
        <v>0.25700000000000001</v>
      </c>
      <c r="C20" s="221">
        <f>'[3]Visitor Draw Demographics - 12 '!$Q$3</f>
        <v>0.24199999999999999</v>
      </c>
      <c r="D20" s="221">
        <f>'[3]Visitor Draw Demographics - 12 '!$Q$4</f>
        <v>0.26800000000000002</v>
      </c>
      <c r="E20" s="221">
        <f>'[3]Visitor Draw Demographics - 12 '!$Q$5</f>
        <v>0.20899999999999999</v>
      </c>
      <c r="F20" s="221">
        <f>'[3]Visitor Draw Demographics - 12 '!$Q$6</f>
        <v>0.251</v>
      </c>
      <c r="G20" s="221">
        <f>'[3]Visitor Draw Demographics - 12 '!$Q$7</f>
        <v>0.252</v>
      </c>
      <c r="H20" s="221">
        <f>'[3]Visitor Draw Demographics - 12 '!$Q$8</f>
        <v>0.23300000000000001</v>
      </c>
      <c r="I20" s="221">
        <f>'[3]Visitor Draw Demographics - 12 '!$Q$9</f>
        <v>0.23400000000000001</v>
      </c>
      <c r="J20" s="221">
        <f>'[3]Visitor Draw Demographics - 12 '!$Q$10</f>
        <v>0.245</v>
      </c>
      <c r="K20" s="221">
        <f>'[3]Visitor Draw Demographics - 12 '!$Q$11</f>
        <v>0.223</v>
      </c>
      <c r="L20" s="222">
        <f>'[3]Visitor Draw Demographics - 12 '!$Q$12</f>
        <v>0.24</v>
      </c>
      <c r="M20" s="221">
        <v>0.23499999999999999</v>
      </c>
      <c r="N20" s="222">
        <v>0.26300000000000001</v>
      </c>
      <c r="O20" s="223">
        <f>'[3]Visitor Draw Demographics - 12 '!$Q$13/100</f>
        <v>2.3499999999999997E-3</v>
      </c>
      <c r="P20" s="223">
        <f>'[3]Visitor Draw Demographics - 12 '!$Q$14/100</f>
        <v>2.63E-3</v>
      </c>
      <c r="Q20" s="223"/>
      <c r="Y20" s="367"/>
      <c r="Z20" s="368"/>
      <c r="AA20" s="368"/>
      <c r="AB20" s="368"/>
      <c r="AC20" s="368"/>
      <c r="AD20" s="368"/>
      <c r="AE20" s="368"/>
      <c r="AF20" s="368"/>
      <c r="AG20" s="368"/>
      <c r="AH20" s="369"/>
    </row>
    <row r="21" spans="1:34">
      <c r="A21" s="215" t="s">
        <v>86</v>
      </c>
      <c r="B21" s="216">
        <f>'[3]Visitor Draw Demographics - 12 '!$R$2</f>
        <v>0.26</v>
      </c>
      <c r="C21" s="216">
        <f>'[3]Visitor Draw Demographics - 12 '!$R$3</f>
        <v>0.28199999999999997</v>
      </c>
      <c r="D21" s="216">
        <f>'[3]Visitor Draw Demographics - 12 '!$R$4</f>
        <v>0.20399999999999999</v>
      </c>
      <c r="E21" s="216">
        <f>'[3]Visitor Draw Demographics - 12 '!$R$5</f>
        <v>0.36699999999999999</v>
      </c>
      <c r="F21" s="216">
        <f>'[3]Visitor Draw Demographics - 12 '!$R$6</f>
        <v>0.27</v>
      </c>
      <c r="G21" s="216">
        <f>'[3]Visitor Draw Demographics - 12 '!$R$7</f>
        <v>0.17299999999999999</v>
      </c>
      <c r="H21" s="216">
        <f>'[3]Visitor Draw Demographics - 12 '!$R$8</f>
        <v>0.28599999999999998</v>
      </c>
      <c r="I21" s="216">
        <f>'[3]Visitor Draw Demographics - 12 '!$R$9</f>
        <v>0.28999999999999998</v>
      </c>
      <c r="J21" s="216">
        <f>'[3]Visitor Draw Demographics - 12 '!$R$10</f>
        <v>0.28100000000000003</v>
      </c>
      <c r="K21" s="216">
        <f>'[3]Visitor Draw Demographics - 12 '!$R$11</f>
        <v>0.28899999999999998</v>
      </c>
      <c r="L21" s="224">
        <f>'[3]Visitor Draw Demographics - 12 '!$R$12</f>
        <v>0.28599999999999998</v>
      </c>
      <c r="M21" s="216">
        <v>0.30099999999999999</v>
      </c>
      <c r="N21" s="224">
        <v>0.28100000000000003</v>
      </c>
      <c r="O21" s="219">
        <f>'[3]Visitor Draw Demographics - 12 '!$R$13/100</f>
        <v>3.0100000000000001E-3</v>
      </c>
      <c r="P21" s="219">
        <f>'[3]Visitor Draw Demographics - 12 '!$R$14/100</f>
        <v>2.8100000000000004E-3</v>
      </c>
      <c r="Q21" s="219"/>
      <c r="Y21" s="367"/>
      <c r="Z21" s="368"/>
      <c r="AA21" s="368"/>
      <c r="AB21" s="368"/>
      <c r="AC21" s="368"/>
      <c r="AD21" s="368"/>
      <c r="AE21" s="368"/>
      <c r="AF21" s="368"/>
      <c r="AG21" s="368"/>
      <c r="AH21" s="369"/>
    </row>
    <row r="22" spans="1:34">
      <c r="A22" s="220" t="s">
        <v>87</v>
      </c>
      <c r="B22" s="221">
        <f>'[3]Visitor Draw Demographics - 12 '!$S$2</f>
        <v>0.16900000000000001</v>
      </c>
      <c r="C22" s="221">
        <f>'[3]Visitor Draw Demographics - 12 '!$S$3</f>
        <v>0.20200000000000001</v>
      </c>
      <c r="D22" s="221">
        <f>'[3]Visitor Draw Demographics - 12 '!$S$4</f>
        <v>0.14099999999999999</v>
      </c>
      <c r="E22" s="221">
        <f>'[3]Visitor Draw Demographics - 12 '!$S$5</f>
        <v>0.22500000000000001</v>
      </c>
      <c r="F22" s="221">
        <f>'[3]Visitor Draw Demographics - 12 '!$S$6</f>
        <v>0.186</v>
      </c>
      <c r="G22" s="221">
        <f>'[3]Visitor Draw Demographics - 12 '!$S$7</f>
        <v>0.108</v>
      </c>
      <c r="H22" s="221">
        <f>'[3]Visitor Draw Demographics - 12 '!$S$8</f>
        <v>0.20399999999999999</v>
      </c>
      <c r="I22" s="221">
        <f>'[3]Visitor Draw Demographics - 12 '!$S$9</f>
        <v>0.20599999999999999</v>
      </c>
      <c r="J22" s="221">
        <f>'[3]Visitor Draw Demographics - 12 '!$S$10</f>
        <v>0.186</v>
      </c>
      <c r="K22" s="221">
        <f>'[3]Visitor Draw Demographics - 12 '!$S$11</f>
        <v>0.23</v>
      </c>
      <c r="L22" s="222">
        <f>'[3]Visitor Draw Demographics - 12 '!$S$12</f>
        <v>0.19800000000000001</v>
      </c>
      <c r="M22" s="221">
        <v>0.19600000000000001</v>
      </c>
      <c r="N22" s="222">
        <v>0.17699999999999999</v>
      </c>
      <c r="O22" s="223">
        <f>'[3]Visitor Draw Demographics - 12 '!$S$13/100</f>
        <v>1.9599999999999999E-3</v>
      </c>
      <c r="P22" s="223">
        <f>'[3]Visitor Draw Demographics - 12 '!$S$14/100</f>
        <v>1.7699999999999999E-3</v>
      </c>
      <c r="Q22" s="223"/>
      <c r="Y22" s="235"/>
      <c r="Z22" s="236"/>
      <c r="AA22" s="236"/>
      <c r="AB22" s="236"/>
      <c r="AC22" s="236"/>
      <c r="AD22" s="236"/>
      <c r="AE22" s="236"/>
      <c r="AF22" s="236"/>
      <c r="AG22" s="236"/>
      <c r="AH22" s="237"/>
    </row>
    <row r="23" spans="1:34">
      <c r="A23" s="241" t="s">
        <v>88</v>
      </c>
      <c r="B23" s="217"/>
      <c r="C23" s="217"/>
      <c r="D23" s="217"/>
      <c r="E23" s="217"/>
      <c r="F23" s="217"/>
      <c r="G23" s="217"/>
      <c r="H23" s="217"/>
      <c r="I23" s="217"/>
      <c r="J23" s="217"/>
      <c r="K23" s="217"/>
      <c r="L23" s="218"/>
      <c r="M23" s="217"/>
      <c r="N23" s="218"/>
      <c r="O23" s="242"/>
      <c r="P23" s="242"/>
      <c r="Q23" s="242"/>
      <c r="S23" s="34" t="s">
        <v>68</v>
      </c>
      <c r="T23" s="34" t="s">
        <v>89</v>
      </c>
      <c r="V23" s="34" t="s">
        <v>90</v>
      </c>
      <c r="Y23" s="235"/>
      <c r="Z23" s="236">
        <v>2019</v>
      </c>
      <c r="AA23" s="236">
        <v>2021</v>
      </c>
      <c r="AB23" s="236"/>
      <c r="AC23" s="236"/>
      <c r="AD23" s="236"/>
      <c r="AE23" s="236"/>
      <c r="AF23" s="236"/>
      <c r="AG23" s="236"/>
      <c r="AH23" s="237"/>
    </row>
    <row r="24" spans="1:34">
      <c r="A24" s="220" t="s">
        <v>69</v>
      </c>
      <c r="B24" s="221">
        <f>'[3]Visitor Draw Demographics - 12 '!$T$2</f>
        <v>0.42</v>
      </c>
      <c r="C24" s="221">
        <f>'[3]Visitor Draw Demographics - 12 '!$T$3</f>
        <v>0.52300000000000002</v>
      </c>
      <c r="D24" s="221">
        <f>'[3]Visitor Draw Demographics - 12 '!$T$4</f>
        <v>0.625</v>
      </c>
      <c r="E24" s="221">
        <f>'[3]Visitor Draw Demographics - 12 '!$T$5</f>
        <v>0.59</v>
      </c>
      <c r="F24" s="221">
        <f>'[3]Visitor Draw Demographics - 12 '!$T$6</f>
        <v>0.49299999999999999</v>
      </c>
      <c r="G24" s="221">
        <f>'[3]Visitor Draw Demographics - 12 '!$T$7</f>
        <v>0.56100000000000005</v>
      </c>
      <c r="H24" s="221">
        <f>'[3]Visitor Draw Demographics - 12 '!$T$8</f>
        <v>0.46700000000000003</v>
      </c>
      <c r="I24" s="221">
        <f>'[3]Visitor Draw Demographics - 12 '!$T$9</f>
        <v>0.47099999999999997</v>
      </c>
      <c r="J24" s="221">
        <f>'[3]Visitor Draw Demographics - 12 '!$T$10</f>
        <v>0.44900000000000001</v>
      </c>
      <c r="K24" s="221">
        <f>'[3]Visitor Draw Demographics - 12 '!$T$11</f>
        <v>0.48699999999999999</v>
      </c>
      <c r="L24" s="222">
        <f>'[3]Visitor Draw Demographics - 12 '!$T$12</f>
        <v>0.46500000000000002</v>
      </c>
      <c r="M24" s="221">
        <v>0.46</v>
      </c>
      <c r="N24" s="222">
        <v>0.34799999999999998</v>
      </c>
      <c r="O24" s="223">
        <f>'[3]Visitor Draw Demographics - 12 '!$T$13/100</f>
        <v>4.5999999999999999E-3</v>
      </c>
      <c r="P24" s="223">
        <f>'[3]Visitor Draw Demographics - 12 '!$T$14/100</f>
        <v>3.4799999999999996E-3</v>
      </c>
      <c r="Q24" s="223"/>
      <c r="R24" s="34">
        <f>RANK(C24,$C$24:$C$28)</f>
        <v>1</v>
      </c>
      <c r="S24" s="34" t="s">
        <v>69</v>
      </c>
      <c r="T24" s="243">
        <f>C24</f>
        <v>0.52300000000000002</v>
      </c>
      <c r="V24" s="34">
        <v>5</v>
      </c>
      <c r="W24" s="34" t="str">
        <f>VLOOKUP(V24,$R$24:$T$28,2,FALSE)</f>
        <v>Other</v>
      </c>
      <c r="X24" s="243">
        <f>VLOOKUP(V24,$R$24:$T$28,3,FALSE)</f>
        <v>0.05</v>
      </c>
      <c r="Y24" s="235" t="str">
        <f>W24</f>
        <v>Other</v>
      </c>
      <c r="Z24" s="244">
        <v>2.3E-2</v>
      </c>
      <c r="AA24" s="245">
        <v>2.336363E-2</v>
      </c>
      <c r="AB24" s="236"/>
      <c r="AC24" s="368" t="s">
        <v>91</v>
      </c>
      <c r="AD24" s="368"/>
      <c r="AE24" s="368"/>
      <c r="AF24" s="368"/>
      <c r="AG24" s="368"/>
      <c r="AH24" s="369"/>
    </row>
    <row r="25" spans="1:34">
      <c r="A25" s="215" t="s">
        <v>70</v>
      </c>
      <c r="B25" s="216">
        <f>'[3]Visitor Draw Demographics - 12 '!$U$2</f>
        <v>0.32600000000000001</v>
      </c>
      <c r="C25" s="216">
        <f>'[3]Visitor Draw Demographics - 12 '!$U$3</f>
        <v>0.24299999999999999</v>
      </c>
      <c r="D25" s="216">
        <f>'[3]Visitor Draw Demographics - 12 '!$U$4</f>
        <v>0.10299999999999999</v>
      </c>
      <c r="E25" s="216">
        <f>'[3]Visitor Draw Demographics - 12 '!$U$5</f>
        <v>0.11700000000000001</v>
      </c>
      <c r="F25" s="216">
        <f>'[3]Visitor Draw Demographics - 12 '!$U$6</f>
        <v>0.27</v>
      </c>
      <c r="G25" s="216">
        <f>'[3]Visitor Draw Demographics - 12 '!$U$7</f>
        <v>9.1999999999999998E-2</v>
      </c>
      <c r="H25" s="216">
        <f>'[3]Visitor Draw Demographics - 12 '!$U$8</f>
        <v>0.30099999999999999</v>
      </c>
      <c r="I25" s="216">
        <f>'[3]Visitor Draw Demographics - 12 '!$U$9</f>
        <v>0.29399999999999998</v>
      </c>
      <c r="J25" s="216">
        <f>'[3]Visitor Draw Demographics - 12 '!$U$10</f>
        <v>0.308</v>
      </c>
      <c r="K25" s="216">
        <f>'[3]Visitor Draw Demographics - 12 '!$U$11</f>
        <v>0.28899999999999998</v>
      </c>
      <c r="L25" s="224">
        <f>'[3]Visitor Draw Demographics - 12 '!$U$12</f>
        <v>0.30199999999999999</v>
      </c>
      <c r="M25" s="216">
        <v>0.311</v>
      </c>
      <c r="N25" s="224">
        <v>0.40600000000000003</v>
      </c>
      <c r="O25" s="219">
        <f>'[3]Visitor Draw Demographics - 12 '!$U$13/100</f>
        <v>3.1099999999999999E-3</v>
      </c>
      <c r="P25" s="219">
        <f>'[3]Visitor Draw Demographics - 12 '!$U$14/100</f>
        <v>4.0600000000000002E-3</v>
      </c>
      <c r="Q25" s="219"/>
      <c r="R25" s="34">
        <f t="shared" ref="R25:R28" si="0">RANK(C25,$C$24:$C$28)</f>
        <v>2</v>
      </c>
      <c r="S25" s="34" t="s">
        <v>70</v>
      </c>
      <c r="T25" s="243">
        <f>C25</f>
        <v>0.24299999999999999</v>
      </c>
      <c r="V25" s="34">
        <v>4</v>
      </c>
      <c r="W25" s="34" t="str">
        <f t="shared" ref="W25:W28" si="1">VLOOKUP(V25,$R$24:$T$28,2,FALSE)</f>
        <v>Asian</v>
      </c>
      <c r="X25" s="243">
        <f t="shared" ref="X25:X28" si="2">VLOOKUP(V25,$R$24:$T$28,3,FALSE)</f>
        <v>6.8000000000000005E-2</v>
      </c>
      <c r="Y25" s="235" t="str">
        <f>W25</f>
        <v>Asian</v>
      </c>
      <c r="Z25" s="244">
        <v>6.4000000000000001E-2</v>
      </c>
      <c r="AA25" s="245">
        <v>6.6090900000000008E-2</v>
      </c>
      <c r="AB25" s="236"/>
      <c r="AC25" s="368"/>
      <c r="AD25" s="368"/>
      <c r="AE25" s="368"/>
      <c r="AF25" s="368"/>
      <c r="AG25" s="368"/>
      <c r="AH25" s="369"/>
    </row>
    <row r="26" spans="1:34">
      <c r="A26" s="220" t="s">
        <v>71</v>
      </c>
      <c r="B26" s="221">
        <f>'[3]Visitor Draw Demographics - 12 '!$V$2</f>
        <v>0.121</v>
      </c>
      <c r="C26" s="221">
        <f>'[3]Visitor Draw Demographics - 12 '!$V$3</f>
        <v>0.115</v>
      </c>
      <c r="D26" s="221">
        <f>'[3]Visitor Draw Demographics - 12 '!$V$4</f>
        <v>0.16700000000000001</v>
      </c>
      <c r="E26" s="221">
        <f>'[3]Visitor Draw Demographics - 12 '!$V$5</f>
        <v>0.106</v>
      </c>
      <c r="F26" s="221">
        <f>'[3]Visitor Draw Demographics - 12 '!$V$6</f>
        <v>0.12</v>
      </c>
      <c r="G26" s="221">
        <f>'[3]Visitor Draw Demographics - 12 '!$V$7</f>
        <v>0.24099999999999999</v>
      </c>
      <c r="H26" s="221">
        <f>'[3]Visitor Draw Demographics - 12 '!$V$8</f>
        <v>0.115</v>
      </c>
      <c r="I26" s="221">
        <f>'[3]Visitor Draw Demographics - 12 '!$V$9</f>
        <v>0.11700000000000001</v>
      </c>
      <c r="J26" s="221">
        <f>'[3]Visitor Draw Demographics - 12 '!$V$10</f>
        <v>0.121</v>
      </c>
      <c r="K26" s="221">
        <f>'[3]Visitor Draw Demographics - 12 '!$V$11</f>
        <v>0.11</v>
      </c>
      <c r="L26" s="222">
        <f>'[3]Visitor Draw Demographics - 12 '!$V$12</f>
        <v>0.115</v>
      </c>
      <c r="M26" s="221">
        <v>0.11700000000000001</v>
      </c>
      <c r="N26" s="222">
        <v>0.127</v>
      </c>
      <c r="O26" s="223">
        <f>'[3]Visitor Draw Demographics - 12 '!$V$13/100</f>
        <v>1.17E-3</v>
      </c>
      <c r="P26" s="223">
        <f>'[3]Visitor Draw Demographics - 12 '!$V$14/100</f>
        <v>1.2700000000000001E-3</v>
      </c>
      <c r="Q26" s="223"/>
      <c r="R26" s="34">
        <f t="shared" si="0"/>
        <v>3</v>
      </c>
      <c r="S26" s="34" t="s">
        <v>71</v>
      </c>
      <c r="T26" s="243">
        <f>C26</f>
        <v>0.115</v>
      </c>
      <c r="V26" s="34">
        <v>3</v>
      </c>
      <c r="W26" s="34" t="str">
        <f t="shared" si="1"/>
        <v>Hispanic/Latino</v>
      </c>
      <c r="X26" s="243">
        <f t="shared" si="2"/>
        <v>0.115</v>
      </c>
      <c r="Y26" s="235" t="str">
        <f>W26</f>
        <v>Hispanic/Latino</v>
      </c>
      <c r="Z26" s="244">
        <v>0.128</v>
      </c>
      <c r="AA26" s="245">
        <v>0.11654545000000001</v>
      </c>
      <c r="AB26" s="236"/>
      <c r="AC26" s="368"/>
      <c r="AD26" s="368"/>
      <c r="AE26" s="368"/>
      <c r="AF26" s="368"/>
      <c r="AG26" s="368"/>
      <c r="AH26" s="369"/>
    </row>
    <row r="27" spans="1:34">
      <c r="A27" s="215" t="s">
        <v>72</v>
      </c>
      <c r="B27" s="216">
        <f>'[3]Visitor Draw Demographics - 12 '!$W$2</f>
        <v>6.8000000000000005E-2</v>
      </c>
      <c r="C27" s="216">
        <f>'[3]Visitor Draw Demographics - 12 '!$W$3</f>
        <v>6.8000000000000005E-2</v>
      </c>
      <c r="D27" s="216">
        <f>'[3]Visitor Draw Demographics - 12 '!$W$4</f>
        <v>4.9000000000000002E-2</v>
      </c>
      <c r="E27" s="216">
        <f>'[3]Visitor Draw Demographics - 12 '!$W$5</f>
        <v>0.13900000000000001</v>
      </c>
      <c r="F27" s="216">
        <f>'[3]Visitor Draw Demographics - 12 '!$W$6</f>
        <v>6.6000000000000003E-2</v>
      </c>
      <c r="G27" s="216">
        <f>'[3]Visitor Draw Demographics - 12 '!$W$7</f>
        <v>2.8000000000000001E-2</v>
      </c>
      <c r="H27" s="216">
        <f>'[3]Visitor Draw Demographics - 12 '!$W$8</f>
        <v>6.9000000000000006E-2</v>
      </c>
      <c r="I27" s="216">
        <f>'[3]Visitor Draw Demographics - 12 '!$W$9</f>
        <v>6.8000000000000005E-2</v>
      </c>
      <c r="J27" s="216">
        <f>'[3]Visitor Draw Demographics - 12 '!$W$10</f>
        <v>7.0000000000000007E-2</v>
      </c>
      <c r="K27" s="216">
        <f>'[3]Visitor Draw Demographics - 12 '!$W$11</f>
        <v>6.5000000000000002E-2</v>
      </c>
      <c r="L27" s="224">
        <f>'[3]Visitor Draw Demographics - 12 '!$W$12</f>
        <v>6.8000000000000005E-2</v>
      </c>
      <c r="M27" s="216">
        <v>6.0999999999999999E-2</v>
      </c>
      <c r="N27" s="224">
        <v>5.6000000000000001E-2</v>
      </c>
      <c r="O27" s="219">
        <f>'[3]Visitor Draw Demographics - 12 '!$W$13/100</f>
        <v>6.0999999999999997E-4</v>
      </c>
      <c r="P27" s="219">
        <f>'[3]Visitor Draw Demographics - 12 '!$W$14/100</f>
        <v>5.6000000000000006E-4</v>
      </c>
      <c r="Q27" s="219"/>
      <c r="R27" s="34">
        <f t="shared" si="0"/>
        <v>4</v>
      </c>
      <c r="S27" s="34" t="s">
        <v>72</v>
      </c>
      <c r="T27" s="243">
        <f>C27</f>
        <v>6.8000000000000005E-2</v>
      </c>
      <c r="V27" s="34">
        <v>2</v>
      </c>
      <c r="W27" s="34" t="str">
        <f t="shared" si="1"/>
        <v>African-American/Black</v>
      </c>
      <c r="X27" s="243">
        <f t="shared" si="2"/>
        <v>0.24299999999999999</v>
      </c>
      <c r="Y27" s="235" t="str">
        <f>W27</f>
        <v>African-American/Black</v>
      </c>
      <c r="Z27" s="244">
        <v>0.34899999999999998</v>
      </c>
      <c r="AA27" s="245">
        <v>0.33181818000000002</v>
      </c>
      <c r="AB27" s="236"/>
      <c r="AC27" s="368"/>
      <c r="AD27" s="368"/>
      <c r="AE27" s="368"/>
      <c r="AF27" s="368"/>
      <c r="AG27" s="368"/>
      <c r="AH27" s="369"/>
    </row>
    <row r="28" spans="1:34">
      <c r="A28" s="220" t="s">
        <v>73</v>
      </c>
      <c r="B28" s="221">
        <f>'[3]Visitor Draw Demographics - 12 '!$X$2</f>
        <v>6.6000000000000003E-2</v>
      </c>
      <c r="C28" s="221">
        <f>'[3]Visitor Draw Demographics - 12 '!$X$3</f>
        <v>0.05</v>
      </c>
      <c r="D28" s="221">
        <f>'[3]Visitor Draw Demographics - 12 '!$X$4</f>
        <v>5.5E-2</v>
      </c>
      <c r="E28" s="221">
        <f>'[3]Visitor Draw Demographics - 12 '!$X$5</f>
        <v>4.9000000000000002E-2</v>
      </c>
      <c r="F28" s="221">
        <f>'[3]Visitor Draw Demographics - 12 '!$X$6</f>
        <v>5.0999999999999997E-2</v>
      </c>
      <c r="G28" s="221">
        <f>'[3]Visitor Draw Demographics - 12 '!$X$7</f>
        <v>7.9000000000000001E-2</v>
      </c>
      <c r="H28" s="221">
        <f>'[3]Visitor Draw Demographics - 12 '!$X$8</f>
        <v>4.9000000000000002E-2</v>
      </c>
      <c r="I28" s="221">
        <f>'[3]Visitor Draw Demographics - 12 '!$X$9</f>
        <v>5.0999999999999997E-2</v>
      </c>
      <c r="J28" s="221">
        <f>'[3]Visitor Draw Demographics - 12 '!$X$10</f>
        <v>5.0999999999999997E-2</v>
      </c>
      <c r="K28" s="221">
        <f>'[3]Visitor Draw Demographics - 12 '!$X$11</f>
        <v>4.9000000000000002E-2</v>
      </c>
      <c r="L28" s="222">
        <f>'[3]Visitor Draw Demographics - 12 '!$X$12</f>
        <v>5.0999999999999997E-2</v>
      </c>
      <c r="M28" s="221">
        <v>5.1999999999999998E-2</v>
      </c>
      <c r="N28" s="222">
        <v>6.3E-2</v>
      </c>
      <c r="O28" s="223">
        <f>'[3]Visitor Draw Demographics - 12 '!$X$13/100</f>
        <v>5.1999999999999995E-4</v>
      </c>
      <c r="P28" s="223">
        <f>'[3]Visitor Draw Demographics - 12 '!$X$14/100</f>
        <v>6.3000000000000003E-4</v>
      </c>
      <c r="Q28" s="223"/>
      <c r="R28" s="34">
        <f t="shared" si="0"/>
        <v>5</v>
      </c>
      <c r="S28" s="34" t="s">
        <v>73</v>
      </c>
      <c r="T28" s="243">
        <f>C28</f>
        <v>0.05</v>
      </c>
      <c r="V28" s="34">
        <v>1</v>
      </c>
      <c r="W28" s="34" t="str">
        <f t="shared" si="1"/>
        <v>Caucasian/White</v>
      </c>
      <c r="X28" s="243">
        <f t="shared" si="2"/>
        <v>0.52300000000000002</v>
      </c>
      <c r="Y28" s="235" t="str">
        <f>W28</f>
        <v>Caucasian/White</v>
      </c>
      <c r="Z28" s="244">
        <v>0.437</v>
      </c>
      <c r="AA28" s="245">
        <v>0.46236362999999997</v>
      </c>
      <c r="AB28" s="236"/>
      <c r="AC28" s="368"/>
      <c r="AD28" s="368"/>
      <c r="AE28" s="368"/>
      <c r="AF28" s="368"/>
      <c r="AG28" s="368"/>
      <c r="AH28" s="369"/>
    </row>
    <row r="29" spans="1:34" ht="13.5" thickBot="1">
      <c r="A29" s="34" t="s">
        <v>237</v>
      </c>
      <c r="Y29" s="246"/>
      <c r="Z29" s="247"/>
      <c r="AA29" s="247"/>
      <c r="AB29" s="247"/>
      <c r="AC29" s="247"/>
      <c r="AD29" s="247"/>
      <c r="AE29" s="247"/>
      <c r="AF29" s="247"/>
      <c r="AG29" s="247"/>
      <c r="AH29" s="248"/>
    </row>
    <row r="31" spans="1:34" ht="63.75">
      <c r="A31" s="249" t="s">
        <v>31</v>
      </c>
      <c r="B31" s="207" t="str">
        <f>'[5]Visitor Draw Demographics - 12 '!$A$2</f>
        <v>Chicago-Naperville-Elgin, IL-IN-WI Metropolitan Statistical Area</v>
      </c>
      <c r="C31" s="207" t="str">
        <f>'[5]Visitor Draw Demographics - 12 '!$A$3</f>
        <v>Chicago Botanic Garden - Glencoe, IL 60022</v>
      </c>
      <c r="D31" s="207" t="str">
        <f>'[5]Visitor Draw Demographics - 12 '!$A$4</f>
        <v>Art Institute of Chicago - Chicago, IL, 60603</v>
      </c>
      <c r="E31" s="207" t="str">
        <f>'[5]Visitor Draw Demographics - 12 '!$A$5</f>
        <v xml:space="preserve">Atlanta Botanical Garden - Atlanta, GA  </v>
      </c>
      <c r="F31" s="207" t="str">
        <f>'[5]Visitor Draw Demographics - 12 '!$A$6</f>
        <v>Brookfield Zoo - Brookfield, IL 60513</v>
      </c>
      <c r="G31" s="207" t="str">
        <f>'[5]Visitor Draw Demographics - 12 '!$A$7</f>
        <v>Denver Botanic Gardens - Denver, CO 80206</v>
      </c>
      <c r="H31" s="207" t="str">
        <f>'[5]Visitor Draw Demographics - 12 '!$A$8</f>
        <v>Longwood Gardens - Longwood, PA 19348</v>
      </c>
      <c r="I31" s="207" t="str">
        <f>'[5]Visitor Draw Demographics - 12 '!$A$9</f>
        <v>Missouri Botanical Garden - St Louis, MO 63110</v>
      </c>
      <c r="J31" s="207" t="str">
        <f>'[5]Visitor Draw Demographics - 12 '!$A$10</f>
        <v>Ravinia Festival - Highland Park, IL 60035</v>
      </c>
      <c r="K31" s="207" t="str">
        <f>'[5]Visitor Draw Demographics - 12 '!$A$11</f>
        <v>The Huntington - San Marino, CA 91108</v>
      </c>
      <c r="L31" s="208" t="str">
        <f>'[5]Visitor Draw Demographics - 12 '!$A$12</f>
        <v>The Morton Arboretum - Lisle, IL 60532</v>
      </c>
      <c r="M31" s="209" t="str">
        <f>'[5]Visitor Draw Demographics - 12 '!$A$13</f>
        <v>Average</v>
      </c>
      <c r="N31" s="209">
        <f>'[5]Visitor Draw Demographics - 12 '!$A$14</f>
        <v>0</v>
      </c>
      <c r="O31" s="209">
        <f>'[5]Visitor Draw Demographics - 12 '!$A$15</f>
        <v>0</v>
      </c>
    </row>
    <row r="32" spans="1:34" ht="15" customHeight="1">
      <c r="A32" s="210" t="s">
        <v>75</v>
      </c>
      <c r="B32" s="211"/>
      <c r="C32" s="211"/>
      <c r="D32" s="211"/>
      <c r="E32" s="211"/>
      <c r="F32" s="212"/>
      <c r="G32" s="211"/>
      <c r="H32" s="211"/>
      <c r="I32" s="211"/>
      <c r="J32" s="211"/>
      <c r="K32" s="212"/>
      <c r="L32" s="213"/>
      <c r="M32" s="212"/>
      <c r="N32" s="212"/>
      <c r="O32" s="213"/>
    </row>
    <row r="33" spans="1:15" ht="15" customHeight="1">
      <c r="A33" s="215" t="s">
        <v>49</v>
      </c>
      <c r="B33" s="216">
        <f t="shared" ref="B33:B39" si="3">B3</f>
        <v>0.125</v>
      </c>
      <c r="C33" s="250">
        <f t="shared" ref="C33:O33" si="4">C3/$B3*100</f>
        <v>105.60000000000001</v>
      </c>
      <c r="D33" s="250">
        <f t="shared" si="4"/>
        <v>90.4</v>
      </c>
      <c r="E33" s="250">
        <f t="shared" si="4"/>
        <v>95.199999999999989</v>
      </c>
      <c r="F33" s="250">
        <f t="shared" si="4"/>
        <v>104.80000000000001</v>
      </c>
      <c r="G33" s="250">
        <f t="shared" si="4"/>
        <v>104.80000000000001</v>
      </c>
      <c r="H33" s="250">
        <f t="shared" si="4"/>
        <v>115.19999999999999</v>
      </c>
      <c r="I33" s="250">
        <f t="shared" si="4"/>
        <v>115.19999999999999</v>
      </c>
      <c r="J33" s="250">
        <f t="shared" si="4"/>
        <v>110.4</v>
      </c>
      <c r="K33" s="250">
        <f t="shared" si="4"/>
        <v>112.79999999999998</v>
      </c>
      <c r="L33" s="251">
        <f t="shared" si="4"/>
        <v>116.8</v>
      </c>
      <c r="M33" s="250">
        <f t="shared" si="4"/>
        <v>108</v>
      </c>
      <c r="N33" s="250">
        <f t="shared" si="4"/>
        <v>110.4</v>
      </c>
      <c r="O33" s="251">
        <f t="shared" si="4"/>
        <v>1.08</v>
      </c>
    </row>
    <row r="34" spans="1:15" ht="15" customHeight="1">
      <c r="A34" s="220" t="s">
        <v>50</v>
      </c>
      <c r="B34" s="221">
        <f t="shared" si="3"/>
        <v>0.185</v>
      </c>
      <c r="C34" s="252">
        <f t="shared" ref="C34:O34" si="5">C4/$B4*100</f>
        <v>104.86486486486486</v>
      </c>
      <c r="D34" s="252">
        <f t="shared" si="5"/>
        <v>95.13513513513513</v>
      </c>
      <c r="E34" s="252">
        <f t="shared" si="5"/>
        <v>88.64864864864866</v>
      </c>
      <c r="F34" s="252">
        <f t="shared" si="5"/>
        <v>101.08108108108109</v>
      </c>
      <c r="G34" s="252">
        <f t="shared" si="5"/>
        <v>98.918918918918919</v>
      </c>
      <c r="H34" s="252">
        <f t="shared" si="5"/>
        <v>108.64864864864865</v>
      </c>
      <c r="I34" s="252">
        <f t="shared" si="5"/>
        <v>115.13513513513513</v>
      </c>
      <c r="J34" s="252">
        <f t="shared" si="5"/>
        <v>109.18918918918921</v>
      </c>
      <c r="K34" s="252">
        <f t="shared" si="5"/>
        <v>118.37837837837839</v>
      </c>
      <c r="L34" s="253">
        <f t="shared" si="5"/>
        <v>114.05405405405405</v>
      </c>
      <c r="M34" s="252">
        <f t="shared" si="5"/>
        <v>116.21621621621621</v>
      </c>
      <c r="N34" s="252">
        <f t="shared" si="5"/>
        <v>133.51351351351352</v>
      </c>
      <c r="O34" s="253">
        <f t="shared" si="5"/>
        <v>1.1621621621621623</v>
      </c>
    </row>
    <row r="35" spans="1:15" ht="15" customHeight="1">
      <c r="A35" s="215" t="s">
        <v>51</v>
      </c>
      <c r="B35" s="216">
        <f t="shared" si="3"/>
        <v>0.18</v>
      </c>
      <c r="C35" s="250">
        <f t="shared" ref="C35:O35" si="6">C5/$B5*100</f>
        <v>97.777777777777771</v>
      </c>
      <c r="D35" s="250">
        <f t="shared" si="6"/>
        <v>95</v>
      </c>
      <c r="E35" s="250">
        <f t="shared" si="6"/>
        <v>102.22222222222221</v>
      </c>
      <c r="F35" s="250">
        <f t="shared" si="6"/>
        <v>98.888888888888886</v>
      </c>
      <c r="G35" s="250">
        <f t="shared" si="6"/>
        <v>95.555555555555543</v>
      </c>
      <c r="H35" s="250">
        <f t="shared" si="6"/>
        <v>97.222222222222214</v>
      </c>
      <c r="I35" s="250">
        <f t="shared" si="6"/>
        <v>100.55555555555556</v>
      </c>
      <c r="J35" s="250">
        <f t="shared" si="6"/>
        <v>100</v>
      </c>
      <c r="K35" s="250">
        <f t="shared" si="6"/>
        <v>98.888888888888886</v>
      </c>
      <c r="L35" s="251">
        <f t="shared" si="6"/>
        <v>98.888888888888886</v>
      </c>
      <c r="M35" s="250">
        <f t="shared" si="6"/>
        <v>103.33333333333334</v>
      </c>
      <c r="N35" s="250">
        <f t="shared" si="6"/>
        <v>103.8888888888889</v>
      </c>
      <c r="O35" s="251">
        <f t="shared" si="6"/>
        <v>1.0333333333333332</v>
      </c>
    </row>
    <row r="36" spans="1:15" ht="15" customHeight="1">
      <c r="A36" s="220" t="s">
        <v>52</v>
      </c>
      <c r="B36" s="221">
        <f t="shared" si="3"/>
        <v>0.17100000000000001</v>
      </c>
      <c r="C36" s="252">
        <f t="shared" ref="C36:O36" si="7">C6/$B6*100</f>
        <v>95.906432748538009</v>
      </c>
      <c r="D36" s="252">
        <f t="shared" si="7"/>
        <v>100</v>
      </c>
      <c r="E36" s="252">
        <f t="shared" si="7"/>
        <v>110.52631578947367</v>
      </c>
      <c r="F36" s="252">
        <f t="shared" si="7"/>
        <v>97.660818713450297</v>
      </c>
      <c r="G36" s="252">
        <f t="shared" si="7"/>
        <v>92.982456140350862</v>
      </c>
      <c r="H36" s="252">
        <f t="shared" si="7"/>
        <v>92.982456140350862</v>
      </c>
      <c r="I36" s="252">
        <f t="shared" si="7"/>
        <v>91.812865497076018</v>
      </c>
      <c r="J36" s="252">
        <f t="shared" si="7"/>
        <v>94.152046783625735</v>
      </c>
      <c r="K36" s="252">
        <f t="shared" si="7"/>
        <v>90.058479532163744</v>
      </c>
      <c r="L36" s="253">
        <f t="shared" si="7"/>
        <v>92.397660818713447</v>
      </c>
      <c r="M36" s="252">
        <f t="shared" si="7"/>
        <v>93.567251461988292</v>
      </c>
      <c r="N36" s="252">
        <f t="shared" si="7"/>
        <v>91.812865497076018</v>
      </c>
      <c r="O36" s="253">
        <f t="shared" si="7"/>
        <v>0.9356725146198831</v>
      </c>
    </row>
    <row r="37" spans="1:15" ht="15" customHeight="1">
      <c r="A37" s="215" t="s">
        <v>53</v>
      </c>
      <c r="B37" s="216">
        <f t="shared" si="3"/>
        <v>0.154</v>
      </c>
      <c r="C37" s="250">
        <f t="shared" ref="C37:O37" si="8">C7/$B7*100</f>
        <v>99.350649350649348</v>
      </c>
      <c r="D37" s="250">
        <f t="shared" si="8"/>
        <v>107.14285714285714</v>
      </c>
      <c r="E37" s="250">
        <f t="shared" si="8"/>
        <v>109.09090909090911</v>
      </c>
      <c r="F37" s="250">
        <f t="shared" si="8"/>
        <v>101.2987012987013</v>
      </c>
      <c r="G37" s="250">
        <f t="shared" si="8"/>
        <v>100.64935064935065</v>
      </c>
      <c r="H37" s="250">
        <f t="shared" si="8"/>
        <v>96.103896103896105</v>
      </c>
      <c r="I37" s="250">
        <f t="shared" si="8"/>
        <v>92.20779220779221</v>
      </c>
      <c r="J37" s="250">
        <f t="shared" si="8"/>
        <v>95.454545454545453</v>
      </c>
      <c r="K37" s="250">
        <f t="shared" si="8"/>
        <v>92.20779220779221</v>
      </c>
      <c r="L37" s="251">
        <f t="shared" si="8"/>
        <v>92.857142857142847</v>
      </c>
      <c r="M37" s="250">
        <f t="shared" si="8"/>
        <v>92.20779220779221</v>
      </c>
      <c r="N37" s="250">
        <f t="shared" si="8"/>
        <v>88.311688311688314</v>
      </c>
      <c r="O37" s="251">
        <f t="shared" si="8"/>
        <v>0.92207792207792194</v>
      </c>
    </row>
    <row r="38" spans="1:15" ht="15" customHeight="1">
      <c r="A38" s="220" t="s">
        <v>54</v>
      </c>
      <c r="B38" s="221">
        <f t="shared" si="3"/>
        <v>0.184</v>
      </c>
      <c r="C38" s="252">
        <f t="shared" ref="C38:O38" si="9">C8/$B8*100</f>
        <v>97.826086956521735</v>
      </c>
      <c r="D38" s="252">
        <f t="shared" si="9"/>
        <v>110.86956521739131</v>
      </c>
      <c r="E38" s="252">
        <f t="shared" si="9"/>
        <v>95.65217391304347</v>
      </c>
      <c r="F38" s="252">
        <f t="shared" si="9"/>
        <v>98.91304347826086</v>
      </c>
      <c r="G38" s="252">
        <f t="shared" si="9"/>
        <v>108.15217391304348</v>
      </c>
      <c r="H38" s="252">
        <f t="shared" si="9"/>
        <v>94.565217391304344</v>
      </c>
      <c r="I38" s="252">
        <f t="shared" si="9"/>
        <v>89.130434782608702</v>
      </c>
      <c r="J38" s="252">
        <f t="shared" si="9"/>
        <v>92.93478260869567</v>
      </c>
      <c r="K38" s="252">
        <f t="shared" si="9"/>
        <v>90.217391304347828</v>
      </c>
      <c r="L38" s="253">
        <f t="shared" si="9"/>
        <v>89.673913043478265</v>
      </c>
      <c r="M38" s="252">
        <f t="shared" si="9"/>
        <v>88.043478260869563</v>
      </c>
      <c r="N38" s="252">
        <f t="shared" si="9"/>
        <v>73.913043478260875</v>
      </c>
      <c r="O38" s="253">
        <f t="shared" si="9"/>
        <v>0.88043478260869579</v>
      </c>
    </row>
    <row r="39" spans="1:15" ht="15" customHeight="1">
      <c r="A39" s="215" t="s">
        <v>30</v>
      </c>
      <c r="B39" s="225">
        <f t="shared" si="3"/>
        <v>46.1</v>
      </c>
      <c r="C39" s="254">
        <f t="shared" ref="C39:K39" si="10">C9/$B9*100</f>
        <v>99.783080260303677</v>
      </c>
      <c r="D39" s="254">
        <f t="shared" si="10"/>
        <v>102.16919739696313</v>
      </c>
      <c r="E39" s="254">
        <f t="shared" si="10"/>
        <v>101.30151843817788</v>
      </c>
      <c r="F39" s="254">
        <f t="shared" si="10"/>
        <v>99.783080260303677</v>
      </c>
      <c r="G39" s="254">
        <f t="shared" si="10"/>
        <v>101.51843817787419</v>
      </c>
      <c r="H39" s="254">
        <f t="shared" si="10"/>
        <v>98.698481561822121</v>
      </c>
      <c r="I39" s="254">
        <f t="shared" si="10"/>
        <v>98.915401301518429</v>
      </c>
      <c r="J39" s="254">
        <f t="shared" si="10"/>
        <v>100</v>
      </c>
      <c r="K39" s="254">
        <f t="shared" si="10"/>
        <v>99.783080260303677</v>
      </c>
      <c r="L39" s="255">
        <f>L9/$B9*100</f>
        <v>99.783080260303677</v>
      </c>
      <c r="M39" s="254">
        <f>M9/$B9*100</f>
        <v>98.915401301518429</v>
      </c>
      <c r="N39" s="254">
        <f>N9/$B9*100</f>
        <v>95.227765726681127</v>
      </c>
      <c r="O39" s="255">
        <f>O9/$B9*100</f>
        <v>98.915401301518429</v>
      </c>
    </row>
    <row r="40" spans="1:15" ht="15" customHeight="1">
      <c r="A40" s="228" t="s">
        <v>76</v>
      </c>
      <c r="B40" s="229"/>
      <c r="C40" s="256"/>
      <c r="D40" s="256"/>
      <c r="E40" s="256"/>
      <c r="F40" s="256"/>
      <c r="G40" s="256"/>
      <c r="H40" s="256"/>
      <c r="I40" s="256"/>
      <c r="J40" s="256"/>
      <c r="K40" s="256"/>
      <c r="L40" s="257"/>
      <c r="M40" s="256"/>
      <c r="N40" s="256"/>
      <c r="O40" s="257"/>
    </row>
    <row r="41" spans="1:15" ht="15" customHeight="1">
      <c r="A41" s="215" t="s">
        <v>57</v>
      </c>
      <c r="B41" s="216">
        <f t="shared" ref="B41:B47" si="11">B11</f>
        <v>0.25900000000000001</v>
      </c>
      <c r="C41" s="250">
        <f t="shared" ref="C41:K47" si="12">C11/$B11*100</f>
        <v>109.26640926640925</v>
      </c>
      <c r="D41" s="250">
        <f t="shared" si="12"/>
        <v>115.05791505791505</v>
      </c>
      <c r="E41" s="250">
        <f t="shared" si="12"/>
        <v>73.745173745173744</v>
      </c>
      <c r="F41" s="250">
        <f t="shared" si="12"/>
        <v>114.67181467181466</v>
      </c>
      <c r="G41" s="250">
        <f t="shared" si="12"/>
        <v>140.15444015444015</v>
      </c>
      <c r="H41" s="250">
        <f t="shared" si="12"/>
        <v>118.53281853281852</v>
      </c>
      <c r="I41" s="250">
        <f t="shared" si="12"/>
        <v>115.83011583011582</v>
      </c>
      <c r="J41" s="250">
        <f t="shared" si="12"/>
        <v>120.07722007722008</v>
      </c>
      <c r="K41" s="250">
        <f t="shared" si="12"/>
        <v>111.96911196911196</v>
      </c>
      <c r="L41" s="251">
        <f t="shared" ref="L41:O42" si="13">L11/$B11*100</f>
        <v>117.76061776061775</v>
      </c>
      <c r="M41" s="250">
        <f t="shared" si="13"/>
        <v>113.51351351351352</v>
      </c>
      <c r="N41" s="250">
        <f t="shared" si="13"/>
        <v>169.1119691119691</v>
      </c>
      <c r="O41" s="251">
        <f t="shared" si="13"/>
        <v>1.1351351351351351</v>
      </c>
    </row>
    <row r="42" spans="1:15" ht="15" customHeight="1">
      <c r="A42" s="220" t="s">
        <v>77</v>
      </c>
      <c r="B42" s="221">
        <f t="shared" si="11"/>
        <v>0.156</v>
      </c>
      <c r="C42" s="252">
        <f t="shared" si="12"/>
        <v>99.358974358974365</v>
      </c>
      <c r="D42" s="252">
        <f t="shared" si="12"/>
        <v>105.12820512820514</v>
      </c>
      <c r="E42" s="252">
        <f t="shared" si="12"/>
        <v>78.84615384615384</v>
      </c>
      <c r="F42" s="252">
        <f t="shared" si="12"/>
        <v>100</v>
      </c>
      <c r="G42" s="252">
        <f t="shared" si="12"/>
        <v>112.82051282051282</v>
      </c>
      <c r="H42" s="252">
        <f t="shared" si="12"/>
        <v>96.153846153846146</v>
      </c>
      <c r="I42" s="252">
        <f t="shared" si="12"/>
        <v>97.435897435897431</v>
      </c>
      <c r="J42" s="252">
        <f t="shared" si="12"/>
        <v>101.28205128205127</v>
      </c>
      <c r="K42" s="252">
        <f t="shared" si="12"/>
        <v>96.794871794871796</v>
      </c>
      <c r="L42" s="253">
        <f t="shared" si="13"/>
        <v>98.717948717948715</v>
      </c>
      <c r="M42" s="252">
        <f t="shared" si="13"/>
        <v>103.84615384615385</v>
      </c>
      <c r="N42" s="252">
        <f t="shared" si="13"/>
        <v>94.230769230769226</v>
      </c>
      <c r="O42" s="253">
        <f t="shared" si="13"/>
        <v>1.0384615384615385</v>
      </c>
    </row>
    <row r="43" spans="1:15" ht="15" customHeight="1">
      <c r="A43" s="215" t="s">
        <v>78</v>
      </c>
      <c r="B43" s="216">
        <f t="shared" si="11"/>
        <v>0.13400000000000001</v>
      </c>
      <c r="C43" s="250">
        <f t="shared" si="12"/>
        <v>108.20895522388059</v>
      </c>
      <c r="D43" s="250">
        <f t="shared" si="12"/>
        <v>108.20895522388059</v>
      </c>
      <c r="E43" s="250">
        <f t="shared" si="12"/>
        <v>94.02985074626865</v>
      </c>
      <c r="F43" s="250">
        <f t="shared" si="12"/>
        <v>107.46268656716416</v>
      </c>
      <c r="G43" s="250">
        <f t="shared" si="12"/>
        <v>108.955223880597</v>
      </c>
      <c r="H43" s="250">
        <f t="shared" si="12"/>
        <v>101.49253731343283</v>
      </c>
      <c r="I43" s="250">
        <f t="shared" si="12"/>
        <v>104.47761194029852</v>
      </c>
      <c r="J43" s="250">
        <f t="shared" si="12"/>
        <v>103.73134328358209</v>
      </c>
      <c r="K43" s="250">
        <f t="shared" si="12"/>
        <v>104.47761194029852</v>
      </c>
      <c r="L43" s="251">
        <f t="shared" ref="L43:M47" si="14">L13/$B13*100</f>
        <v>104.47761194029852</v>
      </c>
      <c r="M43" s="250">
        <f t="shared" si="14"/>
        <v>108.955223880597</v>
      </c>
      <c r="N43" s="250">
        <f>N14/$B14*100</f>
        <v>53.061224489795912</v>
      </c>
      <c r="O43" s="251">
        <f>O15/$B15*100</f>
        <v>0.87450980392156874</v>
      </c>
    </row>
    <row r="44" spans="1:15" ht="15" customHeight="1">
      <c r="A44" s="220" t="s">
        <v>79</v>
      </c>
      <c r="B44" s="221">
        <f t="shared" si="11"/>
        <v>0.19600000000000001</v>
      </c>
      <c r="C44" s="252">
        <f t="shared" si="12"/>
        <v>90.306122448979593</v>
      </c>
      <c r="D44" s="252">
        <f t="shared" si="12"/>
        <v>98.469387755102048</v>
      </c>
      <c r="E44" s="252">
        <f t="shared" si="12"/>
        <v>98.469387755102048</v>
      </c>
      <c r="F44" s="252">
        <f t="shared" si="12"/>
        <v>88.775510204081627</v>
      </c>
      <c r="G44" s="252">
        <f t="shared" si="12"/>
        <v>79.591836734693871</v>
      </c>
      <c r="H44" s="252">
        <f t="shared" si="12"/>
        <v>85.204081632653057</v>
      </c>
      <c r="I44" s="252">
        <f t="shared" si="12"/>
        <v>90.306122448979593</v>
      </c>
      <c r="J44" s="252">
        <f t="shared" si="12"/>
        <v>85.714285714285722</v>
      </c>
      <c r="K44" s="252">
        <f t="shared" si="12"/>
        <v>87.244897959183675</v>
      </c>
      <c r="L44" s="253">
        <f t="shared" si="14"/>
        <v>91.326530612244895</v>
      </c>
      <c r="M44" s="252">
        <f t="shared" si="14"/>
        <v>89.285714285714278</v>
      </c>
      <c r="N44" s="252">
        <f t="shared" ref="N44:O47" si="15">N14/$B14*100</f>
        <v>53.061224489795912</v>
      </c>
      <c r="O44" s="253">
        <f t="shared" si="15"/>
        <v>0.89285714285714279</v>
      </c>
    </row>
    <row r="45" spans="1:15" ht="15" customHeight="1">
      <c r="A45" s="215" t="s">
        <v>61</v>
      </c>
      <c r="B45" s="216">
        <f t="shared" si="11"/>
        <v>0.255</v>
      </c>
      <c r="C45" s="250">
        <f t="shared" si="12"/>
        <v>94.509803921568619</v>
      </c>
      <c r="D45" s="250">
        <f t="shared" si="12"/>
        <v>78.039215686274517</v>
      </c>
      <c r="E45" s="250">
        <f t="shared" si="12"/>
        <v>144.31372549019608</v>
      </c>
      <c r="F45" s="250">
        <f t="shared" si="12"/>
        <v>89.803921568627459</v>
      </c>
      <c r="G45" s="250">
        <f t="shared" si="12"/>
        <v>62.352941176470587</v>
      </c>
      <c r="H45" s="250">
        <f t="shared" si="12"/>
        <v>94.117647058823522</v>
      </c>
      <c r="I45" s="250">
        <f t="shared" si="12"/>
        <v>90.588235294117652</v>
      </c>
      <c r="J45" s="250">
        <f t="shared" si="12"/>
        <v>87.843137254901961</v>
      </c>
      <c r="K45" s="250">
        <f t="shared" si="12"/>
        <v>96.862745098039213</v>
      </c>
      <c r="L45" s="251">
        <f t="shared" si="14"/>
        <v>87.450980392156865</v>
      </c>
      <c r="M45" s="250">
        <f t="shared" si="14"/>
        <v>87.450980392156865</v>
      </c>
      <c r="N45" s="250">
        <f t="shared" si="15"/>
        <v>46.274509803921568</v>
      </c>
      <c r="O45" s="251">
        <f t="shared" si="15"/>
        <v>0.87450980392156874</v>
      </c>
    </row>
    <row r="46" spans="1:15" ht="15" customHeight="1">
      <c r="A46" s="220" t="s">
        <v>81</v>
      </c>
      <c r="B46" s="238">
        <f t="shared" si="11"/>
        <v>123829</v>
      </c>
      <c r="C46" s="258">
        <f t="shared" si="12"/>
        <v>92.545364979124429</v>
      </c>
      <c r="D46" s="258">
        <f t="shared" si="12"/>
        <v>93.166382672879536</v>
      </c>
      <c r="E46" s="258">
        <f t="shared" si="12"/>
        <v>93.748637233604398</v>
      </c>
      <c r="F46" s="258">
        <f t="shared" si="12"/>
        <v>94.28486057385588</v>
      </c>
      <c r="G46" s="258">
        <f t="shared" si="12"/>
        <v>82.647845012073091</v>
      </c>
      <c r="H46" s="258">
        <f t="shared" si="12"/>
        <v>95.053662712288727</v>
      </c>
      <c r="I46" s="258">
        <f t="shared" si="12"/>
        <v>93.169612933965382</v>
      </c>
      <c r="J46" s="258">
        <f t="shared" si="12"/>
        <v>84.599730273199341</v>
      </c>
      <c r="K46" s="258">
        <f t="shared" si="12"/>
        <v>86.168022030380612</v>
      </c>
      <c r="L46" s="259">
        <f t="shared" si="14"/>
        <v>89.202044755267337</v>
      </c>
      <c r="M46" s="258">
        <f t="shared" si="14"/>
        <v>94.447988758691423</v>
      </c>
      <c r="N46" s="258">
        <f t="shared" si="15"/>
        <v>92.278868439541625</v>
      </c>
      <c r="O46" s="259">
        <f t="shared" si="15"/>
        <v>94.447988758691423</v>
      </c>
    </row>
    <row r="47" spans="1:15" ht="15" customHeight="1">
      <c r="A47" s="241" t="s">
        <v>82</v>
      </c>
      <c r="B47" s="216">
        <f t="shared" si="11"/>
        <v>0.35099999999999998</v>
      </c>
      <c r="C47" s="250">
        <f t="shared" si="12"/>
        <v>96.581196581196593</v>
      </c>
      <c r="D47" s="250">
        <f t="shared" si="12"/>
        <v>116.8091168091168</v>
      </c>
      <c r="E47" s="250">
        <f t="shared" si="12"/>
        <v>113.96011396011396</v>
      </c>
      <c r="F47" s="250">
        <f t="shared" si="12"/>
        <v>103.41880341880344</v>
      </c>
      <c r="G47" s="250">
        <f t="shared" si="12"/>
        <v>111.68091168091169</v>
      </c>
      <c r="H47" s="250">
        <f t="shared" si="12"/>
        <v>92.877492877492884</v>
      </c>
      <c r="I47" s="250">
        <f t="shared" si="12"/>
        <v>91.168091168091181</v>
      </c>
      <c r="J47" s="250">
        <f t="shared" si="12"/>
        <v>97.720797720797734</v>
      </c>
      <c r="K47" s="250">
        <f t="shared" si="12"/>
        <v>81.76638176638177</v>
      </c>
      <c r="L47" s="251">
        <f t="shared" si="14"/>
        <v>92.592592592592609</v>
      </c>
      <c r="M47" s="250">
        <f t="shared" si="14"/>
        <v>93.162393162393172</v>
      </c>
      <c r="N47" s="250">
        <f t="shared" si="15"/>
        <v>97.150997150997171</v>
      </c>
      <c r="O47" s="251">
        <f t="shared" si="15"/>
        <v>99.572649572649581</v>
      </c>
    </row>
    <row r="48" spans="1:15" ht="15" customHeight="1">
      <c r="A48" s="228" t="s">
        <v>83</v>
      </c>
      <c r="B48" s="229"/>
      <c r="C48" s="256"/>
      <c r="D48" s="256"/>
      <c r="E48" s="256"/>
      <c r="F48" s="256"/>
      <c r="G48" s="256"/>
      <c r="H48" s="256"/>
      <c r="I48" s="256"/>
      <c r="J48" s="256"/>
      <c r="K48" s="256"/>
      <c r="L48" s="257"/>
      <c r="M48" s="256"/>
      <c r="N48" s="256"/>
      <c r="O48" s="257"/>
    </row>
    <row r="49" spans="1:15" ht="15" customHeight="1">
      <c r="A49" s="215" t="s">
        <v>84</v>
      </c>
      <c r="B49" s="216">
        <f>B19</f>
        <v>0.315</v>
      </c>
      <c r="C49" s="250">
        <f t="shared" ref="C49:K52" si="16">C19/$B19*100</f>
        <v>87.301587301587318</v>
      </c>
      <c r="D49" s="250">
        <f t="shared" si="16"/>
        <v>122.85714285714286</v>
      </c>
      <c r="E49" s="250">
        <f t="shared" si="16"/>
        <v>63.17460317460317</v>
      </c>
      <c r="F49" s="250">
        <f t="shared" si="16"/>
        <v>93.015873015873012</v>
      </c>
      <c r="G49" s="250">
        <f t="shared" si="16"/>
        <v>148.25396825396825</v>
      </c>
      <c r="H49" s="250">
        <f t="shared" si="16"/>
        <v>88.253968253968267</v>
      </c>
      <c r="I49" s="250">
        <f t="shared" si="16"/>
        <v>85.714285714285722</v>
      </c>
      <c r="J49" s="250">
        <f t="shared" si="16"/>
        <v>91.746031746031747</v>
      </c>
      <c r="K49" s="250">
        <f t="shared" si="16"/>
        <v>81.904761904761898</v>
      </c>
      <c r="L49" s="251">
        <f t="shared" ref="L49:O52" si="17">L19/$B19*100</f>
        <v>87.619047619047635</v>
      </c>
      <c r="M49" s="250">
        <f t="shared" si="17"/>
        <v>84.761904761904773</v>
      </c>
      <c r="N49" s="250">
        <f t="shared" si="17"/>
        <v>88.571428571428584</v>
      </c>
      <c r="O49" s="251">
        <f t="shared" si="17"/>
        <v>0.84761904761904761</v>
      </c>
    </row>
    <row r="50" spans="1:15" ht="15" customHeight="1">
      <c r="A50" s="220" t="s">
        <v>85</v>
      </c>
      <c r="B50" s="221">
        <f>B20</f>
        <v>0.25700000000000001</v>
      </c>
      <c r="C50" s="252">
        <f t="shared" si="16"/>
        <v>94.163424124513611</v>
      </c>
      <c r="D50" s="252">
        <f t="shared" si="16"/>
        <v>104.28015564202336</v>
      </c>
      <c r="E50" s="252">
        <f t="shared" si="16"/>
        <v>81.322957198443575</v>
      </c>
      <c r="F50" s="252">
        <f t="shared" si="16"/>
        <v>97.665369649805442</v>
      </c>
      <c r="G50" s="252">
        <f t="shared" si="16"/>
        <v>98.054474708171199</v>
      </c>
      <c r="H50" s="252">
        <f t="shared" si="16"/>
        <v>90.661478599221795</v>
      </c>
      <c r="I50" s="252">
        <f t="shared" si="16"/>
        <v>91.050583657587552</v>
      </c>
      <c r="J50" s="252">
        <f t="shared" si="16"/>
        <v>95.330739299610883</v>
      </c>
      <c r="K50" s="252">
        <f t="shared" si="16"/>
        <v>86.770428015564207</v>
      </c>
      <c r="L50" s="253">
        <f t="shared" si="17"/>
        <v>93.385214007782096</v>
      </c>
      <c r="M50" s="252">
        <f t="shared" si="17"/>
        <v>91.439688715953309</v>
      </c>
      <c r="N50" s="252">
        <f t="shared" si="17"/>
        <v>102.33463035019454</v>
      </c>
      <c r="O50" s="253">
        <f t="shared" si="17"/>
        <v>0.91439688715953293</v>
      </c>
    </row>
    <row r="51" spans="1:15" ht="15" customHeight="1">
      <c r="A51" s="215" t="s">
        <v>86</v>
      </c>
      <c r="B51" s="216">
        <f>B21</f>
        <v>0.26</v>
      </c>
      <c r="C51" s="250">
        <f t="shared" si="16"/>
        <v>108.46153846153845</v>
      </c>
      <c r="D51" s="250">
        <f t="shared" si="16"/>
        <v>78.461538461538453</v>
      </c>
      <c r="E51" s="250">
        <f t="shared" si="16"/>
        <v>141.15384615384613</v>
      </c>
      <c r="F51" s="250">
        <f t="shared" si="16"/>
        <v>103.84615384615385</v>
      </c>
      <c r="G51" s="250">
        <f t="shared" si="16"/>
        <v>66.538461538461533</v>
      </c>
      <c r="H51" s="250">
        <f t="shared" si="16"/>
        <v>109.99999999999999</v>
      </c>
      <c r="I51" s="250">
        <f t="shared" si="16"/>
        <v>111.53846153846152</v>
      </c>
      <c r="J51" s="250">
        <f t="shared" si="16"/>
        <v>108.07692307692309</v>
      </c>
      <c r="K51" s="250">
        <f t="shared" si="16"/>
        <v>111.15384615384613</v>
      </c>
      <c r="L51" s="251">
        <f t="shared" si="17"/>
        <v>109.99999999999999</v>
      </c>
      <c r="M51" s="250">
        <f t="shared" si="17"/>
        <v>115.76923076923076</v>
      </c>
      <c r="N51" s="250">
        <f t="shared" si="17"/>
        <v>108.07692307692309</v>
      </c>
      <c r="O51" s="251">
        <f t="shared" si="17"/>
        <v>1.1576923076923076</v>
      </c>
    </row>
    <row r="52" spans="1:15" ht="15" customHeight="1">
      <c r="A52" s="220" t="s">
        <v>87</v>
      </c>
      <c r="B52" s="221">
        <f>B22</f>
        <v>0.16900000000000001</v>
      </c>
      <c r="C52" s="252">
        <f t="shared" si="16"/>
        <v>119.52662721893491</v>
      </c>
      <c r="D52" s="252">
        <f t="shared" si="16"/>
        <v>83.431952662721869</v>
      </c>
      <c r="E52" s="252">
        <f t="shared" si="16"/>
        <v>133.1360946745562</v>
      </c>
      <c r="F52" s="252">
        <f t="shared" si="16"/>
        <v>110.05917159763312</v>
      </c>
      <c r="G52" s="252">
        <f t="shared" si="16"/>
        <v>63.905325443786978</v>
      </c>
      <c r="H52" s="252">
        <f t="shared" si="16"/>
        <v>120.71005917159763</v>
      </c>
      <c r="I52" s="252">
        <f t="shared" si="16"/>
        <v>121.89349112426034</v>
      </c>
      <c r="J52" s="252">
        <f t="shared" si="16"/>
        <v>110.05917159763312</v>
      </c>
      <c r="K52" s="252">
        <f t="shared" si="16"/>
        <v>136.09467455621302</v>
      </c>
      <c r="L52" s="253">
        <f t="shared" si="17"/>
        <v>117.15976331360946</v>
      </c>
      <c r="M52" s="252">
        <f t="shared" si="17"/>
        <v>115.97633136094674</v>
      </c>
      <c r="N52" s="252">
        <f t="shared" si="17"/>
        <v>104.73372781065086</v>
      </c>
      <c r="O52" s="253">
        <f t="shared" si="17"/>
        <v>1.1597633136094674</v>
      </c>
    </row>
    <row r="53" spans="1:15" ht="15" customHeight="1">
      <c r="A53" s="241" t="s">
        <v>88</v>
      </c>
      <c r="B53" s="217"/>
      <c r="C53" s="260"/>
      <c r="D53" s="260"/>
      <c r="E53" s="260"/>
      <c r="F53" s="260"/>
      <c r="G53" s="260"/>
      <c r="H53" s="260"/>
      <c r="I53" s="260"/>
      <c r="J53" s="260"/>
      <c r="K53" s="260"/>
      <c r="L53" s="261"/>
      <c r="M53" s="260"/>
      <c r="N53" s="260"/>
      <c r="O53" s="261"/>
    </row>
    <row r="54" spans="1:15" ht="15" customHeight="1">
      <c r="A54" s="220" t="s">
        <v>69</v>
      </c>
      <c r="B54" s="221">
        <f>B24</f>
        <v>0.42</v>
      </c>
      <c r="C54" s="252">
        <f t="shared" ref="C54:K58" si="18">C24/$B24*100</f>
        <v>124.52380952380952</v>
      </c>
      <c r="D54" s="252">
        <f t="shared" si="18"/>
        <v>148.80952380952382</v>
      </c>
      <c r="E54" s="252">
        <f t="shared" si="18"/>
        <v>140.47619047619045</v>
      </c>
      <c r="F54" s="252">
        <f t="shared" si="18"/>
        <v>117.38095238095238</v>
      </c>
      <c r="G54" s="252">
        <f t="shared" si="18"/>
        <v>133.57142857142858</v>
      </c>
      <c r="H54" s="252">
        <f t="shared" si="18"/>
        <v>111.19047619047619</v>
      </c>
      <c r="I54" s="252">
        <f t="shared" si="18"/>
        <v>112.14285714285714</v>
      </c>
      <c r="J54" s="252">
        <f t="shared" si="18"/>
        <v>106.9047619047619</v>
      </c>
      <c r="K54" s="252">
        <f t="shared" si="18"/>
        <v>115.95238095238096</v>
      </c>
      <c r="L54" s="253">
        <f t="shared" ref="L54:O58" si="19">L24/$B24*100</f>
        <v>110.71428571428572</v>
      </c>
      <c r="M54" s="252">
        <f t="shared" si="19"/>
        <v>109.52380952380953</v>
      </c>
      <c r="N54" s="252">
        <f t="shared" si="19"/>
        <v>82.857142857142847</v>
      </c>
      <c r="O54" s="253">
        <f t="shared" si="19"/>
        <v>1.0952380952380953</v>
      </c>
    </row>
    <row r="55" spans="1:15" ht="15" customHeight="1">
      <c r="A55" s="215" t="s">
        <v>70</v>
      </c>
      <c r="B55" s="216">
        <f>B25</f>
        <v>0.32600000000000001</v>
      </c>
      <c r="C55" s="250">
        <f t="shared" si="18"/>
        <v>74.539877300613483</v>
      </c>
      <c r="D55" s="250">
        <f t="shared" si="18"/>
        <v>31.595092024539873</v>
      </c>
      <c r="E55" s="250">
        <f t="shared" si="18"/>
        <v>35.889570552147241</v>
      </c>
      <c r="F55" s="250">
        <f t="shared" si="18"/>
        <v>82.822085889570545</v>
      </c>
      <c r="G55" s="250">
        <f t="shared" si="18"/>
        <v>28.220858895705518</v>
      </c>
      <c r="H55" s="250">
        <f t="shared" si="18"/>
        <v>92.331288343558271</v>
      </c>
      <c r="I55" s="250">
        <f t="shared" si="18"/>
        <v>90.184049079754587</v>
      </c>
      <c r="J55" s="250">
        <f t="shared" si="18"/>
        <v>94.478527607361968</v>
      </c>
      <c r="K55" s="250">
        <f t="shared" si="18"/>
        <v>88.650306748466249</v>
      </c>
      <c r="L55" s="251">
        <f t="shared" si="19"/>
        <v>92.638036809815944</v>
      </c>
      <c r="M55" s="250">
        <f t="shared" si="19"/>
        <v>95.398773006134959</v>
      </c>
      <c r="N55" s="250">
        <f t="shared" si="19"/>
        <v>124.53987730061351</v>
      </c>
      <c r="O55" s="251">
        <f t="shared" si="19"/>
        <v>0.95398773006134963</v>
      </c>
    </row>
    <row r="56" spans="1:15" ht="15" customHeight="1">
      <c r="A56" s="220" t="s">
        <v>71</v>
      </c>
      <c r="B56" s="221">
        <f>B26</f>
        <v>0.121</v>
      </c>
      <c r="C56" s="252">
        <f t="shared" si="18"/>
        <v>95.041322314049594</v>
      </c>
      <c r="D56" s="252">
        <f t="shared" si="18"/>
        <v>138.01652892561984</v>
      </c>
      <c r="E56" s="252">
        <f t="shared" si="18"/>
        <v>87.603305785123965</v>
      </c>
      <c r="F56" s="252">
        <f t="shared" si="18"/>
        <v>99.173553719008268</v>
      </c>
      <c r="G56" s="252">
        <f t="shared" si="18"/>
        <v>199.17355371900825</v>
      </c>
      <c r="H56" s="252">
        <f t="shared" si="18"/>
        <v>95.041322314049594</v>
      </c>
      <c r="I56" s="252">
        <f t="shared" si="18"/>
        <v>96.694214876033072</v>
      </c>
      <c r="J56" s="252">
        <f t="shared" si="18"/>
        <v>100</v>
      </c>
      <c r="K56" s="252">
        <f t="shared" si="18"/>
        <v>90.909090909090921</v>
      </c>
      <c r="L56" s="253">
        <f t="shared" si="19"/>
        <v>95.041322314049594</v>
      </c>
      <c r="M56" s="252">
        <f t="shared" si="19"/>
        <v>96.694214876033072</v>
      </c>
      <c r="N56" s="252">
        <f t="shared" si="19"/>
        <v>104.95867768595042</v>
      </c>
      <c r="O56" s="253">
        <f t="shared" si="19"/>
        <v>0.96694214876033058</v>
      </c>
    </row>
    <row r="57" spans="1:15" ht="15" customHeight="1">
      <c r="A57" s="215" t="s">
        <v>72</v>
      </c>
      <c r="B57" s="216">
        <f>B27</f>
        <v>6.8000000000000005E-2</v>
      </c>
      <c r="C57" s="250">
        <f t="shared" si="18"/>
        <v>100</v>
      </c>
      <c r="D57" s="250">
        <f t="shared" si="18"/>
        <v>72.058823529411768</v>
      </c>
      <c r="E57" s="250">
        <f t="shared" si="18"/>
        <v>204.41176470588235</v>
      </c>
      <c r="F57" s="250">
        <f t="shared" si="18"/>
        <v>97.058823529411768</v>
      </c>
      <c r="G57" s="250">
        <f t="shared" si="18"/>
        <v>41.17647058823529</v>
      </c>
      <c r="H57" s="250">
        <f t="shared" si="18"/>
        <v>101.47058823529412</v>
      </c>
      <c r="I57" s="250">
        <f t="shared" si="18"/>
        <v>100</v>
      </c>
      <c r="J57" s="250">
        <f t="shared" si="18"/>
        <v>102.94117647058825</v>
      </c>
      <c r="K57" s="250">
        <f t="shared" si="18"/>
        <v>95.588235294117638</v>
      </c>
      <c r="L57" s="251">
        <f t="shared" si="19"/>
        <v>100</v>
      </c>
      <c r="M57" s="250">
        <f t="shared" si="19"/>
        <v>89.705882352941174</v>
      </c>
      <c r="N57" s="250">
        <f t="shared" si="19"/>
        <v>82.35294117647058</v>
      </c>
      <c r="O57" s="251">
        <f t="shared" si="19"/>
        <v>0.89705882352941169</v>
      </c>
    </row>
    <row r="58" spans="1:15" ht="15" customHeight="1">
      <c r="A58" s="220" t="s">
        <v>73</v>
      </c>
      <c r="B58" s="221">
        <f>B28</f>
        <v>6.6000000000000003E-2</v>
      </c>
      <c r="C58" s="252">
        <f t="shared" si="18"/>
        <v>75.757575757575751</v>
      </c>
      <c r="D58" s="252">
        <f t="shared" si="18"/>
        <v>83.333333333333329</v>
      </c>
      <c r="E58" s="252">
        <f t="shared" si="18"/>
        <v>74.242424242424249</v>
      </c>
      <c r="F58" s="252">
        <f t="shared" si="18"/>
        <v>77.272727272727266</v>
      </c>
      <c r="G58" s="252">
        <f t="shared" si="18"/>
        <v>119.6969696969697</v>
      </c>
      <c r="H58" s="252">
        <f t="shared" si="18"/>
        <v>74.242424242424249</v>
      </c>
      <c r="I58" s="252">
        <f t="shared" si="18"/>
        <v>77.272727272727266</v>
      </c>
      <c r="J58" s="252">
        <f t="shared" si="18"/>
        <v>77.272727272727266</v>
      </c>
      <c r="K58" s="252">
        <f t="shared" si="18"/>
        <v>74.242424242424249</v>
      </c>
      <c r="L58" s="253">
        <f t="shared" si="19"/>
        <v>77.272727272727266</v>
      </c>
      <c r="M58" s="252">
        <f t="shared" si="19"/>
        <v>78.787878787878782</v>
      </c>
      <c r="N58" s="252">
        <f t="shared" si="19"/>
        <v>95.454545454545453</v>
      </c>
      <c r="O58" s="253">
        <f t="shared" si="19"/>
        <v>0.78787878787878773</v>
      </c>
    </row>
  </sheetData>
  <mergeCells count="3">
    <mergeCell ref="Y15:AH21"/>
    <mergeCell ref="AC24:AH28"/>
    <mergeCell ref="S2:AA6"/>
  </mergeCells>
  <conditionalFormatting sqref="C33:C39">
    <cfRule type="colorScale" priority="69">
      <colorScale>
        <cfvo type="min"/>
        <cfvo type="percentile" val="50"/>
        <cfvo type="max"/>
        <color rgb="FFF8696B"/>
        <color rgb="FFFFEB84"/>
        <color rgb="FF63BE7B"/>
      </colorScale>
    </cfRule>
  </conditionalFormatting>
  <conditionalFormatting sqref="C41:C46">
    <cfRule type="colorScale" priority="66">
      <colorScale>
        <cfvo type="min"/>
        <cfvo type="percentile" val="50"/>
        <cfvo type="max"/>
        <color rgb="FFF8696B"/>
        <color rgb="FFFFEB84"/>
        <color rgb="FF63BE7B"/>
      </colorScale>
    </cfRule>
  </conditionalFormatting>
  <conditionalFormatting sqref="C49:C52">
    <cfRule type="colorScale" priority="65">
      <colorScale>
        <cfvo type="min"/>
        <cfvo type="percentile" val="50"/>
        <cfvo type="max"/>
        <color rgb="FFF8696B"/>
        <color rgb="FFFFEB84"/>
        <color rgb="FF63BE7B"/>
      </colorScale>
    </cfRule>
  </conditionalFormatting>
  <conditionalFormatting sqref="C54:C58">
    <cfRule type="colorScale" priority="64">
      <colorScale>
        <cfvo type="min"/>
        <cfvo type="percentile" val="50"/>
        <cfvo type="max"/>
        <color rgb="FFF8696B"/>
        <color rgb="FFFFEB84"/>
        <color rgb="FF63BE7B"/>
      </colorScale>
    </cfRule>
  </conditionalFormatting>
  <conditionalFormatting sqref="C47:O47">
    <cfRule type="cellIs" dxfId="2" priority="1" operator="equal">
      <formula>100</formula>
    </cfRule>
    <cfRule type="cellIs" dxfId="1" priority="2" operator="greaterThan">
      <formula>100</formula>
    </cfRule>
    <cfRule type="cellIs" dxfId="0" priority="3" operator="lessThan">
      <formula>100</formula>
    </cfRule>
  </conditionalFormatting>
  <conditionalFormatting sqref="D33:D39">
    <cfRule type="colorScale" priority="63">
      <colorScale>
        <cfvo type="min"/>
        <cfvo type="percentile" val="50"/>
        <cfvo type="max"/>
        <color rgb="FFF8696B"/>
        <color rgb="FFFFEB84"/>
        <color rgb="FF63BE7B"/>
      </colorScale>
    </cfRule>
  </conditionalFormatting>
  <conditionalFormatting sqref="D41:D46">
    <cfRule type="colorScale" priority="62">
      <colorScale>
        <cfvo type="min"/>
        <cfvo type="percentile" val="50"/>
        <cfvo type="max"/>
        <color rgb="FFF8696B"/>
        <color rgb="FFFFEB84"/>
        <color rgb="FF63BE7B"/>
      </colorScale>
    </cfRule>
  </conditionalFormatting>
  <conditionalFormatting sqref="D49:D52">
    <cfRule type="colorScale" priority="61">
      <colorScale>
        <cfvo type="min"/>
        <cfvo type="percentile" val="50"/>
        <cfvo type="max"/>
        <color rgb="FFF8696B"/>
        <color rgb="FFFFEB84"/>
        <color rgb="FF63BE7B"/>
      </colorScale>
    </cfRule>
  </conditionalFormatting>
  <conditionalFormatting sqref="D54:D58">
    <cfRule type="colorScale" priority="60">
      <colorScale>
        <cfvo type="min"/>
        <cfvo type="percentile" val="50"/>
        <cfvo type="max"/>
        <color rgb="FFF8696B"/>
        <color rgb="FFFFEB84"/>
        <color rgb="FF63BE7B"/>
      </colorScale>
    </cfRule>
  </conditionalFormatting>
  <conditionalFormatting sqref="E33:E39">
    <cfRule type="colorScale" priority="59">
      <colorScale>
        <cfvo type="min"/>
        <cfvo type="percentile" val="50"/>
        <cfvo type="max"/>
        <color rgb="FFF8696B"/>
        <color rgb="FFFFEB84"/>
        <color rgb="FF63BE7B"/>
      </colorScale>
    </cfRule>
  </conditionalFormatting>
  <conditionalFormatting sqref="E41:E46">
    <cfRule type="colorScale" priority="58">
      <colorScale>
        <cfvo type="min"/>
        <cfvo type="percentile" val="50"/>
        <cfvo type="max"/>
        <color rgb="FFF8696B"/>
        <color rgb="FFFFEB84"/>
        <color rgb="FF63BE7B"/>
      </colorScale>
    </cfRule>
  </conditionalFormatting>
  <conditionalFormatting sqref="E49:E52">
    <cfRule type="colorScale" priority="57">
      <colorScale>
        <cfvo type="min"/>
        <cfvo type="percentile" val="50"/>
        <cfvo type="max"/>
        <color rgb="FFF8696B"/>
        <color rgb="FFFFEB84"/>
        <color rgb="FF63BE7B"/>
      </colorScale>
    </cfRule>
  </conditionalFormatting>
  <conditionalFormatting sqref="E54:E58">
    <cfRule type="colorScale" priority="56">
      <colorScale>
        <cfvo type="min"/>
        <cfvo type="percentile" val="50"/>
        <cfvo type="max"/>
        <color rgb="FFF8696B"/>
        <color rgb="FFFFEB84"/>
        <color rgb="FF63BE7B"/>
      </colorScale>
    </cfRule>
  </conditionalFormatting>
  <conditionalFormatting sqref="F33:F39">
    <cfRule type="colorScale" priority="55">
      <colorScale>
        <cfvo type="min"/>
        <cfvo type="percentile" val="50"/>
        <cfvo type="max"/>
        <color rgb="FFF8696B"/>
        <color rgb="FFFFEB84"/>
        <color rgb="FF63BE7B"/>
      </colorScale>
    </cfRule>
  </conditionalFormatting>
  <conditionalFormatting sqref="F41:F46">
    <cfRule type="colorScale" priority="54">
      <colorScale>
        <cfvo type="min"/>
        <cfvo type="percentile" val="50"/>
        <cfvo type="max"/>
        <color rgb="FFF8696B"/>
        <color rgb="FFFFEB84"/>
        <color rgb="FF63BE7B"/>
      </colorScale>
    </cfRule>
  </conditionalFormatting>
  <conditionalFormatting sqref="F49:F52">
    <cfRule type="colorScale" priority="53">
      <colorScale>
        <cfvo type="min"/>
        <cfvo type="percentile" val="50"/>
        <cfvo type="max"/>
        <color rgb="FFF8696B"/>
        <color rgb="FFFFEB84"/>
        <color rgb="FF63BE7B"/>
      </colorScale>
    </cfRule>
  </conditionalFormatting>
  <conditionalFormatting sqref="F54:F58">
    <cfRule type="colorScale" priority="52">
      <colorScale>
        <cfvo type="min"/>
        <cfvo type="percentile" val="50"/>
        <cfvo type="max"/>
        <color rgb="FFF8696B"/>
        <color rgb="FFFFEB84"/>
        <color rgb="FF63BE7B"/>
      </colorScale>
    </cfRule>
  </conditionalFormatting>
  <conditionalFormatting sqref="G33:G39">
    <cfRule type="colorScale" priority="51">
      <colorScale>
        <cfvo type="min"/>
        <cfvo type="percentile" val="50"/>
        <cfvo type="max"/>
        <color rgb="FFF8696B"/>
        <color rgb="FFFFEB84"/>
        <color rgb="FF63BE7B"/>
      </colorScale>
    </cfRule>
  </conditionalFormatting>
  <conditionalFormatting sqref="G41:G46">
    <cfRule type="colorScale" priority="50">
      <colorScale>
        <cfvo type="min"/>
        <cfvo type="percentile" val="50"/>
        <cfvo type="max"/>
        <color rgb="FFF8696B"/>
        <color rgb="FFFFEB84"/>
        <color rgb="FF63BE7B"/>
      </colorScale>
    </cfRule>
  </conditionalFormatting>
  <conditionalFormatting sqref="G49:G52">
    <cfRule type="colorScale" priority="49">
      <colorScale>
        <cfvo type="min"/>
        <cfvo type="percentile" val="50"/>
        <cfvo type="max"/>
        <color rgb="FFF8696B"/>
        <color rgb="FFFFEB84"/>
        <color rgb="FF63BE7B"/>
      </colorScale>
    </cfRule>
  </conditionalFormatting>
  <conditionalFormatting sqref="G54:G58">
    <cfRule type="colorScale" priority="48">
      <colorScale>
        <cfvo type="min"/>
        <cfvo type="percentile" val="50"/>
        <cfvo type="max"/>
        <color rgb="FFF8696B"/>
        <color rgb="FFFFEB84"/>
        <color rgb="FF63BE7B"/>
      </colorScale>
    </cfRule>
  </conditionalFormatting>
  <conditionalFormatting sqref="H33:H39">
    <cfRule type="colorScale" priority="47">
      <colorScale>
        <cfvo type="min"/>
        <cfvo type="percentile" val="50"/>
        <cfvo type="max"/>
        <color rgb="FFF8696B"/>
        <color rgb="FFFFEB84"/>
        <color rgb="FF63BE7B"/>
      </colorScale>
    </cfRule>
  </conditionalFormatting>
  <conditionalFormatting sqref="H41:H46">
    <cfRule type="colorScale" priority="46">
      <colorScale>
        <cfvo type="min"/>
        <cfvo type="percentile" val="50"/>
        <cfvo type="max"/>
        <color rgb="FFF8696B"/>
        <color rgb="FFFFEB84"/>
        <color rgb="FF63BE7B"/>
      </colorScale>
    </cfRule>
  </conditionalFormatting>
  <conditionalFormatting sqref="H49:H52">
    <cfRule type="colorScale" priority="45">
      <colorScale>
        <cfvo type="min"/>
        <cfvo type="percentile" val="50"/>
        <cfvo type="max"/>
        <color rgb="FFF8696B"/>
        <color rgb="FFFFEB84"/>
        <color rgb="FF63BE7B"/>
      </colorScale>
    </cfRule>
  </conditionalFormatting>
  <conditionalFormatting sqref="H54:H58">
    <cfRule type="colorScale" priority="44">
      <colorScale>
        <cfvo type="min"/>
        <cfvo type="percentile" val="50"/>
        <cfvo type="max"/>
        <color rgb="FFF8696B"/>
        <color rgb="FFFFEB84"/>
        <color rgb="FF63BE7B"/>
      </colorScale>
    </cfRule>
  </conditionalFormatting>
  <conditionalFormatting sqref="I33:I39">
    <cfRule type="colorScale" priority="43">
      <colorScale>
        <cfvo type="min"/>
        <cfvo type="percentile" val="50"/>
        <cfvo type="max"/>
        <color rgb="FFF8696B"/>
        <color rgb="FFFFEB84"/>
        <color rgb="FF63BE7B"/>
      </colorScale>
    </cfRule>
  </conditionalFormatting>
  <conditionalFormatting sqref="I41:I46">
    <cfRule type="colorScale" priority="42">
      <colorScale>
        <cfvo type="min"/>
        <cfvo type="percentile" val="50"/>
        <cfvo type="max"/>
        <color rgb="FFF8696B"/>
        <color rgb="FFFFEB84"/>
        <color rgb="FF63BE7B"/>
      </colorScale>
    </cfRule>
  </conditionalFormatting>
  <conditionalFormatting sqref="I49:I52">
    <cfRule type="colorScale" priority="41">
      <colorScale>
        <cfvo type="min"/>
        <cfvo type="percentile" val="50"/>
        <cfvo type="max"/>
        <color rgb="FFF8696B"/>
        <color rgb="FFFFEB84"/>
        <color rgb="FF63BE7B"/>
      </colorScale>
    </cfRule>
  </conditionalFormatting>
  <conditionalFormatting sqref="I54:I58">
    <cfRule type="colorScale" priority="40">
      <colorScale>
        <cfvo type="min"/>
        <cfvo type="percentile" val="50"/>
        <cfvo type="max"/>
        <color rgb="FFF8696B"/>
        <color rgb="FFFFEB84"/>
        <color rgb="FF63BE7B"/>
      </colorScale>
    </cfRule>
  </conditionalFormatting>
  <conditionalFormatting sqref="J33:J39">
    <cfRule type="colorScale" priority="39">
      <colorScale>
        <cfvo type="min"/>
        <cfvo type="percentile" val="50"/>
        <cfvo type="max"/>
        <color rgb="FFF8696B"/>
        <color rgb="FFFFEB84"/>
        <color rgb="FF63BE7B"/>
      </colorScale>
    </cfRule>
  </conditionalFormatting>
  <conditionalFormatting sqref="J41:J46">
    <cfRule type="colorScale" priority="38">
      <colorScale>
        <cfvo type="min"/>
        <cfvo type="percentile" val="50"/>
        <cfvo type="max"/>
        <color rgb="FFF8696B"/>
        <color rgb="FFFFEB84"/>
        <color rgb="FF63BE7B"/>
      </colorScale>
    </cfRule>
  </conditionalFormatting>
  <conditionalFormatting sqref="J49:J52">
    <cfRule type="colorScale" priority="37">
      <colorScale>
        <cfvo type="min"/>
        <cfvo type="percentile" val="50"/>
        <cfvo type="max"/>
        <color rgb="FFF8696B"/>
        <color rgb="FFFFEB84"/>
        <color rgb="FF63BE7B"/>
      </colorScale>
    </cfRule>
  </conditionalFormatting>
  <conditionalFormatting sqref="J54:J58">
    <cfRule type="colorScale" priority="36">
      <colorScale>
        <cfvo type="min"/>
        <cfvo type="percentile" val="50"/>
        <cfvo type="max"/>
        <color rgb="FFF8696B"/>
        <color rgb="FFFFEB84"/>
        <color rgb="FF63BE7B"/>
      </colorScale>
    </cfRule>
  </conditionalFormatting>
  <conditionalFormatting sqref="K33:K39">
    <cfRule type="colorScale" priority="35">
      <colorScale>
        <cfvo type="min"/>
        <cfvo type="percentile" val="50"/>
        <cfvo type="max"/>
        <color rgb="FFF8696B"/>
        <color rgb="FFFFEB84"/>
        <color rgb="FF63BE7B"/>
      </colorScale>
    </cfRule>
  </conditionalFormatting>
  <conditionalFormatting sqref="K41:K46">
    <cfRule type="colorScale" priority="34">
      <colorScale>
        <cfvo type="min"/>
        <cfvo type="percentile" val="50"/>
        <cfvo type="max"/>
        <color rgb="FFF8696B"/>
        <color rgb="FFFFEB84"/>
        <color rgb="FF63BE7B"/>
      </colorScale>
    </cfRule>
  </conditionalFormatting>
  <conditionalFormatting sqref="K49:K52">
    <cfRule type="colorScale" priority="33">
      <colorScale>
        <cfvo type="min"/>
        <cfvo type="percentile" val="50"/>
        <cfvo type="max"/>
        <color rgb="FFF8696B"/>
        <color rgb="FFFFEB84"/>
        <color rgb="FF63BE7B"/>
      </colorScale>
    </cfRule>
  </conditionalFormatting>
  <conditionalFormatting sqref="K54:K58">
    <cfRule type="colorScale" priority="32">
      <colorScale>
        <cfvo type="min"/>
        <cfvo type="percentile" val="50"/>
        <cfvo type="max"/>
        <color rgb="FFF8696B"/>
        <color rgb="FFFFEB84"/>
        <color rgb="FF63BE7B"/>
      </colorScale>
    </cfRule>
  </conditionalFormatting>
  <conditionalFormatting sqref="L33:L39">
    <cfRule type="colorScale" priority="28">
      <colorScale>
        <cfvo type="min"/>
        <cfvo type="percentile" val="50"/>
        <cfvo type="max"/>
        <color rgb="FFF8696B"/>
        <color rgb="FFFFEB84"/>
        <color rgb="FF63BE7B"/>
      </colorScale>
    </cfRule>
  </conditionalFormatting>
  <conditionalFormatting sqref="L41:L46">
    <cfRule type="colorScale" priority="27">
      <colorScale>
        <cfvo type="min"/>
        <cfvo type="percentile" val="50"/>
        <cfvo type="max"/>
        <color rgb="FFF8696B"/>
        <color rgb="FFFFEB84"/>
        <color rgb="FF63BE7B"/>
      </colorScale>
    </cfRule>
  </conditionalFormatting>
  <conditionalFormatting sqref="L49:L52">
    <cfRule type="colorScale" priority="26">
      <colorScale>
        <cfvo type="min"/>
        <cfvo type="percentile" val="50"/>
        <cfvo type="max"/>
        <color rgb="FFF8696B"/>
        <color rgb="FFFFEB84"/>
        <color rgb="FF63BE7B"/>
      </colorScale>
    </cfRule>
  </conditionalFormatting>
  <conditionalFormatting sqref="L54:L58">
    <cfRule type="colorScale" priority="25">
      <colorScale>
        <cfvo type="min"/>
        <cfvo type="percentile" val="50"/>
        <cfvo type="max"/>
        <color rgb="FFF8696B"/>
        <color rgb="FFFFEB84"/>
        <color rgb="FF63BE7B"/>
      </colorScale>
    </cfRule>
  </conditionalFormatting>
  <conditionalFormatting sqref="M33:M39">
    <cfRule type="colorScale" priority="14">
      <colorScale>
        <cfvo type="min"/>
        <cfvo type="percentile" val="50"/>
        <cfvo type="max"/>
        <color rgb="FFF8696B"/>
        <color rgb="FFFFEB84"/>
        <color rgb="FF63BE7B"/>
      </colorScale>
    </cfRule>
  </conditionalFormatting>
  <conditionalFormatting sqref="M41:M46">
    <cfRule type="colorScale" priority="13">
      <colorScale>
        <cfvo type="min"/>
        <cfvo type="percentile" val="50"/>
        <cfvo type="max"/>
        <color rgb="FFF8696B"/>
        <color rgb="FFFFEB84"/>
        <color rgb="FF63BE7B"/>
      </colorScale>
    </cfRule>
  </conditionalFormatting>
  <conditionalFormatting sqref="M49:M52">
    <cfRule type="colorScale" priority="12">
      <colorScale>
        <cfvo type="min"/>
        <cfvo type="percentile" val="50"/>
        <cfvo type="max"/>
        <color rgb="FFF8696B"/>
        <color rgb="FFFFEB84"/>
        <color rgb="FF63BE7B"/>
      </colorScale>
    </cfRule>
  </conditionalFormatting>
  <conditionalFormatting sqref="M54:M58">
    <cfRule type="colorScale" priority="11">
      <colorScale>
        <cfvo type="min"/>
        <cfvo type="percentile" val="50"/>
        <cfvo type="max"/>
        <color rgb="FFF8696B"/>
        <color rgb="FFFFEB84"/>
        <color rgb="FF63BE7B"/>
      </colorScale>
    </cfRule>
  </conditionalFormatting>
  <conditionalFormatting sqref="N33:N39">
    <cfRule type="colorScale" priority="7">
      <colorScale>
        <cfvo type="min"/>
        <cfvo type="percentile" val="50"/>
        <cfvo type="max"/>
        <color rgb="FFF8696B"/>
        <color rgb="FFFFEB84"/>
        <color rgb="FF63BE7B"/>
      </colorScale>
    </cfRule>
  </conditionalFormatting>
  <conditionalFormatting sqref="N41:N46">
    <cfRule type="colorScale" priority="6">
      <colorScale>
        <cfvo type="min"/>
        <cfvo type="percentile" val="50"/>
        <cfvo type="max"/>
        <color rgb="FFF8696B"/>
        <color rgb="FFFFEB84"/>
        <color rgb="FF63BE7B"/>
      </colorScale>
    </cfRule>
  </conditionalFormatting>
  <conditionalFormatting sqref="N49:N52">
    <cfRule type="colorScale" priority="5">
      <colorScale>
        <cfvo type="min"/>
        <cfvo type="percentile" val="50"/>
        <cfvo type="max"/>
        <color rgb="FFF8696B"/>
        <color rgb="FFFFEB84"/>
        <color rgb="FF63BE7B"/>
      </colorScale>
    </cfRule>
  </conditionalFormatting>
  <conditionalFormatting sqref="N54:N58">
    <cfRule type="colorScale" priority="4">
      <colorScale>
        <cfvo type="min"/>
        <cfvo type="percentile" val="50"/>
        <cfvo type="max"/>
        <color rgb="FFF8696B"/>
        <color rgb="FFFFEB84"/>
        <color rgb="FF63BE7B"/>
      </colorScale>
    </cfRule>
  </conditionalFormatting>
  <conditionalFormatting sqref="O33:O39">
    <cfRule type="colorScale" priority="21">
      <colorScale>
        <cfvo type="min"/>
        <cfvo type="percentile" val="50"/>
        <cfvo type="max"/>
        <color rgb="FFF8696B"/>
        <color rgb="FFFFEB84"/>
        <color rgb="FF63BE7B"/>
      </colorScale>
    </cfRule>
  </conditionalFormatting>
  <conditionalFormatting sqref="O41:O46">
    <cfRule type="colorScale" priority="20">
      <colorScale>
        <cfvo type="min"/>
        <cfvo type="percentile" val="50"/>
        <cfvo type="max"/>
        <color rgb="FFF8696B"/>
        <color rgb="FFFFEB84"/>
        <color rgb="FF63BE7B"/>
      </colorScale>
    </cfRule>
  </conditionalFormatting>
  <conditionalFormatting sqref="O49:O52">
    <cfRule type="colorScale" priority="19">
      <colorScale>
        <cfvo type="min"/>
        <cfvo type="percentile" val="50"/>
        <cfvo type="max"/>
        <color rgb="FFF8696B"/>
        <color rgb="FFFFEB84"/>
        <color rgb="FF63BE7B"/>
      </colorScale>
    </cfRule>
  </conditionalFormatting>
  <conditionalFormatting sqref="O54:O58">
    <cfRule type="colorScale" priority="18">
      <colorScale>
        <cfvo type="min"/>
        <cfvo type="percentile" val="50"/>
        <cfvo type="max"/>
        <color rgb="FFF8696B"/>
        <color rgb="FFFFEB84"/>
        <color rgb="FF63BE7B"/>
      </colorScale>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O32"/>
  <sheetViews>
    <sheetView topLeftCell="B1" zoomScaleNormal="100" workbookViewId="0">
      <selection activeCell="F3" sqref="F3:F26"/>
    </sheetView>
  </sheetViews>
  <sheetFormatPr defaultColWidth="8.85546875" defaultRowHeight="12"/>
  <cols>
    <col min="1" max="1" width="8.85546875" style="91"/>
    <col min="2" max="2" width="19.140625" style="91" bestFit="1" customWidth="1"/>
    <col min="3" max="3" width="14.5703125" style="91" customWidth="1"/>
    <col min="4" max="10" width="19" style="92" customWidth="1"/>
    <col min="11" max="11" width="8.85546875" style="79"/>
    <col min="12" max="12" width="33.42578125" style="79" customWidth="1"/>
    <col min="13" max="16384" width="8.85546875" style="79"/>
  </cols>
  <sheetData>
    <row r="1" spans="1:15" ht="30" customHeight="1">
      <c r="A1" s="76" t="s">
        <v>92</v>
      </c>
      <c r="B1" s="76" t="s">
        <v>93</v>
      </c>
      <c r="C1" s="76" t="s">
        <v>94</v>
      </c>
      <c r="D1" s="77" t="s">
        <v>95</v>
      </c>
      <c r="E1" s="78" t="s">
        <v>96</v>
      </c>
      <c r="F1" s="78" t="s">
        <v>97</v>
      </c>
      <c r="G1" s="78" t="s">
        <v>98</v>
      </c>
      <c r="H1" s="78" t="s">
        <v>99</v>
      </c>
      <c r="I1" s="78" t="s">
        <v>100</v>
      </c>
      <c r="J1" s="78" t="s">
        <v>101</v>
      </c>
    </row>
    <row r="2" spans="1:15" ht="15" customHeight="1">
      <c r="A2" s="80" t="str">
        <f>TEXT('[6]Top Zip Codes - 12 Months Endin'!B2,"00000")</f>
        <v>30309</v>
      </c>
      <c r="B2" s="80" t="str">
        <f>'[6]Top Zip Codes - 12 Months Endin'!C2</f>
        <v>Atlanta</v>
      </c>
      <c r="C2" s="80" t="str">
        <f>'[6]Top Zip Codes - 12 Months Endin'!D2</f>
        <v>GA</v>
      </c>
      <c r="D2" s="81">
        <f>'[6]Top Zip Codes - 12 Months Endin'!$E2</f>
        <v>1</v>
      </c>
      <c r="E2" s="82">
        <f>'[6]Top Zip Codes - 12 Months Endin'!$F2</f>
        <v>5.3400000000000003E-2</v>
      </c>
      <c r="F2" s="82">
        <f>Table8[[#This Row],[Percent of Visits]]</f>
        <v>5.3400000000000003E-2</v>
      </c>
      <c r="G2" s="83">
        <f>'[6]Top Zip Codes - 12 Months Endin'!H2</f>
        <v>20627</v>
      </c>
      <c r="H2" s="83">
        <f>'[6]Top Zip Codes - 12 Months Endin'!K2</f>
        <v>32958</v>
      </c>
      <c r="I2" s="82">
        <f>'[6]Top Zip Codes - 12 Months Endin'!L2</f>
        <v>1.4E-2</v>
      </c>
      <c r="J2" s="84">
        <f>'[6]Top Zip Codes - 12 Months Endin'!I2</f>
        <v>163225</v>
      </c>
      <c r="L2" s="79" t="str">
        <f t="shared" ref="L2:L11" si="0">A2&amp;": "&amp;B2&amp;", "&amp;C2&amp;" ("&amp;TEXT(E2,"0.0%")&amp;")"</f>
        <v>30309: Atlanta, GA (5.3%)</v>
      </c>
      <c r="N2" s="93" t="s">
        <v>2554</v>
      </c>
      <c r="O2" t="str" cm="1">
        <f t="array" ref="O2">ZIPAIAnalysis(Table8[#All])</f>
        <v>The Atlanta Botanical Garden is a vibrant local attraction, garnering significant visits from residents of Atlanta and surrounding cities. Its popularity is particularly high in close proximity neighborhoods, reflecting a strong sense of local loyalty and ease of access. Opportunities for growth may exist in expanding outreach to nearby suburbs.</v>
      </c>
    </row>
    <row r="3" spans="1:15" ht="15" customHeight="1">
      <c r="A3" s="80" t="str">
        <f>TEXT('[6]Top Zip Codes - 12 Months Endin'!B3,"00000")</f>
        <v>30306</v>
      </c>
      <c r="B3" s="80" t="str">
        <f>'[6]Top Zip Codes - 12 Months Endin'!C3</f>
        <v>Atlanta</v>
      </c>
      <c r="C3" s="80" t="str">
        <f>'[6]Top Zip Codes - 12 Months Endin'!D3</f>
        <v>GA</v>
      </c>
      <c r="D3" s="81">
        <f>'[6]Top Zip Codes - 12 Months Endin'!$E3</f>
        <v>1</v>
      </c>
      <c r="E3" s="82">
        <f>'[6]Top Zip Codes - 12 Months Endin'!$F3</f>
        <v>1.44E-2</v>
      </c>
      <c r="F3" s="82">
        <f>F2+Table8[[#This Row],[Percent of Visits]]</f>
        <v>6.7799999999999999E-2</v>
      </c>
      <c r="G3" s="83">
        <f>'[6]Top Zip Codes - 12 Months Endin'!H3</f>
        <v>12083</v>
      </c>
      <c r="H3" s="83">
        <f>'[6]Top Zip Codes - 12 Months Endin'!K3</f>
        <v>25250</v>
      </c>
      <c r="I3" s="82">
        <f>'[6]Top Zip Codes - 12 Months Endin'!L3</f>
        <v>0</v>
      </c>
      <c r="J3" s="84">
        <f>'[6]Top Zip Codes - 12 Months Endin'!I3</f>
        <v>195485</v>
      </c>
      <c r="L3" s="79" t="str">
        <f t="shared" si="0"/>
        <v>30306: Atlanta, GA (1.4%)</v>
      </c>
      <c r="O3"/>
    </row>
    <row r="4" spans="1:15" ht="15" customHeight="1">
      <c r="A4" s="80" t="str">
        <f>TEXT('[6]Top Zip Codes - 12 Months Endin'!B4,"00000")</f>
        <v>30318</v>
      </c>
      <c r="B4" s="80" t="str">
        <f>'[6]Top Zip Codes - 12 Months Endin'!C4</f>
        <v>Atlanta</v>
      </c>
      <c r="C4" s="80" t="str">
        <f>'[6]Top Zip Codes - 12 Months Endin'!D4</f>
        <v>GA</v>
      </c>
      <c r="D4" s="81">
        <f>'[6]Top Zip Codes - 12 Months Endin'!$E4</f>
        <v>4</v>
      </c>
      <c r="E4" s="82">
        <f>'[6]Top Zip Codes - 12 Months Endin'!$F4</f>
        <v>1.4E-2</v>
      </c>
      <c r="F4" s="82">
        <f>F3+Table8[[#This Row],[Percent of Visits]]</f>
        <v>8.1799999999999998E-2</v>
      </c>
      <c r="G4" s="83">
        <f>'[6]Top Zip Codes - 12 Months Endin'!H4</f>
        <v>30173</v>
      </c>
      <c r="H4" s="83">
        <f>'[6]Top Zip Codes - 12 Months Endin'!K4</f>
        <v>69546</v>
      </c>
      <c r="I4" s="82">
        <f>'[6]Top Zip Codes - 12 Months Endin'!L4</f>
        <v>2.1999999999999999E-2</v>
      </c>
      <c r="J4" s="84">
        <f>'[6]Top Zip Codes - 12 Months Endin'!I4</f>
        <v>119670</v>
      </c>
      <c r="L4" s="79" t="str">
        <f t="shared" si="0"/>
        <v>30318: Atlanta, GA (1.4%)</v>
      </c>
    </row>
    <row r="5" spans="1:15" ht="15" customHeight="1">
      <c r="A5" s="80" t="str">
        <f>TEXT('[6]Top Zip Codes - 12 Months Endin'!B5,"00000")</f>
        <v>30324</v>
      </c>
      <c r="B5" s="80" t="str">
        <f>'[6]Top Zip Codes - 12 Months Endin'!C5</f>
        <v>Atlanta</v>
      </c>
      <c r="C5" s="80" t="str">
        <f>'[6]Top Zip Codes - 12 Months Endin'!D5</f>
        <v>GA</v>
      </c>
      <c r="D5" s="81">
        <f>'[6]Top Zip Codes - 12 Months Endin'!$E5</f>
        <v>2</v>
      </c>
      <c r="E5" s="82">
        <f>'[6]Top Zip Codes - 12 Months Endin'!$F5</f>
        <v>1.38E-2</v>
      </c>
      <c r="F5" s="82">
        <f>F4+Table8[[#This Row],[Percent of Visits]]</f>
        <v>9.5599999999999991E-2</v>
      </c>
      <c r="G5" s="83">
        <f>'[6]Top Zip Codes - 12 Months Endin'!H5</f>
        <v>17292</v>
      </c>
      <c r="H5" s="83">
        <f>'[6]Top Zip Codes - 12 Months Endin'!K5</f>
        <v>31130</v>
      </c>
      <c r="I5" s="82">
        <f>'[6]Top Zip Codes - 12 Months Endin'!L5</f>
        <v>4.0000000000000001E-3</v>
      </c>
      <c r="J5" s="84">
        <f>'[6]Top Zip Codes - 12 Months Endin'!I5</f>
        <v>140368</v>
      </c>
      <c r="L5" s="79" t="str">
        <f t="shared" si="0"/>
        <v>30324: Atlanta, GA (1.4%)</v>
      </c>
    </row>
    <row r="6" spans="1:15" ht="15" customHeight="1">
      <c r="A6" s="80" t="str">
        <f>TEXT('[6]Top Zip Codes - 12 Months Endin'!B6,"00000")</f>
        <v>30308</v>
      </c>
      <c r="B6" s="80" t="str">
        <f>'[6]Top Zip Codes - 12 Months Endin'!C6</f>
        <v>Atlanta</v>
      </c>
      <c r="C6" s="80" t="str">
        <f>'[6]Top Zip Codes - 12 Months Endin'!D6</f>
        <v>GA</v>
      </c>
      <c r="D6" s="81">
        <f>'[6]Top Zip Codes - 12 Months Endin'!$E6</f>
        <v>1</v>
      </c>
      <c r="E6" s="82">
        <f>'[6]Top Zip Codes - 12 Months Endin'!$F6</f>
        <v>1.14E-2</v>
      </c>
      <c r="F6" s="82">
        <f>F5+Table8[[#This Row],[Percent of Visits]]</f>
        <v>0.10699999999999998</v>
      </c>
      <c r="G6" s="83">
        <f>'[6]Top Zip Codes - 12 Months Endin'!H6</f>
        <v>16035</v>
      </c>
      <c r="H6" s="83">
        <f>'[6]Top Zip Codes - 12 Months Endin'!K6</f>
        <v>28411</v>
      </c>
      <c r="I6" s="82">
        <f>'[6]Top Zip Codes - 12 Months Endin'!L6</f>
        <v>1.7999999999999999E-2</v>
      </c>
      <c r="J6" s="84">
        <f>'[6]Top Zip Codes - 12 Months Endin'!I6</f>
        <v>135026</v>
      </c>
      <c r="L6" s="79" t="str">
        <f t="shared" si="0"/>
        <v>30308: Atlanta, GA (1.1%)</v>
      </c>
    </row>
    <row r="7" spans="1:15" ht="15" customHeight="1">
      <c r="A7" s="80" t="str">
        <f>TEXT('[6]Top Zip Codes - 12 Months Endin'!B7,"00000")</f>
        <v>30319</v>
      </c>
      <c r="B7" s="80" t="str">
        <f>'[6]Top Zip Codes - 12 Months Endin'!C7</f>
        <v>Atlanta</v>
      </c>
      <c r="C7" s="80" t="str">
        <f>'[6]Top Zip Codes - 12 Months Endin'!D7</f>
        <v>GA</v>
      </c>
      <c r="D7" s="81">
        <f>'[6]Top Zip Codes - 12 Months Endin'!$E7</f>
        <v>6</v>
      </c>
      <c r="E7" s="82">
        <f>'[6]Top Zip Codes - 12 Months Endin'!$F7</f>
        <v>1.1299999999999999E-2</v>
      </c>
      <c r="F7" s="82">
        <f>F6+Table8[[#This Row],[Percent of Visits]]</f>
        <v>0.11829999999999999</v>
      </c>
      <c r="G7" s="83">
        <f>'[6]Top Zip Codes - 12 Months Endin'!H7</f>
        <v>20945</v>
      </c>
      <c r="H7" s="83">
        <f>'[6]Top Zip Codes - 12 Months Endin'!K7</f>
        <v>47541</v>
      </c>
      <c r="I7" s="82">
        <f>'[6]Top Zip Codes - 12 Months Endin'!L7</f>
        <v>8.0000000000000002E-3</v>
      </c>
      <c r="J7" s="84">
        <f>'[6]Top Zip Codes - 12 Months Endin'!I7</f>
        <v>203135</v>
      </c>
      <c r="L7" s="79" t="str">
        <f t="shared" si="0"/>
        <v>30319: Atlanta, GA (1.1%)</v>
      </c>
    </row>
    <row r="8" spans="1:15" ht="15" customHeight="1">
      <c r="A8" s="80" t="str">
        <f>TEXT('[6]Top Zip Codes - 12 Months Endin'!B8,"00000")</f>
        <v>30075</v>
      </c>
      <c r="B8" s="80" t="str">
        <f>'[6]Top Zip Codes - 12 Months Endin'!C8</f>
        <v>Roswell</v>
      </c>
      <c r="C8" s="80" t="str">
        <f>'[6]Top Zip Codes - 12 Months Endin'!D8</f>
        <v>GA</v>
      </c>
      <c r="D8" s="81">
        <f>'[6]Top Zip Codes - 12 Months Endin'!$E8</f>
        <v>17</v>
      </c>
      <c r="E8" s="82">
        <f>'[6]Top Zip Codes - 12 Months Endin'!$F8</f>
        <v>1.0800000000000001E-2</v>
      </c>
      <c r="F8" s="82">
        <f>F7+Table8[[#This Row],[Percent of Visits]]</f>
        <v>0.12909999999999999</v>
      </c>
      <c r="G8" s="83">
        <f>'[6]Top Zip Codes - 12 Months Endin'!H8</f>
        <v>20798</v>
      </c>
      <c r="H8" s="83">
        <f>'[6]Top Zip Codes - 12 Months Endin'!K8</f>
        <v>55478</v>
      </c>
      <c r="I8" s="82">
        <f>'[6]Top Zip Codes - 12 Months Endin'!L8</f>
        <v>-3.0000000000000001E-3</v>
      </c>
      <c r="J8" s="84">
        <f>'[6]Top Zip Codes - 12 Months Endin'!I8</f>
        <v>214817</v>
      </c>
      <c r="L8" s="79" t="str">
        <f t="shared" si="0"/>
        <v>30075: Roswell, GA (1.1%)</v>
      </c>
      <c r="N8" s="93" t="s">
        <v>2565</v>
      </c>
      <c r="O8" s="79" t="str" cm="1">
        <f t="array" ref="O8">MTAIAnalysis(Table8[#All])</f>
        <v>The Atlanta Botanical Garden draws a significant portion of its visitors from high-income neighborhoods within Atlanta, demonstrating its strong local appeal and brand recognition. To foster growth, there is potential to further tap into regional markets in the larger Georgia area.</v>
      </c>
    </row>
    <row r="9" spans="1:15" ht="15" customHeight="1">
      <c r="A9" s="80" t="str">
        <f>TEXT('[6]Top Zip Codes - 12 Months Endin'!B9,"00000")</f>
        <v>30024</v>
      </c>
      <c r="B9" s="80" t="str">
        <f>'[6]Top Zip Codes - 12 Months Endin'!C9</f>
        <v>Suwanee</v>
      </c>
      <c r="C9" s="80" t="str">
        <f>'[6]Top Zip Codes - 12 Months Endin'!D9</f>
        <v>GA</v>
      </c>
      <c r="D9" s="81">
        <f>'[6]Top Zip Codes - 12 Months Endin'!$E9</f>
        <v>25</v>
      </c>
      <c r="E9" s="82">
        <f>'[6]Top Zip Codes - 12 Months Endin'!$F9</f>
        <v>1.06E-2</v>
      </c>
      <c r="F9" s="82">
        <f>F8+Table8[[#This Row],[Percent of Visits]]</f>
        <v>0.13969999999999999</v>
      </c>
      <c r="G9" s="83">
        <f>'[6]Top Zip Codes - 12 Months Endin'!H9</f>
        <v>30245</v>
      </c>
      <c r="H9" s="83">
        <f>'[6]Top Zip Codes - 12 Months Endin'!K9</f>
        <v>93765</v>
      </c>
      <c r="I9" s="82">
        <f>'[6]Top Zip Codes - 12 Months Endin'!L9</f>
        <v>1.7000000000000001E-2</v>
      </c>
      <c r="J9" s="84">
        <f>'[6]Top Zip Codes - 12 Months Endin'!I9</f>
        <v>176664</v>
      </c>
      <c r="L9" s="79" t="str">
        <f t="shared" si="0"/>
        <v>30024: Suwanee, GA (1.1%)</v>
      </c>
    </row>
    <row r="10" spans="1:15" ht="15" customHeight="1">
      <c r="A10" s="80" t="str">
        <f>TEXT('[6]Top Zip Codes - 12 Months Endin'!B10,"00000")</f>
        <v>30144</v>
      </c>
      <c r="B10" s="80" t="str">
        <f>'[6]Top Zip Codes - 12 Months Endin'!C10</f>
        <v>Kennesaw</v>
      </c>
      <c r="C10" s="80" t="str">
        <f>'[6]Top Zip Codes - 12 Months Endin'!D10</f>
        <v>GA</v>
      </c>
      <c r="D10" s="81">
        <f>'[6]Top Zip Codes - 12 Months Endin'!$E10</f>
        <v>21</v>
      </c>
      <c r="E10" s="82">
        <f>'[6]Top Zip Codes - 12 Months Endin'!$F10</f>
        <v>1.0500000000000001E-2</v>
      </c>
      <c r="F10" s="82">
        <f>F9+Table8[[#This Row],[Percent of Visits]]</f>
        <v>0.1502</v>
      </c>
      <c r="G10" s="83">
        <f>'[6]Top Zip Codes - 12 Months Endin'!H10</f>
        <v>21705</v>
      </c>
      <c r="H10" s="83">
        <f>'[6]Top Zip Codes - 12 Months Endin'!K10</f>
        <v>56548</v>
      </c>
      <c r="I10" s="82">
        <f>'[6]Top Zip Codes - 12 Months Endin'!L10</f>
        <v>5.0000000000000001E-3</v>
      </c>
      <c r="J10" s="84">
        <f>'[6]Top Zip Codes - 12 Months Endin'!I10</f>
        <v>116713</v>
      </c>
      <c r="L10" s="79" t="str">
        <f t="shared" si="0"/>
        <v>30144: Kennesaw, GA (1.1%)</v>
      </c>
    </row>
    <row r="11" spans="1:15" ht="15" customHeight="1">
      <c r="A11" s="80" t="str">
        <f>TEXT('[6]Top Zip Codes - 12 Months Endin'!B11,"00000")</f>
        <v>30022</v>
      </c>
      <c r="B11" s="80" t="str">
        <f>'[6]Top Zip Codes - 12 Months Endin'!C11</f>
        <v>Alpharetta</v>
      </c>
      <c r="C11" s="80" t="str">
        <f>'[6]Top Zip Codes - 12 Months Endin'!D11</f>
        <v>GA</v>
      </c>
      <c r="D11" s="81">
        <f>'[6]Top Zip Codes - 12 Months Endin'!$E11</f>
        <v>18</v>
      </c>
      <c r="E11" s="82">
        <f>'[6]Top Zip Codes - 12 Months Endin'!$F11</f>
        <v>0.01</v>
      </c>
      <c r="F11" s="82">
        <f>F10+Table8[[#This Row],[Percent of Visits]]</f>
        <v>0.16020000000000001</v>
      </c>
      <c r="G11" s="83">
        <f>'[6]Top Zip Codes - 12 Months Endin'!H11</f>
        <v>23792</v>
      </c>
      <c r="H11" s="83">
        <f>'[6]Top Zip Codes - 12 Months Endin'!K11</f>
        <v>66003</v>
      </c>
      <c r="I11" s="82">
        <f>'[6]Top Zip Codes - 12 Months Endin'!L11</f>
        <v>-2E-3</v>
      </c>
      <c r="J11" s="84">
        <f>'[6]Top Zip Codes - 12 Months Endin'!I11</f>
        <v>197324</v>
      </c>
      <c r="L11" s="79" t="str">
        <f t="shared" si="0"/>
        <v>30022: Alpharetta, GA (1.0%)</v>
      </c>
    </row>
    <row r="12" spans="1:15" ht="15" customHeight="1">
      <c r="A12" s="80" t="str">
        <f>TEXT('[6]Top Zip Codes - 12 Months Endin'!B12,"00000")</f>
        <v>30062</v>
      </c>
      <c r="B12" s="80" t="str">
        <f>'[6]Top Zip Codes - 12 Months Endin'!C12</f>
        <v>Marietta</v>
      </c>
      <c r="C12" s="80" t="str">
        <f>'[6]Top Zip Codes - 12 Months Endin'!D12</f>
        <v>GA</v>
      </c>
      <c r="D12" s="81">
        <f>'[6]Top Zip Codes - 12 Months Endin'!$E12</f>
        <v>15</v>
      </c>
      <c r="E12" s="82">
        <f>'[6]Top Zip Codes - 12 Months Endin'!$F12</f>
        <v>9.7000000000000003E-3</v>
      </c>
      <c r="F12" s="82">
        <f>F11+Table8[[#This Row],[Percent of Visits]]</f>
        <v>0.1699</v>
      </c>
      <c r="G12" s="83">
        <f>'[6]Top Zip Codes - 12 Months Endin'!H12</f>
        <v>23889</v>
      </c>
      <c r="H12" s="83">
        <f>'[6]Top Zip Codes - 12 Months Endin'!K12</f>
        <v>66519</v>
      </c>
      <c r="I12" s="82">
        <f>'[6]Top Zip Codes - 12 Months Endin'!L12</f>
        <v>0</v>
      </c>
      <c r="J12" s="84">
        <f>'[6]Top Zip Codes - 12 Months Endin'!I12</f>
        <v>175511</v>
      </c>
    </row>
    <row r="13" spans="1:15" ht="15" customHeight="1">
      <c r="A13" s="80" t="str">
        <f>TEXT('[6]Top Zip Codes - 12 Months Endin'!B13,"00000")</f>
        <v>30004</v>
      </c>
      <c r="B13" s="80" t="str">
        <f>'[6]Top Zip Codes - 12 Months Endin'!C13</f>
        <v>Alpharetta</v>
      </c>
      <c r="C13" s="80" t="str">
        <f>'[6]Top Zip Codes - 12 Months Endin'!D13</f>
        <v>GA</v>
      </c>
      <c r="D13" s="81">
        <f>'[6]Top Zip Codes - 12 Months Endin'!$E13</f>
        <v>23</v>
      </c>
      <c r="E13" s="82">
        <f>'[6]Top Zip Codes - 12 Months Endin'!$F13</f>
        <v>8.3999999999999995E-3</v>
      </c>
      <c r="F13" s="82">
        <f>F12+Table8[[#This Row],[Percent of Visits]]</f>
        <v>0.17829999999999999</v>
      </c>
      <c r="G13" s="83">
        <f>'[6]Top Zip Codes - 12 Months Endin'!H13</f>
        <v>24386</v>
      </c>
      <c r="H13" s="83">
        <f>'[6]Top Zip Codes - 12 Months Endin'!K13</f>
        <v>70126</v>
      </c>
      <c r="I13" s="82">
        <f>'[6]Top Zip Codes - 12 Months Endin'!L13</f>
        <v>6.0000000000000001E-3</v>
      </c>
      <c r="J13" s="84">
        <f>'[6]Top Zip Codes - 12 Months Endin'!I13</f>
        <v>194246</v>
      </c>
    </row>
    <row r="14" spans="1:15" ht="15" customHeight="1">
      <c r="A14" s="80" t="str">
        <f>TEXT('[6]Top Zip Codes - 12 Months Endin'!B14,"00000")</f>
        <v>30066</v>
      </c>
      <c r="B14" s="80" t="str">
        <f>'[6]Top Zip Codes - 12 Months Endin'!C14</f>
        <v>Marietta</v>
      </c>
      <c r="C14" s="80" t="str">
        <f>'[6]Top Zip Codes - 12 Months Endin'!D14</f>
        <v>GA</v>
      </c>
      <c r="D14" s="81">
        <f>'[6]Top Zip Codes - 12 Months Endin'!$E14</f>
        <v>18</v>
      </c>
      <c r="E14" s="82">
        <f>'[6]Top Zip Codes - 12 Months Endin'!$F14</f>
        <v>8.0999999999999996E-3</v>
      </c>
      <c r="F14" s="82">
        <f>F13+Table8[[#This Row],[Percent of Visits]]</f>
        <v>0.18639999999999998</v>
      </c>
      <c r="G14" s="83">
        <f>'[6]Top Zip Codes - 12 Months Endin'!H14</f>
        <v>22485</v>
      </c>
      <c r="H14" s="83">
        <f>'[6]Top Zip Codes - 12 Months Endin'!K14</f>
        <v>62755</v>
      </c>
      <c r="I14" s="82">
        <f>'[6]Top Zip Codes - 12 Months Endin'!L14</f>
        <v>2E-3</v>
      </c>
      <c r="J14" s="84">
        <f>'[6]Top Zip Codes - 12 Months Endin'!I14</f>
        <v>146129</v>
      </c>
    </row>
    <row r="15" spans="1:15" ht="15" customHeight="1">
      <c r="A15" s="80" t="str">
        <f>TEXT('[6]Top Zip Codes - 12 Months Endin'!B15,"00000")</f>
        <v>30067</v>
      </c>
      <c r="B15" s="80" t="str">
        <f>'[6]Top Zip Codes - 12 Months Endin'!C15</f>
        <v>Marietta</v>
      </c>
      <c r="C15" s="80" t="str">
        <f>'[6]Top Zip Codes - 12 Months Endin'!D15</f>
        <v>GA</v>
      </c>
      <c r="D15" s="81">
        <f>'[6]Top Zip Codes - 12 Months Endin'!$E15</f>
        <v>11</v>
      </c>
      <c r="E15" s="82">
        <f>'[6]Top Zip Codes - 12 Months Endin'!$F15</f>
        <v>7.7999999999999996E-3</v>
      </c>
      <c r="F15" s="82">
        <f>F14+Table8[[#This Row],[Percent of Visits]]</f>
        <v>0.19419999999999998</v>
      </c>
      <c r="G15" s="83">
        <f>'[6]Top Zip Codes - 12 Months Endin'!H15</f>
        <v>21377</v>
      </c>
      <c r="H15" s="83">
        <f>'[6]Top Zip Codes - 12 Months Endin'!K15</f>
        <v>49910</v>
      </c>
      <c r="I15" s="82">
        <f>'[6]Top Zip Codes - 12 Months Endin'!L15</f>
        <v>0.01</v>
      </c>
      <c r="J15" s="84">
        <f>'[6]Top Zip Codes - 12 Months Endin'!I15</f>
        <v>121519</v>
      </c>
    </row>
    <row r="16" spans="1:15" ht="15" customHeight="1">
      <c r="A16" s="80" t="str">
        <f>TEXT('[6]Top Zip Codes - 12 Months Endin'!B16,"00000")</f>
        <v>30040</v>
      </c>
      <c r="B16" s="80" t="str">
        <f>'[6]Top Zip Codes - 12 Months Endin'!C16</f>
        <v>Cumming</v>
      </c>
      <c r="C16" s="80" t="str">
        <f>'[6]Top Zip Codes - 12 Months Endin'!D16</f>
        <v>GA</v>
      </c>
      <c r="D16" s="81">
        <f>'[6]Top Zip Codes - 12 Months Endin'!$E16</f>
        <v>31</v>
      </c>
      <c r="E16" s="82">
        <f>'[6]Top Zip Codes - 12 Months Endin'!$F16</f>
        <v>7.7999999999999996E-3</v>
      </c>
      <c r="F16" s="82">
        <f>F15+Table8[[#This Row],[Percent of Visits]]</f>
        <v>0.20199999999999999</v>
      </c>
      <c r="G16" s="83">
        <f>'[6]Top Zip Codes - 12 Months Endin'!H16</f>
        <v>30243</v>
      </c>
      <c r="H16" s="83">
        <f>'[6]Top Zip Codes - 12 Months Endin'!K16</f>
        <v>91216</v>
      </c>
      <c r="I16" s="82">
        <f>'[6]Top Zip Codes - 12 Months Endin'!L16</f>
        <v>2.7E-2</v>
      </c>
      <c r="J16" s="84">
        <f>'[6]Top Zip Codes - 12 Months Endin'!I16</f>
        <v>162841</v>
      </c>
    </row>
    <row r="17" spans="1:10" ht="15" customHeight="1">
      <c r="A17" s="80" t="str">
        <f>TEXT('[6]Top Zip Codes - 12 Months Endin'!B17,"00000")</f>
        <v>30327</v>
      </c>
      <c r="B17" s="80" t="str">
        <f>'[6]Top Zip Codes - 12 Months Endin'!C17</f>
        <v>Atlanta</v>
      </c>
      <c r="C17" s="80" t="str">
        <f>'[6]Top Zip Codes - 12 Months Endin'!D17</f>
        <v>GA</v>
      </c>
      <c r="D17" s="81">
        <f>'[6]Top Zip Codes - 12 Months Endin'!$E17</f>
        <v>6</v>
      </c>
      <c r="E17" s="82">
        <f>'[6]Top Zip Codes - 12 Months Endin'!$F17</f>
        <v>7.7999999999999996E-3</v>
      </c>
      <c r="F17" s="82">
        <f>F16+Table8[[#This Row],[Percent of Visits]]</f>
        <v>0.20979999999999999</v>
      </c>
      <c r="G17" s="83">
        <f>'[6]Top Zip Codes - 12 Months Endin'!H17</f>
        <v>10248</v>
      </c>
      <c r="H17" s="83">
        <f>'[6]Top Zip Codes - 12 Months Endin'!K17</f>
        <v>25055</v>
      </c>
      <c r="I17" s="82">
        <f>'[6]Top Zip Codes - 12 Months Endin'!L17</f>
        <v>-2E-3</v>
      </c>
      <c r="J17" s="84">
        <f>'[6]Top Zip Codes - 12 Months Endin'!I17</f>
        <v>250485</v>
      </c>
    </row>
    <row r="18" spans="1:10" ht="15" customHeight="1">
      <c r="A18" s="80" t="str">
        <f>TEXT('[6]Top Zip Codes - 12 Months Endin'!B18,"00000")</f>
        <v>30080</v>
      </c>
      <c r="B18" s="80" t="str">
        <f>'[6]Top Zip Codes - 12 Months Endin'!C18</f>
        <v>Smyrna</v>
      </c>
      <c r="C18" s="80" t="str">
        <f>'[6]Top Zip Codes - 12 Months Endin'!D18</f>
        <v>GA</v>
      </c>
      <c r="D18" s="81">
        <f>'[6]Top Zip Codes - 12 Months Endin'!$E18</f>
        <v>9</v>
      </c>
      <c r="E18" s="82">
        <f>'[6]Top Zip Codes - 12 Months Endin'!$F18</f>
        <v>7.7000000000000002E-3</v>
      </c>
      <c r="F18" s="82">
        <f>F17+Table8[[#This Row],[Percent of Visits]]</f>
        <v>0.2175</v>
      </c>
      <c r="G18" s="83">
        <f>'[6]Top Zip Codes - 12 Months Endin'!H18</f>
        <v>25381</v>
      </c>
      <c r="H18" s="83">
        <f>'[6]Top Zip Codes - 12 Months Endin'!K18</f>
        <v>54490</v>
      </c>
      <c r="I18" s="82">
        <f>'[6]Top Zip Codes - 12 Months Endin'!L18</f>
        <v>1.0999999999999999E-2</v>
      </c>
      <c r="J18" s="84">
        <f>'[6]Top Zip Codes - 12 Months Endin'!I18</f>
        <v>136323</v>
      </c>
    </row>
    <row r="19" spans="1:10" ht="15" customHeight="1">
      <c r="A19" s="80" t="str">
        <f>TEXT('[6]Top Zip Codes - 12 Months Endin'!B19,"00000")</f>
        <v>30101</v>
      </c>
      <c r="B19" s="80" t="str">
        <f>'[6]Top Zip Codes - 12 Months Endin'!C19</f>
        <v>Acworth</v>
      </c>
      <c r="C19" s="80" t="str">
        <f>'[6]Top Zip Codes - 12 Months Endin'!D19</f>
        <v>GA</v>
      </c>
      <c r="D19" s="81">
        <f>'[6]Top Zip Codes - 12 Months Endin'!$E19</f>
        <v>25</v>
      </c>
      <c r="E19" s="82">
        <f>'[6]Top Zip Codes - 12 Months Endin'!$F19</f>
        <v>7.7000000000000002E-3</v>
      </c>
      <c r="F19" s="82">
        <f>F18+Table8[[#This Row],[Percent of Visits]]</f>
        <v>0.22520000000000001</v>
      </c>
      <c r="G19" s="83">
        <f>'[6]Top Zip Codes - 12 Months Endin'!H19</f>
        <v>21902</v>
      </c>
      <c r="H19" s="83">
        <f>'[6]Top Zip Codes - 12 Months Endin'!K19</f>
        <v>63647</v>
      </c>
      <c r="I19" s="82">
        <f>'[6]Top Zip Codes - 12 Months Endin'!L19</f>
        <v>0.01</v>
      </c>
      <c r="J19" s="84">
        <f>'[6]Top Zip Codes - 12 Months Endin'!I19</f>
        <v>143815</v>
      </c>
    </row>
    <row r="20" spans="1:10" ht="15" customHeight="1">
      <c r="A20" s="80" t="str">
        <f>TEXT('[6]Top Zip Codes - 12 Months Endin'!B20,"00000")</f>
        <v>30305</v>
      </c>
      <c r="B20" s="80" t="str">
        <f>'[6]Top Zip Codes - 12 Months Endin'!C20</f>
        <v>Atlanta</v>
      </c>
      <c r="C20" s="80" t="str">
        <f>'[6]Top Zip Codes - 12 Months Endin'!D20</f>
        <v>GA</v>
      </c>
      <c r="D20" s="81">
        <f>'[6]Top Zip Codes - 12 Months Endin'!$E20</f>
        <v>3</v>
      </c>
      <c r="E20" s="82">
        <f>'[6]Top Zip Codes - 12 Months Endin'!$F20</f>
        <v>7.6E-3</v>
      </c>
      <c r="F20" s="82">
        <f>F19+Table8[[#This Row],[Percent of Visits]]</f>
        <v>0.23280000000000001</v>
      </c>
      <c r="G20" s="83">
        <f>'[6]Top Zip Codes - 12 Months Endin'!H20</f>
        <v>17853</v>
      </c>
      <c r="H20" s="83">
        <f>'[6]Top Zip Codes - 12 Months Endin'!K20</f>
        <v>32230</v>
      </c>
      <c r="I20" s="82">
        <f>'[6]Top Zip Codes - 12 Months Endin'!L20</f>
        <v>1.9E-2</v>
      </c>
      <c r="J20" s="84">
        <f>'[6]Top Zip Codes - 12 Months Endin'!I20</f>
        <v>191879</v>
      </c>
    </row>
    <row r="21" spans="1:10" ht="15" customHeight="1">
      <c r="A21" s="80" t="str">
        <f>TEXT('[6]Top Zip Codes - 12 Months Endin'!B21,"00000")</f>
        <v>30342</v>
      </c>
      <c r="B21" s="80" t="str">
        <f>'[6]Top Zip Codes - 12 Months Endin'!C21</f>
        <v>Atlanta</v>
      </c>
      <c r="C21" s="80" t="str">
        <f>'[6]Top Zip Codes - 12 Months Endin'!D21</f>
        <v>GA</v>
      </c>
      <c r="D21" s="81">
        <f>'[6]Top Zip Codes - 12 Months Endin'!$E21</f>
        <v>6</v>
      </c>
      <c r="E21" s="82">
        <f>'[6]Top Zip Codes - 12 Months Endin'!$F21</f>
        <v>7.6E-3</v>
      </c>
      <c r="F21" s="82">
        <f>F20+Table8[[#This Row],[Percent of Visits]]</f>
        <v>0.2404</v>
      </c>
      <c r="G21" s="83">
        <f>'[6]Top Zip Codes - 12 Months Endin'!H21</f>
        <v>14117</v>
      </c>
      <c r="H21" s="83">
        <f>'[6]Top Zip Codes - 12 Months Endin'!K21</f>
        <v>32047</v>
      </c>
      <c r="I21" s="82">
        <f>'[6]Top Zip Codes - 12 Months Endin'!L21</f>
        <v>-1E-3</v>
      </c>
      <c r="J21" s="84">
        <f>'[6]Top Zip Codes - 12 Months Endin'!I21</f>
        <v>198264</v>
      </c>
    </row>
    <row r="22" spans="1:10" ht="15" customHeight="1">
      <c r="A22" s="80" t="str">
        <f>TEXT('[6]Top Zip Codes - 12 Months Endin'!B22,"00000")</f>
        <v>30328</v>
      </c>
      <c r="B22" s="80" t="str">
        <f>'[6]Top Zip Codes - 12 Months Endin'!C22</f>
        <v>Atlanta</v>
      </c>
      <c r="C22" s="80" t="str">
        <f>'[6]Top Zip Codes - 12 Months Endin'!D22</f>
        <v>GA</v>
      </c>
      <c r="D22" s="81">
        <f>'[6]Top Zip Codes - 12 Months Endin'!$E22</f>
        <v>10</v>
      </c>
      <c r="E22" s="82">
        <f>'[6]Top Zip Codes - 12 Months Endin'!$F22</f>
        <v>7.4999999999999997E-3</v>
      </c>
      <c r="F22" s="82">
        <f>F21+Table8[[#This Row],[Percent of Visits]]</f>
        <v>0.24790000000000001</v>
      </c>
      <c r="G22" s="83">
        <f>'[6]Top Zip Codes - 12 Months Endin'!H22</f>
        <v>19642</v>
      </c>
      <c r="H22" s="83">
        <f>'[6]Top Zip Codes - 12 Months Endin'!K22</f>
        <v>42242</v>
      </c>
      <c r="I22" s="82">
        <f>'[6]Top Zip Codes - 12 Months Endin'!L22</f>
        <v>0.01</v>
      </c>
      <c r="J22" s="84">
        <f>'[6]Top Zip Codes - 12 Months Endin'!I22</f>
        <v>166423</v>
      </c>
    </row>
    <row r="23" spans="1:10" ht="15" customHeight="1">
      <c r="A23" s="80" t="str">
        <f>TEXT('[6]Top Zip Codes - 12 Months Endin'!B23,"00000")</f>
        <v>30180</v>
      </c>
      <c r="B23" s="80" t="str">
        <f>'[6]Top Zip Codes - 12 Months Endin'!C23</f>
        <v>Villa Rica</v>
      </c>
      <c r="C23" s="80" t="str">
        <f>'[6]Top Zip Codes - 12 Months Endin'!D23</f>
        <v>GA</v>
      </c>
      <c r="D23" s="81">
        <f>'[6]Top Zip Codes - 12 Months Endin'!$E23</f>
        <v>32</v>
      </c>
      <c r="E23" s="82">
        <f>'[6]Top Zip Codes - 12 Months Endin'!$F23</f>
        <v>7.0000000000000001E-3</v>
      </c>
      <c r="F23" s="82">
        <f>F22+Table8[[#This Row],[Percent of Visits]]</f>
        <v>0.25490000000000002</v>
      </c>
      <c r="G23" s="83">
        <f>'[6]Top Zip Codes - 12 Months Endin'!H23</f>
        <v>15648</v>
      </c>
      <c r="H23" s="83">
        <f>'[6]Top Zip Codes - 12 Months Endin'!K23</f>
        <v>43791</v>
      </c>
      <c r="I23" s="82">
        <f>'[6]Top Zip Codes - 12 Months Endin'!L23</f>
        <v>0.02</v>
      </c>
      <c r="J23" s="84">
        <f>'[6]Top Zip Codes - 12 Months Endin'!I23</f>
        <v>103428</v>
      </c>
    </row>
    <row r="24" spans="1:10" ht="15" customHeight="1">
      <c r="A24" s="80" t="str">
        <f>TEXT('[6]Top Zip Codes - 12 Months Endin'!B24,"00000")</f>
        <v>30068</v>
      </c>
      <c r="B24" s="80" t="str">
        <f>'[6]Top Zip Codes - 12 Months Endin'!C24</f>
        <v>Marietta</v>
      </c>
      <c r="C24" s="80" t="str">
        <f>'[6]Top Zip Codes - 12 Months Endin'!D24</f>
        <v>GA</v>
      </c>
      <c r="D24" s="81">
        <f>'[6]Top Zip Codes - 12 Months Endin'!$E24</f>
        <v>13</v>
      </c>
      <c r="E24" s="82">
        <f>'[6]Top Zip Codes - 12 Months Endin'!$F24</f>
        <v>6.8999999999999999E-3</v>
      </c>
      <c r="F24" s="82">
        <f>F23+Table8[[#This Row],[Percent of Visits]]</f>
        <v>0.26180000000000003</v>
      </c>
      <c r="G24" s="83">
        <f>'[6]Top Zip Codes - 12 Months Endin'!H24</f>
        <v>12600</v>
      </c>
      <c r="H24" s="83">
        <f>'[6]Top Zip Codes - 12 Months Endin'!K24</f>
        <v>34724</v>
      </c>
      <c r="I24" s="82">
        <f>'[6]Top Zip Codes - 12 Months Endin'!L24</f>
        <v>-1E-3</v>
      </c>
      <c r="J24" s="84">
        <f>'[6]Top Zip Codes - 12 Months Endin'!I24</f>
        <v>213908</v>
      </c>
    </row>
    <row r="25" spans="1:10" ht="15" customHeight="1">
      <c r="A25" s="80" t="str">
        <f>TEXT('[6]Top Zip Codes - 12 Months Endin'!B25,"00000")</f>
        <v>30043</v>
      </c>
      <c r="B25" s="80" t="str">
        <f>'[6]Top Zip Codes - 12 Months Endin'!C25</f>
        <v>Lawrenceville</v>
      </c>
      <c r="C25" s="80" t="str">
        <f>'[6]Top Zip Codes - 12 Months Endin'!D25</f>
        <v>GA</v>
      </c>
      <c r="D25" s="81">
        <f>'[6]Top Zip Codes - 12 Months Endin'!$E25</f>
        <v>25</v>
      </c>
      <c r="E25" s="82">
        <f>'[6]Top Zip Codes - 12 Months Endin'!$F25</f>
        <v>6.8999999999999999E-3</v>
      </c>
      <c r="F25" s="82">
        <f>F24+Table8[[#This Row],[Percent of Visits]]</f>
        <v>0.26870000000000005</v>
      </c>
      <c r="G25" s="83">
        <f>'[6]Top Zip Codes - 12 Months Endin'!H25</f>
        <v>30324</v>
      </c>
      <c r="H25" s="83">
        <f>'[6]Top Zip Codes - 12 Months Endin'!K25</f>
        <v>90606</v>
      </c>
      <c r="I25" s="82">
        <f>'[6]Top Zip Codes - 12 Months Endin'!L25</f>
        <v>5.0000000000000001E-3</v>
      </c>
      <c r="J25" s="84">
        <f>'[6]Top Zip Codes - 12 Months Endin'!I25</f>
        <v>121614</v>
      </c>
    </row>
    <row r="26" spans="1:10" ht="15" customHeight="1">
      <c r="A26" s="80" t="str">
        <f>TEXT('[6]Top Zip Codes - 12 Months Endin'!B26,"00000")</f>
        <v>30041</v>
      </c>
      <c r="B26" s="80" t="str">
        <f>'[6]Top Zip Codes - 12 Months Endin'!C26</f>
        <v>Cumming</v>
      </c>
      <c r="C26" s="80" t="str">
        <f>'[6]Top Zip Codes - 12 Months Endin'!D26</f>
        <v>GA</v>
      </c>
      <c r="D26" s="81">
        <f>'[6]Top Zip Codes - 12 Months Endin'!$E26</f>
        <v>33</v>
      </c>
      <c r="E26" s="82">
        <f>'[6]Top Zip Codes - 12 Months Endin'!$F26</f>
        <v>6.8999999999999999E-3</v>
      </c>
      <c r="F26" s="82">
        <f>F25+Table8[[#This Row],[Percent of Visits]]</f>
        <v>0.27560000000000007</v>
      </c>
      <c r="G26" s="83">
        <f>'[6]Top Zip Codes - 12 Months Endin'!H26</f>
        <v>27086</v>
      </c>
      <c r="H26" s="83">
        <f>'[6]Top Zip Codes - 12 Months Endin'!K26</f>
        <v>80828</v>
      </c>
      <c r="I26" s="82">
        <f>'[6]Top Zip Codes - 12 Months Endin'!L26</f>
        <v>2.5000000000000001E-2</v>
      </c>
      <c r="J26" s="84">
        <f>'[6]Top Zip Codes - 12 Months Endin'!I26</f>
        <v>179907</v>
      </c>
    </row>
    <row r="27" spans="1:10" ht="15" customHeight="1">
      <c r="A27" s="85"/>
      <c r="B27" s="85" t="str">
        <f>'[6]Top Zip Codes - 12 Months Endin'!C27</f>
        <v>Atlanta</v>
      </c>
      <c r="C27" s="85" t="str">
        <f>'[6]Top Zip Codes - 12 Months Endin'!D27</f>
        <v>GA</v>
      </c>
      <c r="D27" s="86">
        <f>SUBTOTAL(101,D2:D26)</f>
        <v>14.24</v>
      </c>
      <c r="E27" s="87">
        <f>SUBTOTAL(109,E2:E26)</f>
        <v>0.27560000000000007</v>
      </c>
      <c r="F27" s="87"/>
      <c r="G27" s="88">
        <f>SUM(G2:G26)</f>
        <v>530876</v>
      </c>
      <c r="H27" s="88">
        <f>SUM(H2:H26)</f>
        <v>1346816</v>
      </c>
      <c r="I27" s="87">
        <f>AVERAGE(I2:I26)</f>
        <v>8.9600000000000009E-3</v>
      </c>
      <c r="J27" s="89">
        <f>SUBTOTAL(101,J2:J26)</f>
        <v>166748.76</v>
      </c>
    </row>
    <row r="30" spans="1:10">
      <c r="A30" s="91" t="s">
        <v>102</v>
      </c>
    </row>
    <row r="32" spans="1:10">
      <c r="A32" s="90"/>
    </row>
  </sheetData>
  <pageMargins left="0.7" right="0.7" top="0.75" bottom="0.75" header="0.3" footer="0.3"/>
  <pageSetup orientation="portrait"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R17"/>
  <sheetViews>
    <sheetView zoomScaleNormal="100" workbookViewId="0">
      <selection activeCell="M10" sqref="M10"/>
    </sheetView>
  </sheetViews>
  <sheetFormatPr defaultColWidth="9.140625" defaultRowHeight="15"/>
  <cols>
    <col min="1" max="1" width="49.5703125" style="48" bestFit="1" customWidth="1"/>
    <col min="2" max="5" width="18.85546875" style="48" customWidth="1"/>
    <col min="6" max="6" width="19.7109375" style="48" customWidth="1"/>
    <col min="7" max="7" width="20.42578125" style="48" customWidth="1"/>
    <col min="8" max="8" width="21.140625" style="48" customWidth="1"/>
    <col min="9" max="16384" width="9.140625" style="48"/>
  </cols>
  <sheetData>
    <row r="1" spans="1:18" ht="24.95" customHeight="1">
      <c r="A1" s="371" t="s">
        <v>103</v>
      </c>
      <c r="B1" s="371"/>
      <c r="C1" s="371"/>
      <c r="D1" s="371"/>
      <c r="E1" s="371"/>
      <c r="F1" s="371"/>
      <c r="G1" s="371"/>
      <c r="H1" s="371"/>
    </row>
    <row r="2" spans="1:18" ht="24.95" customHeight="1">
      <c r="A2" s="49" t="s">
        <v>31</v>
      </c>
      <c r="B2" s="50" t="s">
        <v>104</v>
      </c>
      <c r="C2" s="51" t="s">
        <v>105</v>
      </c>
      <c r="D2" s="51" t="s">
        <v>106</v>
      </c>
      <c r="E2" s="51" t="s">
        <v>107</v>
      </c>
      <c r="F2" s="51" t="s">
        <v>108</v>
      </c>
      <c r="G2" s="51" t="s">
        <v>109</v>
      </c>
      <c r="H2" s="51" t="s">
        <v>110</v>
      </c>
      <c r="L2" s="79" t="s">
        <v>2554</v>
      </c>
      <c r="M2" s="372" t="str" cm="1">
        <f t="array" ref="M2">DTAIAnalysis(A2:H14)</f>
        <v>Atlanta Botanical Garden is a significant regional draw with almost 40% of visitors traveling more than 50 miles, signifying its status as a prestigious destination. This underscores the potential for increased engagement with audiences within a 50-mile radius, deepening its local connection.</v>
      </c>
      <c r="N2" s="372"/>
      <c r="O2" s="372"/>
      <c r="P2" s="372"/>
      <c r="Q2" s="372"/>
      <c r="R2" s="372"/>
    </row>
    <row r="3" spans="1:18" ht="20.100000000000001" customHeight="1">
      <c r="A3" s="192" t="str">
        <f>'[7]Distance Traveled - 12 Months E'!A2</f>
        <v xml:space="preserve">Atlanta Botanical Garden - Atlanta, GA  </v>
      </c>
      <c r="B3" s="32">
        <f>'[7]Distance Traveled - 12 Months E'!D2</f>
        <v>0.19400000000000001</v>
      </c>
      <c r="C3" s="32">
        <f>'[7]Distance Traveled - 12 Months E'!E2</f>
        <v>0.109</v>
      </c>
      <c r="D3" s="32">
        <f>'[7]Distance Traveled - 12 Months E'!F2</f>
        <v>0.15</v>
      </c>
      <c r="E3" s="32">
        <f>'[7]Distance Traveled - 12 Months E'!G2</f>
        <v>0.154</v>
      </c>
      <c r="F3" s="32">
        <f>'[7]Distance Traveled - 12 Months E'!H2</f>
        <v>0.39200000000000002</v>
      </c>
      <c r="G3" s="317">
        <f>'[7]Distance Traveled - 12 Months E'!B2</f>
        <v>162.6</v>
      </c>
      <c r="H3" s="33">
        <f>'[7]Distance Traveled - 12 Months E'!C2</f>
        <v>13.3</v>
      </c>
      <c r="J3" s="168">
        <f>Table3[[#This Row],[11 to 20 miles]]+Table3[[#This Row],[21 to 50 miles]]+Table3[[#This Row],[More than 50 miles]]</f>
        <v>0.69599999999999995</v>
      </c>
      <c r="M3" s="372"/>
      <c r="N3" s="372"/>
      <c r="O3" s="372"/>
      <c r="P3" s="372"/>
      <c r="Q3" s="372"/>
      <c r="R3" s="372"/>
    </row>
    <row r="4" spans="1:18" ht="20.100000000000001" customHeight="1">
      <c r="A4" s="35" t="str">
        <f>'[7]Distance Traveled - 12 Months E'!A3</f>
        <v>Atlanta Botanical Garden Gainesville - Gainesville, GA 30501</v>
      </c>
      <c r="B4" s="38">
        <f>'[7]Distance Traveled - 12 Months E'!D3</f>
        <v>0.09</v>
      </c>
      <c r="C4" s="38">
        <f>'[7]Distance Traveled - 12 Months E'!E3</f>
        <v>0.44400000000000001</v>
      </c>
      <c r="D4" s="38">
        <f>'[7]Distance Traveled - 12 Months E'!F3</f>
        <v>0.155</v>
      </c>
      <c r="E4" s="38">
        <f>'[7]Distance Traveled - 12 Months E'!G3</f>
        <v>0.14099999999999999</v>
      </c>
      <c r="F4" s="38">
        <f>'[7]Distance Traveled - 12 Months E'!H3</f>
        <v>0.17</v>
      </c>
      <c r="G4" s="318">
        <f>'[7]Distance Traveled - 12 Months E'!B3</f>
        <v>67.599999999999994</v>
      </c>
      <c r="H4" s="39">
        <f>'[7]Distance Traveled - 12 Months E'!C3</f>
        <v>12.4</v>
      </c>
      <c r="J4" s="168">
        <f>Table3[[#This Row],[11 to 20 miles]]+Table3[[#This Row],[21 to 50 miles]]+Table3[[#This Row],[More than 50 miles]]</f>
        <v>0.46599999999999997</v>
      </c>
      <c r="M4" s="372"/>
      <c r="N4" s="372"/>
      <c r="O4" s="372"/>
      <c r="P4" s="372"/>
      <c r="Q4" s="372"/>
      <c r="R4" s="372"/>
    </row>
    <row r="5" spans="1:18" ht="20.100000000000001" customHeight="1">
      <c r="A5" s="35" t="str">
        <f>'[7]Distance Traveled - 12 Months E'!A4</f>
        <v>Avalon - Alpharetta, GA 30009</v>
      </c>
      <c r="B5" s="38">
        <f>'[7]Distance Traveled - 12 Months E'!D4</f>
        <v>0.105</v>
      </c>
      <c r="C5" s="38">
        <f>'[7]Distance Traveled - 12 Months E'!E4</f>
        <v>0.312</v>
      </c>
      <c r="D5" s="38">
        <f>'[7]Distance Traveled - 12 Months E'!F4</f>
        <v>0.23599999999999999</v>
      </c>
      <c r="E5" s="38">
        <f>'[7]Distance Traveled - 12 Months E'!G4</f>
        <v>0.104</v>
      </c>
      <c r="F5" s="38">
        <f>'[7]Distance Traveled - 12 Months E'!H4</f>
        <v>0.24299999999999999</v>
      </c>
      <c r="G5" s="318">
        <f>'[7]Distance Traveled - 12 Months E'!B4</f>
        <v>112.8</v>
      </c>
      <c r="H5" s="39">
        <f>'[7]Distance Traveled - 12 Months E'!C4</f>
        <v>12.2</v>
      </c>
      <c r="J5" s="168">
        <f>Table3[[#This Row],[11 to 20 miles]]+Table3[[#This Row],[21 to 50 miles]]+Table3[[#This Row],[More than 50 miles]]</f>
        <v>0.58299999999999996</v>
      </c>
      <c r="M5" s="372"/>
      <c r="N5" s="372"/>
      <c r="O5" s="372"/>
      <c r="P5" s="372"/>
      <c r="Q5" s="372"/>
      <c r="R5" s="372"/>
    </row>
    <row r="6" spans="1:18" ht="20.100000000000001" customHeight="1">
      <c r="A6" s="35" t="str">
        <f>'[7]Distance Traveled - 12 Months E'!A5</f>
        <v>Fernbank Museum of Natural History - ATL, GA 30307</v>
      </c>
      <c r="B6" s="38">
        <f>'[7]Distance Traveled - 12 Months E'!D5</f>
        <v>0.224</v>
      </c>
      <c r="C6" s="38">
        <f>'[7]Distance Traveled - 12 Months E'!E5</f>
        <v>0.115</v>
      </c>
      <c r="D6" s="38">
        <f>'[7]Distance Traveled - 12 Months E'!F5</f>
        <v>0.126</v>
      </c>
      <c r="E6" s="38">
        <f>'[7]Distance Traveled - 12 Months E'!G5</f>
        <v>0.14899999999999999</v>
      </c>
      <c r="F6" s="38">
        <f>'[7]Distance Traveled - 12 Months E'!H5</f>
        <v>0.38600000000000001</v>
      </c>
      <c r="G6" s="318">
        <f>'[7]Distance Traveled - 12 Months E'!B5</f>
        <v>165.3</v>
      </c>
      <c r="H6" s="39">
        <f>'[7]Distance Traveled - 12 Months E'!C5</f>
        <v>12.4</v>
      </c>
      <c r="J6" s="168">
        <f>Table3[[#This Row],[11 to 20 miles]]+Table3[[#This Row],[21 to 50 miles]]+Table3[[#This Row],[More than 50 miles]]</f>
        <v>0.66100000000000003</v>
      </c>
      <c r="M6" s="372"/>
      <c r="N6" s="372"/>
      <c r="O6" s="372"/>
      <c r="P6" s="372"/>
      <c r="Q6" s="372"/>
      <c r="R6" s="372"/>
    </row>
    <row r="7" spans="1:18" ht="20.100000000000001" customHeight="1">
      <c r="A7" s="35" t="str">
        <f>'[7]Distance Traveled - 12 Months E'!A6</f>
        <v>Gainesville Square - Gainesville, GA 30501</v>
      </c>
      <c r="B7" s="38">
        <f>'[7]Distance Traveled - 12 Months E'!D6</f>
        <v>0.26700000000000002</v>
      </c>
      <c r="C7" s="38">
        <f>'[7]Distance Traveled - 12 Months E'!E6</f>
        <v>0.33800000000000002</v>
      </c>
      <c r="D7" s="38">
        <f>'[7]Distance Traveled - 12 Months E'!F6</f>
        <v>0.19</v>
      </c>
      <c r="E7" s="38">
        <f>'[7]Distance Traveled - 12 Months E'!G6</f>
        <v>0.112</v>
      </c>
      <c r="F7" s="38">
        <f>'[7]Distance Traveled - 12 Months E'!H6</f>
        <v>9.2999999999999999E-2</v>
      </c>
      <c r="G7" s="318">
        <f>'[7]Distance Traveled - 12 Months E'!B6</f>
        <v>39.1</v>
      </c>
      <c r="H7" s="39">
        <f>'[7]Distance Traveled - 12 Months E'!C6</f>
        <v>9.8000000000000007</v>
      </c>
      <c r="J7" s="168">
        <f>Table3[[#This Row],[11 to 20 miles]]+Table3[[#This Row],[21 to 50 miles]]+Table3[[#This Row],[More than 50 miles]]</f>
        <v>0.39500000000000002</v>
      </c>
    </row>
    <row r="8" spans="1:18" ht="20.100000000000001" customHeight="1">
      <c r="A8" s="35" t="str">
        <f>'[7]Distance Traveled - 12 Months E'!A7</f>
        <v>High Museum of Art - ATL, GA 30309</v>
      </c>
      <c r="B8" s="38">
        <f>'[7]Distance Traveled - 12 Months E'!D7</f>
        <v>0.26700000000000002</v>
      </c>
      <c r="C8" s="38">
        <f>'[7]Distance Traveled - 12 Months E'!E7</f>
        <v>0.16400000000000001</v>
      </c>
      <c r="D8" s="38">
        <f>'[7]Distance Traveled - 12 Months E'!F7</f>
        <v>0.15</v>
      </c>
      <c r="E8" s="38">
        <f>'[7]Distance Traveled - 12 Months E'!G7</f>
        <v>0.13700000000000001</v>
      </c>
      <c r="F8" s="38">
        <f>'[7]Distance Traveled - 12 Months E'!H7</f>
        <v>0.28199999999999997</v>
      </c>
      <c r="G8" s="318">
        <f>'[7]Distance Traveled - 12 Months E'!B7</f>
        <v>134.4</v>
      </c>
      <c r="H8" s="39">
        <f>'[7]Distance Traveled - 12 Months E'!C7</f>
        <v>11</v>
      </c>
      <c r="J8" s="168">
        <f>Table3[[#This Row],[11 to 20 miles]]+Table3[[#This Row],[21 to 50 miles]]+Table3[[#This Row],[More than 50 miles]]</f>
        <v>0.56899999999999995</v>
      </c>
      <c r="L8" s="48" t="s">
        <v>2563</v>
      </c>
    </row>
    <row r="9" spans="1:18" ht="20.100000000000001" customHeight="1">
      <c r="A9" s="35" t="str">
        <f>'[7]Distance Traveled - 12 Months E'!A8</f>
        <v>Krog Street Market - ATL, GA 30307</v>
      </c>
      <c r="B9" s="38">
        <f>'[7]Distance Traveled - 12 Months E'!D8</f>
        <v>0.314</v>
      </c>
      <c r="C9" s="38">
        <f>'[7]Distance Traveled - 12 Months E'!E8</f>
        <v>0.109</v>
      </c>
      <c r="D9" s="38">
        <f>'[7]Distance Traveled - 12 Months E'!F8</f>
        <v>0.13400000000000001</v>
      </c>
      <c r="E9" s="38">
        <f>'[7]Distance Traveled - 12 Months E'!G8</f>
        <v>0.115</v>
      </c>
      <c r="F9" s="38">
        <f>'[7]Distance Traveled - 12 Months E'!H8</f>
        <v>0.32700000000000001</v>
      </c>
      <c r="G9" s="318">
        <f>'[7]Distance Traveled - 12 Months E'!B8</f>
        <v>178</v>
      </c>
      <c r="H9" s="39">
        <f>'[7]Distance Traveled - 12 Months E'!C8</f>
        <v>9.6999999999999993</v>
      </c>
      <c r="J9" s="168">
        <f>Table3[[#This Row],[11 to 20 miles]]+Table3[[#This Row],[21 to 50 miles]]+Table3[[#This Row],[More than 50 miles]]</f>
        <v>0.57600000000000007</v>
      </c>
      <c r="M9" s="48" t="str" cm="1">
        <f t="array" ref="M9">VisitorOriginAIAnalysis(A2:H3)</f>
        <v>The Atlanta Botanical Garden sees 45.3% of its visitors traveling less than 20 miles, with 19.4% traveling less than 5 miles and 15.0% traveling between 11 to 20 miles. \n\nThe zip code table shows that 27.6% of visitors are from Atlanta, GA, with an average distance of 14.2 miles from the Botanical Garden. \n\nComparatively, the percentage of visitors from Atlanta is lower than the total percentage of visitors traveling less than 20 miles to the Garden.</v>
      </c>
    </row>
    <row r="10" spans="1:18" ht="20.100000000000001" customHeight="1">
      <c r="A10" s="35" t="str">
        <f>'[7]Distance Traveled - 12 Months E'!A9</f>
        <v>Lenox Square - ATL, GA 30326</v>
      </c>
      <c r="B10" s="38">
        <f>'[7]Distance Traveled - 12 Months E'!D9</f>
        <v>9.8000000000000004E-2</v>
      </c>
      <c r="C10" s="38">
        <f>'[7]Distance Traveled - 12 Months E'!E9</f>
        <v>0.16900000000000001</v>
      </c>
      <c r="D10" s="38">
        <f>'[7]Distance Traveled - 12 Months E'!F9</f>
        <v>0.16700000000000001</v>
      </c>
      <c r="E10" s="38">
        <f>'[7]Distance Traveled - 12 Months E'!G9</f>
        <v>0.122</v>
      </c>
      <c r="F10" s="38">
        <f>'[7]Distance Traveled - 12 Months E'!H9</f>
        <v>0.44400000000000001</v>
      </c>
      <c r="G10" s="318">
        <f>'[7]Distance Traveled - 12 Months E'!B9</f>
        <v>180</v>
      </c>
      <c r="H10" s="39">
        <f>'[7]Distance Traveled - 12 Months E'!C9</f>
        <v>13.7</v>
      </c>
      <c r="J10" s="168">
        <f>Table3[[#This Row],[11 to 20 miles]]+Table3[[#This Row],[21 to 50 miles]]+Table3[[#This Row],[More than 50 miles]]</f>
        <v>0.7330000000000001</v>
      </c>
    </row>
    <row r="11" spans="1:18" ht="20.100000000000001" customHeight="1">
      <c r="A11" s="35" t="str">
        <f>'[7]Distance Traveled - 12 Months E'!A10</f>
        <v>Piedmont Park - ATL, GA 30309</v>
      </c>
      <c r="B11" s="38">
        <f>'[7]Distance Traveled - 12 Months E'!D10</f>
        <v>0.32</v>
      </c>
      <c r="C11" s="38">
        <f>'[7]Distance Traveled - 12 Months E'!E10</f>
        <v>0.129</v>
      </c>
      <c r="D11" s="38">
        <f>'[7]Distance Traveled - 12 Months E'!F10</f>
        <v>0.128</v>
      </c>
      <c r="E11" s="38">
        <f>'[7]Distance Traveled - 12 Months E'!G10</f>
        <v>9.2999999999999999E-2</v>
      </c>
      <c r="F11" s="38">
        <f>'[7]Distance Traveled - 12 Months E'!H10</f>
        <v>0.33</v>
      </c>
      <c r="G11" s="318">
        <f>'[7]Distance Traveled - 12 Months E'!B10</f>
        <v>139.1</v>
      </c>
      <c r="H11" s="39">
        <f>'[7]Distance Traveled - 12 Months E'!C10</f>
        <v>9</v>
      </c>
      <c r="J11" s="168">
        <f>Table3[[#This Row],[11 to 20 miles]]+Table3[[#This Row],[21 to 50 miles]]+Table3[[#This Row],[More than 50 miles]]</f>
        <v>0.55100000000000005</v>
      </c>
    </row>
    <row r="12" spans="1:18" ht="20.100000000000001" customHeight="1">
      <c r="A12" s="35" t="str">
        <f>'[7]Distance Traveled - 12 Months E'!A11</f>
        <v>Ponce City Market - ATL, GA 30308</v>
      </c>
      <c r="B12" s="38">
        <f>'[7]Distance Traveled - 12 Months E'!D11</f>
        <v>0.21199999999999999</v>
      </c>
      <c r="C12" s="38">
        <f>'[7]Distance Traveled - 12 Months E'!E11</f>
        <v>0.127</v>
      </c>
      <c r="D12" s="38">
        <f>'[7]Distance Traveled - 12 Months E'!F11</f>
        <v>0.151</v>
      </c>
      <c r="E12" s="38">
        <f>'[7]Distance Traveled - 12 Months E'!G11</f>
        <v>0.13500000000000001</v>
      </c>
      <c r="F12" s="38">
        <f>'[7]Distance Traveled - 12 Months E'!H11</f>
        <v>0.375</v>
      </c>
      <c r="G12" s="318">
        <f>'[7]Distance Traveled - 12 Months E'!B11</f>
        <v>171.7</v>
      </c>
      <c r="H12" s="39">
        <f>'[7]Distance Traveled - 12 Months E'!C11</f>
        <v>12.4</v>
      </c>
      <c r="J12" s="168">
        <f>Table3[[#This Row],[11 to 20 miles]]+Table3[[#This Row],[21 to 50 miles]]+Table3[[#This Row],[More than 50 miles]]</f>
        <v>0.66100000000000003</v>
      </c>
    </row>
    <row r="13" spans="1:18" s="52" customFormat="1" ht="20.100000000000001" customHeight="1">
      <c r="A13" s="35" t="str">
        <f>'[7]Distance Traveled - 12 Months E'!A12</f>
        <v>The Works - Atlanta, GA, 30318</v>
      </c>
      <c r="B13" s="38">
        <f>'[7]Distance Traveled - 12 Months E'!D12</f>
        <v>0.14000000000000001</v>
      </c>
      <c r="C13" s="38">
        <f>'[7]Distance Traveled - 12 Months E'!E12</f>
        <v>0.20100000000000001</v>
      </c>
      <c r="D13" s="38">
        <f>'[7]Distance Traveled - 12 Months E'!F12</f>
        <v>0.20599999999999999</v>
      </c>
      <c r="E13" s="38">
        <f>'[7]Distance Traveled - 12 Months E'!G12</f>
        <v>0.14099999999999999</v>
      </c>
      <c r="F13" s="38">
        <f>'[7]Distance Traveled - 12 Months E'!H12</f>
        <v>0.311</v>
      </c>
      <c r="G13" s="318">
        <f>'[7]Distance Traveled - 12 Months E'!B12</f>
        <v>137.6</v>
      </c>
      <c r="H13" s="39">
        <f>'[7]Distance Traveled - 12 Months E'!C12</f>
        <v>13.3</v>
      </c>
    </row>
    <row r="14" spans="1:18">
      <c r="A14" s="35" t="str">
        <f>'[7]Distance Traveled - 12 Months E'!A13</f>
        <v>Westside Paper - Atlanta, GA 30318</v>
      </c>
      <c r="B14" s="38">
        <f>'[7]Distance Traveled - 12 Months E'!D13</f>
        <v>0.33</v>
      </c>
      <c r="C14" s="38">
        <f>'[7]Distance Traveled - 12 Months E'!E13</f>
        <v>0.106</v>
      </c>
      <c r="D14" s="38">
        <f>'[7]Distance Traveled - 12 Months E'!F13</f>
        <v>0.252</v>
      </c>
      <c r="E14" s="38">
        <f>'[7]Distance Traveled - 12 Months E'!G13</f>
        <v>9.1999999999999998E-2</v>
      </c>
      <c r="F14" s="38">
        <f>'[7]Distance Traveled - 12 Months E'!H13</f>
        <v>0.221</v>
      </c>
      <c r="G14" s="318">
        <f>'[7]Distance Traveled - 12 Months E'!B13</f>
        <v>147.5</v>
      </c>
      <c r="H14" s="39">
        <f>'[7]Distance Traveled - 12 Months E'!C13</f>
        <v>9.5</v>
      </c>
    </row>
    <row r="15" spans="1:18">
      <c r="A15" s="40" t="s">
        <v>38</v>
      </c>
      <c r="B15" s="43">
        <f t="shared" ref="B15:H15" si="0">AVERAGE(B3:B12)</f>
        <v>0.20910000000000001</v>
      </c>
      <c r="C15" s="43">
        <f t="shared" si="0"/>
        <v>0.2016</v>
      </c>
      <c r="D15" s="43">
        <f t="shared" si="0"/>
        <v>0.15870000000000001</v>
      </c>
      <c r="E15" s="43">
        <f t="shared" si="0"/>
        <v>0.12619999999999998</v>
      </c>
      <c r="F15" s="43">
        <f t="shared" si="0"/>
        <v>0.30420000000000003</v>
      </c>
      <c r="G15" s="319">
        <f t="shared" si="0"/>
        <v>135.06</v>
      </c>
      <c r="H15" s="44">
        <f t="shared" si="0"/>
        <v>11.590000000000002</v>
      </c>
      <c r="M15" s="48" t="s">
        <v>2564</v>
      </c>
    </row>
    <row r="16" spans="1:18">
      <c r="A16" s="53"/>
    </row>
    <row r="17" spans="1:1">
      <c r="A17" s="46" t="s">
        <v>111</v>
      </c>
    </row>
  </sheetData>
  <mergeCells count="2">
    <mergeCell ref="A1:H1"/>
    <mergeCell ref="M2:R6"/>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N33"/>
  <sheetViews>
    <sheetView workbookViewId="0">
      <selection activeCell="H5" sqref="H5"/>
    </sheetView>
  </sheetViews>
  <sheetFormatPr defaultColWidth="9.140625" defaultRowHeight="15"/>
  <cols>
    <col min="1" max="1" width="49.5703125" style="48" bestFit="1" customWidth="1"/>
    <col min="2" max="2" width="34.42578125" style="48" bestFit="1" customWidth="1"/>
    <col min="3" max="5" width="23.7109375" style="48" customWidth="1"/>
    <col min="6" max="8" width="9.140625" style="48"/>
    <col min="9" max="9" width="10.140625" style="54" customWidth="1"/>
    <col min="10" max="10" width="71.85546875" style="54" customWidth="1"/>
    <col min="11" max="11" width="19.42578125" style="48" bestFit="1" customWidth="1"/>
    <col min="12" max="16384" width="9.140625" style="48"/>
  </cols>
  <sheetData>
    <row r="1" spans="1:10" ht="24.95" customHeight="1">
      <c r="A1" s="371" t="s">
        <v>112</v>
      </c>
      <c r="B1" s="371"/>
      <c r="C1" s="371"/>
      <c r="D1" s="371"/>
      <c r="E1" s="371"/>
    </row>
    <row r="2" spans="1:10" ht="24.95" customHeight="1">
      <c r="A2" s="49" t="s">
        <v>31</v>
      </c>
      <c r="B2" s="51" t="s">
        <v>113</v>
      </c>
      <c r="C2" s="51" t="s">
        <v>114</v>
      </c>
      <c r="D2" s="51" t="s">
        <v>115</v>
      </c>
      <c r="E2" s="51" t="s">
        <v>116</v>
      </c>
      <c r="G2" s="79" t="s">
        <v>2554</v>
      </c>
      <c r="H2" s="372" t="str" cm="1">
        <f t="array" ref="H2">FrequencyAIAnalysis(Table4[#All])</f>
        <v>The Atlanta Botanical Garden demonstrates a strong base of repeat visitors, signifying high visitor loyalty and satisfaction. This robust return behavior underscores its success in fostering enduring connections with its audience.</v>
      </c>
      <c r="I2" s="372"/>
      <c r="J2" s="372"/>
    </row>
    <row r="3" spans="1:10" ht="20.100000000000001" customHeight="1">
      <c r="A3" s="192" t="str">
        <f>'[8]Visit Frequency - 12 Months End'!A2</f>
        <v xml:space="preserve">Atlanta Botanical Garden - Atlanta, GA  </v>
      </c>
      <c r="B3" s="32">
        <f>'[8]Visit Frequency - 12 Months End'!C2</f>
        <v>0.85099999999999998</v>
      </c>
      <c r="C3" s="32">
        <f>'[8]Visit Frequency - 12 Months End'!D2</f>
        <v>0.14199999999999999</v>
      </c>
      <c r="D3" s="32">
        <f>'[8]Visit Frequency - 12 Months End'!E2</f>
        <v>8.0000000000000002E-3</v>
      </c>
      <c r="E3" s="33">
        <f>'[8]Visit Frequency - 12 Months End'!B2</f>
        <v>1.2</v>
      </c>
      <c r="H3" s="372"/>
      <c r="I3" s="372"/>
      <c r="J3" s="372"/>
    </row>
    <row r="4" spans="1:10" ht="20.100000000000001" customHeight="1">
      <c r="A4" s="35" t="str">
        <f>'[8]Visit Frequency - 12 Months End'!A3</f>
        <v>Atlanta Botanical Garden Gainesville - Gainesville, GA 30501</v>
      </c>
      <c r="B4" s="38">
        <f>'[8]Visit Frequency - 12 Months End'!C3</f>
        <v>0.82399999999999995</v>
      </c>
      <c r="C4" s="38">
        <f>'[8]Visit Frequency - 12 Months End'!D3</f>
        <v>0.15</v>
      </c>
      <c r="D4" s="38">
        <f>'[8]Visit Frequency - 12 Months End'!E3</f>
        <v>2.5999999999999999E-2</v>
      </c>
      <c r="E4" s="39">
        <f>'[8]Visit Frequency - 12 Months End'!B3</f>
        <v>1.5</v>
      </c>
      <c r="H4" s="372"/>
      <c r="I4" s="372"/>
      <c r="J4" s="372"/>
    </row>
    <row r="5" spans="1:10" ht="20.100000000000001" customHeight="1">
      <c r="A5" s="35" t="str">
        <f>'[8]Visit Frequency - 12 Months End'!A4</f>
        <v>Avalon - Alpharetta, GA 30009</v>
      </c>
      <c r="B5" s="38">
        <f>'[8]Visit Frequency - 12 Months End'!C4</f>
        <v>0.78500000000000003</v>
      </c>
      <c r="C5" s="38">
        <f>'[8]Visit Frequency - 12 Months End'!D4</f>
        <v>0.19500000000000001</v>
      </c>
      <c r="D5" s="38">
        <f>'[8]Visit Frequency - 12 Months End'!E4</f>
        <v>1.9E-2</v>
      </c>
      <c r="E5" s="39">
        <f>'[8]Visit Frequency - 12 Months End'!B4</f>
        <v>1.4</v>
      </c>
    </row>
    <row r="6" spans="1:10" ht="20.100000000000001" customHeight="1">
      <c r="A6" s="35" t="str">
        <f>'[8]Visit Frequency - 12 Months End'!A5</f>
        <v>Fernbank Museum of Natural History - ATL, GA 30307</v>
      </c>
      <c r="B6" s="38">
        <f>'[8]Visit Frequency - 12 Months End'!C5</f>
        <v>0.82199999999999995</v>
      </c>
      <c r="C6" s="38">
        <f>'[8]Visit Frequency - 12 Months End'!D5</f>
        <v>0.16600000000000001</v>
      </c>
      <c r="D6" s="38">
        <f>'[8]Visit Frequency - 12 Months End'!E5</f>
        <v>1.2E-2</v>
      </c>
      <c r="E6" s="39">
        <f>'[8]Visit Frequency - 12 Months End'!B5</f>
        <v>1.3</v>
      </c>
    </row>
    <row r="7" spans="1:10" ht="20.100000000000001" customHeight="1">
      <c r="A7" s="35" t="str">
        <f>'[8]Visit Frequency - 12 Months End'!A6</f>
        <v>Gainesville Square - Gainesville, GA 30501</v>
      </c>
      <c r="B7" s="38">
        <f>'[8]Visit Frequency - 12 Months End'!C6</f>
        <v>0.85</v>
      </c>
      <c r="C7" s="38">
        <f>'[8]Visit Frequency - 12 Months End'!D6</f>
        <v>0.128</v>
      </c>
      <c r="D7" s="38">
        <f>'[8]Visit Frequency - 12 Months End'!E6</f>
        <v>2.1999999999999999E-2</v>
      </c>
      <c r="E7" s="39">
        <f>'[8]Visit Frequency - 12 Months End'!B6</f>
        <v>1.3</v>
      </c>
    </row>
    <row r="8" spans="1:10" ht="20.100000000000001" customHeight="1">
      <c r="A8" s="35" t="str">
        <f>'[8]Visit Frequency - 12 Months End'!A7</f>
        <v>High Museum of Art - ATL, GA 30309</v>
      </c>
      <c r="B8" s="38">
        <f>'[8]Visit Frequency - 12 Months End'!C7</f>
        <v>0.84899999999999998</v>
      </c>
      <c r="C8" s="38">
        <f>'[8]Visit Frequency - 12 Months End'!D7</f>
        <v>0.13500000000000001</v>
      </c>
      <c r="D8" s="38">
        <f>'[8]Visit Frequency - 12 Months End'!E7</f>
        <v>1.6E-2</v>
      </c>
      <c r="E8" s="39">
        <f>'[8]Visit Frequency - 12 Months End'!B7</f>
        <v>1.3</v>
      </c>
    </row>
    <row r="9" spans="1:10" ht="20.100000000000001" customHeight="1">
      <c r="A9" s="35" t="str">
        <f>'[8]Visit Frequency - 12 Months End'!A8</f>
        <v>Krog Street Market - ATL, GA 30307</v>
      </c>
      <c r="B9" s="38">
        <f>'[8]Visit Frequency - 12 Months End'!C8</f>
        <v>0.89900000000000002</v>
      </c>
      <c r="C9" s="38">
        <f>'[8]Visit Frequency - 12 Months End'!D8</f>
        <v>9.0999999999999998E-2</v>
      </c>
      <c r="D9" s="38">
        <f>'[8]Visit Frequency - 12 Months End'!E8</f>
        <v>1.0999999999999999E-2</v>
      </c>
      <c r="E9" s="39">
        <f>'[8]Visit Frequency - 12 Months End'!B8</f>
        <v>1.2</v>
      </c>
    </row>
    <row r="10" spans="1:10" ht="20.100000000000001" customHeight="1">
      <c r="A10" s="35" t="str">
        <f>'[8]Visit Frequency - 12 Months End'!A9</f>
        <v>Lenox Square - ATL, GA 30326</v>
      </c>
      <c r="B10" s="38">
        <f>'[8]Visit Frequency - 12 Months End'!C9</f>
        <v>0.877</v>
      </c>
      <c r="C10" s="38">
        <f>'[8]Visit Frequency - 12 Months End'!D9</f>
        <v>0.114</v>
      </c>
      <c r="D10" s="38">
        <f>'[8]Visit Frequency - 12 Months End'!E9</f>
        <v>8.9999999999999993E-3</v>
      </c>
      <c r="E10" s="39">
        <f>'[8]Visit Frequency - 12 Months End'!B9</f>
        <v>1.2</v>
      </c>
    </row>
    <row r="11" spans="1:10" ht="20.100000000000001" customHeight="1">
      <c r="A11" s="35" t="str">
        <f>'[8]Visit Frequency - 12 Months End'!A10</f>
        <v>Piedmont Park - ATL, GA 30309</v>
      </c>
      <c r="B11" s="38">
        <f>'[8]Visit Frequency - 12 Months End'!C10</f>
        <v>0.77500000000000002</v>
      </c>
      <c r="C11" s="38">
        <f>'[8]Visit Frequency - 12 Months End'!D10</f>
        <v>0.20899999999999999</v>
      </c>
      <c r="D11" s="38">
        <f>'[8]Visit Frequency - 12 Months End'!E10</f>
        <v>1.6E-2</v>
      </c>
      <c r="E11" s="39">
        <f>'[8]Visit Frequency - 12 Months End'!B10</f>
        <v>1.4</v>
      </c>
    </row>
    <row r="12" spans="1:10" ht="20.100000000000001" customHeight="1">
      <c r="A12" s="35" t="str">
        <f>'[8]Visit Frequency - 12 Months End'!A11</f>
        <v>Ponce City Market - ATL, GA 30308</v>
      </c>
      <c r="B12" s="38">
        <f>'[8]Visit Frequency - 12 Months End'!C11</f>
        <v>0.84899999999999998</v>
      </c>
      <c r="C12" s="38">
        <f>'[8]Visit Frequency - 12 Months End'!D11</f>
        <v>0.13700000000000001</v>
      </c>
      <c r="D12" s="38">
        <f>'[8]Visit Frequency - 12 Months End'!E11</f>
        <v>1.4999999999999999E-2</v>
      </c>
      <c r="E12" s="39">
        <f>'[8]Visit Frequency - 12 Months End'!B11</f>
        <v>1.3</v>
      </c>
    </row>
    <row r="13" spans="1:10" ht="20.100000000000001" customHeight="1">
      <c r="A13" s="35" t="str">
        <f>'[8]Visit Frequency - 12 Months End'!A12</f>
        <v>The Works - Atlanta, GA, 30318</v>
      </c>
      <c r="B13" s="38">
        <f>'[8]Visit Frequency - 12 Months End'!C12</f>
        <v>0.81</v>
      </c>
      <c r="C13" s="38">
        <f>'[8]Visit Frequency - 12 Months End'!D12</f>
        <v>0.16900000000000001</v>
      </c>
      <c r="D13" s="38">
        <f>'[8]Visit Frequency - 12 Months End'!E12</f>
        <v>2.1000000000000001E-2</v>
      </c>
      <c r="E13" s="39">
        <f>'[8]Visit Frequency - 12 Months End'!B12</f>
        <v>1.4</v>
      </c>
    </row>
    <row r="14" spans="1:10">
      <c r="A14" s="35" t="str">
        <f>'[8]Visit Frequency - 12 Months End'!A13</f>
        <v>Westside Paper - Atlanta, GA 30318</v>
      </c>
      <c r="B14" s="38">
        <f>'[8]Visit Frequency - 12 Months End'!C13</f>
        <v>0.71399999999999997</v>
      </c>
      <c r="C14" s="38">
        <f>'[8]Visit Frequency - 12 Months End'!D13</f>
        <v>0.23599999999999999</v>
      </c>
      <c r="D14" s="38">
        <f>'[8]Visit Frequency - 12 Months End'!E13</f>
        <v>5.0999999999999997E-2</v>
      </c>
      <c r="E14" s="39">
        <f>'[8]Visit Frequency - 12 Months End'!B13</f>
        <v>1.7</v>
      </c>
    </row>
    <row r="15" spans="1:10">
      <c r="A15" s="40" t="s">
        <v>38</v>
      </c>
      <c r="B15" s="43">
        <f>AVERAGE(B3:B12)</f>
        <v>0.83810000000000007</v>
      </c>
      <c r="C15" s="43">
        <f>AVERAGE(C3:C12)</f>
        <v>0.14670000000000002</v>
      </c>
      <c r="D15" s="43">
        <f>AVERAGE(D3:D12)</f>
        <v>1.5399999999999997E-2</v>
      </c>
      <c r="E15" s="44">
        <f>AVERAGE(E3:E12)</f>
        <v>1.31</v>
      </c>
    </row>
    <row r="17" spans="1:14">
      <c r="A17" s="46" t="s">
        <v>117</v>
      </c>
    </row>
    <row r="19" spans="1:14" s="56" customFormat="1" ht="16.5" customHeight="1">
      <c r="I19" s="57"/>
      <c r="J19" s="57"/>
    </row>
    <row r="20" spans="1:14" s="56" customFormat="1" ht="12.75">
      <c r="A20" s="373" t="s">
        <v>118</v>
      </c>
      <c r="B20" s="373"/>
      <c r="H20" s="373" t="s">
        <v>118</v>
      </c>
      <c r="I20" s="373"/>
      <c r="J20" s="373"/>
    </row>
    <row r="21" spans="1:14" s="56" customFormat="1" ht="12.75">
      <c r="A21" s="58"/>
      <c r="B21" s="59" t="s">
        <v>119</v>
      </c>
      <c r="C21" s="57" t="s">
        <v>120</v>
      </c>
      <c r="I21" s="58" t="s">
        <v>90</v>
      </c>
      <c r="J21" s="57" t="s">
        <v>119</v>
      </c>
      <c r="K21" s="57" t="s">
        <v>120</v>
      </c>
    </row>
    <row r="22" spans="1:14" s="56" customFormat="1" ht="12.75">
      <c r="A22" s="60">
        <v>1</v>
      </c>
      <c r="B22" s="61" t="str">
        <f t="shared" ref="B22:B31" si="0">A3</f>
        <v xml:space="preserve">Atlanta Botanical Garden - Atlanta, GA  </v>
      </c>
      <c r="C22" s="62">
        <f t="shared" ref="C22:C31" si="1">E3</f>
        <v>1.2</v>
      </c>
      <c r="D22" s="63"/>
      <c r="E22" s="63"/>
      <c r="F22" s="63"/>
      <c r="I22" s="60">
        <v>10</v>
      </c>
      <c r="J22" s="64" t="str">
        <f t="shared" ref="J22:J31" si="2">VLOOKUP(I22,$A$22:$C$32,2,FALSE)</f>
        <v>Ponce City Market - ATL, GA 30308</v>
      </c>
      <c r="K22" s="62">
        <f t="shared" ref="K22:K31" si="3">VLOOKUP(J22,$B$22:$C$32,2,FALSE)</f>
        <v>1.3</v>
      </c>
      <c r="L22" s="65"/>
      <c r="M22" s="65"/>
      <c r="N22" s="65"/>
    </row>
    <row r="23" spans="1:14" s="56" customFormat="1" ht="12.75">
      <c r="A23" s="60">
        <v>2</v>
      </c>
      <c r="B23" s="61" t="str">
        <f t="shared" si="0"/>
        <v>Atlanta Botanical Garden Gainesville - Gainesville, GA 30501</v>
      </c>
      <c r="C23" s="62">
        <f t="shared" si="1"/>
        <v>1.5</v>
      </c>
      <c r="D23" s="63"/>
      <c r="E23" s="63"/>
      <c r="F23" s="63"/>
      <c r="I23" s="60">
        <v>9</v>
      </c>
      <c r="J23" s="64" t="str">
        <f t="shared" si="2"/>
        <v>Piedmont Park - ATL, GA 30309</v>
      </c>
      <c r="K23" s="62">
        <f t="shared" si="3"/>
        <v>1.4</v>
      </c>
      <c r="L23" s="65"/>
      <c r="M23" s="65"/>
      <c r="N23" s="65"/>
    </row>
    <row r="24" spans="1:14" s="56" customFormat="1" ht="12.75">
      <c r="A24" s="60">
        <v>3</v>
      </c>
      <c r="B24" s="61" t="str">
        <f t="shared" si="0"/>
        <v>Avalon - Alpharetta, GA 30009</v>
      </c>
      <c r="C24" s="62">
        <f t="shared" si="1"/>
        <v>1.4</v>
      </c>
      <c r="D24" s="63"/>
      <c r="E24" s="63"/>
      <c r="F24" s="63"/>
      <c r="I24" s="60">
        <v>8</v>
      </c>
      <c r="J24" s="64" t="str">
        <f t="shared" si="2"/>
        <v>Lenox Square - ATL, GA 30326</v>
      </c>
      <c r="K24" s="62">
        <f t="shared" si="3"/>
        <v>1.2</v>
      </c>
      <c r="L24" s="65"/>
      <c r="M24" s="65"/>
      <c r="N24" s="65"/>
    </row>
    <row r="25" spans="1:14" s="56" customFormat="1" ht="12.75">
      <c r="A25" s="60">
        <v>4</v>
      </c>
      <c r="B25" s="61" t="str">
        <f t="shared" si="0"/>
        <v>Fernbank Museum of Natural History - ATL, GA 30307</v>
      </c>
      <c r="C25" s="62">
        <f t="shared" si="1"/>
        <v>1.3</v>
      </c>
      <c r="D25" s="63"/>
      <c r="E25" s="63"/>
      <c r="F25" s="63"/>
      <c r="I25" s="60">
        <v>7</v>
      </c>
      <c r="J25" s="64" t="str">
        <f t="shared" si="2"/>
        <v>Krog Street Market - ATL, GA 30307</v>
      </c>
      <c r="K25" s="62">
        <f t="shared" si="3"/>
        <v>1.2</v>
      </c>
      <c r="L25" s="65"/>
      <c r="M25" s="65"/>
      <c r="N25" s="65"/>
    </row>
    <row r="26" spans="1:14" s="56" customFormat="1" ht="12.75">
      <c r="A26" s="60">
        <v>5</v>
      </c>
      <c r="B26" s="61" t="str">
        <f t="shared" si="0"/>
        <v>Gainesville Square - Gainesville, GA 30501</v>
      </c>
      <c r="C26" s="62">
        <f t="shared" si="1"/>
        <v>1.3</v>
      </c>
      <c r="D26" s="63"/>
      <c r="E26" s="63"/>
      <c r="F26" s="63"/>
      <c r="I26" s="60">
        <v>6</v>
      </c>
      <c r="J26" s="64" t="str">
        <f t="shared" si="2"/>
        <v>High Museum of Art - ATL, GA 30309</v>
      </c>
      <c r="K26" s="62">
        <f t="shared" si="3"/>
        <v>1.3</v>
      </c>
      <c r="L26" s="65"/>
      <c r="M26" s="65"/>
      <c r="N26" s="65"/>
    </row>
    <row r="27" spans="1:14" s="56" customFormat="1" ht="12.75">
      <c r="A27" s="60">
        <v>6</v>
      </c>
      <c r="B27" s="61" t="str">
        <f t="shared" si="0"/>
        <v>High Museum of Art - ATL, GA 30309</v>
      </c>
      <c r="C27" s="62">
        <f t="shared" si="1"/>
        <v>1.3</v>
      </c>
      <c r="D27" s="63"/>
      <c r="E27" s="63"/>
      <c r="F27" s="63"/>
      <c r="I27" s="60">
        <v>5</v>
      </c>
      <c r="J27" s="64" t="str">
        <f t="shared" si="2"/>
        <v>Gainesville Square - Gainesville, GA 30501</v>
      </c>
      <c r="K27" s="62">
        <f t="shared" si="3"/>
        <v>1.3</v>
      </c>
      <c r="L27" s="65"/>
      <c r="M27" s="65"/>
      <c r="N27" s="65"/>
    </row>
    <row r="28" spans="1:14" s="56" customFormat="1" ht="12.75">
      <c r="A28" s="60">
        <v>7</v>
      </c>
      <c r="B28" s="61" t="str">
        <f t="shared" si="0"/>
        <v>Krog Street Market - ATL, GA 30307</v>
      </c>
      <c r="C28" s="62">
        <f t="shared" si="1"/>
        <v>1.2</v>
      </c>
      <c r="D28" s="63"/>
      <c r="E28" s="63"/>
      <c r="F28" s="63"/>
      <c r="I28" s="60">
        <v>4</v>
      </c>
      <c r="J28" s="64" t="str">
        <f t="shared" si="2"/>
        <v>Fernbank Museum of Natural History - ATL, GA 30307</v>
      </c>
      <c r="K28" s="62">
        <f t="shared" si="3"/>
        <v>1.3</v>
      </c>
      <c r="L28" s="65"/>
      <c r="M28" s="65"/>
      <c r="N28" s="65"/>
    </row>
    <row r="29" spans="1:14" s="56" customFormat="1" ht="12.75">
      <c r="A29" s="60">
        <v>8</v>
      </c>
      <c r="B29" s="61" t="str">
        <f t="shared" si="0"/>
        <v>Lenox Square - ATL, GA 30326</v>
      </c>
      <c r="C29" s="62">
        <f t="shared" si="1"/>
        <v>1.2</v>
      </c>
      <c r="D29" s="63"/>
      <c r="E29" s="63"/>
      <c r="F29" s="63"/>
      <c r="I29" s="60">
        <v>3</v>
      </c>
      <c r="J29" s="64" t="str">
        <f t="shared" si="2"/>
        <v>Avalon - Alpharetta, GA 30009</v>
      </c>
      <c r="K29" s="62">
        <f t="shared" si="3"/>
        <v>1.4</v>
      </c>
      <c r="L29" s="65"/>
      <c r="M29" s="65"/>
      <c r="N29" s="65"/>
    </row>
    <row r="30" spans="1:14" s="56" customFormat="1" ht="12.75">
      <c r="A30" s="60">
        <v>9</v>
      </c>
      <c r="B30" s="61" t="str">
        <f t="shared" si="0"/>
        <v>Piedmont Park - ATL, GA 30309</v>
      </c>
      <c r="C30" s="62">
        <f t="shared" si="1"/>
        <v>1.4</v>
      </c>
      <c r="D30" s="63"/>
      <c r="E30" s="63"/>
      <c r="F30" s="63"/>
      <c r="I30" s="60">
        <v>2</v>
      </c>
      <c r="J30" s="64" t="str">
        <f t="shared" si="2"/>
        <v>Atlanta Botanical Garden Gainesville - Gainesville, GA 30501</v>
      </c>
      <c r="K30" s="62">
        <f t="shared" si="3"/>
        <v>1.5</v>
      </c>
      <c r="L30" s="65"/>
      <c r="M30" s="65"/>
      <c r="N30" s="65"/>
    </row>
    <row r="31" spans="1:14" s="56" customFormat="1" ht="12.75">
      <c r="A31" s="60">
        <v>10</v>
      </c>
      <c r="B31" s="61" t="str">
        <f t="shared" si="0"/>
        <v>Ponce City Market - ATL, GA 30308</v>
      </c>
      <c r="C31" s="62">
        <f t="shared" si="1"/>
        <v>1.3</v>
      </c>
      <c r="D31" s="63"/>
      <c r="E31" s="63"/>
      <c r="F31" s="63"/>
      <c r="I31" s="60">
        <v>1</v>
      </c>
      <c r="J31" s="64" t="str">
        <f t="shared" si="2"/>
        <v xml:space="preserve">Atlanta Botanical Garden - Atlanta, GA  </v>
      </c>
      <c r="K31" s="62">
        <f t="shared" si="3"/>
        <v>1.2</v>
      </c>
      <c r="L31" s="65"/>
      <c r="M31" s="65"/>
      <c r="N31" s="65"/>
    </row>
    <row r="32" spans="1:14" s="56" customFormat="1" ht="12.75">
      <c r="A32" s="60"/>
      <c r="B32" s="61"/>
      <c r="C32" s="62"/>
    </row>
    <row r="33" spans="9:10" s="56" customFormat="1" ht="12.75">
      <c r="I33" s="57"/>
      <c r="J33" s="57"/>
    </row>
  </sheetData>
  <mergeCells count="4">
    <mergeCell ref="A1:E1"/>
    <mergeCell ref="H20:J20"/>
    <mergeCell ref="A20:B20"/>
    <mergeCell ref="H2:J4"/>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N33"/>
  <sheetViews>
    <sheetView tabSelected="1" workbookViewId="0">
      <selection activeCell="H7" sqref="H7"/>
    </sheetView>
  </sheetViews>
  <sheetFormatPr defaultColWidth="9.140625" defaultRowHeight="15"/>
  <cols>
    <col min="1" max="1" width="49.5703125" style="48" bestFit="1" customWidth="1"/>
    <col min="2" max="6" width="23.5703125" style="48" customWidth="1"/>
    <col min="7" max="7" width="9.140625" style="48"/>
    <col min="8" max="8" width="11" style="55" customWidth="1"/>
    <col min="9" max="9" width="47" style="48" customWidth="1"/>
    <col min="10" max="10" width="34.42578125" style="48" bestFit="1" customWidth="1"/>
    <col min="11" max="11" width="17.7109375" style="48" bestFit="1" customWidth="1"/>
    <col min="12" max="16384" width="9.140625" style="48"/>
  </cols>
  <sheetData>
    <row r="1" spans="1:10" ht="24.95" customHeight="1">
      <c r="A1" s="374" t="s">
        <v>11</v>
      </c>
      <c r="B1" s="374"/>
      <c r="C1" s="374"/>
      <c r="D1" s="374"/>
      <c r="E1" s="374"/>
      <c r="F1" s="374"/>
      <c r="G1" s="191"/>
    </row>
    <row r="2" spans="1:10" ht="24.95" customHeight="1">
      <c r="A2" s="66" t="s">
        <v>31</v>
      </c>
      <c r="B2" s="51" t="s">
        <v>121</v>
      </c>
      <c r="C2" s="51" t="s">
        <v>122</v>
      </c>
      <c r="D2" s="51" t="s">
        <v>123</v>
      </c>
      <c r="E2" s="51" t="s">
        <v>124</v>
      </c>
      <c r="F2" s="51" t="s">
        <v>125</v>
      </c>
      <c r="G2" s="191"/>
      <c r="H2" s="48"/>
      <c r="I2" s="372" t="str" cm="1">
        <f t="array" ref="I2">DurationAIAnalysis(Table5[#All])</f>
        <v>Guests at the Atlanta Botanical Garden often engage in longer stays, indicating a high level of visitor immersion and satisfaction with the facility's amenities and programs. This extended time-on-site demonstrates the Garden's strong experiential appeal and visitor satisfaction.</v>
      </c>
      <c r="J2" s="372"/>
    </row>
    <row r="3" spans="1:10" ht="20.100000000000001" customHeight="1">
      <c r="A3" s="192" t="str">
        <f>'[9]Visit Duration - 12 Months Endi'!A2</f>
        <v xml:space="preserve">Atlanta Botanical Garden - Atlanta, GA  </v>
      </c>
      <c r="B3" s="32">
        <f>'[9]Visit Duration - 12 Months Endi'!C2</f>
        <v>7.8E-2</v>
      </c>
      <c r="C3" s="32">
        <f>'[9]Visit Duration - 12 Months Endi'!D2</f>
        <v>0.35299999999999998</v>
      </c>
      <c r="D3" s="32">
        <f>'[9]Visit Duration - 12 Months Endi'!E2</f>
        <v>0.501</v>
      </c>
      <c r="E3" s="32">
        <f>'[9]Visit Duration - 12 Months Endi'!F2</f>
        <v>6.8000000000000005E-2</v>
      </c>
      <c r="F3" s="67">
        <f>'[9]Visit Duration - 12 Months Endi'!B2</f>
        <v>100.2</v>
      </c>
      <c r="G3" s="191"/>
      <c r="H3" s="190"/>
      <c r="I3" s="372"/>
      <c r="J3" s="372"/>
    </row>
    <row r="4" spans="1:10" ht="20.100000000000001" customHeight="1">
      <c r="A4" s="35" t="str">
        <f>'[9]Visit Duration - 12 Months Endi'!A3</f>
        <v>Atlanta Botanical Garden Gainesville - Gainesville, GA 30501</v>
      </c>
      <c r="B4" s="38">
        <f>'[9]Visit Duration - 12 Months Endi'!C3</f>
        <v>0.09</v>
      </c>
      <c r="C4" s="38">
        <f>'[9]Visit Duration - 12 Months Endi'!D3</f>
        <v>0.36199999999999999</v>
      </c>
      <c r="D4" s="38">
        <f>'[9]Visit Duration - 12 Months Endi'!E3</f>
        <v>0.39900000000000002</v>
      </c>
      <c r="E4" s="38">
        <f>'[9]Visit Duration - 12 Months Endi'!F3</f>
        <v>0.14899999999999999</v>
      </c>
      <c r="F4" s="68">
        <f>'[9]Visit Duration - 12 Months Endi'!B3</f>
        <v>111.7</v>
      </c>
      <c r="G4" s="191"/>
      <c r="H4" s="191"/>
      <c r="I4" s="372"/>
      <c r="J4" s="372"/>
    </row>
    <row r="5" spans="1:10" ht="20.100000000000001" customHeight="1">
      <c r="A5" s="35" t="str">
        <f>'[9]Visit Duration - 12 Months Endi'!A4</f>
        <v>Avalon - Alpharetta, GA 30009</v>
      </c>
      <c r="B5" s="38">
        <f>'[9]Visit Duration - 12 Months Endi'!C4</f>
        <v>0.14499999999999999</v>
      </c>
      <c r="C5" s="38">
        <f>'[9]Visit Duration - 12 Months Endi'!D4</f>
        <v>0.36099999999999999</v>
      </c>
      <c r="D5" s="38">
        <f>'[9]Visit Duration - 12 Months Endi'!E4</f>
        <v>0.372</v>
      </c>
      <c r="E5" s="38">
        <f>'[9]Visit Duration - 12 Months Endi'!F4</f>
        <v>0.121</v>
      </c>
      <c r="F5" s="68">
        <f>'[9]Visit Duration - 12 Months Endi'!B4</f>
        <v>101.7</v>
      </c>
      <c r="G5" s="191"/>
      <c r="H5" s="191"/>
      <c r="I5" s="372"/>
      <c r="J5" s="372"/>
    </row>
    <row r="6" spans="1:10" ht="20.100000000000001" customHeight="1">
      <c r="A6" s="35" t="str">
        <f>'[9]Visit Duration - 12 Months Endi'!A5</f>
        <v>Fernbank Museum of Natural History - ATL, GA 30307</v>
      </c>
      <c r="B6" s="38">
        <f>'[9]Visit Duration - 12 Months Endi'!C5</f>
        <v>6.9000000000000006E-2</v>
      </c>
      <c r="C6" s="38">
        <f>'[9]Visit Duration - 12 Months Endi'!D5</f>
        <v>0.28499999999999998</v>
      </c>
      <c r="D6" s="38">
        <f>'[9]Visit Duration - 12 Months Endi'!E5</f>
        <v>0.48499999999999999</v>
      </c>
      <c r="E6" s="38">
        <f>'[9]Visit Duration - 12 Months Endi'!F5</f>
        <v>0.16</v>
      </c>
      <c r="F6" s="68">
        <f>'[9]Visit Duration - 12 Months Endi'!B5</f>
        <v>125.9</v>
      </c>
      <c r="G6" s="191"/>
      <c r="H6" s="191"/>
      <c r="I6" s="55"/>
    </row>
    <row r="7" spans="1:10" ht="20.100000000000001" customHeight="1">
      <c r="A7" s="35" t="str">
        <f>'[9]Visit Duration - 12 Months Endi'!A6</f>
        <v>Gainesville Square - Gainesville, GA 30501</v>
      </c>
      <c r="B7" s="38">
        <f>'[9]Visit Duration - 12 Months Endi'!C6</f>
        <v>0.157</v>
      </c>
      <c r="C7" s="38">
        <f>'[9]Visit Duration - 12 Months Endi'!D6</f>
        <v>0.33700000000000002</v>
      </c>
      <c r="D7" s="38">
        <f>'[9]Visit Duration - 12 Months Endi'!E6</f>
        <v>0.376</v>
      </c>
      <c r="E7" s="38">
        <f>'[9]Visit Duration - 12 Months Endi'!F6</f>
        <v>0.129</v>
      </c>
      <c r="F7" s="68">
        <f>'[9]Visit Duration - 12 Months Endi'!B6</f>
        <v>103.7</v>
      </c>
      <c r="H7" s="191"/>
      <c r="I7" s="55"/>
    </row>
    <row r="8" spans="1:10" ht="20.100000000000001" customHeight="1">
      <c r="A8" s="35" t="str">
        <f>'[9]Visit Duration - 12 Months Endi'!A7</f>
        <v>High Museum of Art - ATL, GA 30309</v>
      </c>
      <c r="B8" s="38">
        <f>'[9]Visit Duration - 12 Months Endi'!C7</f>
        <v>0.12</v>
      </c>
      <c r="C8" s="38">
        <f>'[9]Visit Duration - 12 Months Endi'!D7</f>
        <v>0.31</v>
      </c>
      <c r="D8" s="38">
        <f>'[9]Visit Duration - 12 Months Endi'!E7</f>
        <v>0.42899999999999999</v>
      </c>
      <c r="E8" s="38">
        <f>'[9]Visit Duration - 12 Months Endi'!F7</f>
        <v>0.14099999999999999</v>
      </c>
      <c r="F8" s="68">
        <f>'[9]Visit Duration - 12 Months Endi'!B7</f>
        <v>113.3</v>
      </c>
      <c r="H8" s="191"/>
      <c r="I8" s="55"/>
    </row>
    <row r="9" spans="1:10" ht="20.100000000000001" customHeight="1">
      <c r="A9" s="35" t="str">
        <f>'[9]Visit Duration - 12 Months Endi'!A8</f>
        <v>Krog Street Market - ATL, GA 30307</v>
      </c>
      <c r="B9" s="38">
        <f>'[9]Visit Duration - 12 Months Endi'!C8</f>
        <v>0.16400000000000001</v>
      </c>
      <c r="C9" s="38">
        <f>'[9]Visit Duration - 12 Months Endi'!D8</f>
        <v>0.44</v>
      </c>
      <c r="D9" s="38">
        <f>'[9]Visit Duration - 12 Months Endi'!E8</f>
        <v>0.30199999999999999</v>
      </c>
      <c r="E9" s="38">
        <f>'[9]Visit Duration - 12 Months Endi'!F8</f>
        <v>9.4E-2</v>
      </c>
      <c r="F9" s="68">
        <f>'[9]Visit Duration - 12 Months Endi'!B8</f>
        <v>85.8</v>
      </c>
      <c r="H9" s="191"/>
      <c r="I9" s="55"/>
    </row>
    <row r="10" spans="1:10" ht="20.100000000000001" customHeight="1">
      <c r="A10" s="35" t="str">
        <f>'[9]Visit Duration - 12 Months Endi'!A9</f>
        <v>Lenox Square - ATL, GA 30326</v>
      </c>
      <c r="B10" s="38">
        <f>'[9]Visit Duration - 12 Months Endi'!C9</f>
        <v>0.106</v>
      </c>
      <c r="C10" s="38">
        <f>'[9]Visit Duration - 12 Months Endi'!D9</f>
        <v>0.42099999999999999</v>
      </c>
      <c r="D10" s="38">
        <f>'[9]Visit Duration - 12 Months Endi'!E9</f>
        <v>0.375</v>
      </c>
      <c r="E10" s="38">
        <f>'[9]Visit Duration - 12 Months Endi'!F9</f>
        <v>9.7000000000000003E-2</v>
      </c>
      <c r="F10" s="68">
        <f>'[9]Visit Duration - 12 Months Endi'!B9</f>
        <v>95.8</v>
      </c>
      <c r="H10" s="191"/>
      <c r="I10" s="55"/>
    </row>
    <row r="11" spans="1:10" ht="20.100000000000001" customHeight="1">
      <c r="A11" s="35" t="str">
        <f>'[9]Visit Duration - 12 Months Endi'!A10</f>
        <v>Piedmont Park - ATL, GA 30309</v>
      </c>
      <c r="B11" s="38">
        <f>'[9]Visit Duration - 12 Months Endi'!C10</f>
        <v>0.158</v>
      </c>
      <c r="C11" s="38">
        <f>'[9]Visit Duration - 12 Months Endi'!D10</f>
        <v>0.40400000000000003</v>
      </c>
      <c r="D11" s="38">
        <f>'[9]Visit Duration - 12 Months Endi'!E10</f>
        <v>0.32300000000000001</v>
      </c>
      <c r="E11" s="38">
        <f>'[9]Visit Duration - 12 Months Endi'!F10</f>
        <v>0.11600000000000001</v>
      </c>
      <c r="F11" s="68">
        <f>'[9]Visit Duration - 12 Months Endi'!B10</f>
        <v>95.6</v>
      </c>
      <c r="H11" s="191"/>
      <c r="I11" s="55"/>
    </row>
    <row r="12" spans="1:10" ht="20.100000000000001" customHeight="1">
      <c r="A12" s="35" t="str">
        <f>'[9]Visit Duration - 12 Months Endi'!A11</f>
        <v>Ponce City Market - ATL, GA 30308</v>
      </c>
      <c r="B12" s="38">
        <f>'[9]Visit Duration - 12 Months Endi'!C11</f>
        <v>0.125</v>
      </c>
      <c r="C12" s="38">
        <f>'[9]Visit Duration - 12 Months Endi'!D11</f>
        <v>0.34399999999999997</v>
      </c>
      <c r="D12" s="38">
        <f>'[9]Visit Duration - 12 Months Endi'!E11</f>
        <v>0.41399999999999998</v>
      </c>
      <c r="E12" s="38">
        <f>'[9]Visit Duration - 12 Months Endi'!F11</f>
        <v>0.11700000000000001</v>
      </c>
      <c r="F12" s="68">
        <f>'[9]Visit Duration - 12 Months Endi'!B11</f>
        <v>105.7</v>
      </c>
      <c r="H12" s="191"/>
      <c r="I12" s="55"/>
    </row>
    <row r="13" spans="1:10" ht="20.100000000000001" customHeight="1">
      <c r="A13" s="35" t="str">
        <f>'[9]Visit Duration - 12 Months Endi'!A12</f>
        <v>The Works - Atlanta, GA, 30318</v>
      </c>
      <c r="B13" s="38">
        <f>'[9]Visit Duration - 12 Months Endi'!C12</f>
        <v>0.123</v>
      </c>
      <c r="C13" s="38">
        <f>'[9]Visit Duration - 12 Months Endi'!D12</f>
        <v>0.35499999999999998</v>
      </c>
      <c r="D13" s="38">
        <f>'[9]Visit Duration - 12 Months Endi'!E12</f>
        <v>0.39100000000000001</v>
      </c>
      <c r="E13" s="38">
        <f>'[9]Visit Duration - 12 Months Endi'!F12</f>
        <v>0.13</v>
      </c>
      <c r="F13" s="68">
        <f>'[9]Visit Duration - 12 Months Endi'!B12</f>
        <v>105.6</v>
      </c>
      <c r="H13" s="190"/>
      <c r="I13" s="55"/>
    </row>
    <row r="14" spans="1:10">
      <c r="A14" s="35" t="str">
        <f>'[9]Visit Duration - 12 Months Endi'!A13</f>
        <v>Westside Paper - Atlanta, GA 30318</v>
      </c>
      <c r="B14" s="38">
        <f>'[9]Visit Duration - 12 Months Endi'!C13</f>
        <v>0.14299999999999999</v>
      </c>
      <c r="C14" s="38">
        <f>'[9]Visit Duration - 12 Months Endi'!D13</f>
        <v>0.29199999999999998</v>
      </c>
      <c r="D14" s="38">
        <f>'[9]Visit Duration - 12 Months Endi'!E13</f>
        <v>0.33400000000000002</v>
      </c>
      <c r="E14" s="38">
        <f>'[9]Visit Duration - 12 Months Endi'!F13</f>
        <v>0.23200000000000001</v>
      </c>
      <c r="F14" s="68">
        <f>'[9]Visit Duration - 12 Months Endi'!B13</f>
        <v>126.5</v>
      </c>
    </row>
    <row r="15" spans="1:10">
      <c r="A15" s="40" t="s">
        <v>38</v>
      </c>
      <c r="B15" s="43">
        <f>AVERAGE(B3:B12)</f>
        <v>0.1212</v>
      </c>
      <c r="C15" s="43">
        <f>AVERAGE(C3:C12)</f>
        <v>0.36169999999999997</v>
      </c>
      <c r="D15" s="43">
        <f>AVERAGE(D3:D12)</f>
        <v>0.39760000000000001</v>
      </c>
      <c r="E15" s="43">
        <f>AVERAGE(E3:E12)</f>
        <v>0.1192</v>
      </c>
      <c r="F15" s="44">
        <f>AVERAGE(F3:F12)</f>
        <v>103.93999999999998</v>
      </c>
    </row>
    <row r="17" spans="1:14">
      <c r="A17" s="45" t="s">
        <v>126</v>
      </c>
    </row>
    <row r="21" spans="1:14" s="56" customFormat="1" ht="15" customHeight="1">
      <c r="A21" s="373" t="s">
        <v>118</v>
      </c>
      <c r="B21" s="373"/>
      <c r="C21" s="373"/>
      <c r="I21" s="373" t="s">
        <v>118</v>
      </c>
      <c r="J21" s="373"/>
      <c r="K21" s="373"/>
    </row>
    <row r="22" spans="1:14" s="56" customFormat="1" ht="12.75">
      <c r="A22" s="59"/>
      <c r="B22" s="57" t="s">
        <v>119</v>
      </c>
      <c r="C22" s="69" t="s">
        <v>125</v>
      </c>
      <c r="H22" s="58"/>
      <c r="I22" s="70" t="s">
        <v>90</v>
      </c>
      <c r="J22" s="70" t="s">
        <v>119</v>
      </c>
      <c r="K22" s="56" t="s">
        <v>125</v>
      </c>
    </row>
    <row r="23" spans="1:14" s="56" customFormat="1" ht="12.75">
      <c r="A23" s="59">
        <v>1</v>
      </c>
      <c r="B23" s="71" t="str">
        <f t="shared" ref="B23:B32" si="0">A3</f>
        <v xml:space="preserve">Atlanta Botanical Garden - Atlanta, GA  </v>
      </c>
      <c r="C23" s="72">
        <f t="shared" ref="C23:C32" si="1">F3</f>
        <v>100.2</v>
      </c>
      <c r="D23" s="73"/>
      <c r="E23" s="63"/>
      <c r="F23" s="63"/>
      <c r="H23" s="58"/>
      <c r="I23" s="70">
        <v>10</v>
      </c>
      <c r="J23" s="74" t="str">
        <f t="shared" ref="J23:J32" si="2">VLOOKUP(I23,$A$23:$C$33,2,FALSE)</f>
        <v>Ponce City Market - ATL, GA 30308</v>
      </c>
      <c r="K23" s="75">
        <f t="shared" ref="K23:K32" si="3">VLOOKUP(J23,$B$23:$C$33,2,FALSE)</f>
        <v>105.7</v>
      </c>
      <c r="L23" s="65"/>
      <c r="M23" s="65"/>
      <c r="N23" s="65"/>
    </row>
    <row r="24" spans="1:14" s="56" customFormat="1" ht="12.75">
      <c r="A24" s="59">
        <v>2</v>
      </c>
      <c r="B24" s="71" t="str">
        <f t="shared" si="0"/>
        <v>Atlanta Botanical Garden Gainesville - Gainesville, GA 30501</v>
      </c>
      <c r="C24" s="72">
        <f t="shared" si="1"/>
        <v>111.7</v>
      </c>
      <c r="D24" s="63"/>
      <c r="E24" s="63"/>
      <c r="F24" s="63"/>
      <c r="H24" s="58"/>
      <c r="I24" s="70">
        <v>9</v>
      </c>
      <c r="J24" s="74" t="str">
        <f t="shared" si="2"/>
        <v>Piedmont Park - ATL, GA 30309</v>
      </c>
      <c r="K24" s="75">
        <f t="shared" si="3"/>
        <v>95.6</v>
      </c>
      <c r="L24" s="65"/>
      <c r="M24" s="65"/>
      <c r="N24" s="65"/>
    </row>
    <row r="25" spans="1:14" s="56" customFormat="1" ht="12.75">
      <c r="A25" s="59">
        <v>3</v>
      </c>
      <c r="B25" s="71" t="str">
        <f t="shared" si="0"/>
        <v>Avalon - Alpharetta, GA 30009</v>
      </c>
      <c r="C25" s="72">
        <f t="shared" si="1"/>
        <v>101.7</v>
      </c>
      <c r="D25" s="63"/>
      <c r="E25" s="63"/>
      <c r="F25" s="63"/>
      <c r="H25" s="58"/>
      <c r="I25" s="70">
        <v>8</v>
      </c>
      <c r="J25" s="74" t="str">
        <f t="shared" si="2"/>
        <v>Lenox Square - ATL, GA 30326</v>
      </c>
      <c r="K25" s="75">
        <f t="shared" si="3"/>
        <v>95.8</v>
      </c>
      <c r="L25" s="65"/>
      <c r="M25" s="65"/>
      <c r="N25" s="65"/>
    </row>
    <row r="26" spans="1:14" s="56" customFormat="1" ht="12.75">
      <c r="A26" s="59">
        <v>4</v>
      </c>
      <c r="B26" s="71" t="str">
        <f t="shared" si="0"/>
        <v>Fernbank Museum of Natural History - ATL, GA 30307</v>
      </c>
      <c r="C26" s="72">
        <f t="shared" si="1"/>
        <v>125.9</v>
      </c>
      <c r="D26" s="63"/>
      <c r="E26" s="63"/>
      <c r="F26" s="63"/>
      <c r="H26" s="58"/>
      <c r="I26" s="70">
        <v>7</v>
      </c>
      <c r="J26" s="74" t="str">
        <f t="shared" si="2"/>
        <v>Krog Street Market - ATL, GA 30307</v>
      </c>
      <c r="K26" s="75">
        <f t="shared" si="3"/>
        <v>85.8</v>
      </c>
      <c r="L26" s="65"/>
      <c r="M26" s="65"/>
      <c r="N26" s="65"/>
    </row>
    <row r="27" spans="1:14" s="56" customFormat="1" ht="12.75">
      <c r="A27" s="59">
        <v>5</v>
      </c>
      <c r="B27" s="71" t="str">
        <f t="shared" si="0"/>
        <v>Gainesville Square - Gainesville, GA 30501</v>
      </c>
      <c r="C27" s="72">
        <f t="shared" si="1"/>
        <v>103.7</v>
      </c>
      <c r="D27" s="63"/>
      <c r="E27" s="63"/>
      <c r="F27" s="63"/>
      <c r="H27" s="58"/>
      <c r="I27" s="70">
        <v>6</v>
      </c>
      <c r="J27" s="74" t="str">
        <f t="shared" si="2"/>
        <v>High Museum of Art - ATL, GA 30309</v>
      </c>
      <c r="K27" s="75">
        <f t="shared" si="3"/>
        <v>113.3</v>
      </c>
      <c r="L27" s="65"/>
      <c r="M27" s="65"/>
      <c r="N27" s="65"/>
    </row>
    <row r="28" spans="1:14" s="56" customFormat="1" ht="12.75">
      <c r="A28" s="59">
        <v>6</v>
      </c>
      <c r="B28" s="71" t="str">
        <f t="shared" si="0"/>
        <v>High Museum of Art - ATL, GA 30309</v>
      </c>
      <c r="C28" s="72">
        <f t="shared" si="1"/>
        <v>113.3</v>
      </c>
      <c r="D28" s="63"/>
      <c r="E28" s="63"/>
      <c r="F28" s="63"/>
      <c r="H28" s="58"/>
      <c r="I28" s="70">
        <v>5</v>
      </c>
      <c r="J28" s="74" t="str">
        <f t="shared" si="2"/>
        <v>Gainesville Square - Gainesville, GA 30501</v>
      </c>
      <c r="K28" s="75">
        <f t="shared" si="3"/>
        <v>103.7</v>
      </c>
      <c r="L28" s="65"/>
      <c r="M28" s="65"/>
      <c r="N28" s="65"/>
    </row>
    <row r="29" spans="1:14" s="56" customFormat="1" ht="12.75">
      <c r="A29" s="59">
        <v>7</v>
      </c>
      <c r="B29" s="71" t="str">
        <f t="shared" si="0"/>
        <v>Krog Street Market - ATL, GA 30307</v>
      </c>
      <c r="C29" s="72">
        <f t="shared" si="1"/>
        <v>85.8</v>
      </c>
      <c r="D29" s="63"/>
      <c r="E29" s="63"/>
      <c r="F29" s="63"/>
      <c r="H29" s="58"/>
      <c r="I29" s="70">
        <v>4</v>
      </c>
      <c r="J29" s="74" t="str">
        <f t="shared" si="2"/>
        <v>Fernbank Museum of Natural History - ATL, GA 30307</v>
      </c>
      <c r="K29" s="75">
        <f t="shared" si="3"/>
        <v>125.9</v>
      </c>
      <c r="L29" s="65"/>
      <c r="M29" s="65"/>
      <c r="N29" s="65"/>
    </row>
    <row r="30" spans="1:14" s="56" customFormat="1" ht="12.75">
      <c r="A30" s="59">
        <v>8</v>
      </c>
      <c r="B30" s="71" t="str">
        <f t="shared" si="0"/>
        <v>Lenox Square - ATL, GA 30326</v>
      </c>
      <c r="C30" s="72">
        <f t="shared" si="1"/>
        <v>95.8</v>
      </c>
      <c r="D30" s="63"/>
      <c r="E30" s="63"/>
      <c r="F30" s="63"/>
      <c r="H30" s="58"/>
      <c r="I30" s="70">
        <v>3</v>
      </c>
      <c r="J30" s="74" t="str">
        <f t="shared" si="2"/>
        <v>Avalon - Alpharetta, GA 30009</v>
      </c>
      <c r="K30" s="75">
        <f t="shared" si="3"/>
        <v>101.7</v>
      </c>
      <c r="L30" s="65"/>
      <c r="M30" s="65"/>
      <c r="N30" s="65"/>
    </row>
    <row r="31" spans="1:14" s="56" customFormat="1" ht="12.75">
      <c r="A31" s="59">
        <v>9</v>
      </c>
      <c r="B31" s="71" t="str">
        <f t="shared" si="0"/>
        <v>Piedmont Park - ATL, GA 30309</v>
      </c>
      <c r="C31" s="72">
        <f t="shared" si="1"/>
        <v>95.6</v>
      </c>
      <c r="D31" s="63"/>
      <c r="E31" s="63"/>
      <c r="F31" s="63"/>
      <c r="H31" s="58"/>
      <c r="I31" s="70">
        <v>2</v>
      </c>
      <c r="J31" s="74" t="str">
        <f t="shared" si="2"/>
        <v>Atlanta Botanical Garden Gainesville - Gainesville, GA 30501</v>
      </c>
      <c r="K31" s="75">
        <f t="shared" si="3"/>
        <v>111.7</v>
      </c>
      <c r="L31" s="65"/>
      <c r="M31" s="65"/>
      <c r="N31" s="65"/>
    </row>
    <row r="32" spans="1:14" s="56" customFormat="1" ht="12.75">
      <c r="A32" s="59">
        <v>10</v>
      </c>
      <c r="B32" s="71" t="str">
        <f t="shared" si="0"/>
        <v>Ponce City Market - ATL, GA 30308</v>
      </c>
      <c r="C32" s="72">
        <f t="shared" si="1"/>
        <v>105.7</v>
      </c>
      <c r="D32" s="63"/>
      <c r="E32" s="63"/>
      <c r="F32" s="63"/>
      <c r="H32" s="58"/>
      <c r="I32" s="70">
        <v>1</v>
      </c>
      <c r="J32" s="74" t="str">
        <f t="shared" si="2"/>
        <v xml:space="preserve">Atlanta Botanical Garden - Atlanta, GA  </v>
      </c>
      <c r="K32" s="75">
        <f t="shared" si="3"/>
        <v>100.2</v>
      </c>
      <c r="L32" s="65"/>
      <c r="M32" s="65"/>
      <c r="N32" s="65"/>
    </row>
    <row r="33" spans="1:3" s="56" customFormat="1" ht="12.75">
      <c r="A33" s="59"/>
      <c r="B33" s="71"/>
      <c r="C33" s="72"/>
    </row>
  </sheetData>
  <mergeCells count="4">
    <mergeCell ref="A1:F1"/>
    <mergeCell ref="I21:K21"/>
    <mergeCell ref="A21:C21"/>
    <mergeCell ref="I2:J5"/>
  </mergeCells>
  <phoneticPr fontId="15" type="noConversion"/>
  <pageMargins left="0.7" right="0.7" top="0.75" bottom="0.75" header="0.3" footer="0.3"/>
  <pageSetup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M52"/>
  <sheetViews>
    <sheetView workbookViewId="0">
      <selection activeCell="M17" sqref="M17"/>
    </sheetView>
  </sheetViews>
  <sheetFormatPr defaultColWidth="9.140625" defaultRowHeight="12.75"/>
  <cols>
    <col min="1" max="1" width="9.140625" style="262"/>
    <col min="2" max="2" width="18.28515625" style="262" customWidth="1"/>
    <col min="3" max="13" width="15.5703125" style="263" customWidth="1"/>
    <col min="14" max="16384" width="9.140625" style="262"/>
  </cols>
  <sheetData>
    <row r="1" spans="1:13" ht="60">
      <c r="A1" s="262" t="str">
        <f>[10]top_states!$A1</f>
        <v>State</v>
      </c>
      <c r="B1" s="265" t="s">
        <v>238</v>
      </c>
      <c r="C1" s="266" t="str">
        <f>[10]top_states!B$1</f>
        <v>Atlanta Botanical Garden Gainesville</v>
      </c>
      <c r="D1" s="266">
        <f>[10]top_states!C$1</f>
        <v>0</v>
      </c>
      <c r="E1" s="266">
        <f>[10]top_states!D$1</f>
        <v>0</v>
      </c>
      <c r="F1" s="266">
        <f>[10]top_states!E$1</f>
        <v>0</v>
      </c>
      <c r="G1" s="266">
        <f>[10]top_states!F$1</f>
        <v>0</v>
      </c>
      <c r="H1" s="266">
        <f>[10]top_states!G$1</f>
        <v>0</v>
      </c>
      <c r="I1" s="266">
        <f>[10]top_states!H$1</f>
        <v>0</v>
      </c>
      <c r="J1" s="266">
        <f>[10]top_states!I$1</f>
        <v>0</v>
      </c>
      <c r="K1" s="266">
        <f>[10]top_states!J$1</f>
        <v>0</v>
      </c>
      <c r="L1" s="266">
        <f>[10]top_states!K$1</f>
        <v>0</v>
      </c>
      <c r="M1" s="266">
        <f>[10]top_states!L$1</f>
        <v>0</v>
      </c>
    </row>
    <row r="2" spans="1:13" ht="15">
      <c r="A2" s="262">
        <f>[10]top_states!$A2</f>
        <v>0</v>
      </c>
      <c r="B2" s="271" t="str">
        <f>VLOOKUP($A3,'-State Lookup-'!$A:$B,2,FALSE)</f>
        <v>Georgia</v>
      </c>
      <c r="C2" s="272">
        <f>[10]top_states!B3</f>
        <v>0.96799999999999997</v>
      </c>
      <c r="D2" s="273">
        <f>[10]top_states!C3</f>
        <v>0</v>
      </c>
      <c r="E2" s="273">
        <f>[10]top_states!D3</f>
        <v>0</v>
      </c>
      <c r="F2" s="273">
        <f>[10]top_states!E3</f>
        <v>0</v>
      </c>
      <c r="G2" s="273">
        <f>[10]top_states!F3</f>
        <v>0</v>
      </c>
      <c r="H2" s="273">
        <f>[10]top_states!G3</f>
        <v>0</v>
      </c>
      <c r="I2" s="273">
        <f>[10]top_states!H3</f>
        <v>0</v>
      </c>
      <c r="J2" s="273">
        <f>[10]top_states!I3</f>
        <v>0</v>
      </c>
      <c r="K2" s="273">
        <f>[10]top_states!J3</f>
        <v>0</v>
      </c>
      <c r="L2" s="273">
        <f>[10]top_states!K3</f>
        <v>0</v>
      </c>
      <c r="M2" s="274">
        <f>[10]top_states!L3</f>
        <v>0</v>
      </c>
    </row>
    <row r="3" spans="1:13" ht="15">
      <c r="A3" s="262" t="str">
        <f>[10]top_states!$A3</f>
        <v>GA</v>
      </c>
      <c r="B3" s="267" t="str">
        <f>VLOOKUP($A4,'-State Lookup-'!$A:$B,2,FALSE)</f>
        <v>Alabama</v>
      </c>
      <c r="C3" s="268">
        <f>[10]top_states!B4</f>
        <v>1.2999999999999999E-2</v>
      </c>
      <c r="D3" s="269">
        <f>[10]top_states!C4</f>
        <v>0</v>
      </c>
      <c r="E3" s="269">
        <f>[10]top_states!D4</f>
        <v>0</v>
      </c>
      <c r="F3" s="269">
        <f>[10]top_states!E4</f>
        <v>0</v>
      </c>
      <c r="G3" s="269">
        <f>[10]top_states!F4</f>
        <v>0</v>
      </c>
      <c r="H3" s="269">
        <f>[10]top_states!G4</f>
        <v>0</v>
      </c>
      <c r="I3" s="269">
        <f>[10]top_states!H4</f>
        <v>0</v>
      </c>
      <c r="J3" s="269">
        <f>[10]top_states!I4</f>
        <v>0</v>
      </c>
      <c r="K3" s="269">
        <f>[10]top_states!J4</f>
        <v>0</v>
      </c>
      <c r="L3" s="269">
        <f>[10]top_states!K4</f>
        <v>0</v>
      </c>
      <c r="M3" s="270">
        <f>[10]top_states!L4</f>
        <v>0</v>
      </c>
    </row>
    <row r="4" spans="1:13" ht="15">
      <c r="A4" s="262" t="str">
        <f>[10]top_states!$A4</f>
        <v>AL</v>
      </c>
      <c r="B4" s="271" t="str">
        <f>VLOOKUP($A5,'-State Lookup-'!$A:$B,2,FALSE)</f>
        <v>Kentucky</v>
      </c>
      <c r="C4" s="272">
        <f>[10]top_states!B5</f>
        <v>1.2999999999999999E-2</v>
      </c>
      <c r="D4" s="273">
        <f>[10]top_states!C5</f>
        <v>0</v>
      </c>
      <c r="E4" s="273">
        <f>[10]top_states!D5</f>
        <v>0</v>
      </c>
      <c r="F4" s="273">
        <f>[10]top_states!E5</f>
        <v>0</v>
      </c>
      <c r="G4" s="273">
        <f>[10]top_states!F5</f>
        <v>0</v>
      </c>
      <c r="H4" s="273">
        <f>[10]top_states!G5</f>
        <v>0</v>
      </c>
      <c r="I4" s="273">
        <f>[10]top_states!H5</f>
        <v>0</v>
      </c>
      <c r="J4" s="273">
        <f>[10]top_states!I5</f>
        <v>0</v>
      </c>
      <c r="K4" s="273">
        <f>[10]top_states!J5</f>
        <v>0</v>
      </c>
      <c r="L4" s="273">
        <f>[10]top_states!K5</f>
        <v>0</v>
      </c>
      <c r="M4" s="274">
        <f>[10]top_states!L5</f>
        <v>0</v>
      </c>
    </row>
    <row r="5" spans="1:13" ht="15">
      <c r="A5" s="262" t="str">
        <f>[10]top_states!$A5</f>
        <v>KY</v>
      </c>
      <c r="B5" s="267" t="str">
        <f>VLOOKUP($A6,'-State Lookup-'!$A:$B,2,FALSE)</f>
        <v>Florida</v>
      </c>
      <c r="C5" s="268">
        <f>[10]top_states!B6</f>
        <v>5.0000000000000001E-3</v>
      </c>
      <c r="D5" s="269">
        <f>[10]top_states!C6</f>
        <v>0</v>
      </c>
      <c r="E5" s="269">
        <f>[10]top_states!D6</f>
        <v>0</v>
      </c>
      <c r="F5" s="269">
        <f>[10]top_states!E6</f>
        <v>0</v>
      </c>
      <c r="G5" s="269">
        <f>[10]top_states!F6</f>
        <v>0</v>
      </c>
      <c r="H5" s="269">
        <f>[10]top_states!G6</f>
        <v>0</v>
      </c>
      <c r="I5" s="269">
        <f>[10]top_states!H6</f>
        <v>0</v>
      </c>
      <c r="J5" s="269">
        <f>[10]top_states!I6</f>
        <v>0</v>
      </c>
      <c r="K5" s="269">
        <f>[10]top_states!J6</f>
        <v>0</v>
      </c>
      <c r="L5" s="269">
        <f>[10]top_states!K6</f>
        <v>0</v>
      </c>
      <c r="M5" s="270">
        <f>[10]top_states!L6</f>
        <v>0</v>
      </c>
    </row>
    <row r="6" spans="1:13" ht="15">
      <c r="A6" s="262" t="str">
        <f>[10]top_states!$A6</f>
        <v>FL</v>
      </c>
      <c r="B6" s="271" t="str">
        <f>VLOOKUP($A7,'-State Lookup-'!$A:$B,2,FALSE)</f>
        <v>South Carolina</v>
      </c>
      <c r="C6" s="272">
        <f>[10]top_states!B7</f>
        <v>5.0000000000000001E-3</v>
      </c>
      <c r="D6" s="273">
        <f>[10]top_states!C7</f>
        <v>0</v>
      </c>
      <c r="E6" s="273">
        <f>[10]top_states!D7</f>
        <v>0</v>
      </c>
      <c r="F6" s="273">
        <f>[10]top_states!E7</f>
        <v>0</v>
      </c>
      <c r="G6" s="273">
        <f>[10]top_states!F7</f>
        <v>0</v>
      </c>
      <c r="H6" s="273">
        <f>[10]top_states!G7</f>
        <v>0</v>
      </c>
      <c r="I6" s="273">
        <f>[10]top_states!H7</f>
        <v>0</v>
      </c>
      <c r="J6" s="273">
        <f>[10]top_states!I7</f>
        <v>0</v>
      </c>
      <c r="K6" s="273">
        <f>[10]top_states!J7</f>
        <v>0</v>
      </c>
      <c r="L6" s="273">
        <f>[10]top_states!K7</f>
        <v>0</v>
      </c>
      <c r="M6" s="274">
        <f>[10]top_states!L7</f>
        <v>0</v>
      </c>
    </row>
    <row r="7" spans="1:13" ht="15">
      <c r="A7" s="262" t="str">
        <f>[10]top_states!$A7</f>
        <v>SC</v>
      </c>
      <c r="B7" s="267" t="str">
        <f>VLOOKUP($A8,'-State Lookup-'!$A:$B,2,FALSE)</f>
        <v>Texas</v>
      </c>
      <c r="C7" s="268">
        <f>[10]top_states!B8</f>
        <v>5.0000000000000001E-3</v>
      </c>
      <c r="D7" s="269">
        <f>[10]top_states!C8</f>
        <v>0</v>
      </c>
      <c r="E7" s="269">
        <f>[10]top_states!D8</f>
        <v>0</v>
      </c>
      <c r="F7" s="269">
        <f>[10]top_states!E8</f>
        <v>0</v>
      </c>
      <c r="G7" s="269">
        <f>[10]top_states!F8</f>
        <v>0</v>
      </c>
      <c r="H7" s="269">
        <f>[10]top_states!G8</f>
        <v>0</v>
      </c>
      <c r="I7" s="269">
        <f>[10]top_states!H8</f>
        <v>0</v>
      </c>
      <c r="J7" s="269">
        <f>[10]top_states!I8</f>
        <v>0</v>
      </c>
      <c r="K7" s="269">
        <f>[10]top_states!J8</f>
        <v>0</v>
      </c>
      <c r="L7" s="269">
        <f>[10]top_states!K8</f>
        <v>0</v>
      </c>
      <c r="M7" s="270">
        <f>[10]top_states!L8</f>
        <v>0</v>
      </c>
    </row>
    <row r="8" spans="1:13" ht="15">
      <c r="A8" s="262" t="str">
        <f>[10]top_states!$A8</f>
        <v>TX</v>
      </c>
      <c r="B8" s="271" t="e">
        <f>VLOOKUP($A9,'-State Lookup-'!$A:$B,2,FALSE)</f>
        <v>#N/A</v>
      </c>
      <c r="C8" s="272">
        <f>[10]top_states!B9</f>
        <v>0</v>
      </c>
      <c r="D8" s="273">
        <f>[10]top_states!C9</f>
        <v>0</v>
      </c>
      <c r="E8" s="273">
        <f>[10]top_states!D9</f>
        <v>0</v>
      </c>
      <c r="F8" s="273">
        <f>[10]top_states!E9</f>
        <v>0</v>
      </c>
      <c r="G8" s="273">
        <f>[10]top_states!F9</f>
        <v>0</v>
      </c>
      <c r="H8" s="273">
        <f>[10]top_states!G9</f>
        <v>0</v>
      </c>
      <c r="I8" s="273">
        <f>[10]top_states!H9</f>
        <v>0</v>
      </c>
      <c r="J8" s="273">
        <f>[10]top_states!I9</f>
        <v>0</v>
      </c>
      <c r="K8" s="273">
        <f>[10]top_states!J9</f>
        <v>0</v>
      </c>
      <c r="L8" s="273">
        <f>[10]top_states!K9</f>
        <v>0</v>
      </c>
      <c r="M8" s="274">
        <f>[10]top_states!L9</f>
        <v>0</v>
      </c>
    </row>
    <row r="9" spans="1:13" ht="15">
      <c r="A9" s="262">
        <f>[10]top_states!$A9</f>
        <v>0</v>
      </c>
      <c r="B9" s="267" t="e">
        <f>VLOOKUP($A10,'-State Lookup-'!$A:$B,2,FALSE)</f>
        <v>#N/A</v>
      </c>
      <c r="C9" s="268">
        <f>[10]top_states!B10</f>
        <v>0</v>
      </c>
      <c r="D9" s="269">
        <f>[10]top_states!C10</f>
        <v>0</v>
      </c>
      <c r="E9" s="269">
        <f>[10]top_states!D10</f>
        <v>0</v>
      </c>
      <c r="F9" s="269">
        <f>[10]top_states!E10</f>
        <v>0</v>
      </c>
      <c r="G9" s="269">
        <f>[10]top_states!F10</f>
        <v>0</v>
      </c>
      <c r="H9" s="269">
        <f>[10]top_states!G10</f>
        <v>0</v>
      </c>
      <c r="I9" s="269">
        <f>[10]top_states!H10</f>
        <v>0</v>
      </c>
      <c r="J9" s="269">
        <f>[10]top_states!I10</f>
        <v>0</v>
      </c>
      <c r="K9" s="269">
        <f>[10]top_states!J10</f>
        <v>0</v>
      </c>
      <c r="L9" s="269">
        <f>[10]top_states!K10</f>
        <v>0</v>
      </c>
      <c r="M9" s="270">
        <f>[10]top_states!L10</f>
        <v>0</v>
      </c>
    </row>
    <row r="10" spans="1:13" ht="15">
      <c r="A10" s="262">
        <f>[10]top_states!$A10</f>
        <v>0</v>
      </c>
      <c r="B10" s="271" t="e">
        <f>VLOOKUP($A11,'-State Lookup-'!$A:$B,2,FALSE)</f>
        <v>#N/A</v>
      </c>
      <c r="C10" s="272">
        <f>[10]top_states!B11</f>
        <v>0</v>
      </c>
      <c r="D10" s="273">
        <f>[10]top_states!C11</f>
        <v>0</v>
      </c>
      <c r="E10" s="273">
        <f>[10]top_states!D11</f>
        <v>0</v>
      </c>
      <c r="F10" s="273">
        <f>[10]top_states!E11</f>
        <v>0</v>
      </c>
      <c r="G10" s="273">
        <f>[10]top_states!F11</f>
        <v>0</v>
      </c>
      <c r="H10" s="273">
        <f>[10]top_states!G11</f>
        <v>0</v>
      </c>
      <c r="I10" s="273">
        <f>[10]top_states!H11</f>
        <v>0</v>
      </c>
      <c r="J10" s="273">
        <f>[10]top_states!I11</f>
        <v>0</v>
      </c>
      <c r="K10" s="273">
        <f>[10]top_states!J11</f>
        <v>0</v>
      </c>
      <c r="L10" s="273">
        <f>[10]top_states!K11</f>
        <v>0</v>
      </c>
      <c r="M10" s="274">
        <f>[10]top_states!L11</f>
        <v>0</v>
      </c>
    </row>
    <row r="11" spans="1:13">
      <c r="A11" s="262">
        <f>[10]top_states!$A11</f>
        <v>0</v>
      </c>
      <c r="B11" s="262" t="e">
        <f>VLOOKUP($A12,'-State Lookup-'!$A:$B,2,FALSE)</f>
        <v>#N/A</v>
      </c>
      <c r="C11" s="264">
        <f>[10]top_states!B12</f>
        <v>0</v>
      </c>
      <c r="D11" s="264">
        <f>[10]top_states!C12</f>
        <v>0</v>
      </c>
      <c r="E11" s="264">
        <f>[10]top_states!D12</f>
        <v>0</v>
      </c>
      <c r="F11" s="264">
        <f>[10]top_states!E12</f>
        <v>0</v>
      </c>
      <c r="G11" s="264">
        <f>[10]top_states!F12</f>
        <v>0</v>
      </c>
      <c r="H11" s="264">
        <f>[10]top_states!G12</f>
        <v>0</v>
      </c>
      <c r="I11" s="264">
        <f>[10]top_states!H12</f>
        <v>0</v>
      </c>
      <c r="J11" s="264">
        <f>[10]top_states!I12</f>
        <v>0</v>
      </c>
      <c r="K11" s="264">
        <f>[10]top_states!J12</f>
        <v>0</v>
      </c>
      <c r="L11" s="264">
        <f>[10]top_states!K12</f>
        <v>0</v>
      </c>
      <c r="M11" s="264">
        <f>[10]top_states!L12</f>
        <v>0</v>
      </c>
    </row>
    <row r="12" spans="1:13">
      <c r="A12" s="262">
        <f>[10]top_states!$A12</f>
        <v>0</v>
      </c>
      <c r="B12" s="262" t="e">
        <f>VLOOKUP($A13,'-State Lookup-'!$A:$B,2,FALSE)</f>
        <v>#N/A</v>
      </c>
      <c r="C12" s="264">
        <f>[10]top_states!B13</f>
        <v>0</v>
      </c>
      <c r="D12" s="264">
        <f>[10]top_states!C13</f>
        <v>0</v>
      </c>
      <c r="E12" s="264">
        <f>[10]top_states!D13</f>
        <v>0</v>
      </c>
      <c r="F12" s="264">
        <f>[10]top_states!E13</f>
        <v>0</v>
      </c>
      <c r="G12" s="264">
        <f>[10]top_states!F13</f>
        <v>0</v>
      </c>
      <c r="H12" s="264">
        <f>[10]top_states!G13</f>
        <v>0</v>
      </c>
      <c r="I12" s="264">
        <f>[10]top_states!H13</f>
        <v>0</v>
      </c>
      <c r="J12" s="264">
        <f>[10]top_states!I13</f>
        <v>0</v>
      </c>
      <c r="K12" s="264">
        <f>[10]top_states!J13</f>
        <v>0</v>
      </c>
      <c r="L12" s="264">
        <f>[10]top_states!K13</f>
        <v>0</v>
      </c>
      <c r="M12" s="264">
        <f>[10]top_states!L13</f>
        <v>0</v>
      </c>
    </row>
    <row r="13" spans="1:13">
      <c r="A13" s="262">
        <f>[10]top_states!$A13</f>
        <v>0</v>
      </c>
      <c r="B13" s="262" t="e">
        <f>VLOOKUP($A14,'-State Lookup-'!$A:$B,2,FALSE)</f>
        <v>#N/A</v>
      </c>
      <c r="C13" s="264">
        <f>[10]top_states!B14</f>
        <v>0</v>
      </c>
      <c r="D13" s="264">
        <f>[10]top_states!C14</f>
        <v>0</v>
      </c>
      <c r="E13" s="264">
        <f>[10]top_states!D14</f>
        <v>0</v>
      </c>
      <c r="F13" s="264">
        <f>[10]top_states!E14</f>
        <v>0</v>
      </c>
      <c r="G13" s="264">
        <f>[10]top_states!F14</f>
        <v>0</v>
      </c>
      <c r="H13" s="264">
        <f>[10]top_states!G14</f>
        <v>0</v>
      </c>
      <c r="I13" s="264">
        <f>[10]top_states!H14</f>
        <v>0</v>
      </c>
      <c r="J13" s="264">
        <f>[10]top_states!I14</f>
        <v>0</v>
      </c>
      <c r="K13" s="264">
        <f>[10]top_states!J14</f>
        <v>0</v>
      </c>
      <c r="L13" s="264">
        <f>[10]top_states!K14</f>
        <v>0</v>
      </c>
      <c r="M13" s="264">
        <f>[10]top_states!L14</f>
        <v>0</v>
      </c>
    </row>
    <row r="14" spans="1:13">
      <c r="A14" s="262">
        <f>[10]top_states!$A14</f>
        <v>0</v>
      </c>
      <c r="B14" s="262" t="e">
        <f>VLOOKUP($A15,'-State Lookup-'!$A:$B,2,FALSE)</f>
        <v>#N/A</v>
      </c>
      <c r="C14" s="264">
        <f>[10]top_states!B15</f>
        <v>0</v>
      </c>
      <c r="D14" s="264">
        <f>[10]top_states!C15</f>
        <v>0</v>
      </c>
      <c r="E14" s="264">
        <f>[10]top_states!D15</f>
        <v>0</v>
      </c>
      <c r="F14" s="264">
        <f>[10]top_states!E15</f>
        <v>0</v>
      </c>
      <c r="G14" s="264">
        <f>[10]top_states!F15</f>
        <v>0</v>
      </c>
      <c r="H14" s="264">
        <f>[10]top_states!G15</f>
        <v>0</v>
      </c>
      <c r="I14" s="264">
        <f>[10]top_states!H15</f>
        <v>0</v>
      </c>
      <c r="J14" s="264">
        <f>[10]top_states!I15</f>
        <v>0</v>
      </c>
      <c r="K14" s="264">
        <f>[10]top_states!J15</f>
        <v>0</v>
      </c>
      <c r="L14" s="264">
        <f>[10]top_states!K15</f>
        <v>0</v>
      </c>
      <c r="M14" s="264">
        <f>[10]top_states!L15</f>
        <v>0</v>
      </c>
    </row>
    <row r="15" spans="1:13">
      <c r="A15" s="262">
        <f>[10]top_states!$A15</f>
        <v>0</v>
      </c>
      <c r="B15" s="262" t="e">
        <f>VLOOKUP($A16,'-State Lookup-'!$A:$B,2,FALSE)</f>
        <v>#N/A</v>
      </c>
      <c r="C15" s="264">
        <f>[10]top_states!B16</f>
        <v>0</v>
      </c>
      <c r="D15" s="264">
        <f>[10]top_states!C16</f>
        <v>0</v>
      </c>
      <c r="E15" s="264">
        <f>[10]top_states!D16</f>
        <v>0</v>
      </c>
      <c r="F15" s="264">
        <f>[10]top_states!E16</f>
        <v>0</v>
      </c>
      <c r="G15" s="264">
        <f>[10]top_states!F16</f>
        <v>0</v>
      </c>
      <c r="H15" s="264">
        <f>[10]top_states!G16</f>
        <v>0</v>
      </c>
      <c r="I15" s="264">
        <f>[10]top_states!H16</f>
        <v>0</v>
      </c>
      <c r="J15" s="264">
        <f>[10]top_states!I16</f>
        <v>0</v>
      </c>
      <c r="K15" s="264">
        <f>[10]top_states!J16</f>
        <v>0</v>
      </c>
      <c r="L15" s="264">
        <f>[10]top_states!K16</f>
        <v>0</v>
      </c>
      <c r="M15" s="264">
        <f>[10]top_states!L16</f>
        <v>0</v>
      </c>
    </row>
    <row r="16" spans="1:13">
      <c r="A16" s="262">
        <f>[10]top_states!$A16</f>
        <v>0</v>
      </c>
      <c r="B16" s="262" t="e">
        <f>VLOOKUP($A17,'-State Lookup-'!$A:$B,2,FALSE)</f>
        <v>#N/A</v>
      </c>
      <c r="C16" s="264">
        <f>[10]top_states!B17</f>
        <v>0</v>
      </c>
      <c r="D16" s="264">
        <f>[10]top_states!C17</f>
        <v>0</v>
      </c>
      <c r="E16" s="264">
        <f>[10]top_states!D17</f>
        <v>0</v>
      </c>
      <c r="F16" s="264">
        <f>[10]top_states!E17</f>
        <v>0</v>
      </c>
      <c r="G16" s="264">
        <f>[10]top_states!F17</f>
        <v>0</v>
      </c>
      <c r="H16" s="264">
        <f>[10]top_states!G17</f>
        <v>0</v>
      </c>
      <c r="I16" s="264">
        <f>[10]top_states!H17</f>
        <v>0</v>
      </c>
      <c r="J16" s="264">
        <f>[10]top_states!I17</f>
        <v>0</v>
      </c>
      <c r="K16" s="264">
        <f>[10]top_states!J17</f>
        <v>0</v>
      </c>
      <c r="L16" s="264">
        <f>[10]top_states!K17</f>
        <v>0</v>
      </c>
      <c r="M16" s="264">
        <f>[10]top_states!L17</f>
        <v>0</v>
      </c>
    </row>
    <row r="17" spans="1:13">
      <c r="A17" s="262">
        <f>[10]top_states!$A17</f>
        <v>0</v>
      </c>
      <c r="B17" s="262" t="e">
        <f>VLOOKUP($A18,'-State Lookup-'!$A:$B,2,FALSE)</f>
        <v>#N/A</v>
      </c>
      <c r="C17" s="264">
        <f>[10]top_states!B18</f>
        <v>0</v>
      </c>
      <c r="D17" s="264">
        <f>[10]top_states!C18</f>
        <v>0</v>
      </c>
      <c r="E17" s="264">
        <f>[10]top_states!D18</f>
        <v>0</v>
      </c>
      <c r="F17" s="264">
        <f>[10]top_states!E18</f>
        <v>0</v>
      </c>
      <c r="G17" s="264">
        <f>[10]top_states!F18</f>
        <v>0</v>
      </c>
      <c r="H17" s="264">
        <f>[10]top_states!G18</f>
        <v>0</v>
      </c>
      <c r="I17" s="264">
        <f>[10]top_states!H18</f>
        <v>0</v>
      </c>
      <c r="J17" s="264">
        <f>[10]top_states!I18</f>
        <v>0</v>
      </c>
      <c r="K17" s="264">
        <f>[10]top_states!J18</f>
        <v>0</v>
      </c>
      <c r="L17" s="264">
        <f>[10]top_states!K18</f>
        <v>0</v>
      </c>
      <c r="M17" s="264">
        <f>[10]top_states!L18</f>
        <v>0</v>
      </c>
    </row>
    <row r="18" spans="1:13">
      <c r="A18" s="262">
        <f>[10]top_states!$A18</f>
        <v>0</v>
      </c>
      <c r="B18" s="262" t="e">
        <f>VLOOKUP($A19,'-State Lookup-'!$A:$B,2,FALSE)</f>
        <v>#N/A</v>
      </c>
      <c r="C18" s="264">
        <f>[10]top_states!B19</f>
        <v>0</v>
      </c>
      <c r="D18" s="264">
        <f>[10]top_states!C19</f>
        <v>0</v>
      </c>
      <c r="E18" s="264">
        <f>[10]top_states!D19</f>
        <v>0</v>
      </c>
      <c r="F18" s="264">
        <f>[10]top_states!E19</f>
        <v>0</v>
      </c>
      <c r="G18" s="264">
        <f>[10]top_states!F19</f>
        <v>0</v>
      </c>
      <c r="H18" s="264">
        <f>[10]top_states!G19</f>
        <v>0</v>
      </c>
      <c r="I18" s="264">
        <f>[10]top_states!H19</f>
        <v>0</v>
      </c>
      <c r="J18" s="264">
        <f>[10]top_states!I19</f>
        <v>0</v>
      </c>
      <c r="K18" s="264">
        <f>[10]top_states!J19</f>
        <v>0</v>
      </c>
      <c r="L18" s="264">
        <f>[10]top_states!K19</f>
        <v>0</v>
      </c>
      <c r="M18" s="264">
        <f>[10]top_states!L19</f>
        <v>0</v>
      </c>
    </row>
    <row r="19" spans="1:13">
      <c r="A19" s="262">
        <f>[10]top_states!$A19</f>
        <v>0</v>
      </c>
      <c r="B19" s="262" t="e">
        <f>VLOOKUP($A20,'-State Lookup-'!$A:$B,2,FALSE)</f>
        <v>#N/A</v>
      </c>
      <c r="C19" s="264">
        <f>[10]top_states!B20</f>
        <v>0</v>
      </c>
      <c r="D19" s="264">
        <f>[10]top_states!C20</f>
        <v>0</v>
      </c>
      <c r="E19" s="264">
        <f>[10]top_states!D20</f>
        <v>0</v>
      </c>
      <c r="F19" s="264">
        <f>[10]top_states!E20</f>
        <v>0</v>
      </c>
      <c r="G19" s="264">
        <f>[10]top_states!F20</f>
        <v>0</v>
      </c>
      <c r="H19" s="264">
        <f>[10]top_states!G20</f>
        <v>0</v>
      </c>
      <c r="I19" s="264">
        <f>[10]top_states!H20</f>
        <v>0</v>
      </c>
      <c r="J19" s="264">
        <f>[10]top_states!I20</f>
        <v>0</v>
      </c>
      <c r="K19" s="264">
        <f>[10]top_states!J20</f>
        <v>0</v>
      </c>
      <c r="L19" s="264">
        <f>[10]top_states!K20</f>
        <v>0</v>
      </c>
      <c r="M19" s="264">
        <f>[10]top_states!L20</f>
        <v>0</v>
      </c>
    </row>
    <row r="20" spans="1:13">
      <c r="A20" s="262">
        <f>[10]top_states!$A20</f>
        <v>0</v>
      </c>
      <c r="B20" s="262" t="e">
        <f>VLOOKUP($A21,'-State Lookup-'!$A:$B,2,FALSE)</f>
        <v>#N/A</v>
      </c>
      <c r="C20" s="264">
        <f>[10]top_states!B21</f>
        <v>0</v>
      </c>
      <c r="D20" s="264">
        <f>[10]top_states!C21</f>
        <v>0</v>
      </c>
      <c r="E20" s="264">
        <f>[10]top_states!D21</f>
        <v>0</v>
      </c>
      <c r="F20" s="264">
        <f>[10]top_states!E21</f>
        <v>0</v>
      </c>
      <c r="G20" s="264">
        <f>[10]top_states!F21</f>
        <v>0</v>
      </c>
      <c r="H20" s="264">
        <f>[10]top_states!G21</f>
        <v>0</v>
      </c>
      <c r="I20" s="264">
        <f>[10]top_states!H21</f>
        <v>0</v>
      </c>
      <c r="J20" s="264">
        <f>[10]top_states!I21</f>
        <v>0</v>
      </c>
      <c r="K20" s="264">
        <f>[10]top_states!J21</f>
        <v>0</v>
      </c>
      <c r="L20" s="264">
        <f>[10]top_states!K21</f>
        <v>0</v>
      </c>
      <c r="M20" s="264">
        <f>[10]top_states!L21</f>
        <v>0</v>
      </c>
    </row>
    <row r="21" spans="1:13">
      <c r="A21" s="262">
        <f>[10]top_states!$A21</f>
        <v>0</v>
      </c>
      <c r="B21" s="262" t="e">
        <f>VLOOKUP($A22,'-State Lookup-'!$A:$B,2,FALSE)</f>
        <v>#N/A</v>
      </c>
      <c r="C21" s="264">
        <f>[10]top_states!B22</f>
        <v>0</v>
      </c>
      <c r="D21" s="264">
        <f>[10]top_states!C22</f>
        <v>0</v>
      </c>
      <c r="E21" s="264">
        <f>[10]top_states!D22</f>
        <v>0</v>
      </c>
      <c r="F21" s="264">
        <f>[10]top_states!E22</f>
        <v>0</v>
      </c>
      <c r="G21" s="264">
        <f>[10]top_states!F22</f>
        <v>0</v>
      </c>
      <c r="H21" s="264">
        <f>[10]top_states!G22</f>
        <v>0</v>
      </c>
      <c r="I21" s="264">
        <f>[10]top_states!H22</f>
        <v>0</v>
      </c>
      <c r="J21" s="264">
        <f>[10]top_states!I22</f>
        <v>0</v>
      </c>
      <c r="K21" s="264">
        <f>[10]top_states!J22</f>
        <v>0</v>
      </c>
      <c r="L21" s="264">
        <f>[10]top_states!K22</f>
        <v>0</v>
      </c>
      <c r="M21" s="264">
        <f>[10]top_states!L22</f>
        <v>0</v>
      </c>
    </row>
    <row r="22" spans="1:13">
      <c r="A22" s="262">
        <f>[10]top_states!$A22</f>
        <v>0</v>
      </c>
      <c r="B22" s="262" t="e">
        <f>VLOOKUP($A23,'-State Lookup-'!$A:$B,2,FALSE)</f>
        <v>#N/A</v>
      </c>
      <c r="C22" s="264">
        <f>[10]top_states!B23</f>
        <v>0</v>
      </c>
      <c r="D22" s="264">
        <f>[10]top_states!C23</f>
        <v>0</v>
      </c>
      <c r="E22" s="264">
        <f>[10]top_states!D23</f>
        <v>0</v>
      </c>
      <c r="F22" s="264">
        <f>[10]top_states!E23</f>
        <v>0</v>
      </c>
      <c r="G22" s="264">
        <f>[10]top_states!F23</f>
        <v>0</v>
      </c>
      <c r="H22" s="264">
        <f>[10]top_states!G23</f>
        <v>0</v>
      </c>
      <c r="I22" s="264">
        <f>[10]top_states!H23</f>
        <v>0</v>
      </c>
      <c r="J22" s="264">
        <f>[10]top_states!I23</f>
        <v>0</v>
      </c>
      <c r="K22" s="264">
        <f>[10]top_states!J23</f>
        <v>0</v>
      </c>
      <c r="L22" s="264">
        <f>[10]top_states!K23</f>
        <v>0</v>
      </c>
      <c r="M22" s="264">
        <f>[10]top_states!L23</f>
        <v>0</v>
      </c>
    </row>
    <row r="23" spans="1:13">
      <c r="A23" s="262">
        <f>[10]top_states!$A23</f>
        <v>0</v>
      </c>
      <c r="B23" s="262" t="e">
        <f>VLOOKUP($A24,'-State Lookup-'!$A:$B,2,FALSE)</f>
        <v>#N/A</v>
      </c>
      <c r="C23" s="264">
        <f>[10]top_states!B24</f>
        <v>0</v>
      </c>
      <c r="D23" s="264">
        <f>[10]top_states!C24</f>
        <v>0</v>
      </c>
      <c r="E23" s="264">
        <f>[10]top_states!D24</f>
        <v>0</v>
      </c>
      <c r="F23" s="264">
        <f>[10]top_states!E24</f>
        <v>0</v>
      </c>
      <c r="G23" s="264">
        <f>[10]top_states!F24</f>
        <v>0</v>
      </c>
      <c r="H23" s="264">
        <f>[10]top_states!G24</f>
        <v>0</v>
      </c>
      <c r="I23" s="264">
        <f>[10]top_states!H24</f>
        <v>0</v>
      </c>
      <c r="J23" s="264">
        <f>[10]top_states!I24</f>
        <v>0</v>
      </c>
      <c r="K23" s="264">
        <f>[10]top_states!J24</f>
        <v>0</v>
      </c>
      <c r="L23" s="264">
        <f>[10]top_states!K24</f>
        <v>0</v>
      </c>
      <c r="M23" s="264">
        <f>[10]top_states!L24</f>
        <v>0</v>
      </c>
    </row>
    <row r="24" spans="1:13">
      <c r="A24" s="262">
        <f>[10]top_states!$A24</f>
        <v>0</v>
      </c>
      <c r="B24" s="262" t="e">
        <f>VLOOKUP($A25,'-State Lookup-'!$A:$B,2,FALSE)</f>
        <v>#N/A</v>
      </c>
      <c r="C24" s="264">
        <f>[10]top_states!B25</f>
        <v>0</v>
      </c>
      <c r="D24" s="264">
        <f>[10]top_states!C25</f>
        <v>0</v>
      </c>
      <c r="E24" s="264">
        <f>[10]top_states!D25</f>
        <v>0</v>
      </c>
      <c r="F24" s="264">
        <f>[10]top_states!E25</f>
        <v>0</v>
      </c>
      <c r="G24" s="264">
        <f>[10]top_states!F25</f>
        <v>0</v>
      </c>
      <c r="H24" s="264">
        <f>[10]top_states!G25</f>
        <v>0</v>
      </c>
      <c r="I24" s="264">
        <f>[10]top_states!H25</f>
        <v>0</v>
      </c>
      <c r="J24" s="264">
        <f>[10]top_states!I25</f>
        <v>0</v>
      </c>
      <c r="K24" s="264">
        <f>[10]top_states!J25</f>
        <v>0</v>
      </c>
      <c r="L24" s="264">
        <f>[10]top_states!K25</f>
        <v>0</v>
      </c>
      <c r="M24" s="264">
        <f>[10]top_states!L25</f>
        <v>0</v>
      </c>
    </row>
    <row r="25" spans="1:13">
      <c r="A25" s="262">
        <f>[10]top_states!$A25</f>
        <v>0</v>
      </c>
      <c r="B25" s="262" t="e">
        <f>VLOOKUP($A26,'-State Lookup-'!$A:$B,2,FALSE)</f>
        <v>#N/A</v>
      </c>
      <c r="C25" s="264">
        <f>[10]top_states!B26</f>
        <v>0</v>
      </c>
      <c r="D25" s="264">
        <f>[10]top_states!C26</f>
        <v>0</v>
      </c>
      <c r="E25" s="264">
        <f>[10]top_states!D26</f>
        <v>0</v>
      </c>
      <c r="F25" s="264">
        <f>[10]top_states!E26</f>
        <v>0</v>
      </c>
      <c r="G25" s="264">
        <f>[10]top_states!F26</f>
        <v>0</v>
      </c>
      <c r="H25" s="264">
        <f>[10]top_states!G26</f>
        <v>0</v>
      </c>
      <c r="I25" s="264">
        <f>[10]top_states!H26</f>
        <v>0</v>
      </c>
      <c r="J25" s="264">
        <f>[10]top_states!I26</f>
        <v>0</v>
      </c>
      <c r="K25" s="264">
        <f>[10]top_states!J26</f>
        <v>0</v>
      </c>
      <c r="L25" s="264">
        <f>[10]top_states!K26</f>
        <v>0</v>
      </c>
      <c r="M25" s="264">
        <f>[10]top_states!L26</f>
        <v>0</v>
      </c>
    </row>
    <row r="26" spans="1:13">
      <c r="A26" s="262">
        <f>[10]top_states!$A26</f>
        <v>0</v>
      </c>
      <c r="B26" s="262" t="e">
        <f>VLOOKUP($A27,'-State Lookup-'!$A:$B,2,FALSE)</f>
        <v>#N/A</v>
      </c>
      <c r="C26" s="264">
        <f>[10]top_states!B27</f>
        <v>0</v>
      </c>
      <c r="D26" s="264">
        <f>[10]top_states!C27</f>
        <v>0</v>
      </c>
      <c r="E26" s="264">
        <f>[10]top_states!D27</f>
        <v>0</v>
      </c>
      <c r="F26" s="264">
        <f>[10]top_states!E27</f>
        <v>0</v>
      </c>
      <c r="G26" s="264">
        <f>[10]top_states!F27</f>
        <v>0</v>
      </c>
      <c r="H26" s="264">
        <f>[10]top_states!G27</f>
        <v>0</v>
      </c>
      <c r="I26" s="264">
        <f>[10]top_states!H27</f>
        <v>0</v>
      </c>
      <c r="J26" s="264">
        <f>[10]top_states!I27</f>
        <v>0</v>
      </c>
      <c r="K26" s="264">
        <f>[10]top_states!J27</f>
        <v>0</v>
      </c>
      <c r="L26" s="264">
        <f>[10]top_states!K27</f>
        <v>0</v>
      </c>
      <c r="M26" s="264">
        <f>[10]top_states!L27</f>
        <v>0</v>
      </c>
    </row>
    <row r="27" spans="1:13">
      <c r="A27" s="262">
        <f>[10]top_states!$A27</f>
        <v>0</v>
      </c>
      <c r="B27" s="262" t="e">
        <f>VLOOKUP($A28,'-State Lookup-'!$A:$B,2,FALSE)</f>
        <v>#N/A</v>
      </c>
      <c r="C27" s="264">
        <f>[10]top_states!B28</f>
        <v>0</v>
      </c>
      <c r="D27" s="264">
        <f>[10]top_states!C28</f>
        <v>0</v>
      </c>
      <c r="E27" s="264">
        <f>[10]top_states!D28</f>
        <v>0</v>
      </c>
      <c r="F27" s="264">
        <f>[10]top_states!E28</f>
        <v>0</v>
      </c>
      <c r="G27" s="264">
        <f>[10]top_states!F28</f>
        <v>0</v>
      </c>
      <c r="H27" s="264">
        <f>[10]top_states!G28</f>
        <v>0</v>
      </c>
      <c r="I27" s="264">
        <f>[10]top_states!H28</f>
        <v>0</v>
      </c>
      <c r="J27" s="264">
        <f>[10]top_states!I28</f>
        <v>0</v>
      </c>
      <c r="K27" s="264">
        <f>[10]top_states!J28</f>
        <v>0</v>
      </c>
      <c r="L27" s="264">
        <f>[10]top_states!K28</f>
        <v>0</v>
      </c>
      <c r="M27" s="264">
        <f>[10]top_states!L28</f>
        <v>0</v>
      </c>
    </row>
    <row r="28" spans="1:13">
      <c r="A28" s="262">
        <f>[10]top_states!$A28</f>
        <v>0</v>
      </c>
      <c r="B28" s="262" t="e">
        <f>VLOOKUP($A29,'-State Lookup-'!$A:$B,2,FALSE)</f>
        <v>#N/A</v>
      </c>
      <c r="C28" s="264">
        <f>[10]top_states!B29</f>
        <v>0</v>
      </c>
      <c r="D28" s="264">
        <f>[10]top_states!C29</f>
        <v>0</v>
      </c>
      <c r="E28" s="264">
        <f>[10]top_states!D29</f>
        <v>0</v>
      </c>
      <c r="F28" s="264">
        <f>[10]top_states!E29</f>
        <v>0</v>
      </c>
      <c r="G28" s="264">
        <f>[10]top_states!F29</f>
        <v>0</v>
      </c>
      <c r="H28" s="264">
        <f>[10]top_states!G29</f>
        <v>0</v>
      </c>
      <c r="I28" s="264">
        <f>[10]top_states!H29</f>
        <v>0</v>
      </c>
      <c r="J28" s="264">
        <f>[10]top_states!I29</f>
        <v>0</v>
      </c>
      <c r="K28" s="264">
        <f>[10]top_states!J29</f>
        <v>0</v>
      </c>
      <c r="L28" s="264">
        <f>[10]top_states!K29</f>
        <v>0</v>
      </c>
      <c r="M28" s="264">
        <f>[10]top_states!L29</f>
        <v>0</v>
      </c>
    </row>
    <row r="29" spans="1:13">
      <c r="A29" s="262">
        <f>[10]top_states!$A29</f>
        <v>0</v>
      </c>
      <c r="B29" s="262" t="e">
        <f>VLOOKUP($A30,'-State Lookup-'!$A:$B,2,FALSE)</f>
        <v>#N/A</v>
      </c>
      <c r="C29" s="264">
        <f>[10]top_states!B30</f>
        <v>0</v>
      </c>
      <c r="D29" s="264">
        <f>[10]top_states!C30</f>
        <v>0</v>
      </c>
      <c r="E29" s="264">
        <f>[10]top_states!D30</f>
        <v>0</v>
      </c>
      <c r="F29" s="264">
        <f>[10]top_states!E30</f>
        <v>0</v>
      </c>
      <c r="G29" s="264">
        <f>[10]top_states!F30</f>
        <v>0</v>
      </c>
      <c r="H29" s="264">
        <f>[10]top_states!G30</f>
        <v>0</v>
      </c>
      <c r="I29" s="264">
        <f>[10]top_states!H30</f>
        <v>0</v>
      </c>
      <c r="J29" s="264">
        <f>[10]top_states!I30</f>
        <v>0</v>
      </c>
      <c r="K29" s="264">
        <f>[10]top_states!J30</f>
        <v>0</v>
      </c>
      <c r="L29" s="264">
        <f>[10]top_states!K30</f>
        <v>0</v>
      </c>
      <c r="M29" s="264">
        <f>[10]top_states!L30</f>
        <v>0</v>
      </c>
    </row>
    <row r="30" spans="1:13">
      <c r="A30" s="262">
        <f>[10]top_states!$A30</f>
        <v>0</v>
      </c>
      <c r="B30" s="262" t="e">
        <f>VLOOKUP($A31,'-State Lookup-'!$A:$B,2,FALSE)</f>
        <v>#N/A</v>
      </c>
      <c r="C30" s="264">
        <f>[10]top_states!B31</f>
        <v>0</v>
      </c>
      <c r="D30" s="264">
        <f>[10]top_states!C31</f>
        <v>0</v>
      </c>
      <c r="E30" s="264">
        <f>[10]top_states!D31</f>
        <v>0</v>
      </c>
      <c r="F30" s="264">
        <f>[10]top_states!E31</f>
        <v>0</v>
      </c>
      <c r="G30" s="264">
        <f>[10]top_states!F31</f>
        <v>0</v>
      </c>
      <c r="H30" s="264">
        <f>[10]top_states!G31</f>
        <v>0</v>
      </c>
      <c r="I30" s="264">
        <f>[10]top_states!H31</f>
        <v>0</v>
      </c>
      <c r="J30" s="264">
        <f>[10]top_states!I31</f>
        <v>0</v>
      </c>
      <c r="K30" s="264">
        <f>[10]top_states!J31</f>
        <v>0</v>
      </c>
      <c r="L30" s="264">
        <f>[10]top_states!K31</f>
        <v>0</v>
      </c>
      <c r="M30" s="264">
        <f>[10]top_states!L31</f>
        <v>0</v>
      </c>
    </row>
    <row r="31" spans="1:13">
      <c r="A31" s="262">
        <f>[10]top_states!$A31</f>
        <v>0</v>
      </c>
      <c r="B31" s="262" t="e">
        <f>VLOOKUP($A32,'-State Lookup-'!$A:$B,2,FALSE)</f>
        <v>#N/A</v>
      </c>
      <c r="C31" s="264">
        <f>[10]top_states!B32</f>
        <v>0</v>
      </c>
      <c r="D31" s="264">
        <f>[10]top_states!C32</f>
        <v>0</v>
      </c>
      <c r="E31" s="264">
        <f>[10]top_states!D32</f>
        <v>0</v>
      </c>
      <c r="F31" s="264">
        <f>[10]top_states!E32</f>
        <v>0</v>
      </c>
      <c r="G31" s="264">
        <f>[10]top_states!F32</f>
        <v>0</v>
      </c>
      <c r="H31" s="264">
        <f>[10]top_states!G32</f>
        <v>0</v>
      </c>
      <c r="I31" s="264">
        <f>[10]top_states!H32</f>
        <v>0</v>
      </c>
      <c r="J31" s="264">
        <f>[10]top_states!I32</f>
        <v>0</v>
      </c>
      <c r="K31" s="264">
        <f>[10]top_states!J32</f>
        <v>0</v>
      </c>
      <c r="L31" s="264">
        <f>[10]top_states!K32</f>
        <v>0</v>
      </c>
      <c r="M31" s="264">
        <f>[10]top_states!L32</f>
        <v>0</v>
      </c>
    </row>
    <row r="32" spans="1:13">
      <c r="A32" s="262">
        <f>[10]top_states!$A32</f>
        <v>0</v>
      </c>
      <c r="B32" s="262" t="e">
        <f>VLOOKUP($A33,'-State Lookup-'!$A:$B,2,FALSE)</f>
        <v>#N/A</v>
      </c>
      <c r="C32" s="264">
        <f>[10]top_states!B33</f>
        <v>0</v>
      </c>
      <c r="D32" s="264">
        <f>[10]top_states!C33</f>
        <v>0</v>
      </c>
      <c r="E32" s="264">
        <f>[10]top_states!D33</f>
        <v>0</v>
      </c>
      <c r="F32" s="264">
        <f>[10]top_states!E33</f>
        <v>0</v>
      </c>
      <c r="G32" s="264">
        <f>[10]top_states!F33</f>
        <v>0</v>
      </c>
      <c r="H32" s="264">
        <f>[10]top_states!G33</f>
        <v>0</v>
      </c>
      <c r="I32" s="264">
        <f>[10]top_states!H33</f>
        <v>0</v>
      </c>
      <c r="J32" s="264">
        <f>[10]top_states!I33</f>
        <v>0</v>
      </c>
      <c r="K32" s="264">
        <f>[10]top_states!J33</f>
        <v>0</v>
      </c>
      <c r="L32" s="264">
        <f>[10]top_states!K33</f>
        <v>0</v>
      </c>
      <c r="M32" s="264">
        <f>[10]top_states!L33</f>
        <v>0</v>
      </c>
    </row>
    <row r="33" spans="1:13">
      <c r="A33" s="262">
        <f>[10]top_states!$A33</f>
        <v>0</v>
      </c>
      <c r="B33" s="262" t="e">
        <f>VLOOKUP($A34,'-State Lookup-'!$A:$B,2,FALSE)</f>
        <v>#N/A</v>
      </c>
      <c r="C33" s="264">
        <f>[10]top_states!B34</f>
        <v>0</v>
      </c>
      <c r="D33" s="264">
        <f>[10]top_states!C34</f>
        <v>0</v>
      </c>
      <c r="E33" s="264">
        <f>[10]top_states!D34</f>
        <v>0</v>
      </c>
      <c r="F33" s="264">
        <f>[10]top_states!E34</f>
        <v>0</v>
      </c>
      <c r="G33" s="264">
        <f>[10]top_states!F34</f>
        <v>0</v>
      </c>
      <c r="H33" s="264">
        <f>[10]top_states!G34</f>
        <v>0</v>
      </c>
      <c r="I33" s="264">
        <f>[10]top_states!H34</f>
        <v>0</v>
      </c>
      <c r="J33" s="264">
        <f>[10]top_states!I34</f>
        <v>0</v>
      </c>
      <c r="K33" s="264">
        <f>[10]top_states!J34</f>
        <v>0</v>
      </c>
      <c r="L33" s="264">
        <f>[10]top_states!K34</f>
        <v>0</v>
      </c>
      <c r="M33" s="264">
        <f>[10]top_states!L34</f>
        <v>0</v>
      </c>
    </row>
    <row r="34" spans="1:13">
      <c r="A34" s="262">
        <f>[10]top_states!$A34</f>
        <v>0</v>
      </c>
      <c r="B34" s="262" t="e">
        <f>VLOOKUP($A35,'-State Lookup-'!$A:$B,2,FALSE)</f>
        <v>#N/A</v>
      </c>
      <c r="C34" s="264">
        <f>[10]top_states!B35</f>
        <v>0</v>
      </c>
      <c r="D34" s="264">
        <f>[10]top_states!C35</f>
        <v>0</v>
      </c>
      <c r="E34" s="264">
        <f>[10]top_states!D35</f>
        <v>0</v>
      </c>
      <c r="F34" s="264">
        <f>[10]top_states!E35</f>
        <v>0</v>
      </c>
      <c r="G34" s="264">
        <f>[10]top_states!F35</f>
        <v>0</v>
      </c>
      <c r="H34" s="264">
        <f>[10]top_states!G35</f>
        <v>0</v>
      </c>
      <c r="I34" s="264">
        <f>[10]top_states!H35</f>
        <v>0</v>
      </c>
      <c r="J34" s="264">
        <f>[10]top_states!I35</f>
        <v>0</v>
      </c>
      <c r="K34" s="264">
        <f>[10]top_states!J35</f>
        <v>0</v>
      </c>
      <c r="L34" s="264">
        <f>[10]top_states!K35</f>
        <v>0</v>
      </c>
      <c r="M34" s="264">
        <f>[10]top_states!L35</f>
        <v>0</v>
      </c>
    </row>
    <row r="35" spans="1:13">
      <c r="A35" s="262">
        <f>[10]top_states!$A35</f>
        <v>0</v>
      </c>
      <c r="B35" s="262" t="e">
        <f>VLOOKUP($A36,'-State Lookup-'!$A:$B,2,FALSE)</f>
        <v>#N/A</v>
      </c>
      <c r="C35" s="264">
        <f>[10]top_states!B36</f>
        <v>0</v>
      </c>
      <c r="D35" s="264">
        <f>[10]top_states!C36</f>
        <v>0</v>
      </c>
      <c r="E35" s="264">
        <f>[10]top_states!D36</f>
        <v>0</v>
      </c>
      <c r="F35" s="264">
        <f>[10]top_states!E36</f>
        <v>0</v>
      </c>
      <c r="G35" s="264">
        <f>[10]top_states!F36</f>
        <v>0</v>
      </c>
      <c r="H35" s="264">
        <f>[10]top_states!G36</f>
        <v>0</v>
      </c>
      <c r="I35" s="264">
        <f>[10]top_states!H36</f>
        <v>0</v>
      </c>
      <c r="J35" s="264">
        <f>[10]top_states!I36</f>
        <v>0</v>
      </c>
      <c r="K35" s="264">
        <f>[10]top_states!J36</f>
        <v>0</v>
      </c>
      <c r="L35" s="264">
        <f>[10]top_states!K36</f>
        <v>0</v>
      </c>
      <c r="M35" s="264">
        <f>[10]top_states!L36</f>
        <v>0</v>
      </c>
    </row>
    <row r="36" spans="1:13">
      <c r="A36" s="262">
        <f>[10]top_states!$A36</f>
        <v>0</v>
      </c>
      <c r="B36" s="262" t="e">
        <f>VLOOKUP($A37,'-State Lookup-'!$A:$B,2,FALSE)</f>
        <v>#N/A</v>
      </c>
      <c r="C36" s="264">
        <f>[10]top_states!B37</f>
        <v>0</v>
      </c>
      <c r="D36" s="264">
        <f>[10]top_states!C37</f>
        <v>0</v>
      </c>
      <c r="E36" s="264">
        <f>[10]top_states!D37</f>
        <v>0</v>
      </c>
      <c r="F36" s="264">
        <f>[10]top_states!E37</f>
        <v>0</v>
      </c>
      <c r="G36" s="264">
        <f>[10]top_states!F37</f>
        <v>0</v>
      </c>
      <c r="H36" s="264">
        <f>[10]top_states!G37</f>
        <v>0</v>
      </c>
      <c r="I36" s="264">
        <f>[10]top_states!H37</f>
        <v>0</v>
      </c>
      <c r="J36" s="264">
        <f>[10]top_states!I37</f>
        <v>0</v>
      </c>
      <c r="K36" s="264">
        <f>[10]top_states!J37</f>
        <v>0</v>
      </c>
      <c r="L36" s="264">
        <f>[10]top_states!K37</f>
        <v>0</v>
      </c>
      <c r="M36" s="264">
        <f>[10]top_states!L37</f>
        <v>0</v>
      </c>
    </row>
    <row r="37" spans="1:13">
      <c r="A37" s="262">
        <f>[10]top_states!$A37</f>
        <v>0</v>
      </c>
      <c r="B37" s="262" t="e">
        <f>VLOOKUP($A38,'-State Lookup-'!$A:$B,2,FALSE)</f>
        <v>#N/A</v>
      </c>
      <c r="C37" s="264">
        <f>[10]top_states!B38</f>
        <v>0</v>
      </c>
      <c r="D37" s="264">
        <f>[10]top_states!C38</f>
        <v>0</v>
      </c>
      <c r="E37" s="264">
        <f>[10]top_states!D38</f>
        <v>0</v>
      </c>
      <c r="F37" s="264">
        <f>[10]top_states!E38</f>
        <v>0</v>
      </c>
      <c r="G37" s="264">
        <f>[10]top_states!F38</f>
        <v>0</v>
      </c>
      <c r="H37" s="264">
        <f>[10]top_states!G38</f>
        <v>0</v>
      </c>
      <c r="I37" s="264">
        <f>[10]top_states!H38</f>
        <v>0</v>
      </c>
      <c r="J37" s="264">
        <f>[10]top_states!I38</f>
        <v>0</v>
      </c>
      <c r="K37" s="264">
        <f>[10]top_states!J38</f>
        <v>0</v>
      </c>
      <c r="L37" s="264">
        <f>[10]top_states!K38</f>
        <v>0</v>
      </c>
      <c r="M37" s="264">
        <f>[10]top_states!L38</f>
        <v>0</v>
      </c>
    </row>
    <row r="38" spans="1:13">
      <c r="A38" s="262">
        <f>[10]top_states!$A38</f>
        <v>0</v>
      </c>
      <c r="B38" s="262" t="e">
        <f>VLOOKUP($A39,'-State Lookup-'!$A:$B,2,FALSE)</f>
        <v>#N/A</v>
      </c>
      <c r="C38" s="264">
        <f>[10]top_states!B39</f>
        <v>0</v>
      </c>
      <c r="D38" s="264">
        <f>[10]top_states!C39</f>
        <v>0</v>
      </c>
      <c r="E38" s="264">
        <f>[10]top_states!D39</f>
        <v>0</v>
      </c>
      <c r="F38" s="264">
        <f>[10]top_states!E39</f>
        <v>0</v>
      </c>
      <c r="G38" s="264">
        <f>[10]top_states!F39</f>
        <v>0</v>
      </c>
      <c r="H38" s="264">
        <f>[10]top_states!G39</f>
        <v>0</v>
      </c>
      <c r="I38" s="264">
        <f>[10]top_states!H39</f>
        <v>0</v>
      </c>
      <c r="J38" s="264">
        <f>[10]top_states!I39</f>
        <v>0</v>
      </c>
      <c r="K38" s="264">
        <f>[10]top_states!J39</f>
        <v>0</v>
      </c>
      <c r="L38" s="264">
        <f>[10]top_states!K39</f>
        <v>0</v>
      </c>
      <c r="M38" s="264">
        <f>[10]top_states!L39</f>
        <v>0</v>
      </c>
    </row>
    <row r="39" spans="1:13">
      <c r="A39" s="262">
        <f>[10]top_states!$A39</f>
        <v>0</v>
      </c>
      <c r="B39" s="262" t="e">
        <f>VLOOKUP($A40,'-State Lookup-'!$A:$B,2,FALSE)</f>
        <v>#N/A</v>
      </c>
      <c r="C39" s="264">
        <f>[10]top_states!B40</f>
        <v>0</v>
      </c>
      <c r="D39" s="264">
        <f>[10]top_states!C40</f>
        <v>0</v>
      </c>
      <c r="E39" s="264">
        <f>[10]top_states!D40</f>
        <v>0</v>
      </c>
      <c r="F39" s="264">
        <f>[10]top_states!E40</f>
        <v>0</v>
      </c>
      <c r="G39" s="264">
        <f>[10]top_states!F40</f>
        <v>0</v>
      </c>
      <c r="H39" s="264">
        <f>[10]top_states!G40</f>
        <v>0</v>
      </c>
      <c r="I39" s="264">
        <f>[10]top_states!H40</f>
        <v>0</v>
      </c>
      <c r="J39" s="264">
        <f>[10]top_states!I40</f>
        <v>0</v>
      </c>
      <c r="K39" s="264">
        <f>[10]top_states!J40</f>
        <v>0</v>
      </c>
      <c r="L39" s="264">
        <f>[10]top_states!K40</f>
        <v>0</v>
      </c>
      <c r="M39" s="264">
        <f>[10]top_states!L40</f>
        <v>0</v>
      </c>
    </row>
    <row r="40" spans="1:13">
      <c r="A40" s="262">
        <f>[10]top_states!$A40</f>
        <v>0</v>
      </c>
      <c r="B40" s="262" t="e">
        <f>VLOOKUP($A41,'-State Lookup-'!$A:$B,2,FALSE)</f>
        <v>#N/A</v>
      </c>
      <c r="C40" s="264">
        <f>[10]top_states!B41</f>
        <v>0</v>
      </c>
      <c r="D40" s="264">
        <f>[10]top_states!C41</f>
        <v>0</v>
      </c>
      <c r="E40" s="264">
        <f>[10]top_states!D41</f>
        <v>0</v>
      </c>
      <c r="F40" s="264">
        <f>[10]top_states!E41</f>
        <v>0</v>
      </c>
      <c r="G40" s="264">
        <f>[10]top_states!F41</f>
        <v>0</v>
      </c>
      <c r="H40" s="264">
        <f>[10]top_states!G41</f>
        <v>0</v>
      </c>
      <c r="I40" s="264">
        <f>[10]top_states!H41</f>
        <v>0</v>
      </c>
      <c r="J40" s="264">
        <f>[10]top_states!I41</f>
        <v>0</v>
      </c>
      <c r="K40" s="264">
        <f>[10]top_states!J41</f>
        <v>0</v>
      </c>
      <c r="L40" s="264">
        <f>[10]top_states!K41</f>
        <v>0</v>
      </c>
      <c r="M40" s="264">
        <f>[10]top_states!L41</f>
        <v>0</v>
      </c>
    </row>
    <row r="41" spans="1:13">
      <c r="A41" s="262">
        <f>[10]top_states!$A41</f>
        <v>0</v>
      </c>
      <c r="B41" s="262" t="e">
        <f>VLOOKUP($A42,'-State Lookup-'!$A:$B,2,FALSE)</f>
        <v>#N/A</v>
      </c>
      <c r="C41" s="264">
        <f>[10]top_states!B42</f>
        <v>0</v>
      </c>
      <c r="D41" s="264">
        <f>[10]top_states!C42</f>
        <v>0</v>
      </c>
      <c r="E41" s="264">
        <f>[10]top_states!D42</f>
        <v>0</v>
      </c>
      <c r="F41" s="264">
        <f>[10]top_states!E42</f>
        <v>0</v>
      </c>
      <c r="G41" s="264">
        <f>[10]top_states!F42</f>
        <v>0</v>
      </c>
      <c r="H41" s="264">
        <f>[10]top_states!G42</f>
        <v>0</v>
      </c>
      <c r="I41" s="264">
        <f>[10]top_states!H42</f>
        <v>0</v>
      </c>
      <c r="J41" s="264">
        <f>[10]top_states!I42</f>
        <v>0</v>
      </c>
      <c r="K41" s="264">
        <f>[10]top_states!J42</f>
        <v>0</v>
      </c>
      <c r="L41" s="264">
        <f>[10]top_states!K42</f>
        <v>0</v>
      </c>
      <c r="M41" s="264">
        <f>[10]top_states!L42</f>
        <v>0</v>
      </c>
    </row>
    <row r="42" spans="1:13">
      <c r="A42" s="262">
        <f>[10]top_states!$A42</f>
        <v>0</v>
      </c>
      <c r="B42" s="262" t="e">
        <f>VLOOKUP($A43,'-State Lookup-'!$A:$B,2,FALSE)</f>
        <v>#N/A</v>
      </c>
      <c r="C42" s="264">
        <f>[10]top_states!B43</f>
        <v>0</v>
      </c>
      <c r="D42" s="264">
        <f>[10]top_states!C43</f>
        <v>0</v>
      </c>
      <c r="E42" s="264">
        <f>[10]top_states!D43</f>
        <v>0</v>
      </c>
      <c r="F42" s="264">
        <f>[10]top_states!E43</f>
        <v>0</v>
      </c>
      <c r="G42" s="264">
        <f>[10]top_states!F43</f>
        <v>0</v>
      </c>
      <c r="H42" s="264">
        <f>[10]top_states!G43</f>
        <v>0</v>
      </c>
      <c r="I42" s="264">
        <f>[10]top_states!H43</f>
        <v>0</v>
      </c>
      <c r="J42" s="264">
        <f>[10]top_states!I43</f>
        <v>0</v>
      </c>
      <c r="K42" s="264">
        <f>[10]top_states!J43</f>
        <v>0</v>
      </c>
      <c r="L42" s="264">
        <f>[10]top_states!K43</f>
        <v>0</v>
      </c>
      <c r="M42" s="264">
        <f>[10]top_states!L43</f>
        <v>0</v>
      </c>
    </row>
    <row r="43" spans="1:13">
      <c r="A43" s="262">
        <f>[10]top_states!$A43</f>
        <v>0</v>
      </c>
      <c r="B43" s="262" t="e">
        <f>VLOOKUP($A44,'-State Lookup-'!$A:$B,2,FALSE)</f>
        <v>#N/A</v>
      </c>
      <c r="C43" s="264">
        <f>[10]top_states!B44</f>
        <v>0</v>
      </c>
      <c r="D43" s="264">
        <f>[10]top_states!C44</f>
        <v>0</v>
      </c>
      <c r="E43" s="264">
        <f>[10]top_states!D44</f>
        <v>0</v>
      </c>
      <c r="F43" s="264">
        <f>[10]top_states!E44</f>
        <v>0</v>
      </c>
      <c r="G43" s="264">
        <f>[10]top_states!F44</f>
        <v>0</v>
      </c>
      <c r="H43" s="264">
        <f>[10]top_states!G44</f>
        <v>0</v>
      </c>
      <c r="I43" s="264">
        <f>[10]top_states!H44</f>
        <v>0</v>
      </c>
      <c r="J43" s="264">
        <f>[10]top_states!I44</f>
        <v>0</v>
      </c>
      <c r="K43" s="264">
        <f>[10]top_states!J44</f>
        <v>0</v>
      </c>
      <c r="L43" s="264">
        <f>[10]top_states!K44</f>
        <v>0</v>
      </c>
      <c r="M43" s="264">
        <f>[10]top_states!L44</f>
        <v>0</v>
      </c>
    </row>
    <row r="44" spans="1:13">
      <c r="A44" s="262">
        <f>[10]top_states!$A44</f>
        <v>0</v>
      </c>
      <c r="B44" s="262" t="e">
        <f>VLOOKUP($A45,'-State Lookup-'!$A:$B,2,FALSE)</f>
        <v>#N/A</v>
      </c>
      <c r="C44" s="264">
        <f>[10]top_states!B45</f>
        <v>0</v>
      </c>
      <c r="D44" s="264">
        <f>[10]top_states!C45</f>
        <v>0</v>
      </c>
      <c r="E44" s="264">
        <f>[10]top_states!D45</f>
        <v>0</v>
      </c>
      <c r="F44" s="264">
        <f>[10]top_states!E45</f>
        <v>0</v>
      </c>
      <c r="G44" s="264">
        <f>[10]top_states!F45</f>
        <v>0</v>
      </c>
      <c r="H44" s="264">
        <f>[10]top_states!G45</f>
        <v>0</v>
      </c>
      <c r="I44" s="264">
        <f>[10]top_states!H45</f>
        <v>0</v>
      </c>
      <c r="J44" s="264">
        <f>[10]top_states!I45</f>
        <v>0</v>
      </c>
      <c r="K44" s="264">
        <f>[10]top_states!J45</f>
        <v>0</v>
      </c>
      <c r="L44" s="264">
        <f>[10]top_states!K45</f>
        <v>0</v>
      </c>
      <c r="M44" s="264">
        <f>[10]top_states!L45</f>
        <v>0</v>
      </c>
    </row>
    <row r="45" spans="1:13">
      <c r="A45" s="262">
        <f>[10]top_states!$A45</f>
        <v>0</v>
      </c>
      <c r="B45" s="262" t="e">
        <f>VLOOKUP($A46,'-State Lookup-'!$A:$B,2,FALSE)</f>
        <v>#N/A</v>
      </c>
      <c r="C45" s="264">
        <f>[10]top_states!B46</f>
        <v>0</v>
      </c>
      <c r="D45" s="264">
        <f>[10]top_states!C46</f>
        <v>0</v>
      </c>
      <c r="E45" s="264">
        <f>[10]top_states!D46</f>
        <v>0</v>
      </c>
      <c r="F45" s="264">
        <f>[10]top_states!E46</f>
        <v>0</v>
      </c>
      <c r="G45" s="264">
        <f>[10]top_states!F46</f>
        <v>0</v>
      </c>
      <c r="H45" s="264">
        <f>[10]top_states!G46</f>
        <v>0</v>
      </c>
      <c r="I45" s="264">
        <f>[10]top_states!H46</f>
        <v>0</v>
      </c>
      <c r="J45" s="264">
        <f>[10]top_states!I46</f>
        <v>0</v>
      </c>
      <c r="K45" s="264">
        <f>[10]top_states!J46</f>
        <v>0</v>
      </c>
      <c r="L45" s="264">
        <f>[10]top_states!K46</f>
        <v>0</v>
      </c>
      <c r="M45" s="264">
        <f>[10]top_states!L46</f>
        <v>0</v>
      </c>
    </row>
    <row r="46" spans="1:13">
      <c r="A46" s="262">
        <f>[10]top_states!$A46</f>
        <v>0</v>
      </c>
      <c r="B46" s="262" t="e">
        <f>VLOOKUP($A47,'-State Lookup-'!$A:$B,2,FALSE)</f>
        <v>#N/A</v>
      </c>
      <c r="C46" s="264">
        <f>[10]top_states!B47</f>
        <v>0</v>
      </c>
      <c r="D46" s="264">
        <f>[10]top_states!C47</f>
        <v>0</v>
      </c>
      <c r="E46" s="264">
        <f>[10]top_states!D47</f>
        <v>0</v>
      </c>
      <c r="F46" s="264">
        <f>[10]top_states!E47</f>
        <v>0</v>
      </c>
      <c r="G46" s="264">
        <f>[10]top_states!F47</f>
        <v>0</v>
      </c>
      <c r="H46" s="264">
        <f>[10]top_states!G47</f>
        <v>0</v>
      </c>
      <c r="I46" s="264">
        <f>[10]top_states!H47</f>
        <v>0</v>
      </c>
      <c r="J46" s="264">
        <f>[10]top_states!I47</f>
        <v>0</v>
      </c>
      <c r="K46" s="264">
        <f>[10]top_states!J47</f>
        <v>0</v>
      </c>
      <c r="L46" s="264">
        <f>[10]top_states!K47</f>
        <v>0</v>
      </c>
      <c r="M46" s="264">
        <f>[10]top_states!L47</f>
        <v>0</v>
      </c>
    </row>
    <row r="47" spans="1:13">
      <c r="A47" s="262">
        <f>[10]top_states!$A47</f>
        <v>0</v>
      </c>
      <c r="B47" s="262" t="e">
        <f>VLOOKUP($A48,'-State Lookup-'!$A:$B,2,FALSE)</f>
        <v>#N/A</v>
      </c>
      <c r="C47" s="264">
        <f>[10]top_states!B48</f>
        <v>0</v>
      </c>
      <c r="D47" s="264">
        <f>[10]top_states!C48</f>
        <v>0</v>
      </c>
      <c r="E47" s="264">
        <f>[10]top_states!D48</f>
        <v>0</v>
      </c>
      <c r="F47" s="264">
        <f>[10]top_states!E48</f>
        <v>0</v>
      </c>
      <c r="G47" s="264">
        <f>[10]top_states!F48</f>
        <v>0</v>
      </c>
      <c r="H47" s="264">
        <f>[10]top_states!G48</f>
        <v>0</v>
      </c>
      <c r="I47" s="264">
        <f>[10]top_states!H48</f>
        <v>0</v>
      </c>
      <c r="J47" s="264">
        <f>[10]top_states!I48</f>
        <v>0</v>
      </c>
      <c r="K47" s="264">
        <f>[10]top_states!J48</f>
        <v>0</v>
      </c>
      <c r="L47" s="264">
        <f>[10]top_states!K48</f>
        <v>0</v>
      </c>
      <c r="M47" s="264">
        <f>[10]top_states!L48</f>
        <v>0</v>
      </c>
    </row>
    <row r="48" spans="1:13">
      <c r="A48" s="262">
        <f>[10]top_states!$A48</f>
        <v>0</v>
      </c>
      <c r="B48" s="262" t="e">
        <f>VLOOKUP($A49,'-State Lookup-'!$A:$B,2,FALSE)</f>
        <v>#N/A</v>
      </c>
      <c r="C48" s="264">
        <f>[10]top_states!B49</f>
        <v>0</v>
      </c>
      <c r="D48" s="264">
        <f>[10]top_states!C49</f>
        <v>0</v>
      </c>
      <c r="E48" s="264">
        <f>[10]top_states!D49</f>
        <v>0</v>
      </c>
      <c r="F48" s="264">
        <f>[10]top_states!E49</f>
        <v>0</v>
      </c>
      <c r="G48" s="264">
        <f>[10]top_states!F49</f>
        <v>0</v>
      </c>
      <c r="H48" s="264">
        <f>[10]top_states!G49</f>
        <v>0</v>
      </c>
      <c r="I48" s="264">
        <f>[10]top_states!H49</f>
        <v>0</v>
      </c>
      <c r="J48" s="264">
        <f>[10]top_states!I49</f>
        <v>0</v>
      </c>
      <c r="K48" s="264">
        <f>[10]top_states!J49</f>
        <v>0</v>
      </c>
      <c r="L48" s="264">
        <f>[10]top_states!K49</f>
        <v>0</v>
      </c>
      <c r="M48" s="264">
        <f>[10]top_states!L49</f>
        <v>0</v>
      </c>
    </row>
    <row r="49" spans="1:13">
      <c r="A49" s="262">
        <f>[10]top_states!$A49</f>
        <v>0</v>
      </c>
      <c r="B49" s="262" t="e">
        <f>VLOOKUP($A50,'-State Lookup-'!$A:$B,2,FALSE)</f>
        <v>#N/A</v>
      </c>
      <c r="C49" s="264">
        <f>[10]top_states!B50</f>
        <v>0</v>
      </c>
      <c r="D49" s="264">
        <f>[10]top_states!C50</f>
        <v>0</v>
      </c>
      <c r="E49" s="264">
        <f>[10]top_states!D50</f>
        <v>0</v>
      </c>
      <c r="F49" s="264">
        <f>[10]top_states!E50</f>
        <v>0</v>
      </c>
      <c r="G49" s="264">
        <f>[10]top_states!F50</f>
        <v>0</v>
      </c>
      <c r="H49" s="264">
        <f>[10]top_states!G50</f>
        <v>0</v>
      </c>
      <c r="I49" s="264">
        <f>[10]top_states!H50</f>
        <v>0</v>
      </c>
      <c r="J49" s="264">
        <f>[10]top_states!I50</f>
        <v>0</v>
      </c>
      <c r="K49" s="264">
        <f>[10]top_states!J50</f>
        <v>0</v>
      </c>
      <c r="L49" s="264">
        <f>[10]top_states!K50</f>
        <v>0</v>
      </c>
      <c r="M49" s="264">
        <f>[10]top_states!L50</f>
        <v>0</v>
      </c>
    </row>
    <row r="50" spans="1:13">
      <c r="A50" s="262">
        <f>[10]top_states!$A50</f>
        <v>0</v>
      </c>
      <c r="B50" s="262" t="e">
        <f>VLOOKUP($A51,'-State Lookup-'!$A:$B,2,FALSE)</f>
        <v>#N/A</v>
      </c>
      <c r="C50" s="264">
        <f>[10]top_states!B51</f>
        <v>0</v>
      </c>
      <c r="D50" s="264">
        <f>[10]top_states!C51</f>
        <v>0</v>
      </c>
      <c r="E50" s="264">
        <f>[10]top_states!D51</f>
        <v>0</v>
      </c>
      <c r="F50" s="264">
        <f>[10]top_states!E51</f>
        <v>0</v>
      </c>
      <c r="G50" s="264">
        <f>[10]top_states!F51</f>
        <v>0</v>
      </c>
      <c r="H50" s="264">
        <f>[10]top_states!G51</f>
        <v>0</v>
      </c>
      <c r="I50" s="264">
        <f>[10]top_states!H51</f>
        <v>0</v>
      </c>
      <c r="J50" s="264">
        <f>[10]top_states!I51</f>
        <v>0</v>
      </c>
      <c r="K50" s="264">
        <f>[10]top_states!J51</f>
        <v>0</v>
      </c>
      <c r="L50" s="264">
        <f>[10]top_states!K51</f>
        <v>0</v>
      </c>
      <c r="M50" s="264">
        <f>[10]top_states!L51</f>
        <v>0</v>
      </c>
    </row>
    <row r="51" spans="1:13">
      <c r="A51" s="262">
        <f>[10]top_states!$A51</f>
        <v>0</v>
      </c>
      <c r="B51" s="262" t="e">
        <f>VLOOKUP($A52,'-State Lookup-'!$A:$B,2,FALSE)</f>
        <v>#N/A</v>
      </c>
      <c r="C51" s="264">
        <f>[10]top_states!B52</f>
        <v>0</v>
      </c>
      <c r="D51" s="264">
        <f>[10]top_states!C52</f>
        <v>0</v>
      </c>
      <c r="E51" s="264">
        <f>[10]top_states!D52</f>
        <v>0</v>
      </c>
      <c r="F51" s="264">
        <f>[10]top_states!E52</f>
        <v>0</v>
      </c>
      <c r="G51" s="264">
        <f>[10]top_states!F52</f>
        <v>0</v>
      </c>
      <c r="H51" s="264">
        <f>[10]top_states!G52</f>
        <v>0</v>
      </c>
      <c r="I51" s="264">
        <f>[10]top_states!H52</f>
        <v>0</v>
      </c>
      <c r="J51" s="264">
        <f>[10]top_states!I52</f>
        <v>0</v>
      </c>
      <c r="K51" s="264">
        <f>[10]top_states!J52</f>
        <v>0</v>
      </c>
      <c r="L51" s="264">
        <f>[10]top_states!K52</f>
        <v>0</v>
      </c>
      <c r="M51" s="264">
        <f>[10]top_states!L52</f>
        <v>0</v>
      </c>
    </row>
    <row r="52" spans="1:13">
      <c r="A52" s="262">
        <f>[10]top_states!$A52</f>
        <v>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FF3E0-F753-4E3F-B84D-B75157E72A63}">
  <sheetPr codeName="Sheet11">
    <tabColor theme="9" tint="-0.499984740745262"/>
  </sheetPr>
  <dimension ref="A1:XFD43"/>
  <sheetViews>
    <sheetView topLeftCell="A6" workbookViewId="0">
      <selection activeCell="B7" sqref="B7"/>
    </sheetView>
  </sheetViews>
  <sheetFormatPr defaultRowHeight="15"/>
  <cols>
    <col min="1" max="1" width="38.7109375" bestFit="1" customWidth="1"/>
    <col min="2" max="2" width="12.85546875" style="303" customWidth="1"/>
    <col min="3" max="3" width="10.7109375" style="301" customWidth="1"/>
  </cols>
  <sheetData>
    <row r="1" spans="1:16384" hidden="1">
      <c r="B1" s="302" t="str">
        <f>'[11]Summary Report - 12 Months Endi'!A1</f>
        <v>Location</v>
      </c>
      <c r="C1" s="301" t="str">
        <f>'[11]Summary Report - 12 Months Endi'!B1</f>
        <v>TruTrade Population @ 75%</v>
      </c>
      <c r="D1" t="str">
        <f>'[11]Summary Report - 12 Months Endi'!C1</f>
        <v>TruTrade Population @ 65%</v>
      </c>
      <c r="E1" t="str">
        <f>'[11]Summary Report - 12 Months Endi'!D1</f>
        <v>TruTrade Population @ 50%</v>
      </c>
      <c r="F1" t="str">
        <f>'[11]Summary Report - 12 Months Endi'!E1</f>
        <v>Dwell Time</v>
      </c>
      <c r="G1" t="str">
        <f>'[11]Summary Report - 12 Months Endi'!F1</f>
        <v>Frequency</v>
      </c>
      <c r="H1" t="str">
        <f>'[11]Summary Report - 12 Months Endi'!G1</f>
        <v>Distance Traveled - Local Visitors</v>
      </c>
      <c r="I1" t="str">
        <f>'[11]Summary Report - 12 Months Endi'!H1</f>
        <v>Distance Traveled - Out of Market Visitors</v>
      </c>
      <c r="J1" t="str">
        <f>'[11]Summary Report - 12 Months Endi'!I1</f>
        <v>Households with Children</v>
      </c>
      <c r="K1" t="str">
        <f>'[11]Summary Report - 12 Months Endi'!J1</f>
        <v>18-24</v>
      </c>
      <c r="L1" t="str">
        <f>'[11]Summary Report - 12 Months Endi'!K1</f>
        <v>25-34</v>
      </c>
      <c r="M1" t="str">
        <f>'[11]Summary Report - 12 Months Endi'!L1</f>
        <v>35-44</v>
      </c>
      <c r="N1" t="str">
        <f>'[11]Summary Report - 12 Months Endi'!M1</f>
        <v>45-54</v>
      </c>
      <c r="O1" t="str">
        <f>'[11]Summary Report - 12 Months Endi'!N1</f>
        <v>55-64</v>
      </c>
      <c r="P1" t="str">
        <f>'[11]Summary Report - 12 Months Endi'!O1</f>
        <v>65+</v>
      </c>
      <c r="Q1" t="str">
        <f>'[11]Summary Report - 12 Months Endi'!P1</f>
        <v>Average Age</v>
      </c>
      <c r="R1" t="str">
        <f>'[11]Summary Report - 12 Months Endi'!Q1</f>
        <v>Alpha</v>
      </c>
      <c r="S1" t="str">
        <f>'[11]Summary Report - 12 Months Endi'!R1</f>
        <v>Generation Z</v>
      </c>
      <c r="T1" t="str">
        <f>'[11]Summary Report - 12 Months Endi'!S1</f>
        <v>Millennials</v>
      </c>
      <c r="U1" t="str">
        <f>'[11]Summary Report - 12 Months Endi'!T1</f>
        <v>Generation X</v>
      </c>
      <c r="V1" t="str">
        <f>'[11]Summary Report - 12 Months Endi'!U1</f>
        <v>Baby Boomers</v>
      </c>
      <c r="W1" t="str">
        <f>'[11]Summary Report - 12 Months Endi'!V1</f>
        <v>Silent</v>
      </c>
      <c r="X1" t="str">
        <f>'[11]Summary Report - 12 Months Endi'!W1</f>
        <v>Less Than $50,000</v>
      </c>
      <c r="Y1" t="str">
        <f>'[11]Summary Report - 12 Months Endi'!X1</f>
        <v>$50,000 - $74,999</v>
      </c>
      <c r="Z1" t="str">
        <f>'[11]Summary Report - 12 Months Endi'!Y1</f>
        <v>$75,000 - $99,999</v>
      </c>
      <c r="AA1" t="str">
        <f>'[11]Summary Report - 12 Months Endi'!Z1</f>
        <v>$100,000 - $149,999</v>
      </c>
      <c r="AB1" t="str">
        <f>'[11]Summary Report - 12 Months Endi'!AA1</f>
        <v>$150,000 or more</v>
      </c>
      <c r="AC1" t="str">
        <f>'[11]Summary Report - 12 Months Endi'!AB1</f>
        <v>Avg Household Income</v>
      </c>
      <c r="AD1" t="str">
        <f>'[11]Summary Report - 12 Months Endi'!AC1</f>
        <v>Less than College</v>
      </c>
      <c r="AE1" t="str">
        <f>'[11]Summary Report - 12 Months Endi'!AD1</f>
        <v>Some College</v>
      </c>
      <c r="AF1" t="str">
        <f>'[11]Summary Report - 12 Months Endi'!AE1</f>
        <v>College Degree</v>
      </c>
      <c r="AG1" t="str">
        <f>'[11]Summary Report - 12 Months Endi'!AF1</f>
        <v>Post-graduate Degree</v>
      </c>
      <c r="AH1" t="str">
        <f>'[11]Summary Report - 12 Months Endi'!AG1</f>
        <v>Caucasian / White</v>
      </c>
      <c r="AI1" t="str">
        <f>'[11]Summary Report - 12 Months Endi'!AH1</f>
        <v>African-American / Black</v>
      </c>
      <c r="AJ1" t="str">
        <f>'[11]Summary Report - 12 Months Endi'!AI1</f>
        <v>Hispanic / Latino</v>
      </c>
      <c r="AK1" t="str">
        <f>'[11]Summary Report - 12 Months Endi'!AJ1</f>
        <v>Asian</v>
      </c>
      <c r="AL1" t="str">
        <f>'[11]Summary Report - 12 Months Endi'!AK1</f>
        <v>Other</v>
      </c>
      <c r="AM1" t="str">
        <f>'[11]Summary Report - 12 Months Endi'!AL1</f>
        <v>Racial Ethnic Diversity</v>
      </c>
    </row>
    <row r="2" spans="1:16384" hidden="1">
      <c r="A2" t="s">
        <v>244</v>
      </c>
      <c r="B2" s="303" t="str">
        <f>'[11]Summary Report - 12 Months Endi'!A2</f>
        <v>Chicago Botanic Garden - Glencoe, IL 60022</v>
      </c>
      <c r="C2" s="301">
        <f>'[11]Summary Report - 12 Months Endi'!B2</f>
        <v>2834800</v>
      </c>
      <c r="D2">
        <f>'[11]Summary Report - 12 Months Endi'!C2</f>
        <v>1806283</v>
      </c>
      <c r="E2">
        <f>'[11]Summary Report - 12 Months Endi'!D2</f>
        <v>889016</v>
      </c>
      <c r="F2">
        <f>'[11]Summary Report - 12 Months Endi'!E2</f>
        <v>98.091666000000004</v>
      </c>
      <c r="G2">
        <f>'[11]Summary Report - 12 Months Endi'!F2</f>
        <v>1.4166666666666601</v>
      </c>
      <c r="H2">
        <f>'[11]Summary Report - 12 Months Endi'!G2</f>
        <v>12.3</v>
      </c>
      <c r="I2">
        <f>'[11]Summary Report - 12 Months Endi'!H2</f>
        <v>49.9</v>
      </c>
      <c r="J2">
        <f>'[11]Summary Report - 12 Months Endi'!I2</f>
        <v>0.34100000000000003</v>
      </c>
      <c r="K2">
        <f>'[11]Summary Report - 12 Months Endi'!J2</f>
        <v>0.108</v>
      </c>
      <c r="L2">
        <f>'[11]Summary Report - 12 Months Endi'!K2</f>
        <v>0.156</v>
      </c>
      <c r="M2">
        <f>'[11]Summary Report - 12 Months Endi'!L2</f>
        <v>0.16</v>
      </c>
      <c r="N2">
        <f>'[11]Summary Report - 12 Months Endi'!M2</f>
        <v>0.16200000000000001</v>
      </c>
      <c r="O2">
        <f>'[11]Summary Report - 12 Months Endi'!N2</f>
        <v>0.17299999999999999</v>
      </c>
      <c r="P2">
        <f>'[11]Summary Report - 12 Months Endi'!O2</f>
        <v>0.24099999999999999</v>
      </c>
      <c r="Q2">
        <f>'[11]Summary Report - 12 Months Endi'!P2</f>
        <v>47.1</v>
      </c>
      <c r="R2">
        <f>'[11]Summary Report - 12 Months Endi'!Q2</f>
        <v>6.4000000000000001E-2</v>
      </c>
      <c r="S2">
        <f>'[11]Summary Report - 12 Months Endi'!R2</f>
        <v>0.22700000000000001</v>
      </c>
      <c r="T2">
        <f>'[11]Summary Report - 12 Months Endi'!S2</f>
        <v>0.222</v>
      </c>
      <c r="U2">
        <f>'[11]Summary Report - 12 Months Endi'!T2</f>
        <v>0.20399999999999999</v>
      </c>
      <c r="V2">
        <f>'[11]Summary Report - 12 Months Endi'!U2</f>
        <v>0.215</v>
      </c>
      <c r="W2">
        <f>'[11]Summary Report - 12 Months Endi'!V2</f>
        <v>6.8000000000000005E-2</v>
      </c>
      <c r="X2">
        <f>'[11]Summary Report - 12 Months Endi'!W2</f>
        <v>0.22</v>
      </c>
      <c r="Y2">
        <f>'[11]Summary Report - 12 Months Endi'!X2</f>
        <v>0.124</v>
      </c>
      <c r="Z2">
        <f>'[11]Summary Report - 12 Months Endi'!Y2</f>
        <v>0.114</v>
      </c>
      <c r="AA2">
        <f>'[11]Summary Report - 12 Months Endi'!Z2</f>
        <v>0.191</v>
      </c>
      <c r="AB2">
        <f>'[11]Summary Report - 12 Months Endi'!AA2</f>
        <v>0.35199999999999998</v>
      </c>
      <c r="AC2">
        <f>'[11]Summary Report - 12 Months Endi'!AB2</f>
        <v>128869</v>
      </c>
      <c r="AD2">
        <f>'[11]Summary Report - 12 Months Endi'!AC2</f>
        <v>0.22800000000000001</v>
      </c>
      <c r="AE2">
        <f>'[11]Summary Report - 12 Months Endi'!AD2</f>
        <v>0.20300000000000001</v>
      </c>
      <c r="AF2">
        <f>'[11]Summary Report - 12 Months Endi'!AE2</f>
        <v>0.317</v>
      </c>
      <c r="AG2">
        <f>'[11]Summary Report - 12 Months Endi'!AF2</f>
        <v>0.252</v>
      </c>
      <c r="AH2">
        <f>'[11]Summary Report - 12 Months Endi'!AG2</f>
        <v>0.64200000000000002</v>
      </c>
      <c r="AI2">
        <f>'[11]Summary Report - 12 Months Endi'!AH2</f>
        <v>5.5E-2</v>
      </c>
      <c r="AJ2">
        <f>'[11]Summary Report - 12 Months Endi'!AI2</f>
        <v>0.152</v>
      </c>
      <c r="AK2">
        <f>'[11]Summary Report - 12 Months Endi'!AJ2</f>
        <v>0.113</v>
      </c>
      <c r="AL2">
        <f>'[11]Summary Report - 12 Months Endi'!AK2</f>
        <v>3.9E-2</v>
      </c>
      <c r="AM2">
        <f>'[11]Summary Report - 12 Months Endi'!AL2</f>
        <v>0.35799999999999998</v>
      </c>
    </row>
    <row r="3" spans="1:16384" hidden="1">
      <c r="A3" t="s">
        <v>245</v>
      </c>
      <c r="B3" s="303" t="str">
        <f>'[12]Summary Report - 12 Months Endi'!A2</f>
        <v>Chicago Botanic Garden - Glencoe, IL 60022</v>
      </c>
      <c r="C3" s="301">
        <f>'[12]Summary Report - 12 Months Endi'!B2</f>
        <v>2704727</v>
      </c>
      <c r="D3">
        <f>'[12]Summary Report - 12 Months Endi'!C2</f>
        <v>1659395</v>
      </c>
      <c r="E3">
        <f>'[12]Summary Report - 12 Months Endi'!D2</f>
        <v>802232</v>
      </c>
      <c r="F3">
        <f>'[12]Summary Report - 12 Months Endi'!E2</f>
        <v>98.616665999999995</v>
      </c>
      <c r="G3">
        <f>'[12]Summary Report - 12 Months Endi'!F2</f>
        <v>1.2249999999999901</v>
      </c>
      <c r="H3">
        <f>'[12]Summary Report - 12 Months Endi'!G2</f>
        <v>12.1</v>
      </c>
      <c r="I3">
        <f>'[12]Summary Report - 12 Months Endi'!H2</f>
        <v>45.1</v>
      </c>
      <c r="J3">
        <f>'[12]Summary Report - 12 Months Endi'!I2</f>
        <v>0.34200000000000003</v>
      </c>
      <c r="K3">
        <f>'[12]Summary Report - 12 Months Endi'!J2</f>
        <v>0.109</v>
      </c>
      <c r="L3">
        <f>'[12]Summary Report - 12 Months Endi'!K2</f>
        <v>0.155</v>
      </c>
      <c r="M3">
        <f>'[12]Summary Report - 12 Months Endi'!L2</f>
        <v>0.16</v>
      </c>
      <c r="N3">
        <f>'[12]Summary Report - 12 Months Endi'!M2</f>
        <v>0.16200000000000001</v>
      </c>
      <c r="O3">
        <f>'[12]Summary Report - 12 Months Endi'!N2</f>
        <v>0.17299999999999999</v>
      </c>
      <c r="P3">
        <f>'[12]Summary Report - 12 Months Endi'!O2</f>
        <v>0.24199999999999999</v>
      </c>
      <c r="Q3">
        <f>'[12]Summary Report - 12 Months Endi'!P2</f>
        <v>47.1</v>
      </c>
      <c r="R3">
        <f>'[12]Summary Report - 12 Months Endi'!Q2</f>
        <v>6.4000000000000001E-2</v>
      </c>
      <c r="S3">
        <f>'[12]Summary Report - 12 Months Endi'!R2</f>
        <v>0.22800000000000001</v>
      </c>
      <c r="T3">
        <f>'[12]Summary Report - 12 Months Endi'!S2</f>
        <v>0.22</v>
      </c>
      <c r="U3">
        <f>'[12]Summary Report - 12 Months Endi'!T2</f>
        <v>0.20499999999999999</v>
      </c>
      <c r="V3">
        <f>'[12]Summary Report - 12 Months Endi'!U2</f>
        <v>0.215</v>
      </c>
      <c r="W3">
        <f>'[12]Summary Report - 12 Months Endi'!V2</f>
        <v>6.9000000000000006E-2</v>
      </c>
      <c r="X3">
        <f>'[12]Summary Report - 12 Months Endi'!W2</f>
        <v>0.214</v>
      </c>
      <c r="Y3">
        <f>'[12]Summary Report - 12 Months Endi'!X2</f>
        <v>0.123</v>
      </c>
      <c r="Z3">
        <f>'[12]Summary Report - 12 Months Endi'!Y2</f>
        <v>0.112</v>
      </c>
      <c r="AA3">
        <f>'[12]Summary Report - 12 Months Endi'!Z2</f>
        <v>0.191</v>
      </c>
      <c r="AB3">
        <f>'[12]Summary Report - 12 Months Endi'!AA2</f>
        <v>0.36099999999999999</v>
      </c>
      <c r="AC3">
        <f>'[12]Summary Report - 12 Months Endi'!AB2</f>
        <v>133173</v>
      </c>
      <c r="AD3">
        <f>'[12]Summary Report - 12 Months Endi'!AC2</f>
        <v>0.219</v>
      </c>
      <c r="AE3">
        <f>'[12]Summary Report - 12 Months Endi'!AD2</f>
        <v>0.2</v>
      </c>
      <c r="AF3">
        <f>'[12]Summary Report - 12 Months Endi'!AE2</f>
        <v>0.32200000000000001</v>
      </c>
      <c r="AG3">
        <f>'[12]Summary Report - 12 Months Endi'!AF2</f>
        <v>0.25800000000000001</v>
      </c>
      <c r="AH3">
        <f>'[12]Summary Report - 12 Months Endi'!AG2</f>
        <v>0.64600000000000002</v>
      </c>
      <c r="AI3">
        <f>'[12]Summary Report - 12 Months Endi'!AH2</f>
        <v>5.2999999999999999E-2</v>
      </c>
      <c r="AJ3">
        <f>'[12]Summary Report - 12 Months Endi'!AI2</f>
        <v>0.14799999999999999</v>
      </c>
      <c r="AK3">
        <f>'[12]Summary Report - 12 Months Endi'!AJ2</f>
        <v>0.115</v>
      </c>
      <c r="AL3">
        <f>'[12]Summary Report - 12 Months Endi'!AK2</f>
        <v>3.9E-2</v>
      </c>
      <c r="AM3">
        <f>'[12]Summary Report - 12 Months Endi'!AL2</f>
        <v>0.35399999999999998</v>
      </c>
      <c r="AN3">
        <f>'[12]Summary Report - 12 Months Endi'!AM2</f>
        <v>0</v>
      </c>
      <c r="AO3">
        <f>'[12]Summary Report - 12 Months Endi'!AN2</f>
        <v>0</v>
      </c>
      <c r="AP3">
        <f>'[12]Summary Report - 12 Months Endi'!AO2</f>
        <v>0</v>
      </c>
      <c r="AQ3">
        <f>'[12]Summary Report - 12 Months Endi'!AP2</f>
        <v>0</v>
      </c>
      <c r="AR3">
        <f>'[12]Summary Report - 12 Months Endi'!AQ2</f>
        <v>0</v>
      </c>
      <c r="AS3">
        <f>'[12]Summary Report - 12 Months Endi'!AR2</f>
        <v>0</v>
      </c>
      <c r="AT3">
        <f>'[12]Summary Report - 12 Months Endi'!AS2</f>
        <v>0</v>
      </c>
      <c r="AU3">
        <f>'[12]Summary Report - 12 Months Endi'!AT2</f>
        <v>0</v>
      </c>
      <c r="AV3">
        <f>'[12]Summary Report - 12 Months Endi'!AU2</f>
        <v>0</v>
      </c>
      <c r="AW3">
        <f>'[12]Summary Report - 12 Months Endi'!AV2</f>
        <v>0</v>
      </c>
      <c r="AX3">
        <f>'[12]Summary Report - 12 Months Endi'!AW2</f>
        <v>0</v>
      </c>
      <c r="AY3">
        <f>'[12]Summary Report - 12 Months Endi'!AX2</f>
        <v>0</v>
      </c>
      <c r="AZ3">
        <f>'[12]Summary Report - 12 Months Endi'!AY2</f>
        <v>0</v>
      </c>
      <c r="BA3">
        <f>'[12]Summary Report - 12 Months Endi'!AZ2</f>
        <v>0</v>
      </c>
      <c r="BB3">
        <f>'[12]Summary Report - 12 Months Endi'!BA2</f>
        <v>0</v>
      </c>
      <c r="BC3">
        <f>'[12]Summary Report - 12 Months Endi'!BB2</f>
        <v>0</v>
      </c>
      <c r="BD3">
        <f>'[12]Summary Report - 12 Months Endi'!BC2</f>
        <v>0</v>
      </c>
      <c r="BE3">
        <f>'[12]Summary Report - 12 Months Endi'!BD2</f>
        <v>0</v>
      </c>
      <c r="BF3">
        <f>'[12]Summary Report - 12 Months Endi'!BE2</f>
        <v>0</v>
      </c>
      <c r="BG3">
        <f>'[12]Summary Report - 12 Months Endi'!BF2</f>
        <v>0</v>
      </c>
      <c r="BH3">
        <f>'[12]Summary Report - 12 Months Endi'!BG2</f>
        <v>0</v>
      </c>
      <c r="BI3">
        <f>'[12]Summary Report - 12 Months Endi'!BH2</f>
        <v>0</v>
      </c>
      <c r="BJ3">
        <f>'[12]Summary Report - 12 Months Endi'!BI2</f>
        <v>0</v>
      </c>
      <c r="BK3">
        <f>'[12]Summary Report - 12 Months Endi'!BJ2</f>
        <v>0</v>
      </c>
      <c r="BL3">
        <f>'[12]Summary Report - 12 Months Endi'!BK2</f>
        <v>0</v>
      </c>
      <c r="BM3">
        <f>'[12]Summary Report - 12 Months Endi'!BL2</f>
        <v>0</v>
      </c>
      <c r="BN3">
        <f>'[12]Summary Report - 12 Months Endi'!BM2</f>
        <v>0</v>
      </c>
      <c r="BO3">
        <f>'[12]Summary Report - 12 Months Endi'!BN2</f>
        <v>0</v>
      </c>
      <c r="BP3">
        <f>'[12]Summary Report - 12 Months Endi'!BO2</f>
        <v>0</v>
      </c>
      <c r="BQ3">
        <f>'[12]Summary Report - 12 Months Endi'!BP2</f>
        <v>0</v>
      </c>
      <c r="BR3">
        <f>'[12]Summary Report - 12 Months Endi'!BQ2</f>
        <v>0</v>
      </c>
      <c r="BS3">
        <f>'[12]Summary Report - 12 Months Endi'!BR2</f>
        <v>0</v>
      </c>
      <c r="BT3">
        <f>'[12]Summary Report - 12 Months Endi'!BS2</f>
        <v>0</v>
      </c>
      <c r="BU3">
        <f>'[12]Summary Report - 12 Months Endi'!BT2</f>
        <v>0</v>
      </c>
      <c r="BV3">
        <f>'[12]Summary Report - 12 Months Endi'!BU2</f>
        <v>0</v>
      </c>
      <c r="BW3">
        <f>'[12]Summary Report - 12 Months Endi'!BV2</f>
        <v>0</v>
      </c>
      <c r="BX3">
        <f>'[12]Summary Report - 12 Months Endi'!BW2</f>
        <v>0</v>
      </c>
      <c r="BY3">
        <f>'[12]Summary Report - 12 Months Endi'!BX2</f>
        <v>0</v>
      </c>
      <c r="BZ3">
        <f>'[12]Summary Report - 12 Months Endi'!BY2</f>
        <v>0</v>
      </c>
      <c r="CA3">
        <f>'[12]Summary Report - 12 Months Endi'!BZ2</f>
        <v>0</v>
      </c>
      <c r="CB3">
        <f>'[12]Summary Report - 12 Months Endi'!CA2</f>
        <v>0</v>
      </c>
      <c r="CC3">
        <f>'[12]Summary Report - 12 Months Endi'!CB2</f>
        <v>0</v>
      </c>
      <c r="CD3">
        <f>'[12]Summary Report - 12 Months Endi'!CC2</f>
        <v>0</v>
      </c>
      <c r="CE3">
        <f>'[12]Summary Report - 12 Months Endi'!CD2</f>
        <v>0</v>
      </c>
      <c r="CF3">
        <f>'[12]Summary Report - 12 Months Endi'!CE2</f>
        <v>0</v>
      </c>
      <c r="CG3">
        <f>'[12]Summary Report - 12 Months Endi'!CF2</f>
        <v>0</v>
      </c>
      <c r="CH3">
        <f>'[12]Summary Report - 12 Months Endi'!CG2</f>
        <v>0</v>
      </c>
      <c r="CI3">
        <f>'[12]Summary Report - 12 Months Endi'!CH2</f>
        <v>0</v>
      </c>
      <c r="CJ3">
        <f>'[12]Summary Report - 12 Months Endi'!CI2</f>
        <v>0</v>
      </c>
      <c r="CK3">
        <f>'[12]Summary Report - 12 Months Endi'!CJ2</f>
        <v>0</v>
      </c>
      <c r="CL3">
        <f>'[12]Summary Report - 12 Months Endi'!CK2</f>
        <v>0</v>
      </c>
      <c r="CM3">
        <f>'[12]Summary Report - 12 Months Endi'!CL2</f>
        <v>0</v>
      </c>
      <c r="CN3">
        <f>'[12]Summary Report - 12 Months Endi'!CM2</f>
        <v>0</v>
      </c>
      <c r="CO3">
        <f>'[12]Summary Report - 12 Months Endi'!CN2</f>
        <v>0</v>
      </c>
      <c r="CP3">
        <f>'[12]Summary Report - 12 Months Endi'!CO2</f>
        <v>0</v>
      </c>
      <c r="CQ3">
        <f>'[12]Summary Report - 12 Months Endi'!CP2</f>
        <v>0</v>
      </c>
      <c r="CR3">
        <f>'[12]Summary Report - 12 Months Endi'!CQ2</f>
        <v>0</v>
      </c>
      <c r="CS3">
        <f>'[12]Summary Report - 12 Months Endi'!CR2</f>
        <v>0</v>
      </c>
      <c r="CT3">
        <f>'[12]Summary Report - 12 Months Endi'!CS2</f>
        <v>0</v>
      </c>
      <c r="CU3">
        <f>'[12]Summary Report - 12 Months Endi'!CT2</f>
        <v>0</v>
      </c>
      <c r="CV3">
        <f>'[12]Summary Report - 12 Months Endi'!CU2</f>
        <v>0</v>
      </c>
      <c r="CW3">
        <f>'[12]Summary Report - 12 Months Endi'!CV2</f>
        <v>0</v>
      </c>
      <c r="CX3">
        <f>'[12]Summary Report - 12 Months Endi'!CW2</f>
        <v>0</v>
      </c>
      <c r="CY3">
        <f>'[12]Summary Report - 12 Months Endi'!CX2</f>
        <v>0</v>
      </c>
      <c r="CZ3">
        <f>'[12]Summary Report - 12 Months Endi'!CY2</f>
        <v>0</v>
      </c>
      <c r="DA3">
        <f>'[12]Summary Report - 12 Months Endi'!CZ2</f>
        <v>0</v>
      </c>
      <c r="DB3">
        <f>'[12]Summary Report - 12 Months Endi'!DA2</f>
        <v>0</v>
      </c>
      <c r="DC3">
        <f>'[12]Summary Report - 12 Months Endi'!DB2</f>
        <v>0</v>
      </c>
      <c r="DD3">
        <f>'[12]Summary Report - 12 Months Endi'!DC2</f>
        <v>0</v>
      </c>
      <c r="DE3">
        <f>'[12]Summary Report - 12 Months Endi'!DD2</f>
        <v>0</v>
      </c>
      <c r="DF3">
        <f>'[12]Summary Report - 12 Months Endi'!DE2</f>
        <v>0</v>
      </c>
      <c r="DG3">
        <f>'[12]Summary Report - 12 Months Endi'!DF2</f>
        <v>0</v>
      </c>
      <c r="DH3">
        <f>'[12]Summary Report - 12 Months Endi'!DG2</f>
        <v>0</v>
      </c>
      <c r="DI3">
        <f>'[12]Summary Report - 12 Months Endi'!DH2</f>
        <v>0</v>
      </c>
      <c r="DJ3">
        <f>'[12]Summary Report - 12 Months Endi'!DI2</f>
        <v>0</v>
      </c>
      <c r="DK3">
        <f>'[12]Summary Report - 12 Months Endi'!DJ2</f>
        <v>0</v>
      </c>
      <c r="DL3">
        <f>'[12]Summary Report - 12 Months Endi'!DK2</f>
        <v>0</v>
      </c>
      <c r="DM3">
        <f>'[12]Summary Report - 12 Months Endi'!DL2</f>
        <v>0</v>
      </c>
      <c r="DN3">
        <f>'[12]Summary Report - 12 Months Endi'!DM2</f>
        <v>0</v>
      </c>
      <c r="DO3">
        <f>'[12]Summary Report - 12 Months Endi'!DN2</f>
        <v>0</v>
      </c>
      <c r="DP3">
        <f>'[12]Summary Report - 12 Months Endi'!DO2</f>
        <v>0</v>
      </c>
      <c r="DQ3">
        <f>'[12]Summary Report - 12 Months Endi'!DP2</f>
        <v>0</v>
      </c>
      <c r="DR3">
        <f>'[12]Summary Report - 12 Months Endi'!DQ2</f>
        <v>0</v>
      </c>
      <c r="DS3">
        <f>'[12]Summary Report - 12 Months Endi'!DR2</f>
        <v>0</v>
      </c>
      <c r="DT3">
        <f>'[12]Summary Report - 12 Months Endi'!DS2</f>
        <v>0</v>
      </c>
      <c r="DU3">
        <f>'[12]Summary Report - 12 Months Endi'!DT2</f>
        <v>0</v>
      </c>
      <c r="DV3">
        <f>'[12]Summary Report - 12 Months Endi'!DU2</f>
        <v>0</v>
      </c>
      <c r="DW3">
        <f>'[12]Summary Report - 12 Months Endi'!DV2</f>
        <v>0</v>
      </c>
      <c r="DX3">
        <f>'[12]Summary Report - 12 Months Endi'!DW2</f>
        <v>0</v>
      </c>
      <c r="DY3">
        <f>'[12]Summary Report - 12 Months Endi'!DX2</f>
        <v>0</v>
      </c>
      <c r="DZ3">
        <f>'[12]Summary Report - 12 Months Endi'!DY2</f>
        <v>0</v>
      </c>
      <c r="EA3">
        <f>'[12]Summary Report - 12 Months Endi'!DZ2</f>
        <v>0</v>
      </c>
      <c r="EB3">
        <f>'[12]Summary Report - 12 Months Endi'!EA2</f>
        <v>0</v>
      </c>
      <c r="EC3">
        <f>'[12]Summary Report - 12 Months Endi'!EB2</f>
        <v>0</v>
      </c>
      <c r="ED3">
        <f>'[12]Summary Report - 12 Months Endi'!EC2</f>
        <v>0</v>
      </c>
      <c r="EE3">
        <f>'[12]Summary Report - 12 Months Endi'!ED2</f>
        <v>0</v>
      </c>
      <c r="EF3">
        <f>'[12]Summary Report - 12 Months Endi'!EE2</f>
        <v>0</v>
      </c>
      <c r="EG3">
        <f>'[12]Summary Report - 12 Months Endi'!EF2</f>
        <v>0</v>
      </c>
      <c r="EH3">
        <f>'[12]Summary Report - 12 Months Endi'!EG2</f>
        <v>0</v>
      </c>
      <c r="EI3">
        <f>'[12]Summary Report - 12 Months Endi'!EH2</f>
        <v>0</v>
      </c>
      <c r="EJ3">
        <f>'[12]Summary Report - 12 Months Endi'!EI2</f>
        <v>0</v>
      </c>
      <c r="EK3">
        <f>'[12]Summary Report - 12 Months Endi'!EJ2</f>
        <v>0</v>
      </c>
      <c r="EL3">
        <f>'[12]Summary Report - 12 Months Endi'!EK2</f>
        <v>0</v>
      </c>
      <c r="EM3">
        <f>'[12]Summary Report - 12 Months Endi'!EL2</f>
        <v>0</v>
      </c>
      <c r="EN3">
        <f>'[12]Summary Report - 12 Months Endi'!EM2</f>
        <v>0</v>
      </c>
      <c r="EO3">
        <f>'[12]Summary Report - 12 Months Endi'!EN2</f>
        <v>0</v>
      </c>
      <c r="EP3">
        <f>'[12]Summary Report - 12 Months Endi'!EO2</f>
        <v>0</v>
      </c>
      <c r="EQ3">
        <f>'[12]Summary Report - 12 Months Endi'!EP2</f>
        <v>0</v>
      </c>
      <c r="ER3">
        <f>'[12]Summary Report - 12 Months Endi'!EQ2</f>
        <v>0</v>
      </c>
      <c r="ES3">
        <f>'[12]Summary Report - 12 Months Endi'!ER2</f>
        <v>0</v>
      </c>
      <c r="ET3">
        <f>'[12]Summary Report - 12 Months Endi'!ES2</f>
        <v>0</v>
      </c>
      <c r="EU3">
        <f>'[12]Summary Report - 12 Months Endi'!ET2</f>
        <v>0</v>
      </c>
      <c r="EV3">
        <f>'[12]Summary Report - 12 Months Endi'!EU2</f>
        <v>0</v>
      </c>
      <c r="EW3">
        <f>'[12]Summary Report - 12 Months Endi'!EV2</f>
        <v>0</v>
      </c>
      <c r="EX3">
        <f>'[12]Summary Report - 12 Months Endi'!EW2</f>
        <v>0</v>
      </c>
      <c r="EY3">
        <f>'[12]Summary Report - 12 Months Endi'!EX2</f>
        <v>0</v>
      </c>
      <c r="EZ3">
        <f>'[12]Summary Report - 12 Months Endi'!EY2</f>
        <v>0</v>
      </c>
      <c r="FA3">
        <f>'[12]Summary Report - 12 Months Endi'!EZ2</f>
        <v>0</v>
      </c>
      <c r="FB3">
        <f>'[12]Summary Report - 12 Months Endi'!FA2</f>
        <v>0</v>
      </c>
      <c r="FC3">
        <f>'[12]Summary Report - 12 Months Endi'!FB2</f>
        <v>0</v>
      </c>
      <c r="FD3">
        <f>'[12]Summary Report - 12 Months Endi'!FC2</f>
        <v>0</v>
      </c>
      <c r="FE3">
        <f>'[12]Summary Report - 12 Months Endi'!FD2</f>
        <v>0</v>
      </c>
      <c r="FF3">
        <f>'[12]Summary Report - 12 Months Endi'!FE2</f>
        <v>0</v>
      </c>
      <c r="FG3">
        <f>'[12]Summary Report - 12 Months Endi'!FF2</f>
        <v>0</v>
      </c>
      <c r="FH3">
        <f>'[12]Summary Report - 12 Months Endi'!FG2</f>
        <v>0</v>
      </c>
      <c r="FI3">
        <f>'[12]Summary Report - 12 Months Endi'!FH2</f>
        <v>0</v>
      </c>
      <c r="FJ3">
        <f>'[12]Summary Report - 12 Months Endi'!FI2</f>
        <v>0</v>
      </c>
      <c r="FK3">
        <f>'[12]Summary Report - 12 Months Endi'!FJ2</f>
        <v>0</v>
      </c>
      <c r="FL3">
        <f>'[12]Summary Report - 12 Months Endi'!FK2</f>
        <v>0</v>
      </c>
      <c r="FM3">
        <f>'[12]Summary Report - 12 Months Endi'!FL2</f>
        <v>0</v>
      </c>
      <c r="FN3">
        <f>'[12]Summary Report - 12 Months Endi'!FM2</f>
        <v>0</v>
      </c>
      <c r="FO3">
        <f>'[12]Summary Report - 12 Months Endi'!FN2</f>
        <v>0</v>
      </c>
      <c r="FP3">
        <f>'[12]Summary Report - 12 Months Endi'!FO2</f>
        <v>0</v>
      </c>
      <c r="FQ3">
        <f>'[12]Summary Report - 12 Months Endi'!FP2</f>
        <v>0</v>
      </c>
      <c r="FR3">
        <f>'[12]Summary Report - 12 Months Endi'!FQ2</f>
        <v>0</v>
      </c>
      <c r="FS3">
        <f>'[12]Summary Report - 12 Months Endi'!FR2</f>
        <v>0</v>
      </c>
      <c r="FT3">
        <f>'[12]Summary Report - 12 Months Endi'!FS2</f>
        <v>0</v>
      </c>
      <c r="FU3">
        <f>'[12]Summary Report - 12 Months Endi'!FT2</f>
        <v>0</v>
      </c>
      <c r="FV3">
        <f>'[12]Summary Report - 12 Months Endi'!FU2</f>
        <v>0</v>
      </c>
      <c r="FW3">
        <f>'[12]Summary Report - 12 Months Endi'!FV2</f>
        <v>0</v>
      </c>
      <c r="FX3">
        <f>'[12]Summary Report - 12 Months Endi'!FW2</f>
        <v>0</v>
      </c>
      <c r="FY3">
        <f>'[12]Summary Report - 12 Months Endi'!FX2</f>
        <v>0</v>
      </c>
      <c r="FZ3">
        <f>'[12]Summary Report - 12 Months Endi'!FY2</f>
        <v>0</v>
      </c>
      <c r="GA3">
        <f>'[12]Summary Report - 12 Months Endi'!FZ2</f>
        <v>0</v>
      </c>
      <c r="GB3">
        <f>'[12]Summary Report - 12 Months Endi'!GA2</f>
        <v>0</v>
      </c>
      <c r="GC3">
        <f>'[12]Summary Report - 12 Months Endi'!GB2</f>
        <v>0</v>
      </c>
      <c r="GD3">
        <f>'[12]Summary Report - 12 Months Endi'!GC2</f>
        <v>0</v>
      </c>
      <c r="GE3">
        <f>'[12]Summary Report - 12 Months Endi'!GD2</f>
        <v>0</v>
      </c>
      <c r="GF3">
        <f>'[12]Summary Report - 12 Months Endi'!GE2</f>
        <v>0</v>
      </c>
      <c r="GG3">
        <f>'[12]Summary Report - 12 Months Endi'!GF2</f>
        <v>0</v>
      </c>
      <c r="GH3">
        <f>'[12]Summary Report - 12 Months Endi'!GG2</f>
        <v>0</v>
      </c>
      <c r="GI3">
        <f>'[12]Summary Report - 12 Months Endi'!GH2</f>
        <v>0</v>
      </c>
      <c r="GJ3">
        <f>'[12]Summary Report - 12 Months Endi'!GI2</f>
        <v>0</v>
      </c>
      <c r="GK3">
        <f>'[12]Summary Report - 12 Months Endi'!GJ2</f>
        <v>0</v>
      </c>
      <c r="GL3">
        <f>'[12]Summary Report - 12 Months Endi'!GK2</f>
        <v>0</v>
      </c>
      <c r="GM3">
        <f>'[12]Summary Report - 12 Months Endi'!GL2</f>
        <v>0</v>
      </c>
      <c r="GN3">
        <f>'[12]Summary Report - 12 Months Endi'!GM2</f>
        <v>0</v>
      </c>
      <c r="GO3">
        <f>'[12]Summary Report - 12 Months Endi'!GN2</f>
        <v>0</v>
      </c>
      <c r="GP3">
        <f>'[12]Summary Report - 12 Months Endi'!GO2</f>
        <v>0</v>
      </c>
      <c r="GQ3">
        <f>'[12]Summary Report - 12 Months Endi'!GP2</f>
        <v>0</v>
      </c>
      <c r="GR3">
        <f>'[12]Summary Report - 12 Months Endi'!GQ2</f>
        <v>0</v>
      </c>
      <c r="GS3">
        <f>'[12]Summary Report - 12 Months Endi'!GR2</f>
        <v>0</v>
      </c>
      <c r="GT3">
        <f>'[12]Summary Report - 12 Months Endi'!GS2</f>
        <v>0</v>
      </c>
      <c r="GU3">
        <f>'[12]Summary Report - 12 Months Endi'!GT2</f>
        <v>0</v>
      </c>
      <c r="GV3">
        <f>'[12]Summary Report - 12 Months Endi'!GU2</f>
        <v>0</v>
      </c>
      <c r="GW3">
        <f>'[12]Summary Report - 12 Months Endi'!GV2</f>
        <v>0</v>
      </c>
      <c r="GX3">
        <f>'[12]Summary Report - 12 Months Endi'!GW2</f>
        <v>0</v>
      </c>
      <c r="GY3">
        <f>'[12]Summary Report - 12 Months Endi'!GX2</f>
        <v>0</v>
      </c>
      <c r="GZ3">
        <f>'[12]Summary Report - 12 Months Endi'!GY2</f>
        <v>0</v>
      </c>
      <c r="HA3">
        <f>'[12]Summary Report - 12 Months Endi'!GZ2</f>
        <v>0</v>
      </c>
      <c r="HB3">
        <f>'[12]Summary Report - 12 Months Endi'!HA2</f>
        <v>0</v>
      </c>
      <c r="HC3">
        <f>'[12]Summary Report - 12 Months Endi'!HB2</f>
        <v>0</v>
      </c>
      <c r="HD3">
        <f>'[12]Summary Report - 12 Months Endi'!HC2</f>
        <v>0</v>
      </c>
      <c r="HE3">
        <f>'[12]Summary Report - 12 Months Endi'!HD2</f>
        <v>0</v>
      </c>
      <c r="HF3">
        <f>'[12]Summary Report - 12 Months Endi'!HE2</f>
        <v>0</v>
      </c>
      <c r="HG3">
        <f>'[12]Summary Report - 12 Months Endi'!HF2</f>
        <v>0</v>
      </c>
      <c r="HH3">
        <f>'[12]Summary Report - 12 Months Endi'!HG2</f>
        <v>0</v>
      </c>
      <c r="HI3">
        <f>'[12]Summary Report - 12 Months Endi'!HH2</f>
        <v>0</v>
      </c>
      <c r="HJ3">
        <f>'[12]Summary Report - 12 Months Endi'!HI2</f>
        <v>0</v>
      </c>
      <c r="HK3">
        <f>'[12]Summary Report - 12 Months Endi'!HJ2</f>
        <v>0</v>
      </c>
      <c r="HL3">
        <f>'[12]Summary Report - 12 Months Endi'!HK2</f>
        <v>0</v>
      </c>
      <c r="HM3">
        <f>'[12]Summary Report - 12 Months Endi'!HL2</f>
        <v>0</v>
      </c>
      <c r="HN3">
        <f>'[12]Summary Report - 12 Months Endi'!HM2</f>
        <v>0</v>
      </c>
      <c r="HO3">
        <f>'[12]Summary Report - 12 Months Endi'!HN2</f>
        <v>0</v>
      </c>
      <c r="HP3">
        <f>'[12]Summary Report - 12 Months Endi'!HO2</f>
        <v>0</v>
      </c>
      <c r="HQ3">
        <f>'[12]Summary Report - 12 Months Endi'!HP2</f>
        <v>0</v>
      </c>
      <c r="HR3">
        <f>'[12]Summary Report - 12 Months Endi'!HQ2</f>
        <v>0</v>
      </c>
      <c r="HS3">
        <f>'[12]Summary Report - 12 Months Endi'!HR2</f>
        <v>0</v>
      </c>
      <c r="HT3">
        <f>'[12]Summary Report - 12 Months Endi'!HS2</f>
        <v>0</v>
      </c>
      <c r="HU3">
        <f>'[12]Summary Report - 12 Months Endi'!HT2</f>
        <v>0</v>
      </c>
      <c r="HV3">
        <f>'[12]Summary Report - 12 Months Endi'!HU2</f>
        <v>0</v>
      </c>
      <c r="HW3">
        <f>'[12]Summary Report - 12 Months Endi'!HV2</f>
        <v>0</v>
      </c>
      <c r="HX3">
        <f>'[12]Summary Report - 12 Months Endi'!HW2</f>
        <v>0</v>
      </c>
      <c r="HY3">
        <f>'[12]Summary Report - 12 Months Endi'!HX2</f>
        <v>0</v>
      </c>
      <c r="HZ3">
        <f>'[12]Summary Report - 12 Months Endi'!HY2</f>
        <v>0</v>
      </c>
      <c r="IA3">
        <f>'[12]Summary Report - 12 Months Endi'!HZ2</f>
        <v>0</v>
      </c>
      <c r="IB3">
        <f>'[12]Summary Report - 12 Months Endi'!IA2</f>
        <v>0</v>
      </c>
      <c r="IC3">
        <f>'[12]Summary Report - 12 Months Endi'!IB2</f>
        <v>0</v>
      </c>
      <c r="ID3">
        <f>'[12]Summary Report - 12 Months Endi'!IC2</f>
        <v>0</v>
      </c>
      <c r="IE3">
        <f>'[12]Summary Report - 12 Months Endi'!ID2</f>
        <v>0</v>
      </c>
      <c r="IF3">
        <f>'[12]Summary Report - 12 Months Endi'!IE2</f>
        <v>0</v>
      </c>
      <c r="IG3">
        <f>'[12]Summary Report - 12 Months Endi'!IF2</f>
        <v>0</v>
      </c>
      <c r="IH3">
        <f>'[12]Summary Report - 12 Months Endi'!IG2</f>
        <v>0</v>
      </c>
      <c r="II3">
        <f>'[12]Summary Report - 12 Months Endi'!IH2</f>
        <v>0</v>
      </c>
      <c r="IJ3">
        <f>'[12]Summary Report - 12 Months Endi'!II2</f>
        <v>0</v>
      </c>
      <c r="IK3">
        <f>'[12]Summary Report - 12 Months Endi'!IJ2</f>
        <v>0</v>
      </c>
      <c r="IL3">
        <f>'[12]Summary Report - 12 Months Endi'!IK2</f>
        <v>0</v>
      </c>
      <c r="IM3">
        <f>'[12]Summary Report - 12 Months Endi'!IL2</f>
        <v>0</v>
      </c>
      <c r="IN3">
        <f>'[12]Summary Report - 12 Months Endi'!IM2</f>
        <v>0</v>
      </c>
      <c r="IO3">
        <f>'[12]Summary Report - 12 Months Endi'!IN2</f>
        <v>0</v>
      </c>
      <c r="IP3">
        <f>'[12]Summary Report - 12 Months Endi'!IO2</f>
        <v>0</v>
      </c>
      <c r="IQ3">
        <f>'[12]Summary Report - 12 Months Endi'!IP2</f>
        <v>0</v>
      </c>
      <c r="IR3">
        <f>'[12]Summary Report - 12 Months Endi'!IQ2</f>
        <v>0</v>
      </c>
      <c r="IS3">
        <f>'[12]Summary Report - 12 Months Endi'!IR2</f>
        <v>0</v>
      </c>
      <c r="IT3">
        <f>'[12]Summary Report - 12 Months Endi'!IS2</f>
        <v>0</v>
      </c>
      <c r="IU3">
        <f>'[12]Summary Report - 12 Months Endi'!IT2</f>
        <v>0</v>
      </c>
      <c r="IV3">
        <f>'[12]Summary Report - 12 Months Endi'!IU2</f>
        <v>0</v>
      </c>
      <c r="IW3">
        <f>'[12]Summary Report - 12 Months Endi'!IV2</f>
        <v>0</v>
      </c>
      <c r="IX3">
        <f>'[12]Summary Report - 12 Months Endi'!IW2</f>
        <v>0</v>
      </c>
      <c r="IY3">
        <f>'[12]Summary Report - 12 Months Endi'!IX2</f>
        <v>0</v>
      </c>
      <c r="IZ3">
        <f>'[12]Summary Report - 12 Months Endi'!IY2</f>
        <v>0</v>
      </c>
      <c r="JA3">
        <f>'[12]Summary Report - 12 Months Endi'!IZ2</f>
        <v>0</v>
      </c>
      <c r="JB3">
        <f>'[12]Summary Report - 12 Months Endi'!JA2</f>
        <v>0</v>
      </c>
      <c r="JC3">
        <f>'[12]Summary Report - 12 Months Endi'!JB2</f>
        <v>0</v>
      </c>
      <c r="JD3">
        <f>'[12]Summary Report - 12 Months Endi'!JC2</f>
        <v>0</v>
      </c>
      <c r="JE3">
        <f>'[12]Summary Report - 12 Months Endi'!JD2</f>
        <v>0</v>
      </c>
      <c r="JF3">
        <f>'[12]Summary Report - 12 Months Endi'!JE2</f>
        <v>0</v>
      </c>
      <c r="JG3">
        <f>'[12]Summary Report - 12 Months Endi'!JF2</f>
        <v>0</v>
      </c>
      <c r="JH3">
        <f>'[12]Summary Report - 12 Months Endi'!JG2</f>
        <v>0</v>
      </c>
      <c r="JI3">
        <f>'[12]Summary Report - 12 Months Endi'!JH2</f>
        <v>0</v>
      </c>
      <c r="JJ3">
        <f>'[12]Summary Report - 12 Months Endi'!JI2</f>
        <v>0</v>
      </c>
      <c r="JK3">
        <f>'[12]Summary Report - 12 Months Endi'!JJ2</f>
        <v>0</v>
      </c>
      <c r="JL3">
        <f>'[12]Summary Report - 12 Months Endi'!JK2</f>
        <v>0</v>
      </c>
      <c r="JM3">
        <f>'[12]Summary Report - 12 Months Endi'!JL2</f>
        <v>0</v>
      </c>
      <c r="JN3">
        <f>'[12]Summary Report - 12 Months Endi'!JM2</f>
        <v>0</v>
      </c>
      <c r="JO3">
        <f>'[12]Summary Report - 12 Months Endi'!JN2</f>
        <v>0</v>
      </c>
      <c r="JP3">
        <f>'[12]Summary Report - 12 Months Endi'!JO2</f>
        <v>0</v>
      </c>
      <c r="JQ3">
        <f>'[12]Summary Report - 12 Months Endi'!JP2</f>
        <v>0</v>
      </c>
      <c r="JR3">
        <f>'[12]Summary Report - 12 Months Endi'!JQ2</f>
        <v>0</v>
      </c>
      <c r="JS3">
        <f>'[12]Summary Report - 12 Months Endi'!JR2</f>
        <v>0</v>
      </c>
      <c r="JT3">
        <f>'[12]Summary Report - 12 Months Endi'!JS2</f>
        <v>0</v>
      </c>
      <c r="JU3">
        <f>'[12]Summary Report - 12 Months Endi'!JT2</f>
        <v>0</v>
      </c>
      <c r="JV3">
        <f>'[12]Summary Report - 12 Months Endi'!JU2</f>
        <v>0</v>
      </c>
      <c r="JW3">
        <f>'[12]Summary Report - 12 Months Endi'!JV2</f>
        <v>0</v>
      </c>
      <c r="JX3">
        <f>'[12]Summary Report - 12 Months Endi'!JW2</f>
        <v>0</v>
      </c>
      <c r="JY3">
        <f>'[12]Summary Report - 12 Months Endi'!JX2</f>
        <v>0</v>
      </c>
      <c r="JZ3">
        <f>'[12]Summary Report - 12 Months Endi'!JY2</f>
        <v>0</v>
      </c>
      <c r="KA3">
        <f>'[12]Summary Report - 12 Months Endi'!JZ2</f>
        <v>0</v>
      </c>
      <c r="KB3">
        <f>'[12]Summary Report - 12 Months Endi'!KA2</f>
        <v>0</v>
      </c>
      <c r="KC3">
        <f>'[12]Summary Report - 12 Months Endi'!KB2</f>
        <v>0</v>
      </c>
      <c r="KD3">
        <f>'[12]Summary Report - 12 Months Endi'!KC2</f>
        <v>0</v>
      </c>
      <c r="KE3">
        <f>'[12]Summary Report - 12 Months Endi'!KD2</f>
        <v>0</v>
      </c>
      <c r="KF3">
        <f>'[12]Summary Report - 12 Months Endi'!KE2</f>
        <v>0</v>
      </c>
      <c r="KG3">
        <f>'[12]Summary Report - 12 Months Endi'!KF2</f>
        <v>0</v>
      </c>
      <c r="KH3">
        <f>'[12]Summary Report - 12 Months Endi'!KG2</f>
        <v>0</v>
      </c>
      <c r="KI3">
        <f>'[12]Summary Report - 12 Months Endi'!KH2</f>
        <v>0</v>
      </c>
      <c r="KJ3">
        <f>'[12]Summary Report - 12 Months Endi'!KI2</f>
        <v>0</v>
      </c>
      <c r="KK3">
        <f>'[12]Summary Report - 12 Months Endi'!KJ2</f>
        <v>0</v>
      </c>
      <c r="KL3">
        <f>'[12]Summary Report - 12 Months Endi'!KK2</f>
        <v>0</v>
      </c>
      <c r="KM3">
        <f>'[12]Summary Report - 12 Months Endi'!KL2</f>
        <v>0</v>
      </c>
      <c r="KN3">
        <f>'[12]Summary Report - 12 Months Endi'!KM2</f>
        <v>0</v>
      </c>
      <c r="KO3">
        <f>'[12]Summary Report - 12 Months Endi'!KN2</f>
        <v>0</v>
      </c>
      <c r="KP3">
        <f>'[12]Summary Report - 12 Months Endi'!KO2</f>
        <v>0</v>
      </c>
      <c r="KQ3">
        <f>'[12]Summary Report - 12 Months Endi'!KP2</f>
        <v>0</v>
      </c>
      <c r="KR3">
        <f>'[12]Summary Report - 12 Months Endi'!KQ2</f>
        <v>0</v>
      </c>
      <c r="KS3">
        <f>'[12]Summary Report - 12 Months Endi'!KR2</f>
        <v>0</v>
      </c>
      <c r="KT3">
        <f>'[12]Summary Report - 12 Months Endi'!KS2</f>
        <v>0</v>
      </c>
      <c r="KU3">
        <f>'[12]Summary Report - 12 Months Endi'!KT2</f>
        <v>0</v>
      </c>
      <c r="KV3">
        <f>'[12]Summary Report - 12 Months Endi'!KU2</f>
        <v>0</v>
      </c>
      <c r="KW3">
        <f>'[12]Summary Report - 12 Months Endi'!KV2</f>
        <v>0</v>
      </c>
      <c r="KX3">
        <f>'[12]Summary Report - 12 Months Endi'!KW2</f>
        <v>0</v>
      </c>
      <c r="KY3">
        <f>'[12]Summary Report - 12 Months Endi'!KX2</f>
        <v>0</v>
      </c>
      <c r="KZ3">
        <f>'[12]Summary Report - 12 Months Endi'!KY2</f>
        <v>0</v>
      </c>
      <c r="LA3">
        <f>'[12]Summary Report - 12 Months Endi'!KZ2</f>
        <v>0</v>
      </c>
      <c r="LB3">
        <f>'[12]Summary Report - 12 Months Endi'!LA2</f>
        <v>0</v>
      </c>
      <c r="LC3">
        <f>'[12]Summary Report - 12 Months Endi'!LB2</f>
        <v>0</v>
      </c>
      <c r="LD3">
        <f>'[12]Summary Report - 12 Months Endi'!LC2</f>
        <v>0</v>
      </c>
      <c r="LE3">
        <f>'[12]Summary Report - 12 Months Endi'!LD2</f>
        <v>0</v>
      </c>
      <c r="LF3">
        <f>'[12]Summary Report - 12 Months Endi'!LE2</f>
        <v>0</v>
      </c>
      <c r="LG3">
        <f>'[12]Summary Report - 12 Months Endi'!LF2</f>
        <v>0</v>
      </c>
      <c r="LH3">
        <f>'[12]Summary Report - 12 Months Endi'!LG2</f>
        <v>0</v>
      </c>
      <c r="LI3">
        <f>'[12]Summary Report - 12 Months Endi'!LH2</f>
        <v>0</v>
      </c>
      <c r="LJ3">
        <f>'[12]Summary Report - 12 Months Endi'!LI2</f>
        <v>0</v>
      </c>
      <c r="LK3">
        <f>'[12]Summary Report - 12 Months Endi'!LJ2</f>
        <v>0</v>
      </c>
      <c r="LL3">
        <f>'[12]Summary Report - 12 Months Endi'!LK2</f>
        <v>0</v>
      </c>
      <c r="LM3">
        <f>'[12]Summary Report - 12 Months Endi'!LL2</f>
        <v>0</v>
      </c>
      <c r="LN3">
        <f>'[12]Summary Report - 12 Months Endi'!LM2</f>
        <v>0</v>
      </c>
      <c r="LO3">
        <f>'[12]Summary Report - 12 Months Endi'!LN2</f>
        <v>0</v>
      </c>
      <c r="LP3">
        <f>'[12]Summary Report - 12 Months Endi'!LO2</f>
        <v>0</v>
      </c>
      <c r="LQ3">
        <f>'[12]Summary Report - 12 Months Endi'!LP2</f>
        <v>0</v>
      </c>
      <c r="LR3">
        <f>'[12]Summary Report - 12 Months Endi'!LQ2</f>
        <v>0</v>
      </c>
      <c r="LS3">
        <f>'[12]Summary Report - 12 Months Endi'!LR2</f>
        <v>0</v>
      </c>
      <c r="LT3">
        <f>'[12]Summary Report - 12 Months Endi'!LS2</f>
        <v>0</v>
      </c>
      <c r="LU3">
        <f>'[12]Summary Report - 12 Months Endi'!LT2</f>
        <v>0</v>
      </c>
      <c r="LV3">
        <f>'[12]Summary Report - 12 Months Endi'!LU2</f>
        <v>0</v>
      </c>
      <c r="LW3">
        <f>'[12]Summary Report - 12 Months Endi'!LV2</f>
        <v>0</v>
      </c>
      <c r="LX3">
        <f>'[12]Summary Report - 12 Months Endi'!LW2</f>
        <v>0</v>
      </c>
      <c r="LY3">
        <f>'[12]Summary Report - 12 Months Endi'!LX2</f>
        <v>0</v>
      </c>
      <c r="LZ3">
        <f>'[12]Summary Report - 12 Months Endi'!LY2</f>
        <v>0</v>
      </c>
      <c r="MA3">
        <f>'[12]Summary Report - 12 Months Endi'!LZ2</f>
        <v>0</v>
      </c>
      <c r="MB3">
        <f>'[12]Summary Report - 12 Months Endi'!MA2</f>
        <v>0</v>
      </c>
      <c r="MC3">
        <f>'[12]Summary Report - 12 Months Endi'!MB2</f>
        <v>0</v>
      </c>
      <c r="MD3">
        <f>'[12]Summary Report - 12 Months Endi'!MC2</f>
        <v>0</v>
      </c>
      <c r="ME3">
        <f>'[12]Summary Report - 12 Months Endi'!MD2</f>
        <v>0</v>
      </c>
      <c r="MF3">
        <f>'[12]Summary Report - 12 Months Endi'!ME2</f>
        <v>0</v>
      </c>
      <c r="MG3">
        <f>'[12]Summary Report - 12 Months Endi'!MF2</f>
        <v>0</v>
      </c>
      <c r="MH3">
        <f>'[12]Summary Report - 12 Months Endi'!MG2</f>
        <v>0</v>
      </c>
      <c r="MI3">
        <f>'[12]Summary Report - 12 Months Endi'!MH2</f>
        <v>0</v>
      </c>
      <c r="MJ3">
        <f>'[12]Summary Report - 12 Months Endi'!MI2</f>
        <v>0</v>
      </c>
      <c r="MK3">
        <f>'[12]Summary Report - 12 Months Endi'!MJ2</f>
        <v>0</v>
      </c>
      <c r="ML3">
        <f>'[12]Summary Report - 12 Months Endi'!MK2</f>
        <v>0</v>
      </c>
      <c r="MM3">
        <f>'[12]Summary Report - 12 Months Endi'!ML2</f>
        <v>0</v>
      </c>
      <c r="MN3">
        <f>'[12]Summary Report - 12 Months Endi'!MM2</f>
        <v>0</v>
      </c>
      <c r="MO3">
        <f>'[12]Summary Report - 12 Months Endi'!MN2</f>
        <v>0</v>
      </c>
      <c r="MP3">
        <f>'[12]Summary Report - 12 Months Endi'!MO2</f>
        <v>0</v>
      </c>
      <c r="MQ3">
        <f>'[12]Summary Report - 12 Months Endi'!MP2</f>
        <v>0</v>
      </c>
      <c r="MR3">
        <f>'[12]Summary Report - 12 Months Endi'!MQ2</f>
        <v>0</v>
      </c>
      <c r="MS3">
        <f>'[12]Summary Report - 12 Months Endi'!MR2</f>
        <v>0</v>
      </c>
      <c r="MT3">
        <f>'[12]Summary Report - 12 Months Endi'!MS2</f>
        <v>0</v>
      </c>
      <c r="MU3">
        <f>'[12]Summary Report - 12 Months Endi'!MT2</f>
        <v>0</v>
      </c>
      <c r="MV3">
        <f>'[12]Summary Report - 12 Months Endi'!MU2</f>
        <v>0</v>
      </c>
      <c r="MW3">
        <f>'[12]Summary Report - 12 Months Endi'!MV2</f>
        <v>0</v>
      </c>
      <c r="MX3">
        <f>'[12]Summary Report - 12 Months Endi'!MW2</f>
        <v>0</v>
      </c>
      <c r="MY3">
        <f>'[12]Summary Report - 12 Months Endi'!MX2</f>
        <v>0</v>
      </c>
      <c r="MZ3">
        <f>'[12]Summary Report - 12 Months Endi'!MY2</f>
        <v>0</v>
      </c>
      <c r="NA3">
        <f>'[12]Summary Report - 12 Months Endi'!MZ2</f>
        <v>0</v>
      </c>
      <c r="NB3">
        <f>'[12]Summary Report - 12 Months Endi'!NA2</f>
        <v>0</v>
      </c>
      <c r="NC3">
        <f>'[12]Summary Report - 12 Months Endi'!NB2</f>
        <v>0</v>
      </c>
      <c r="ND3">
        <f>'[12]Summary Report - 12 Months Endi'!NC2</f>
        <v>0</v>
      </c>
      <c r="NE3">
        <f>'[12]Summary Report - 12 Months Endi'!ND2</f>
        <v>0</v>
      </c>
      <c r="NF3">
        <f>'[12]Summary Report - 12 Months Endi'!NE2</f>
        <v>0</v>
      </c>
      <c r="NG3">
        <f>'[12]Summary Report - 12 Months Endi'!NF2</f>
        <v>0</v>
      </c>
      <c r="NH3">
        <f>'[12]Summary Report - 12 Months Endi'!NG2</f>
        <v>0</v>
      </c>
      <c r="NI3">
        <f>'[12]Summary Report - 12 Months Endi'!NH2</f>
        <v>0</v>
      </c>
      <c r="NJ3">
        <f>'[12]Summary Report - 12 Months Endi'!NI2</f>
        <v>0</v>
      </c>
      <c r="NK3">
        <f>'[12]Summary Report - 12 Months Endi'!NJ2</f>
        <v>0</v>
      </c>
      <c r="NL3">
        <f>'[12]Summary Report - 12 Months Endi'!NK2</f>
        <v>0</v>
      </c>
      <c r="NM3">
        <f>'[12]Summary Report - 12 Months Endi'!NL2</f>
        <v>0</v>
      </c>
      <c r="NN3">
        <f>'[12]Summary Report - 12 Months Endi'!NM2</f>
        <v>0</v>
      </c>
      <c r="NO3">
        <f>'[12]Summary Report - 12 Months Endi'!NN2</f>
        <v>0</v>
      </c>
      <c r="NP3">
        <f>'[12]Summary Report - 12 Months Endi'!NO2</f>
        <v>0</v>
      </c>
      <c r="NQ3">
        <f>'[12]Summary Report - 12 Months Endi'!NP2</f>
        <v>0</v>
      </c>
      <c r="NR3">
        <f>'[12]Summary Report - 12 Months Endi'!NQ2</f>
        <v>0</v>
      </c>
      <c r="NS3">
        <f>'[12]Summary Report - 12 Months Endi'!NR2</f>
        <v>0</v>
      </c>
      <c r="NT3">
        <f>'[12]Summary Report - 12 Months Endi'!NS2</f>
        <v>0</v>
      </c>
      <c r="NU3">
        <f>'[12]Summary Report - 12 Months Endi'!NT2</f>
        <v>0</v>
      </c>
      <c r="NV3">
        <f>'[12]Summary Report - 12 Months Endi'!NU2</f>
        <v>0</v>
      </c>
      <c r="NW3">
        <f>'[12]Summary Report - 12 Months Endi'!NV2</f>
        <v>0</v>
      </c>
      <c r="NX3">
        <f>'[12]Summary Report - 12 Months Endi'!NW2</f>
        <v>0</v>
      </c>
      <c r="NY3">
        <f>'[12]Summary Report - 12 Months Endi'!NX2</f>
        <v>0</v>
      </c>
      <c r="NZ3">
        <f>'[12]Summary Report - 12 Months Endi'!NY2</f>
        <v>0</v>
      </c>
      <c r="OA3">
        <f>'[12]Summary Report - 12 Months Endi'!NZ2</f>
        <v>0</v>
      </c>
      <c r="OB3">
        <f>'[12]Summary Report - 12 Months Endi'!OA2</f>
        <v>0</v>
      </c>
      <c r="OC3">
        <f>'[12]Summary Report - 12 Months Endi'!OB2</f>
        <v>0</v>
      </c>
      <c r="OD3">
        <f>'[12]Summary Report - 12 Months Endi'!OC2</f>
        <v>0</v>
      </c>
      <c r="OE3">
        <f>'[12]Summary Report - 12 Months Endi'!OD2</f>
        <v>0</v>
      </c>
      <c r="OF3">
        <f>'[12]Summary Report - 12 Months Endi'!OE2</f>
        <v>0</v>
      </c>
      <c r="OG3">
        <f>'[12]Summary Report - 12 Months Endi'!OF2</f>
        <v>0</v>
      </c>
      <c r="OH3">
        <f>'[12]Summary Report - 12 Months Endi'!OG2</f>
        <v>0</v>
      </c>
      <c r="OI3">
        <f>'[12]Summary Report - 12 Months Endi'!OH2</f>
        <v>0</v>
      </c>
      <c r="OJ3">
        <f>'[12]Summary Report - 12 Months Endi'!OI2</f>
        <v>0</v>
      </c>
      <c r="OK3">
        <f>'[12]Summary Report - 12 Months Endi'!OJ2</f>
        <v>0</v>
      </c>
      <c r="OL3">
        <f>'[12]Summary Report - 12 Months Endi'!OK2</f>
        <v>0</v>
      </c>
      <c r="OM3">
        <f>'[12]Summary Report - 12 Months Endi'!OL2</f>
        <v>0</v>
      </c>
      <c r="ON3">
        <f>'[12]Summary Report - 12 Months Endi'!OM2</f>
        <v>0</v>
      </c>
      <c r="OO3">
        <f>'[12]Summary Report - 12 Months Endi'!ON2</f>
        <v>0</v>
      </c>
      <c r="OP3">
        <f>'[12]Summary Report - 12 Months Endi'!OO2</f>
        <v>0</v>
      </c>
      <c r="OQ3">
        <f>'[12]Summary Report - 12 Months Endi'!OP2</f>
        <v>0</v>
      </c>
      <c r="OR3">
        <f>'[12]Summary Report - 12 Months Endi'!OQ2</f>
        <v>0</v>
      </c>
      <c r="OS3">
        <f>'[12]Summary Report - 12 Months Endi'!OR2</f>
        <v>0</v>
      </c>
      <c r="OT3">
        <f>'[12]Summary Report - 12 Months Endi'!OS2</f>
        <v>0</v>
      </c>
      <c r="OU3">
        <f>'[12]Summary Report - 12 Months Endi'!OT2</f>
        <v>0</v>
      </c>
      <c r="OV3">
        <f>'[12]Summary Report - 12 Months Endi'!OU2</f>
        <v>0</v>
      </c>
      <c r="OW3">
        <f>'[12]Summary Report - 12 Months Endi'!OV2</f>
        <v>0</v>
      </c>
      <c r="OX3">
        <f>'[12]Summary Report - 12 Months Endi'!OW2</f>
        <v>0</v>
      </c>
      <c r="OY3">
        <f>'[12]Summary Report - 12 Months Endi'!OX2</f>
        <v>0</v>
      </c>
      <c r="OZ3">
        <f>'[12]Summary Report - 12 Months Endi'!OY2</f>
        <v>0</v>
      </c>
      <c r="PA3">
        <f>'[12]Summary Report - 12 Months Endi'!OZ2</f>
        <v>0</v>
      </c>
      <c r="PB3">
        <f>'[12]Summary Report - 12 Months Endi'!PA2</f>
        <v>0</v>
      </c>
      <c r="PC3">
        <f>'[12]Summary Report - 12 Months Endi'!PB2</f>
        <v>0</v>
      </c>
      <c r="PD3">
        <f>'[12]Summary Report - 12 Months Endi'!PC2</f>
        <v>0</v>
      </c>
      <c r="PE3">
        <f>'[12]Summary Report - 12 Months Endi'!PD2</f>
        <v>0</v>
      </c>
      <c r="PF3">
        <f>'[12]Summary Report - 12 Months Endi'!PE2</f>
        <v>0</v>
      </c>
      <c r="PG3">
        <f>'[12]Summary Report - 12 Months Endi'!PF2</f>
        <v>0</v>
      </c>
      <c r="PH3">
        <f>'[12]Summary Report - 12 Months Endi'!PG2</f>
        <v>0</v>
      </c>
      <c r="PI3">
        <f>'[12]Summary Report - 12 Months Endi'!PH2</f>
        <v>0</v>
      </c>
      <c r="PJ3">
        <f>'[12]Summary Report - 12 Months Endi'!PI2</f>
        <v>0</v>
      </c>
      <c r="PK3">
        <f>'[12]Summary Report - 12 Months Endi'!PJ2</f>
        <v>0</v>
      </c>
      <c r="PL3">
        <f>'[12]Summary Report - 12 Months Endi'!PK2</f>
        <v>0</v>
      </c>
      <c r="PM3">
        <f>'[12]Summary Report - 12 Months Endi'!PL2</f>
        <v>0</v>
      </c>
      <c r="PN3">
        <f>'[12]Summary Report - 12 Months Endi'!PM2</f>
        <v>0</v>
      </c>
      <c r="PO3">
        <f>'[12]Summary Report - 12 Months Endi'!PN2</f>
        <v>0</v>
      </c>
      <c r="PP3">
        <f>'[12]Summary Report - 12 Months Endi'!PO2</f>
        <v>0</v>
      </c>
      <c r="PQ3">
        <f>'[12]Summary Report - 12 Months Endi'!PP2</f>
        <v>0</v>
      </c>
      <c r="PR3">
        <f>'[12]Summary Report - 12 Months Endi'!PQ2</f>
        <v>0</v>
      </c>
      <c r="PS3">
        <f>'[12]Summary Report - 12 Months Endi'!PR2</f>
        <v>0</v>
      </c>
      <c r="PT3">
        <f>'[12]Summary Report - 12 Months Endi'!PS2</f>
        <v>0</v>
      </c>
      <c r="PU3">
        <f>'[12]Summary Report - 12 Months Endi'!PT2</f>
        <v>0</v>
      </c>
      <c r="PV3">
        <f>'[12]Summary Report - 12 Months Endi'!PU2</f>
        <v>0</v>
      </c>
      <c r="PW3">
        <f>'[12]Summary Report - 12 Months Endi'!PV2</f>
        <v>0</v>
      </c>
      <c r="PX3">
        <f>'[12]Summary Report - 12 Months Endi'!PW2</f>
        <v>0</v>
      </c>
      <c r="PY3">
        <f>'[12]Summary Report - 12 Months Endi'!PX2</f>
        <v>0</v>
      </c>
      <c r="PZ3">
        <f>'[12]Summary Report - 12 Months Endi'!PY2</f>
        <v>0</v>
      </c>
      <c r="QA3">
        <f>'[12]Summary Report - 12 Months Endi'!PZ2</f>
        <v>0</v>
      </c>
      <c r="QB3">
        <f>'[12]Summary Report - 12 Months Endi'!QA2</f>
        <v>0</v>
      </c>
      <c r="QC3">
        <f>'[12]Summary Report - 12 Months Endi'!QB2</f>
        <v>0</v>
      </c>
      <c r="QD3">
        <f>'[12]Summary Report - 12 Months Endi'!QC2</f>
        <v>0</v>
      </c>
      <c r="QE3">
        <f>'[12]Summary Report - 12 Months Endi'!QD2</f>
        <v>0</v>
      </c>
      <c r="QF3">
        <f>'[12]Summary Report - 12 Months Endi'!QE2</f>
        <v>0</v>
      </c>
      <c r="QG3">
        <f>'[12]Summary Report - 12 Months Endi'!QF2</f>
        <v>0</v>
      </c>
      <c r="QH3">
        <f>'[12]Summary Report - 12 Months Endi'!QG2</f>
        <v>0</v>
      </c>
      <c r="QI3">
        <f>'[12]Summary Report - 12 Months Endi'!QH2</f>
        <v>0</v>
      </c>
      <c r="QJ3">
        <f>'[12]Summary Report - 12 Months Endi'!QI2</f>
        <v>0</v>
      </c>
      <c r="QK3">
        <f>'[12]Summary Report - 12 Months Endi'!QJ2</f>
        <v>0</v>
      </c>
      <c r="QL3">
        <f>'[12]Summary Report - 12 Months Endi'!QK2</f>
        <v>0</v>
      </c>
      <c r="QM3">
        <f>'[12]Summary Report - 12 Months Endi'!QL2</f>
        <v>0</v>
      </c>
      <c r="QN3">
        <f>'[12]Summary Report - 12 Months Endi'!QM2</f>
        <v>0</v>
      </c>
      <c r="QO3">
        <f>'[12]Summary Report - 12 Months Endi'!QN2</f>
        <v>0</v>
      </c>
      <c r="QP3">
        <f>'[12]Summary Report - 12 Months Endi'!QO2</f>
        <v>0</v>
      </c>
      <c r="QQ3">
        <f>'[12]Summary Report - 12 Months Endi'!QP2</f>
        <v>0</v>
      </c>
      <c r="QR3">
        <f>'[12]Summary Report - 12 Months Endi'!QQ2</f>
        <v>0</v>
      </c>
      <c r="QS3">
        <f>'[12]Summary Report - 12 Months Endi'!QR2</f>
        <v>0</v>
      </c>
      <c r="QT3">
        <f>'[12]Summary Report - 12 Months Endi'!QS2</f>
        <v>0</v>
      </c>
      <c r="QU3">
        <f>'[12]Summary Report - 12 Months Endi'!QT2</f>
        <v>0</v>
      </c>
      <c r="QV3">
        <f>'[12]Summary Report - 12 Months Endi'!QU2</f>
        <v>0</v>
      </c>
      <c r="QW3">
        <f>'[12]Summary Report - 12 Months Endi'!QV2</f>
        <v>0</v>
      </c>
      <c r="QX3">
        <f>'[12]Summary Report - 12 Months Endi'!QW2</f>
        <v>0</v>
      </c>
      <c r="QY3">
        <f>'[12]Summary Report - 12 Months Endi'!QX2</f>
        <v>0</v>
      </c>
      <c r="QZ3">
        <f>'[12]Summary Report - 12 Months Endi'!QY2</f>
        <v>0</v>
      </c>
      <c r="RA3">
        <f>'[12]Summary Report - 12 Months Endi'!QZ2</f>
        <v>0</v>
      </c>
      <c r="RB3">
        <f>'[12]Summary Report - 12 Months Endi'!RA2</f>
        <v>0</v>
      </c>
      <c r="RC3">
        <f>'[12]Summary Report - 12 Months Endi'!RB2</f>
        <v>0</v>
      </c>
      <c r="RD3">
        <f>'[12]Summary Report - 12 Months Endi'!RC2</f>
        <v>0</v>
      </c>
      <c r="RE3">
        <f>'[12]Summary Report - 12 Months Endi'!RD2</f>
        <v>0</v>
      </c>
      <c r="RF3">
        <f>'[12]Summary Report - 12 Months Endi'!RE2</f>
        <v>0</v>
      </c>
      <c r="RG3">
        <f>'[12]Summary Report - 12 Months Endi'!RF2</f>
        <v>0</v>
      </c>
      <c r="RH3">
        <f>'[12]Summary Report - 12 Months Endi'!RG2</f>
        <v>0</v>
      </c>
      <c r="RI3">
        <f>'[12]Summary Report - 12 Months Endi'!RH2</f>
        <v>0</v>
      </c>
      <c r="RJ3">
        <f>'[12]Summary Report - 12 Months Endi'!RI2</f>
        <v>0</v>
      </c>
      <c r="RK3">
        <f>'[12]Summary Report - 12 Months Endi'!RJ2</f>
        <v>0</v>
      </c>
      <c r="RL3">
        <f>'[12]Summary Report - 12 Months Endi'!RK2</f>
        <v>0</v>
      </c>
      <c r="RM3">
        <f>'[12]Summary Report - 12 Months Endi'!RL2</f>
        <v>0</v>
      </c>
      <c r="RN3">
        <f>'[12]Summary Report - 12 Months Endi'!RM2</f>
        <v>0</v>
      </c>
      <c r="RO3">
        <f>'[12]Summary Report - 12 Months Endi'!RN2</f>
        <v>0</v>
      </c>
      <c r="RP3">
        <f>'[12]Summary Report - 12 Months Endi'!RO2</f>
        <v>0</v>
      </c>
      <c r="RQ3">
        <f>'[12]Summary Report - 12 Months Endi'!RP2</f>
        <v>0</v>
      </c>
      <c r="RR3">
        <f>'[12]Summary Report - 12 Months Endi'!RQ2</f>
        <v>0</v>
      </c>
      <c r="RS3">
        <f>'[12]Summary Report - 12 Months Endi'!RR2</f>
        <v>0</v>
      </c>
      <c r="RT3">
        <f>'[12]Summary Report - 12 Months Endi'!RS2</f>
        <v>0</v>
      </c>
      <c r="RU3">
        <f>'[12]Summary Report - 12 Months Endi'!RT2</f>
        <v>0</v>
      </c>
      <c r="RV3">
        <f>'[12]Summary Report - 12 Months Endi'!RU2</f>
        <v>0</v>
      </c>
      <c r="RW3">
        <f>'[12]Summary Report - 12 Months Endi'!RV2</f>
        <v>0</v>
      </c>
      <c r="RX3">
        <f>'[12]Summary Report - 12 Months Endi'!RW2</f>
        <v>0</v>
      </c>
      <c r="RY3">
        <f>'[12]Summary Report - 12 Months Endi'!RX2</f>
        <v>0</v>
      </c>
      <c r="RZ3">
        <f>'[12]Summary Report - 12 Months Endi'!RY2</f>
        <v>0</v>
      </c>
      <c r="SA3">
        <f>'[12]Summary Report - 12 Months Endi'!RZ2</f>
        <v>0</v>
      </c>
      <c r="SB3">
        <f>'[12]Summary Report - 12 Months Endi'!SA2</f>
        <v>0</v>
      </c>
      <c r="SC3">
        <f>'[12]Summary Report - 12 Months Endi'!SB2</f>
        <v>0</v>
      </c>
      <c r="SD3">
        <f>'[12]Summary Report - 12 Months Endi'!SC2</f>
        <v>0</v>
      </c>
      <c r="SE3">
        <f>'[12]Summary Report - 12 Months Endi'!SD2</f>
        <v>0</v>
      </c>
      <c r="SF3">
        <f>'[12]Summary Report - 12 Months Endi'!SE2</f>
        <v>0</v>
      </c>
      <c r="SG3">
        <f>'[12]Summary Report - 12 Months Endi'!SF2</f>
        <v>0</v>
      </c>
      <c r="SH3">
        <f>'[12]Summary Report - 12 Months Endi'!SG2</f>
        <v>0</v>
      </c>
      <c r="SI3">
        <f>'[12]Summary Report - 12 Months Endi'!SH2</f>
        <v>0</v>
      </c>
      <c r="SJ3">
        <f>'[12]Summary Report - 12 Months Endi'!SI2</f>
        <v>0</v>
      </c>
      <c r="SK3">
        <f>'[12]Summary Report - 12 Months Endi'!SJ2</f>
        <v>0</v>
      </c>
      <c r="SL3">
        <f>'[12]Summary Report - 12 Months Endi'!SK2</f>
        <v>0</v>
      </c>
      <c r="SM3">
        <f>'[12]Summary Report - 12 Months Endi'!SL2</f>
        <v>0</v>
      </c>
      <c r="SN3">
        <f>'[12]Summary Report - 12 Months Endi'!SM2</f>
        <v>0</v>
      </c>
      <c r="SO3">
        <f>'[12]Summary Report - 12 Months Endi'!SN2</f>
        <v>0</v>
      </c>
      <c r="SP3">
        <f>'[12]Summary Report - 12 Months Endi'!SO2</f>
        <v>0</v>
      </c>
      <c r="SQ3">
        <f>'[12]Summary Report - 12 Months Endi'!SP2</f>
        <v>0</v>
      </c>
      <c r="SR3">
        <f>'[12]Summary Report - 12 Months Endi'!SQ2</f>
        <v>0</v>
      </c>
      <c r="SS3">
        <f>'[12]Summary Report - 12 Months Endi'!SR2</f>
        <v>0</v>
      </c>
      <c r="ST3">
        <f>'[12]Summary Report - 12 Months Endi'!SS2</f>
        <v>0</v>
      </c>
      <c r="SU3">
        <f>'[12]Summary Report - 12 Months Endi'!ST2</f>
        <v>0</v>
      </c>
      <c r="SV3">
        <f>'[12]Summary Report - 12 Months Endi'!SU2</f>
        <v>0</v>
      </c>
      <c r="SW3">
        <f>'[12]Summary Report - 12 Months Endi'!SV2</f>
        <v>0</v>
      </c>
      <c r="SX3">
        <f>'[12]Summary Report - 12 Months Endi'!SW2</f>
        <v>0</v>
      </c>
      <c r="SY3">
        <f>'[12]Summary Report - 12 Months Endi'!SX2</f>
        <v>0</v>
      </c>
      <c r="SZ3">
        <f>'[12]Summary Report - 12 Months Endi'!SY2</f>
        <v>0</v>
      </c>
      <c r="TA3">
        <f>'[12]Summary Report - 12 Months Endi'!SZ2</f>
        <v>0</v>
      </c>
      <c r="TB3">
        <f>'[12]Summary Report - 12 Months Endi'!TA2</f>
        <v>0</v>
      </c>
      <c r="TC3">
        <f>'[12]Summary Report - 12 Months Endi'!TB2</f>
        <v>0</v>
      </c>
      <c r="TD3">
        <f>'[12]Summary Report - 12 Months Endi'!TC2</f>
        <v>0</v>
      </c>
      <c r="TE3">
        <f>'[12]Summary Report - 12 Months Endi'!TD2</f>
        <v>0</v>
      </c>
      <c r="TF3">
        <f>'[12]Summary Report - 12 Months Endi'!TE2</f>
        <v>0</v>
      </c>
      <c r="TG3">
        <f>'[12]Summary Report - 12 Months Endi'!TF2</f>
        <v>0</v>
      </c>
      <c r="TH3">
        <f>'[12]Summary Report - 12 Months Endi'!TG2</f>
        <v>0</v>
      </c>
      <c r="TI3">
        <f>'[12]Summary Report - 12 Months Endi'!TH2</f>
        <v>0</v>
      </c>
      <c r="TJ3">
        <f>'[12]Summary Report - 12 Months Endi'!TI2</f>
        <v>0</v>
      </c>
      <c r="TK3">
        <f>'[12]Summary Report - 12 Months Endi'!TJ2</f>
        <v>0</v>
      </c>
      <c r="TL3">
        <f>'[12]Summary Report - 12 Months Endi'!TK2</f>
        <v>0</v>
      </c>
      <c r="TM3">
        <f>'[12]Summary Report - 12 Months Endi'!TL2</f>
        <v>0</v>
      </c>
      <c r="TN3">
        <f>'[12]Summary Report - 12 Months Endi'!TM2</f>
        <v>0</v>
      </c>
      <c r="TO3">
        <f>'[12]Summary Report - 12 Months Endi'!TN2</f>
        <v>0</v>
      </c>
      <c r="TP3">
        <f>'[12]Summary Report - 12 Months Endi'!TO2</f>
        <v>0</v>
      </c>
      <c r="TQ3">
        <f>'[12]Summary Report - 12 Months Endi'!TP2</f>
        <v>0</v>
      </c>
      <c r="TR3">
        <f>'[12]Summary Report - 12 Months Endi'!TQ2</f>
        <v>0</v>
      </c>
      <c r="TS3">
        <f>'[12]Summary Report - 12 Months Endi'!TR2</f>
        <v>0</v>
      </c>
      <c r="TT3">
        <f>'[12]Summary Report - 12 Months Endi'!TS2</f>
        <v>0</v>
      </c>
      <c r="TU3">
        <f>'[12]Summary Report - 12 Months Endi'!TT2</f>
        <v>0</v>
      </c>
      <c r="TV3">
        <f>'[12]Summary Report - 12 Months Endi'!TU2</f>
        <v>0</v>
      </c>
      <c r="TW3">
        <f>'[12]Summary Report - 12 Months Endi'!TV2</f>
        <v>0</v>
      </c>
      <c r="TX3">
        <f>'[12]Summary Report - 12 Months Endi'!TW2</f>
        <v>0</v>
      </c>
      <c r="TY3">
        <f>'[12]Summary Report - 12 Months Endi'!TX2</f>
        <v>0</v>
      </c>
      <c r="TZ3">
        <f>'[12]Summary Report - 12 Months Endi'!TY2</f>
        <v>0</v>
      </c>
      <c r="UA3">
        <f>'[12]Summary Report - 12 Months Endi'!TZ2</f>
        <v>0</v>
      </c>
      <c r="UB3">
        <f>'[12]Summary Report - 12 Months Endi'!UA2</f>
        <v>0</v>
      </c>
      <c r="UC3">
        <f>'[12]Summary Report - 12 Months Endi'!UB2</f>
        <v>0</v>
      </c>
      <c r="UD3">
        <f>'[12]Summary Report - 12 Months Endi'!UC2</f>
        <v>0</v>
      </c>
      <c r="UE3">
        <f>'[12]Summary Report - 12 Months Endi'!UD2</f>
        <v>0</v>
      </c>
      <c r="UF3">
        <f>'[12]Summary Report - 12 Months Endi'!UE2</f>
        <v>0</v>
      </c>
      <c r="UG3">
        <f>'[12]Summary Report - 12 Months Endi'!UF2</f>
        <v>0</v>
      </c>
      <c r="UH3">
        <f>'[12]Summary Report - 12 Months Endi'!UG2</f>
        <v>0</v>
      </c>
      <c r="UI3">
        <f>'[12]Summary Report - 12 Months Endi'!UH2</f>
        <v>0</v>
      </c>
      <c r="UJ3">
        <f>'[12]Summary Report - 12 Months Endi'!UI2</f>
        <v>0</v>
      </c>
      <c r="UK3">
        <f>'[12]Summary Report - 12 Months Endi'!UJ2</f>
        <v>0</v>
      </c>
      <c r="UL3">
        <f>'[12]Summary Report - 12 Months Endi'!UK2</f>
        <v>0</v>
      </c>
      <c r="UM3">
        <f>'[12]Summary Report - 12 Months Endi'!UL2</f>
        <v>0</v>
      </c>
      <c r="UN3">
        <f>'[12]Summary Report - 12 Months Endi'!UM2</f>
        <v>0</v>
      </c>
      <c r="UO3">
        <f>'[12]Summary Report - 12 Months Endi'!UN2</f>
        <v>0</v>
      </c>
      <c r="UP3">
        <f>'[12]Summary Report - 12 Months Endi'!UO2</f>
        <v>0</v>
      </c>
      <c r="UQ3">
        <f>'[12]Summary Report - 12 Months Endi'!UP2</f>
        <v>0</v>
      </c>
      <c r="UR3">
        <f>'[12]Summary Report - 12 Months Endi'!UQ2</f>
        <v>0</v>
      </c>
      <c r="US3">
        <f>'[12]Summary Report - 12 Months Endi'!UR2</f>
        <v>0</v>
      </c>
      <c r="UT3">
        <f>'[12]Summary Report - 12 Months Endi'!US2</f>
        <v>0</v>
      </c>
      <c r="UU3">
        <f>'[12]Summary Report - 12 Months Endi'!UT2</f>
        <v>0</v>
      </c>
      <c r="UV3">
        <f>'[12]Summary Report - 12 Months Endi'!UU2</f>
        <v>0</v>
      </c>
      <c r="UW3">
        <f>'[12]Summary Report - 12 Months Endi'!UV2</f>
        <v>0</v>
      </c>
      <c r="UX3">
        <f>'[12]Summary Report - 12 Months Endi'!UW2</f>
        <v>0</v>
      </c>
      <c r="UY3">
        <f>'[12]Summary Report - 12 Months Endi'!UX2</f>
        <v>0</v>
      </c>
      <c r="UZ3">
        <f>'[12]Summary Report - 12 Months Endi'!UY2</f>
        <v>0</v>
      </c>
      <c r="VA3">
        <f>'[12]Summary Report - 12 Months Endi'!UZ2</f>
        <v>0</v>
      </c>
      <c r="VB3">
        <f>'[12]Summary Report - 12 Months Endi'!VA2</f>
        <v>0</v>
      </c>
      <c r="VC3">
        <f>'[12]Summary Report - 12 Months Endi'!VB2</f>
        <v>0</v>
      </c>
      <c r="VD3">
        <f>'[12]Summary Report - 12 Months Endi'!VC2</f>
        <v>0</v>
      </c>
      <c r="VE3">
        <f>'[12]Summary Report - 12 Months Endi'!VD2</f>
        <v>0</v>
      </c>
      <c r="VF3">
        <f>'[12]Summary Report - 12 Months Endi'!VE2</f>
        <v>0</v>
      </c>
      <c r="VG3">
        <f>'[12]Summary Report - 12 Months Endi'!VF2</f>
        <v>0</v>
      </c>
      <c r="VH3">
        <f>'[12]Summary Report - 12 Months Endi'!VG2</f>
        <v>0</v>
      </c>
      <c r="VI3">
        <f>'[12]Summary Report - 12 Months Endi'!VH2</f>
        <v>0</v>
      </c>
      <c r="VJ3">
        <f>'[12]Summary Report - 12 Months Endi'!VI2</f>
        <v>0</v>
      </c>
      <c r="VK3">
        <f>'[12]Summary Report - 12 Months Endi'!VJ2</f>
        <v>0</v>
      </c>
      <c r="VL3">
        <f>'[12]Summary Report - 12 Months Endi'!VK2</f>
        <v>0</v>
      </c>
      <c r="VM3">
        <f>'[12]Summary Report - 12 Months Endi'!VL2</f>
        <v>0</v>
      </c>
      <c r="VN3">
        <f>'[12]Summary Report - 12 Months Endi'!VM2</f>
        <v>0</v>
      </c>
      <c r="VO3">
        <f>'[12]Summary Report - 12 Months Endi'!VN2</f>
        <v>0</v>
      </c>
      <c r="VP3">
        <f>'[12]Summary Report - 12 Months Endi'!VO2</f>
        <v>0</v>
      </c>
      <c r="VQ3">
        <f>'[12]Summary Report - 12 Months Endi'!VP2</f>
        <v>0</v>
      </c>
      <c r="VR3">
        <f>'[12]Summary Report - 12 Months Endi'!VQ2</f>
        <v>0</v>
      </c>
      <c r="VS3">
        <f>'[12]Summary Report - 12 Months Endi'!VR2</f>
        <v>0</v>
      </c>
      <c r="VT3">
        <f>'[12]Summary Report - 12 Months Endi'!VS2</f>
        <v>0</v>
      </c>
      <c r="VU3">
        <f>'[12]Summary Report - 12 Months Endi'!VT2</f>
        <v>0</v>
      </c>
      <c r="VV3">
        <f>'[12]Summary Report - 12 Months Endi'!VU2</f>
        <v>0</v>
      </c>
      <c r="VW3">
        <f>'[12]Summary Report - 12 Months Endi'!VV2</f>
        <v>0</v>
      </c>
      <c r="VX3">
        <f>'[12]Summary Report - 12 Months Endi'!VW2</f>
        <v>0</v>
      </c>
      <c r="VY3">
        <f>'[12]Summary Report - 12 Months Endi'!VX2</f>
        <v>0</v>
      </c>
      <c r="VZ3">
        <f>'[12]Summary Report - 12 Months Endi'!VY2</f>
        <v>0</v>
      </c>
      <c r="WA3">
        <f>'[12]Summary Report - 12 Months Endi'!VZ2</f>
        <v>0</v>
      </c>
      <c r="WB3">
        <f>'[12]Summary Report - 12 Months Endi'!WA2</f>
        <v>0</v>
      </c>
      <c r="WC3">
        <f>'[12]Summary Report - 12 Months Endi'!WB2</f>
        <v>0</v>
      </c>
      <c r="WD3">
        <f>'[12]Summary Report - 12 Months Endi'!WC2</f>
        <v>0</v>
      </c>
      <c r="WE3">
        <f>'[12]Summary Report - 12 Months Endi'!WD2</f>
        <v>0</v>
      </c>
      <c r="WF3">
        <f>'[12]Summary Report - 12 Months Endi'!WE2</f>
        <v>0</v>
      </c>
      <c r="WG3">
        <f>'[12]Summary Report - 12 Months Endi'!WF2</f>
        <v>0</v>
      </c>
      <c r="WH3">
        <f>'[12]Summary Report - 12 Months Endi'!WG2</f>
        <v>0</v>
      </c>
      <c r="WI3">
        <f>'[12]Summary Report - 12 Months Endi'!WH2</f>
        <v>0</v>
      </c>
      <c r="WJ3">
        <f>'[12]Summary Report - 12 Months Endi'!WI2</f>
        <v>0</v>
      </c>
      <c r="WK3">
        <f>'[12]Summary Report - 12 Months Endi'!WJ2</f>
        <v>0</v>
      </c>
      <c r="WL3">
        <f>'[12]Summary Report - 12 Months Endi'!WK2</f>
        <v>0</v>
      </c>
      <c r="WM3">
        <f>'[12]Summary Report - 12 Months Endi'!WL2</f>
        <v>0</v>
      </c>
      <c r="WN3">
        <f>'[12]Summary Report - 12 Months Endi'!WM2</f>
        <v>0</v>
      </c>
      <c r="WO3">
        <f>'[12]Summary Report - 12 Months Endi'!WN2</f>
        <v>0</v>
      </c>
      <c r="WP3">
        <f>'[12]Summary Report - 12 Months Endi'!WO2</f>
        <v>0</v>
      </c>
      <c r="WQ3">
        <f>'[12]Summary Report - 12 Months Endi'!WP2</f>
        <v>0</v>
      </c>
      <c r="WR3">
        <f>'[12]Summary Report - 12 Months Endi'!WQ2</f>
        <v>0</v>
      </c>
      <c r="WS3">
        <f>'[12]Summary Report - 12 Months Endi'!WR2</f>
        <v>0</v>
      </c>
      <c r="WT3">
        <f>'[12]Summary Report - 12 Months Endi'!WS2</f>
        <v>0</v>
      </c>
      <c r="WU3">
        <f>'[12]Summary Report - 12 Months Endi'!WT2</f>
        <v>0</v>
      </c>
      <c r="WV3">
        <f>'[12]Summary Report - 12 Months Endi'!WU2</f>
        <v>0</v>
      </c>
      <c r="WW3">
        <f>'[12]Summary Report - 12 Months Endi'!WV2</f>
        <v>0</v>
      </c>
      <c r="WX3">
        <f>'[12]Summary Report - 12 Months Endi'!WW2</f>
        <v>0</v>
      </c>
      <c r="WY3">
        <f>'[12]Summary Report - 12 Months Endi'!WX2</f>
        <v>0</v>
      </c>
      <c r="WZ3">
        <f>'[12]Summary Report - 12 Months Endi'!WY2</f>
        <v>0</v>
      </c>
      <c r="XA3">
        <f>'[12]Summary Report - 12 Months Endi'!WZ2</f>
        <v>0</v>
      </c>
      <c r="XB3">
        <f>'[12]Summary Report - 12 Months Endi'!XA2</f>
        <v>0</v>
      </c>
      <c r="XC3">
        <f>'[12]Summary Report - 12 Months Endi'!XB2</f>
        <v>0</v>
      </c>
      <c r="XD3">
        <f>'[12]Summary Report - 12 Months Endi'!XC2</f>
        <v>0</v>
      </c>
      <c r="XE3">
        <f>'[12]Summary Report - 12 Months Endi'!XD2</f>
        <v>0</v>
      </c>
      <c r="XF3">
        <f>'[12]Summary Report - 12 Months Endi'!XE2</f>
        <v>0</v>
      </c>
      <c r="XG3">
        <f>'[12]Summary Report - 12 Months Endi'!XF2</f>
        <v>0</v>
      </c>
      <c r="XH3">
        <f>'[12]Summary Report - 12 Months Endi'!XG2</f>
        <v>0</v>
      </c>
      <c r="XI3">
        <f>'[12]Summary Report - 12 Months Endi'!XH2</f>
        <v>0</v>
      </c>
      <c r="XJ3">
        <f>'[12]Summary Report - 12 Months Endi'!XI2</f>
        <v>0</v>
      </c>
      <c r="XK3">
        <f>'[12]Summary Report - 12 Months Endi'!XJ2</f>
        <v>0</v>
      </c>
      <c r="XL3">
        <f>'[12]Summary Report - 12 Months Endi'!XK2</f>
        <v>0</v>
      </c>
      <c r="XM3">
        <f>'[12]Summary Report - 12 Months Endi'!XL2</f>
        <v>0</v>
      </c>
      <c r="XN3">
        <f>'[12]Summary Report - 12 Months Endi'!XM2</f>
        <v>0</v>
      </c>
      <c r="XO3">
        <f>'[12]Summary Report - 12 Months Endi'!XN2</f>
        <v>0</v>
      </c>
      <c r="XP3">
        <f>'[12]Summary Report - 12 Months Endi'!XO2</f>
        <v>0</v>
      </c>
      <c r="XQ3">
        <f>'[12]Summary Report - 12 Months Endi'!XP2</f>
        <v>0</v>
      </c>
      <c r="XR3">
        <f>'[12]Summary Report - 12 Months Endi'!XQ2</f>
        <v>0</v>
      </c>
      <c r="XS3">
        <f>'[12]Summary Report - 12 Months Endi'!XR2</f>
        <v>0</v>
      </c>
      <c r="XT3">
        <f>'[12]Summary Report - 12 Months Endi'!XS2</f>
        <v>0</v>
      </c>
      <c r="XU3">
        <f>'[12]Summary Report - 12 Months Endi'!XT2</f>
        <v>0</v>
      </c>
      <c r="XV3">
        <f>'[12]Summary Report - 12 Months Endi'!XU2</f>
        <v>0</v>
      </c>
      <c r="XW3">
        <f>'[12]Summary Report - 12 Months Endi'!XV2</f>
        <v>0</v>
      </c>
      <c r="XX3">
        <f>'[12]Summary Report - 12 Months Endi'!XW2</f>
        <v>0</v>
      </c>
      <c r="XY3">
        <f>'[12]Summary Report - 12 Months Endi'!XX2</f>
        <v>0</v>
      </c>
      <c r="XZ3">
        <f>'[12]Summary Report - 12 Months Endi'!XY2</f>
        <v>0</v>
      </c>
      <c r="YA3">
        <f>'[12]Summary Report - 12 Months Endi'!XZ2</f>
        <v>0</v>
      </c>
      <c r="YB3">
        <f>'[12]Summary Report - 12 Months Endi'!YA2</f>
        <v>0</v>
      </c>
      <c r="YC3">
        <f>'[12]Summary Report - 12 Months Endi'!YB2</f>
        <v>0</v>
      </c>
      <c r="YD3">
        <f>'[12]Summary Report - 12 Months Endi'!YC2</f>
        <v>0</v>
      </c>
      <c r="YE3">
        <f>'[12]Summary Report - 12 Months Endi'!YD2</f>
        <v>0</v>
      </c>
      <c r="YF3">
        <f>'[12]Summary Report - 12 Months Endi'!YE2</f>
        <v>0</v>
      </c>
      <c r="YG3">
        <f>'[12]Summary Report - 12 Months Endi'!YF2</f>
        <v>0</v>
      </c>
      <c r="YH3">
        <f>'[12]Summary Report - 12 Months Endi'!YG2</f>
        <v>0</v>
      </c>
      <c r="YI3">
        <f>'[12]Summary Report - 12 Months Endi'!YH2</f>
        <v>0</v>
      </c>
      <c r="YJ3">
        <f>'[12]Summary Report - 12 Months Endi'!YI2</f>
        <v>0</v>
      </c>
      <c r="YK3">
        <f>'[12]Summary Report - 12 Months Endi'!YJ2</f>
        <v>0</v>
      </c>
      <c r="YL3">
        <f>'[12]Summary Report - 12 Months Endi'!YK2</f>
        <v>0</v>
      </c>
      <c r="YM3">
        <f>'[12]Summary Report - 12 Months Endi'!YL2</f>
        <v>0</v>
      </c>
      <c r="YN3">
        <f>'[12]Summary Report - 12 Months Endi'!YM2</f>
        <v>0</v>
      </c>
      <c r="YO3">
        <f>'[12]Summary Report - 12 Months Endi'!YN2</f>
        <v>0</v>
      </c>
      <c r="YP3">
        <f>'[12]Summary Report - 12 Months Endi'!YO2</f>
        <v>0</v>
      </c>
      <c r="YQ3">
        <f>'[12]Summary Report - 12 Months Endi'!YP2</f>
        <v>0</v>
      </c>
      <c r="YR3">
        <f>'[12]Summary Report - 12 Months Endi'!YQ2</f>
        <v>0</v>
      </c>
      <c r="YS3">
        <f>'[12]Summary Report - 12 Months Endi'!YR2</f>
        <v>0</v>
      </c>
      <c r="YT3">
        <f>'[12]Summary Report - 12 Months Endi'!YS2</f>
        <v>0</v>
      </c>
      <c r="YU3">
        <f>'[12]Summary Report - 12 Months Endi'!YT2</f>
        <v>0</v>
      </c>
      <c r="YV3">
        <f>'[12]Summary Report - 12 Months Endi'!YU2</f>
        <v>0</v>
      </c>
      <c r="YW3">
        <f>'[12]Summary Report - 12 Months Endi'!YV2</f>
        <v>0</v>
      </c>
      <c r="YX3">
        <f>'[12]Summary Report - 12 Months Endi'!YW2</f>
        <v>0</v>
      </c>
      <c r="YY3">
        <f>'[12]Summary Report - 12 Months Endi'!YX2</f>
        <v>0</v>
      </c>
      <c r="YZ3">
        <f>'[12]Summary Report - 12 Months Endi'!YY2</f>
        <v>0</v>
      </c>
      <c r="ZA3">
        <f>'[12]Summary Report - 12 Months Endi'!YZ2</f>
        <v>0</v>
      </c>
      <c r="ZB3">
        <f>'[12]Summary Report - 12 Months Endi'!ZA2</f>
        <v>0</v>
      </c>
      <c r="ZC3">
        <f>'[12]Summary Report - 12 Months Endi'!ZB2</f>
        <v>0</v>
      </c>
      <c r="ZD3">
        <f>'[12]Summary Report - 12 Months Endi'!ZC2</f>
        <v>0</v>
      </c>
      <c r="ZE3">
        <f>'[12]Summary Report - 12 Months Endi'!ZD2</f>
        <v>0</v>
      </c>
      <c r="ZF3">
        <f>'[12]Summary Report - 12 Months Endi'!ZE2</f>
        <v>0</v>
      </c>
      <c r="ZG3">
        <f>'[12]Summary Report - 12 Months Endi'!ZF2</f>
        <v>0</v>
      </c>
      <c r="ZH3">
        <f>'[12]Summary Report - 12 Months Endi'!ZG2</f>
        <v>0</v>
      </c>
      <c r="ZI3">
        <f>'[12]Summary Report - 12 Months Endi'!ZH2</f>
        <v>0</v>
      </c>
      <c r="ZJ3">
        <f>'[12]Summary Report - 12 Months Endi'!ZI2</f>
        <v>0</v>
      </c>
      <c r="ZK3">
        <f>'[12]Summary Report - 12 Months Endi'!ZJ2</f>
        <v>0</v>
      </c>
      <c r="ZL3">
        <f>'[12]Summary Report - 12 Months Endi'!ZK2</f>
        <v>0</v>
      </c>
      <c r="ZM3">
        <f>'[12]Summary Report - 12 Months Endi'!ZL2</f>
        <v>0</v>
      </c>
      <c r="ZN3">
        <f>'[12]Summary Report - 12 Months Endi'!ZM2</f>
        <v>0</v>
      </c>
      <c r="ZO3">
        <f>'[12]Summary Report - 12 Months Endi'!ZN2</f>
        <v>0</v>
      </c>
      <c r="ZP3">
        <f>'[12]Summary Report - 12 Months Endi'!ZO2</f>
        <v>0</v>
      </c>
      <c r="ZQ3">
        <f>'[12]Summary Report - 12 Months Endi'!ZP2</f>
        <v>0</v>
      </c>
      <c r="ZR3">
        <f>'[12]Summary Report - 12 Months Endi'!ZQ2</f>
        <v>0</v>
      </c>
      <c r="ZS3">
        <f>'[12]Summary Report - 12 Months Endi'!ZR2</f>
        <v>0</v>
      </c>
      <c r="ZT3">
        <f>'[12]Summary Report - 12 Months Endi'!ZS2</f>
        <v>0</v>
      </c>
      <c r="ZU3">
        <f>'[12]Summary Report - 12 Months Endi'!ZT2</f>
        <v>0</v>
      </c>
      <c r="ZV3">
        <f>'[12]Summary Report - 12 Months Endi'!ZU2</f>
        <v>0</v>
      </c>
      <c r="ZW3">
        <f>'[12]Summary Report - 12 Months Endi'!ZV2</f>
        <v>0</v>
      </c>
      <c r="ZX3">
        <f>'[12]Summary Report - 12 Months Endi'!ZW2</f>
        <v>0</v>
      </c>
      <c r="ZY3">
        <f>'[12]Summary Report - 12 Months Endi'!ZX2</f>
        <v>0</v>
      </c>
      <c r="ZZ3">
        <f>'[12]Summary Report - 12 Months Endi'!ZY2</f>
        <v>0</v>
      </c>
      <c r="AAA3">
        <f>'[12]Summary Report - 12 Months Endi'!ZZ2</f>
        <v>0</v>
      </c>
      <c r="AAB3">
        <f>'[12]Summary Report - 12 Months Endi'!AAA2</f>
        <v>0</v>
      </c>
      <c r="AAC3">
        <f>'[12]Summary Report - 12 Months Endi'!AAB2</f>
        <v>0</v>
      </c>
      <c r="AAD3">
        <f>'[12]Summary Report - 12 Months Endi'!AAC2</f>
        <v>0</v>
      </c>
      <c r="AAE3">
        <f>'[12]Summary Report - 12 Months Endi'!AAD2</f>
        <v>0</v>
      </c>
      <c r="AAF3">
        <f>'[12]Summary Report - 12 Months Endi'!AAE2</f>
        <v>0</v>
      </c>
      <c r="AAG3">
        <f>'[12]Summary Report - 12 Months Endi'!AAF2</f>
        <v>0</v>
      </c>
      <c r="AAH3">
        <f>'[12]Summary Report - 12 Months Endi'!AAG2</f>
        <v>0</v>
      </c>
      <c r="AAI3">
        <f>'[12]Summary Report - 12 Months Endi'!AAH2</f>
        <v>0</v>
      </c>
      <c r="AAJ3">
        <f>'[12]Summary Report - 12 Months Endi'!AAI2</f>
        <v>0</v>
      </c>
      <c r="AAK3">
        <f>'[12]Summary Report - 12 Months Endi'!AAJ2</f>
        <v>0</v>
      </c>
      <c r="AAL3">
        <f>'[12]Summary Report - 12 Months Endi'!AAK2</f>
        <v>0</v>
      </c>
      <c r="AAM3">
        <f>'[12]Summary Report - 12 Months Endi'!AAL2</f>
        <v>0</v>
      </c>
      <c r="AAN3">
        <f>'[12]Summary Report - 12 Months Endi'!AAM2</f>
        <v>0</v>
      </c>
      <c r="AAO3">
        <f>'[12]Summary Report - 12 Months Endi'!AAN2</f>
        <v>0</v>
      </c>
      <c r="AAP3">
        <f>'[12]Summary Report - 12 Months Endi'!AAO2</f>
        <v>0</v>
      </c>
      <c r="AAQ3">
        <f>'[12]Summary Report - 12 Months Endi'!AAP2</f>
        <v>0</v>
      </c>
      <c r="AAR3">
        <f>'[12]Summary Report - 12 Months Endi'!AAQ2</f>
        <v>0</v>
      </c>
      <c r="AAS3">
        <f>'[12]Summary Report - 12 Months Endi'!AAR2</f>
        <v>0</v>
      </c>
      <c r="AAT3">
        <f>'[12]Summary Report - 12 Months Endi'!AAS2</f>
        <v>0</v>
      </c>
      <c r="AAU3">
        <f>'[12]Summary Report - 12 Months Endi'!AAT2</f>
        <v>0</v>
      </c>
      <c r="AAV3">
        <f>'[12]Summary Report - 12 Months Endi'!AAU2</f>
        <v>0</v>
      </c>
      <c r="AAW3">
        <f>'[12]Summary Report - 12 Months Endi'!AAV2</f>
        <v>0</v>
      </c>
      <c r="AAX3">
        <f>'[12]Summary Report - 12 Months Endi'!AAW2</f>
        <v>0</v>
      </c>
      <c r="AAY3">
        <f>'[12]Summary Report - 12 Months Endi'!AAX2</f>
        <v>0</v>
      </c>
      <c r="AAZ3">
        <f>'[12]Summary Report - 12 Months Endi'!AAY2</f>
        <v>0</v>
      </c>
      <c r="ABA3">
        <f>'[12]Summary Report - 12 Months Endi'!AAZ2</f>
        <v>0</v>
      </c>
      <c r="ABB3">
        <f>'[12]Summary Report - 12 Months Endi'!ABA2</f>
        <v>0</v>
      </c>
      <c r="ABC3">
        <f>'[12]Summary Report - 12 Months Endi'!ABB2</f>
        <v>0</v>
      </c>
      <c r="ABD3">
        <f>'[12]Summary Report - 12 Months Endi'!ABC2</f>
        <v>0</v>
      </c>
      <c r="ABE3">
        <f>'[12]Summary Report - 12 Months Endi'!ABD2</f>
        <v>0</v>
      </c>
      <c r="ABF3">
        <f>'[12]Summary Report - 12 Months Endi'!ABE2</f>
        <v>0</v>
      </c>
      <c r="ABG3">
        <f>'[12]Summary Report - 12 Months Endi'!ABF2</f>
        <v>0</v>
      </c>
      <c r="ABH3">
        <f>'[12]Summary Report - 12 Months Endi'!ABG2</f>
        <v>0</v>
      </c>
      <c r="ABI3">
        <f>'[12]Summary Report - 12 Months Endi'!ABH2</f>
        <v>0</v>
      </c>
      <c r="ABJ3">
        <f>'[12]Summary Report - 12 Months Endi'!ABI2</f>
        <v>0</v>
      </c>
      <c r="ABK3">
        <f>'[12]Summary Report - 12 Months Endi'!ABJ2</f>
        <v>0</v>
      </c>
      <c r="ABL3">
        <f>'[12]Summary Report - 12 Months Endi'!ABK2</f>
        <v>0</v>
      </c>
      <c r="ABM3">
        <f>'[12]Summary Report - 12 Months Endi'!ABL2</f>
        <v>0</v>
      </c>
      <c r="ABN3">
        <f>'[12]Summary Report - 12 Months Endi'!ABM2</f>
        <v>0</v>
      </c>
      <c r="ABO3">
        <f>'[12]Summary Report - 12 Months Endi'!ABN2</f>
        <v>0</v>
      </c>
      <c r="ABP3">
        <f>'[12]Summary Report - 12 Months Endi'!ABO2</f>
        <v>0</v>
      </c>
      <c r="ABQ3">
        <f>'[12]Summary Report - 12 Months Endi'!ABP2</f>
        <v>0</v>
      </c>
      <c r="ABR3">
        <f>'[12]Summary Report - 12 Months Endi'!ABQ2</f>
        <v>0</v>
      </c>
      <c r="ABS3">
        <f>'[12]Summary Report - 12 Months Endi'!ABR2</f>
        <v>0</v>
      </c>
      <c r="ABT3">
        <f>'[12]Summary Report - 12 Months Endi'!ABS2</f>
        <v>0</v>
      </c>
      <c r="ABU3">
        <f>'[12]Summary Report - 12 Months Endi'!ABT2</f>
        <v>0</v>
      </c>
      <c r="ABV3">
        <f>'[12]Summary Report - 12 Months Endi'!ABU2</f>
        <v>0</v>
      </c>
      <c r="ABW3">
        <f>'[12]Summary Report - 12 Months Endi'!ABV2</f>
        <v>0</v>
      </c>
      <c r="ABX3">
        <f>'[12]Summary Report - 12 Months Endi'!ABW2</f>
        <v>0</v>
      </c>
      <c r="ABY3">
        <f>'[12]Summary Report - 12 Months Endi'!ABX2</f>
        <v>0</v>
      </c>
      <c r="ABZ3">
        <f>'[12]Summary Report - 12 Months Endi'!ABY2</f>
        <v>0</v>
      </c>
      <c r="ACA3">
        <f>'[12]Summary Report - 12 Months Endi'!ABZ2</f>
        <v>0</v>
      </c>
      <c r="ACB3">
        <f>'[12]Summary Report - 12 Months Endi'!ACA2</f>
        <v>0</v>
      </c>
      <c r="ACC3">
        <f>'[12]Summary Report - 12 Months Endi'!ACB2</f>
        <v>0</v>
      </c>
      <c r="ACD3">
        <f>'[12]Summary Report - 12 Months Endi'!ACC2</f>
        <v>0</v>
      </c>
      <c r="ACE3">
        <f>'[12]Summary Report - 12 Months Endi'!ACD2</f>
        <v>0</v>
      </c>
      <c r="ACF3">
        <f>'[12]Summary Report - 12 Months Endi'!ACE2</f>
        <v>0</v>
      </c>
      <c r="ACG3">
        <f>'[12]Summary Report - 12 Months Endi'!ACF2</f>
        <v>0</v>
      </c>
      <c r="ACH3">
        <f>'[12]Summary Report - 12 Months Endi'!ACG2</f>
        <v>0</v>
      </c>
      <c r="ACI3">
        <f>'[12]Summary Report - 12 Months Endi'!ACH2</f>
        <v>0</v>
      </c>
      <c r="ACJ3">
        <f>'[12]Summary Report - 12 Months Endi'!ACI2</f>
        <v>0</v>
      </c>
      <c r="ACK3">
        <f>'[12]Summary Report - 12 Months Endi'!ACJ2</f>
        <v>0</v>
      </c>
      <c r="ACL3">
        <f>'[12]Summary Report - 12 Months Endi'!ACK2</f>
        <v>0</v>
      </c>
      <c r="ACM3">
        <f>'[12]Summary Report - 12 Months Endi'!ACL2</f>
        <v>0</v>
      </c>
      <c r="ACN3">
        <f>'[12]Summary Report - 12 Months Endi'!ACM2</f>
        <v>0</v>
      </c>
      <c r="ACO3">
        <f>'[12]Summary Report - 12 Months Endi'!ACN2</f>
        <v>0</v>
      </c>
      <c r="ACP3">
        <f>'[12]Summary Report - 12 Months Endi'!ACO2</f>
        <v>0</v>
      </c>
      <c r="ACQ3">
        <f>'[12]Summary Report - 12 Months Endi'!ACP2</f>
        <v>0</v>
      </c>
      <c r="ACR3">
        <f>'[12]Summary Report - 12 Months Endi'!ACQ2</f>
        <v>0</v>
      </c>
      <c r="ACS3">
        <f>'[12]Summary Report - 12 Months Endi'!ACR2</f>
        <v>0</v>
      </c>
      <c r="ACT3">
        <f>'[12]Summary Report - 12 Months Endi'!ACS2</f>
        <v>0</v>
      </c>
      <c r="ACU3">
        <f>'[12]Summary Report - 12 Months Endi'!ACT2</f>
        <v>0</v>
      </c>
      <c r="ACV3">
        <f>'[12]Summary Report - 12 Months Endi'!ACU2</f>
        <v>0</v>
      </c>
      <c r="ACW3">
        <f>'[12]Summary Report - 12 Months Endi'!ACV2</f>
        <v>0</v>
      </c>
      <c r="ACX3">
        <f>'[12]Summary Report - 12 Months Endi'!ACW2</f>
        <v>0</v>
      </c>
      <c r="ACY3">
        <f>'[12]Summary Report - 12 Months Endi'!ACX2</f>
        <v>0</v>
      </c>
      <c r="ACZ3">
        <f>'[12]Summary Report - 12 Months Endi'!ACY2</f>
        <v>0</v>
      </c>
      <c r="ADA3">
        <f>'[12]Summary Report - 12 Months Endi'!ACZ2</f>
        <v>0</v>
      </c>
      <c r="ADB3">
        <f>'[12]Summary Report - 12 Months Endi'!ADA2</f>
        <v>0</v>
      </c>
      <c r="ADC3">
        <f>'[12]Summary Report - 12 Months Endi'!ADB2</f>
        <v>0</v>
      </c>
      <c r="ADD3">
        <f>'[12]Summary Report - 12 Months Endi'!ADC2</f>
        <v>0</v>
      </c>
      <c r="ADE3">
        <f>'[12]Summary Report - 12 Months Endi'!ADD2</f>
        <v>0</v>
      </c>
      <c r="ADF3">
        <f>'[12]Summary Report - 12 Months Endi'!ADE2</f>
        <v>0</v>
      </c>
      <c r="ADG3">
        <f>'[12]Summary Report - 12 Months Endi'!ADF2</f>
        <v>0</v>
      </c>
      <c r="ADH3">
        <f>'[12]Summary Report - 12 Months Endi'!ADG2</f>
        <v>0</v>
      </c>
      <c r="ADI3">
        <f>'[12]Summary Report - 12 Months Endi'!ADH2</f>
        <v>0</v>
      </c>
      <c r="ADJ3">
        <f>'[12]Summary Report - 12 Months Endi'!ADI2</f>
        <v>0</v>
      </c>
      <c r="ADK3">
        <f>'[12]Summary Report - 12 Months Endi'!ADJ2</f>
        <v>0</v>
      </c>
      <c r="ADL3">
        <f>'[12]Summary Report - 12 Months Endi'!ADK2</f>
        <v>0</v>
      </c>
      <c r="ADM3">
        <f>'[12]Summary Report - 12 Months Endi'!ADL2</f>
        <v>0</v>
      </c>
      <c r="ADN3">
        <f>'[12]Summary Report - 12 Months Endi'!ADM2</f>
        <v>0</v>
      </c>
      <c r="ADO3">
        <f>'[12]Summary Report - 12 Months Endi'!ADN2</f>
        <v>0</v>
      </c>
      <c r="ADP3">
        <f>'[12]Summary Report - 12 Months Endi'!ADO2</f>
        <v>0</v>
      </c>
      <c r="ADQ3">
        <f>'[12]Summary Report - 12 Months Endi'!ADP2</f>
        <v>0</v>
      </c>
      <c r="ADR3">
        <f>'[12]Summary Report - 12 Months Endi'!ADQ2</f>
        <v>0</v>
      </c>
      <c r="ADS3">
        <f>'[12]Summary Report - 12 Months Endi'!ADR2</f>
        <v>0</v>
      </c>
      <c r="ADT3">
        <f>'[12]Summary Report - 12 Months Endi'!ADS2</f>
        <v>0</v>
      </c>
      <c r="ADU3">
        <f>'[12]Summary Report - 12 Months Endi'!ADT2</f>
        <v>0</v>
      </c>
      <c r="ADV3">
        <f>'[12]Summary Report - 12 Months Endi'!ADU2</f>
        <v>0</v>
      </c>
      <c r="ADW3">
        <f>'[12]Summary Report - 12 Months Endi'!ADV2</f>
        <v>0</v>
      </c>
      <c r="ADX3">
        <f>'[12]Summary Report - 12 Months Endi'!ADW2</f>
        <v>0</v>
      </c>
      <c r="ADY3">
        <f>'[12]Summary Report - 12 Months Endi'!ADX2</f>
        <v>0</v>
      </c>
      <c r="ADZ3">
        <f>'[12]Summary Report - 12 Months Endi'!ADY2</f>
        <v>0</v>
      </c>
      <c r="AEA3">
        <f>'[12]Summary Report - 12 Months Endi'!ADZ2</f>
        <v>0</v>
      </c>
      <c r="AEB3">
        <f>'[12]Summary Report - 12 Months Endi'!AEA2</f>
        <v>0</v>
      </c>
      <c r="AEC3">
        <f>'[12]Summary Report - 12 Months Endi'!AEB2</f>
        <v>0</v>
      </c>
      <c r="AED3">
        <f>'[12]Summary Report - 12 Months Endi'!AEC2</f>
        <v>0</v>
      </c>
      <c r="AEE3">
        <f>'[12]Summary Report - 12 Months Endi'!AED2</f>
        <v>0</v>
      </c>
      <c r="AEF3">
        <f>'[12]Summary Report - 12 Months Endi'!AEE2</f>
        <v>0</v>
      </c>
      <c r="AEG3">
        <f>'[12]Summary Report - 12 Months Endi'!AEF2</f>
        <v>0</v>
      </c>
      <c r="AEH3">
        <f>'[12]Summary Report - 12 Months Endi'!AEG2</f>
        <v>0</v>
      </c>
      <c r="AEI3">
        <f>'[12]Summary Report - 12 Months Endi'!AEH2</f>
        <v>0</v>
      </c>
      <c r="AEJ3">
        <f>'[12]Summary Report - 12 Months Endi'!AEI2</f>
        <v>0</v>
      </c>
      <c r="AEK3">
        <f>'[12]Summary Report - 12 Months Endi'!AEJ2</f>
        <v>0</v>
      </c>
      <c r="AEL3">
        <f>'[12]Summary Report - 12 Months Endi'!AEK2</f>
        <v>0</v>
      </c>
      <c r="AEM3">
        <f>'[12]Summary Report - 12 Months Endi'!AEL2</f>
        <v>0</v>
      </c>
      <c r="AEN3">
        <f>'[12]Summary Report - 12 Months Endi'!AEM2</f>
        <v>0</v>
      </c>
      <c r="AEO3">
        <f>'[12]Summary Report - 12 Months Endi'!AEN2</f>
        <v>0</v>
      </c>
      <c r="AEP3">
        <f>'[12]Summary Report - 12 Months Endi'!AEO2</f>
        <v>0</v>
      </c>
      <c r="AEQ3">
        <f>'[12]Summary Report - 12 Months Endi'!AEP2</f>
        <v>0</v>
      </c>
      <c r="AER3">
        <f>'[12]Summary Report - 12 Months Endi'!AEQ2</f>
        <v>0</v>
      </c>
      <c r="AES3">
        <f>'[12]Summary Report - 12 Months Endi'!AER2</f>
        <v>0</v>
      </c>
      <c r="AET3">
        <f>'[12]Summary Report - 12 Months Endi'!AES2</f>
        <v>0</v>
      </c>
      <c r="AEU3">
        <f>'[12]Summary Report - 12 Months Endi'!AET2</f>
        <v>0</v>
      </c>
      <c r="AEV3">
        <f>'[12]Summary Report - 12 Months Endi'!AEU2</f>
        <v>0</v>
      </c>
      <c r="AEW3">
        <f>'[12]Summary Report - 12 Months Endi'!AEV2</f>
        <v>0</v>
      </c>
      <c r="AEX3">
        <f>'[12]Summary Report - 12 Months Endi'!AEW2</f>
        <v>0</v>
      </c>
      <c r="AEY3">
        <f>'[12]Summary Report - 12 Months Endi'!AEX2</f>
        <v>0</v>
      </c>
      <c r="AEZ3">
        <f>'[12]Summary Report - 12 Months Endi'!AEY2</f>
        <v>0</v>
      </c>
      <c r="AFA3">
        <f>'[12]Summary Report - 12 Months Endi'!AEZ2</f>
        <v>0</v>
      </c>
      <c r="AFB3">
        <f>'[12]Summary Report - 12 Months Endi'!AFA2</f>
        <v>0</v>
      </c>
      <c r="AFC3">
        <f>'[12]Summary Report - 12 Months Endi'!AFB2</f>
        <v>0</v>
      </c>
      <c r="AFD3">
        <f>'[12]Summary Report - 12 Months Endi'!AFC2</f>
        <v>0</v>
      </c>
      <c r="AFE3">
        <f>'[12]Summary Report - 12 Months Endi'!AFD2</f>
        <v>0</v>
      </c>
      <c r="AFF3">
        <f>'[12]Summary Report - 12 Months Endi'!AFE2</f>
        <v>0</v>
      </c>
      <c r="AFG3">
        <f>'[12]Summary Report - 12 Months Endi'!AFF2</f>
        <v>0</v>
      </c>
      <c r="AFH3">
        <f>'[12]Summary Report - 12 Months Endi'!AFG2</f>
        <v>0</v>
      </c>
      <c r="AFI3">
        <f>'[12]Summary Report - 12 Months Endi'!AFH2</f>
        <v>0</v>
      </c>
      <c r="AFJ3">
        <f>'[12]Summary Report - 12 Months Endi'!AFI2</f>
        <v>0</v>
      </c>
      <c r="AFK3">
        <f>'[12]Summary Report - 12 Months Endi'!AFJ2</f>
        <v>0</v>
      </c>
      <c r="AFL3">
        <f>'[12]Summary Report - 12 Months Endi'!AFK2</f>
        <v>0</v>
      </c>
      <c r="AFM3">
        <f>'[12]Summary Report - 12 Months Endi'!AFL2</f>
        <v>0</v>
      </c>
      <c r="AFN3">
        <f>'[12]Summary Report - 12 Months Endi'!AFM2</f>
        <v>0</v>
      </c>
      <c r="AFO3">
        <f>'[12]Summary Report - 12 Months Endi'!AFN2</f>
        <v>0</v>
      </c>
      <c r="AFP3">
        <f>'[12]Summary Report - 12 Months Endi'!AFO2</f>
        <v>0</v>
      </c>
      <c r="AFQ3">
        <f>'[12]Summary Report - 12 Months Endi'!AFP2</f>
        <v>0</v>
      </c>
      <c r="AFR3">
        <f>'[12]Summary Report - 12 Months Endi'!AFQ2</f>
        <v>0</v>
      </c>
      <c r="AFS3">
        <f>'[12]Summary Report - 12 Months Endi'!AFR2</f>
        <v>0</v>
      </c>
      <c r="AFT3">
        <f>'[12]Summary Report - 12 Months Endi'!AFS2</f>
        <v>0</v>
      </c>
      <c r="AFU3">
        <f>'[12]Summary Report - 12 Months Endi'!AFT2</f>
        <v>0</v>
      </c>
      <c r="AFV3">
        <f>'[12]Summary Report - 12 Months Endi'!AFU2</f>
        <v>0</v>
      </c>
      <c r="AFW3">
        <f>'[12]Summary Report - 12 Months Endi'!AFV2</f>
        <v>0</v>
      </c>
      <c r="AFX3">
        <f>'[12]Summary Report - 12 Months Endi'!AFW2</f>
        <v>0</v>
      </c>
      <c r="AFY3">
        <f>'[12]Summary Report - 12 Months Endi'!AFX2</f>
        <v>0</v>
      </c>
      <c r="AFZ3">
        <f>'[12]Summary Report - 12 Months Endi'!AFY2</f>
        <v>0</v>
      </c>
      <c r="AGA3">
        <f>'[12]Summary Report - 12 Months Endi'!AFZ2</f>
        <v>0</v>
      </c>
      <c r="AGB3">
        <f>'[12]Summary Report - 12 Months Endi'!AGA2</f>
        <v>0</v>
      </c>
      <c r="AGC3">
        <f>'[12]Summary Report - 12 Months Endi'!AGB2</f>
        <v>0</v>
      </c>
      <c r="AGD3">
        <f>'[12]Summary Report - 12 Months Endi'!AGC2</f>
        <v>0</v>
      </c>
      <c r="AGE3">
        <f>'[12]Summary Report - 12 Months Endi'!AGD2</f>
        <v>0</v>
      </c>
      <c r="AGF3">
        <f>'[12]Summary Report - 12 Months Endi'!AGE2</f>
        <v>0</v>
      </c>
      <c r="AGG3">
        <f>'[12]Summary Report - 12 Months Endi'!AGF2</f>
        <v>0</v>
      </c>
      <c r="AGH3">
        <f>'[12]Summary Report - 12 Months Endi'!AGG2</f>
        <v>0</v>
      </c>
      <c r="AGI3">
        <f>'[12]Summary Report - 12 Months Endi'!AGH2</f>
        <v>0</v>
      </c>
      <c r="AGJ3">
        <f>'[12]Summary Report - 12 Months Endi'!AGI2</f>
        <v>0</v>
      </c>
      <c r="AGK3">
        <f>'[12]Summary Report - 12 Months Endi'!AGJ2</f>
        <v>0</v>
      </c>
      <c r="AGL3">
        <f>'[12]Summary Report - 12 Months Endi'!AGK2</f>
        <v>0</v>
      </c>
      <c r="AGM3">
        <f>'[12]Summary Report - 12 Months Endi'!AGL2</f>
        <v>0</v>
      </c>
      <c r="AGN3">
        <f>'[12]Summary Report - 12 Months Endi'!AGM2</f>
        <v>0</v>
      </c>
      <c r="AGO3">
        <f>'[12]Summary Report - 12 Months Endi'!AGN2</f>
        <v>0</v>
      </c>
      <c r="AGP3">
        <f>'[12]Summary Report - 12 Months Endi'!AGO2</f>
        <v>0</v>
      </c>
      <c r="AGQ3">
        <f>'[12]Summary Report - 12 Months Endi'!AGP2</f>
        <v>0</v>
      </c>
      <c r="AGR3">
        <f>'[12]Summary Report - 12 Months Endi'!AGQ2</f>
        <v>0</v>
      </c>
      <c r="AGS3">
        <f>'[12]Summary Report - 12 Months Endi'!AGR2</f>
        <v>0</v>
      </c>
      <c r="AGT3">
        <f>'[12]Summary Report - 12 Months Endi'!AGS2</f>
        <v>0</v>
      </c>
      <c r="AGU3">
        <f>'[12]Summary Report - 12 Months Endi'!AGT2</f>
        <v>0</v>
      </c>
      <c r="AGV3">
        <f>'[12]Summary Report - 12 Months Endi'!AGU2</f>
        <v>0</v>
      </c>
      <c r="AGW3">
        <f>'[12]Summary Report - 12 Months Endi'!AGV2</f>
        <v>0</v>
      </c>
      <c r="AGX3">
        <f>'[12]Summary Report - 12 Months Endi'!AGW2</f>
        <v>0</v>
      </c>
      <c r="AGY3">
        <f>'[12]Summary Report - 12 Months Endi'!AGX2</f>
        <v>0</v>
      </c>
      <c r="AGZ3">
        <f>'[12]Summary Report - 12 Months Endi'!AGY2</f>
        <v>0</v>
      </c>
      <c r="AHA3">
        <f>'[12]Summary Report - 12 Months Endi'!AGZ2</f>
        <v>0</v>
      </c>
      <c r="AHB3">
        <f>'[12]Summary Report - 12 Months Endi'!AHA2</f>
        <v>0</v>
      </c>
      <c r="AHC3">
        <f>'[12]Summary Report - 12 Months Endi'!AHB2</f>
        <v>0</v>
      </c>
      <c r="AHD3">
        <f>'[12]Summary Report - 12 Months Endi'!AHC2</f>
        <v>0</v>
      </c>
      <c r="AHE3">
        <f>'[12]Summary Report - 12 Months Endi'!AHD2</f>
        <v>0</v>
      </c>
      <c r="AHF3">
        <f>'[12]Summary Report - 12 Months Endi'!AHE2</f>
        <v>0</v>
      </c>
      <c r="AHG3">
        <f>'[12]Summary Report - 12 Months Endi'!AHF2</f>
        <v>0</v>
      </c>
      <c r="AHH3">
        <f>'[12]Summary Report - 12 Months Endi'!AHG2</f>
        <v>0</v>
      </c>
      <c r="AHI3">
        <f>'[12]Summary Report - 12 Months Endi'!AHH2</f>
        <v>0</v>
      </c>
      <c r="AHJ3">
        <f>'[12]Summary Report - 12 Months Endi'!AHI2</f>
        <v>0</v>
      </c>
      <c r="AHK3">
        <f>'[12]Summary Report - 12 Months Endi'!AHJ2</f>
        <v>0</v>
      </c>
      <c r="AHL3">
        <f>'[12]Summary Report - 12 Months Endi'!AHK2</f>
        <v>0</v>
      </c>
      <c r="AHM3">
        <f>'[12]Summary Report - 12 Months Endi'!AHL2</f>
        <v>0</v>
      </c>
      <c r="AHN3">
        <f>'[12]Summary Report - 12 Months Endi'!AHM2</f>
        <v>0</v>
      </c>
      <c r="AHO3">
        <f>'[12]Summary Report - 12 Months Endi'!AHN2</f>
        <v>0</v>
      </c>
      <c r="AHP3">
        <f>'[12]Summary Report - 12 Months Endi'!AHO2</f>
        <v>0</v>
      </c>
      <c r="AHQ3">
        <f>'[12]Summary Report - 12 Months Endi'!AHP2</f>
        <v>0</v>
      </c>
      <c r="AHR3">
        <f>'[12]Summary Report - 12 Months Endi'!AHQ2</f>
        <v>0</v>
      </c>
      <c r="AHS3">
        <f>'[12]Summary Report - 12 Months Endi'!AHR2</f>
        <v>0</v>
      </c>
      <c r="AHT3">
        <f>'[12]Summary Report - 12 Months Endi'!AHS2</f>
        <v>0</v>
      </c>
      <c r="AHU3">
        <f>'[12]Summary Report - 12 Months Endi'!AHT2</f>
        <v>0</v>
      </c>
      <c r="AHV3">
        <f>'[12]Summary Report - 12 Months Endi'!AHU2</f>
        <v>0</v>
      </c>
      <c r="AHW3">
        <f>'[12]Summary Report - 12 Months Endi'!AHV2</f>
        <v>0</v>
      </c>
      <c r="AHX3">
        <f>'[12]Summary Report - 12 Months Endi'!AHW2</f>
        <v>0</v>
      </c>
      <c r="AHY3">
        <f>'[12]Summary Report - 12 Months Endi'!AHX2</f>
        <v>0</v>
      </c>
      <c r="AHZ3">
        <f>'[12]Summary Report - 12 Months Endi'!AHY2</f>
        <v>0</v>
      </c>
      <c r="AIA3">
        <f>'[12]Summary Report - 12 Months Endi'!AHZ2</f>
        <v>0</v>
      </c>
      <c r="AIB3">
        <f>'[12]Summary Report - 12 Months Endi'!AIA2</f>
        <v>0</v>
      </c>
      <c r="AIC3">
        <f>'[12]Summary Report - 12 Months Endi'!AIB2</f>
        <v>0</v>
      </c>
      <c r="AID3">
        <f>'[12]Summary Report - 12 Months Endi'!AIC2</f>
        <v>0</v>
      </c>
      <c r="AIE3">
        <f>'[12]Summary Report - 12 Months Endi'!AID2</f>
        <v>0</v>
      </c>
      <c r="AIF3">
        <f>'[12]Summary Report - 12 Months Endi'!AIE2</f>
        <v>0</v>
      </c>
      <c r="AIG3">
        <f>'[12]Summary Report - 12 Months Endi'!AIF2</f>
        <v>0</v>
      </c>
      <c r="AIH3">
        <f>'[12]Summary Report - 12 Months Endi'!AIG2</f>
        <v>0</v>
      </c>
      <c r="AII3">
        <f>'[12]Summary Report - 12 Months Endi'!AIH2</f>
        <v>0</v>
      </c>
      <c r="AIJ3">
        <f>'[12]Summary Report - 12 Months Endi'!AII2</f>
        <v>0</v>
      </c>
      <c r="AIK3">
        <f>'[12]Summary Report - 12 Months Endi'!AIJ2</f>
        <v>0</v>
      </c>
      <c r="AIL3">
        <f>'[12]Summary Report - 12 Months Endi'!AIK2</f>
        <v>0</v>
      </c>
      <c r="AIM3">
        <f>'[12]Summary Report - 12 Months Endi'!AIL2</f>
        <v>0</v>
      </c>
      <c r="AIN3">
        <f>'[12]Summary Report - 12 Months Endi'!AIM2</f>
        <v>0</v>
      </c>
      <c r="AIO3">
        <f>'[12]Summary Report - 12 Months Endi'!AIN2</f>
        <v>0</v>
      </c>
      <c r="AIP3">
        <f>'[12]Summary Report - 12 Months Endi'!AIO2</f>
        <v>0</v>
      </c>
      <c r="AIQ3">
        <f>'[12]Summary Report - 12 Months Endi'!AIP2</f>
        <v>0</v>
      </c>
      <c r="AIR3">
        <f>'[12]Summary Report - 12 Months Endi'!AIQ2</f>
        <v>0</v>
      </c>
      <c r="AIS3">
        <f>'[12]Summary Report - 12 Months Endi'!AIR2</f>
        <v>0</v>
      </c>
      <c r="AIT3">
        <f>'[12]Summary Report - 12 Months Endi'!AIS2</f>
        <v>0</v>
      </c>
      <c r="AIU3">
        <f>'[12]Summary Report - 12 Months Endi'!AIT2</f>
        <v>0</v>
      </c>
      <c r="AIV3">
        <f>'[12]Summary Report - 12 Months Endi'!AIU2</f>
        <v>0</v>
      </c>
      <c r="AIW3">
        <f>'[12]Summary Report - 12 Months Endi'!AIV2</f>
        <v>0</v>
      </c>
      <c r="AIX3">
        <f>'[12]Summary Report - 12 Months Endi'!AIW2</f>
        <v>0</v>
      </c>
      <c r="AIY3">
        <f>'[12]Summary Report - 12 Months Endi'!AIX2</f>
        <v>0</v>
      </c>
      <c r="AIZ3">
        <f>'[12]Summary Report - 12 Months Endi'!AIY2</f>
        <v>0</v>
      </c>
      <c r="AJA3">
        <f>'[12]Summary Report - 12 Months Endi'!AIZ2</f>
        <v>0</v>
      </c>
      <c r="AJB3">
        <f>'[12]Summary Report - 12 Months Endi'!AJA2</f>
        <v>0</v>
      </c>
      <c r="AJC3">
        <f>'[12]Summary Report - 12 Months Endi'!AJB2</f>
        <v>0</v>
      </c>
      <c r="AJD3">
        <f>'[12]Summary Report - 12 Months Endi'!AJC2</f>
        <v>0</v>
      </c>
      <c r="AJE3">
        <f>'[12]Summary Report - 12 Months Endi'!AJD2</f>
        <v>0</v>
      </c>
      <c r="AJF3">
        <f>'[12]Summary Report - 12 Months Endi'!AJE2</f>
        <v>0</v>
      </c>
      <c r="AJG3">
        <f>'[12]Summary Report - 12 Months Endi'!AJF2</f>
        <v>0</v>
      </c>
      <c r="AJH3">
        <f>'[12]Summary Report - 12 Months Endi'!AJG2</f>
        <v>0</v>
      </c>
      <c r="AJI3">
        <f>'[12]Summary Report - 12 Months Endi'!AJH2</f>
        <v>0</v>
      </c>
      <c r="AJJ3">
        <f>'[12]Summary Report - 12 Months Endi'!AJI2</f>
        <v>0</v>
      </c>
      <c r="AJK3">
        <f>'[12]Summary Report - 12 Months Endi'!AJJ2</f>
        <v>0</v>
      </c>
      <c r="AJL3">
        <f>'[12]Summary Report - 12 Months Endi'!AJK2</f>
        <v>0</v>
      </c>
      <c r="AJM3">
        <f>'[12]Summary Report - 12 Months Endi'!AJL2</f>
        <v>0</v>
      </c>
      <c r="AJN3">
        <f>'[12]Summary Report - 12 Months Endi'!AJM2</f>
        <v>0</v>
      </c>
      <c r="AJO3">
        <f>'[12]Summary Report - 12 Months Endi'!AJN2</f>
        <v>0</v>
      </c>
      <c r="AJP3">
        <f>'[12]Summary Report - 12 Months Endi'!AJO2</f>
        <v>0</v>
      </c>
      <c r="AJQ3">
        <f>'[12]Summary Report - 12 Months Endi'!AJP2</f>
        <v>0</v>
      </c>
      <c r="AJR3">
        <f>'[12]Summary Report - 12 Months Endi'!AJQ2</f>
        <v>0</v>
      </c>
      <c r="AJS3">
        <f>'[12]Summary Report - 12 Months Endi'!AJR2</f>
        <v>0</v>
      </c>
      <c r="AJT3">
        <f>'[12]Summary Report - 12 Months Endi'!AJS2</f>
        <v>0</v>
      </c>
      <c r="AJU3">
        <f>'[12]Summary Report - 12 Months Endi'!AJT2</f>
        <v>0</v>
      </c>
      <c r="AJV3">
        <f>'[12]Summary Report - 12 Months Endi'!AJU2</f>
        <v>0</v>
      </c>
      <c r="AJW3">
        <f>'[12]Summary Report - 12 Months Endi'!AJV2</f>
        <v>0</v>
      </c>
      <c r="AJX3">
        <f>'[12]Summary Report - 12 Months Endi'!AJW2</f>
        <v>0</v>
      </c>
      <c r="AJY3">
        <f>'[12]Summary Report - 12 Months Endi'!AJX2</f>
        <v>0</v>
      </c>
      <c r="AJZ3">
        <f>'[12]Summary Report - 12 Months Endi'!AJY2</f>
        <v>0</v>
      </c>
      <c r="AKA3">
        <f>'[12]Summary Report - 12 Months Endi'!AJZ2</f>
        <v>0</v>
      </c>
      <c r="AKB3">
        <f>'[12]Summary Report - 12 Months Endi'!AKA2</f>
        <v>0</v>
      </c>
      <c r="AKC3">
        <f>'[12]Summary Report - 12 Months Endi'!AKB2</f>
        <v>0</v>
      </c>
      <c r="AKD3">
        <f>'[12]Summary Report - 12 Months Endi'!AKC2</f>
        <v>0</v>
      </c>
      <c r="AKE3">
        <f>'[12]Summary Report - 12 Months Endi'!AKD2</f>
        <v>0</v>
      </c>
      <c r="AKF3">
        <f>'[12]Summary Report - 12 Months Endi'!AKE2</f>
        <v>0</v>
      </c>
      <c r="AKG3">
        <f>'[12]Summary Report - 12 Months Endi'!AKF2</f>
        <v>0</v>
      </c>
      <c r="AKH3">
        <f>'[12]Summary Report - 12 Months Endi'!AKG2</f>
        <v>0</v>
      </c>
      <c r="AKI3">
        <f>'[12]Summary Report - 12 Months Endi'!AKH2</f>
        <v>0</v>
      </c>
      <c r="AKJ3">
        <f>'[12]Summary Report - 12 Months Endi'!AKI2</f>
        <v>0</v>
      </c>
      <c r="AKK3">
        <f>'[12]Summary Report - 12 Months Endi'!AKJ2</f>
        <v>0</v>
      </c>
      <c r="AKL3">
        <f>'[12]Summary Report - 12 Months Endi'!AKK2</f>
        <v>0</v>
      </c>
      <c r="AKM3">
        <f>'[12]Summary Report - 12 Months Endi'!AKL2</f>
        <v>0</v>
      </c>
      <c r="AKN3">
        <f>'[12]Summary Report - 12 Months Endi'!AKM2</f>
        <v>0</v>
      </c>
      <c r="AKO3">
        <f>'[12]Summary Report - 12 Months Endi'!AKN2</f>
        <v>0</v>
      </c>
      <c r="AKP3">
        <f>'[12]Summary Report - 12 Months Endi'!AKO2</f>
        <v>0</v>
      </c>
      <c r="AKQ3">
        <f>'[12]Summary Report - 12 Months Endi'!AKP2</f>
        <v>0</v>
      </c>
      <c r="AKR3">
        <f>'[12]Summary Report - 12 Months Endi'!AKQ2</f>
        <v>0</v>
      </c>
      <c r="AKS3">
        <f>'[12]Summary Report - 12 Months Endi'!AKR2</f>
        <v>0</v>
      </c>
      <c r="AKT3">
        <f>'[12]Summary Report - 12 Months Endi'!AKS2</f>
        <v>0</v>
      </c>
      <c r="AKU3">
        <f>'[12]Summary Report - 12 Months Endi'!AKT2</f>
        <v>0</v>
      </c>
      <c r="AKV3">
        <f>'[12]Summary Report - 12 Months Endi'!AKU2</f>
        <v>0</v>
      </c>
      <c r="AKW3">
        <f>'[12]Summary Report - 12 Months Endi'!AKV2</f>
        <v>0</v>
      </c>
      <c r="AKX3">
        <f>'[12]Summary Report - 12 Months Endi'!AKW2</f>
        <v>0</v>
      </c>
      <c r="AKY3">
        <f>'[12]Summary Report - 12 Months Endi'!AKX2</f>
        <v>0</v>
      </c>
      <c r="AKZ3">
        <f>'[12]Summary Report - 12 Months Endi'!AKY2</f>
        <v>0</v>
      </c>
      <c r="ALA3">
        <f>'[12]Summary Report - 12 Months Endi'!AKZ2</f>
        <v>0</v>
      </c>
      <c r="ALB3">
        <f>'[12]Summary Report - 12 Months Endi'!ALA2</f>
        <v>0</v>
      </c>
      <c r="ALC3">
        <f>'[12]Summary Report - 12 Months Endi'!ALB2</f>
        <v>0</v>
      </c>
      <c r="ALD3">
        <f>'[12]Summary Report - 12 Months Endi'!ALC2</f>
        <v>0</v>
      </c>
      <c r="ALE3">
        <f>'[12]Summary Report - 12 Months Endi'!ALD2</f>
        <v>0</v>
      </c>
      <c r="ALF3">
        <f>'[12]Summary Report - 12 Months Endi'!ALE2</f>
        <v>0</v>
      </c>
      <c r="ALG3">
        <f>'[12]Summary Report - 12 Months Endi'!ALF2</f>
        <v>0</v>
      </c>
      <c r="ALH3">
        <f>'[12]Summary Report - 12 Months Endi'!ALG2</f>
        <v>0</v>
      </c>
      <c r="ALI3">
        <f>'[12]Summary Report - 12 Months Endi'!ALH2</f>
        <v>0</v>
      </c>
      <c r="ALJ3">
        <f>'[12]Summary Report - 12 Months Endi'!ALI2</f>
        <v>0</v>
      </c>
      <c r="ALK3">
        <f>'[12]Summary Report - 12 Months Endi'!ALJ2</f>
        <v>0</v>
      </c>
      <c r="ALL3">
        <f>'[12]Summary Report - 12 Months Endi'!ALK2</f>
        <v>0</v>
      </c>
      <c r="ALM3">
        <f>'[12]Summary Report - 12 Months Endi'!ALL2</f>
        <v>0</v>
      </c>
      <c r="ALN3">
        <f>'[12]Summary Report - 12 Months Endi'!ALM2</f>
        <v>0</v>
      </c>
      <c r="ALO3">
        <f>'[12]Summary Report - 12 Months Endi'!ALN2</f>
        <v>0</v>
      </c>
      <c r="ALP3">
        <f>'[12]Summary Report - 12 Months Endi'!ALO2</f>
        <v>0</v>
      </c>
      <c r="ALQ3">
        <f>'[12]Summary Report - 12 Months Endi'!ALP2</f>
        <v>0</v>
      </c>
      <c r="ALR3">
        <f>'[12]Summary Report - 12 Months Endi'!ALQ2</f>
        <v>0</v>
      </c>
      <c r="ALS3">
        <f>'[12]Summary Report - 12 Months Endi'!ALR2</f>
        <v>0</v>
      </c>
      <c r="ALT3">
        <f>'[12]Summary Report - 12 Months Endi'!ALS2</f>
        <v>0</v>
      </c>
      <c r="ALU3">
        <f>'[12]Summary Report - 12 Months Endi'!ALT2</f>
        <v>0</v>
      </c>
      <c r="ALV3">
        <f>'[12]Summary Report - 12 Months Endi'!ALU2</f>
        <v>0</v>
      </c>
      <c r="ALW3">
        <f>'[12]Summary Report - 12 Months Endi'!ALV2</f>
        <v>0</v>
      </c>
      <c r="ALX3">
        <f>'[12]Summary Report - 12 Months Endi'!ALW2</f>
        <v>0</v>
      </c>
      <c r="ALY3">
        <f>'[12]Summary Report - 12 Months Endi'!ALX2</f>
        <v>0</v>
      </c>
      <c r="ALZ3">
        <f>'[12]Summary Report - 12 Months Endi'!ALY2</f>
        <v>0</v>
      </c>
      <c r="AMA3">
        <f>'[12]Summary Report - 12 Months Endi'!ALZ2</f>
        <v>0</v>
      </c>
      <c r="AMB3">
        <f>'[12]Summary Report - 12 Months Endi'!AMA2</f>
        <v>0</v>
      </c>
      <c r="AMC3">
        <f>'[12]Summary Report - 12 Months Endi'!AMB2</f>
        <v>0</v>
      </c>
      <c r="AMD3">
        <f>'[12]Summary Report - 12 Months Endi'!AMC2</f>
        <v>0</v>
      </c>
      <c r="AME3">
        <f>'[12]Summary Report - 12 Months Endi'!AMD2</f>
        <v>0</v>
      </c>
      <c r="AMF3">
        <f>'[12]Summary Report - 12 Months Endi'!AME2</f>
        <v>0</v>
      </c>
      <c r="AMG3">
        <f>'[12]Summary Report - 12 Months Endi'!AMF2</f>
        <v>0</v>
      </c>
      <c r="AMH3">
        <f>'[12]Summary Report - 12 Months Endi'!AMG2</f>
        <v>0</v>
      </c>
      <c r="AMI3">
        <f>'[12]Summary Report - 12 Months Endi'!AMH2</f>
        <v>0</v>
      </c>
      <c r="AMJ3">
        <f>'[12]Summary Report - 12 Months Endi'!AMI2</f>
        <v>0</v>
      </c>
      <c r="AMK3">
        <f>'[12]Summary Report - 12 Months Endi'!AMJ2</f>
        <v>0</v>
      </c>
      <c r="AML3">
        <f>'[12]Summary Report - 12 Months Endi'!AMK2</f>
        <v>0</v>
      </c>
      <c r="AMM3">
        <f>'[12]Summary Report - 12 Months Endi'!AML2</f>
        <v>0</v>
      </c>
      <c r="AMN3">
        <f>'[12]Summary Report - 12 Months Endi'!AMM2</f>
        <v>0</v>
      </c>
      <c r="AMO3">
        <f>'[12]Summary Report - 12 Months Endi'!AMN2</f>
        <v>0</v>
      </c>
      <c r="AMP3">
        <f>'[12]Summary Report - 12 Months Endi'!AMO2</f>
        <v>0</v>
      </c>
      <c r="AMQ3">
        <f>'[12]Summary Report - 12 Months Endi'!AMP2</f>
        <v>0</v>
      </c>
      <c r="AMR3">
        <f>'[12]Summary Report - 12 Months Endi'!AMQ2</f>
        <v>0</v>
      </c>
      <c r="AMS3">
        <f>'[12]Summary Report - 12 Months Endi'!AMR2</f>
        <v>0</v>
      </c>
      <c r="AMT3">
        <f>'[12]Summary Report - 12 Months Endi'!AMS2</f>
        <v>0</v>
      </c>
      <c r="AMU3">
        <f>'[12]Summary Report - 12 Months Endi'!AMT2</f>
        <v>0</v>
      </c>
      <c r="AMV3">
        <f>'[12]Summary Report - 12 Months Endi'!AMU2</f>
        <v>0</v>
      </c>
      <c r="AMW3">
        <f>'[12]Summary Report - 12 Months Endi'!AMV2</f>
        <v>0</v>
      </c>
      <c r="AMX3">
        <f>'[12]Summary Report - 12 Months Endi'!AMW2</f>
        <v>0</v>
      </c>
      <c r="AMY3">
        <f>'[12]Summary Report - 12 Months Endi'!AMX2</f>
        <v>0</v>
      </c>
      <c r="AMZ3">
        <f>'[12]Summary Report - 12 Months Endi'!AMY2</f>
        <v>0</v>
      </c>
      <c r="ANA3">
        <f>'[12]Summary Report - 12 Months Endi'!AMZ2</f>
        <v>0</v>
      </c>
      <c r="ANB3">
        <f>'[12]Summary Report - 12 Months Endi'!ANA2</f>
        <v>0</v>
      </c>
      <c r="ANC3">
        <f>'[12]Summary Report - 12 Months Endi'!ANB2</f>
        <v>0</v>
      </c>
      <c r="AND3">
        <f>'[12]Summary Report - 12 Months Endi'!ANC2</f>
        <v>0</v>
      </c>
      <c r="ANE3">
        <f>'[12]Summary Report - 12 Months Endi'!AND2</f>
        <v>0</v>
      </c>
      <c r="ANF3">
        <f>'[12]Summary Report - 12 Months Endi'!ANE2</f>
        <v>0</v>
      </c>
      <c r="ANG3">
        <f>'[12]Summary Report - 12 Months Endi'!ANF2</f>
        <v>0</v>
      </c>
      <c r="ANH3">
        <f>'[12]Summary Report - 12 Months Endi'!ANG2</f>
        <v>0</v>
      </c>
      <c r="ANI3">
        <f>'[12]Summary Report - 12 Months Endi'!ANH2</f>
        <v>0</v>
      </c>
      <c r="ANJ3">
        <f>'[12]Summary Report - 12 Months Endi'!ANI2</f>
        <v>0</v>
      </c>
      <c r="ANK3">
        <f>'[12]Summary Report - 12 Months Endi'!ANJ2</f>
        <v>0</v>
      </c>
      <c r="ANL3">
        <f>'[12]Summary Report - 12 Months Endi'!ANK2</f>
        <v>0</v>
      </c>
      <c r="ANM3">
        <f>'[12]Summary Report - 12 Months Endi'!ANL2</f>
        <v>0</v>
      </c>
      <c r="ANN3">
        <f>'[12]Summary Report - 12 Months Endi'!ANM2</f>
        <v>0</v>
      </c>
      <c r="ANO3">
        <f>'[12]Summary Report - 12 Months Endi'!ANN2</f>
        <v>0</v>
      </c>
      <c r="ANP3">
        <f>'[12]Summary Report - 12 Months Endi'!ANO2</f>
        <v>0</v>
      </c>
      <c r="ANQ3">
        <f>'[12]Summary Report - 12 Months Endi'!ANP2</f>
        <v>0</v>
      </c>
      <c r="ANR3">
        <f>'[12]Summary Report - 12 Months Endi'!ANQ2</f>
        <v>0</v>
      </c>
      <c r="ANS3">
        <f>'[12]Summary Report - 12 Months Endi'!ANR2</f>
        <v>0</v>
      </c>
      <c r="ANT3">
        <f>'[12]Summary Report - 12 Months Endi'!ANS2</f>
        <v>0</v>
      </c>
      <c r="ANU3">
        <f>'[12]Summary Report - 12 Months Endi'!ANT2</f>
        <v>0</v>
      </c>
      <c r="ANV3">
        <f>'[12]Summary Report - 12 Months Endi'!ANU2</f>
        <v>0</v>
      </c>
      <c r="ANW3">
        <f>'[12]Summary Report - 12 Months Endi'!ANV2</f>
        <v>0</v>
      </c>
      <c r="ANX3">
        <f>'[12]Summary Report - 12 Months Endi'!ANW2</f>
        <v>0</v>
      </c>
      <c r="ANY3">
        <f>'[12]Summary Report - 12 Months Endi'!ANX2</f>
        <v>0</v>
      </c>
      <c r="ANZ3">
        <f>'[12]Summary Report - 12 Months Endi'!ANY2</f>
        <v>0</v>
      </c>
      <c r="AOA3">
        <f>'[12]Summary Report - 12 Months Endi'!ANZ2</f>
        <v>0</v>
      </c>
      <c r="AOB3">
        <f>'[12]Summary Report - 12 Months Endi'!AOA2</f>
        <v>0</v>
      </c>
      <c r="AOC3">
        <f>'[12]Summary Report - 12 Months Endi'!AOB2</f>
        <v>0</v>
      </c>
      <c r="AOD3">
        <f>'[12]Summary Report - 12 Months Endi'!AOC2</f>
        <v>0</v>
      </c>
      <c r="AOE3">
        <f>'[12]Summary Report - 12 Months Endi'!AOD2</f>
        <v>0</v>
      </c>
      <c r="AOF3">
        <f>'[12]Summary Report - 12 Months Endi'!AOE2</f>
        <v>0</v>
      </c>
      <c r="AOG3">
        <f>'[12]Summary Report - 12 Months Endi'!AOF2</f>
        <v>0</v>
      </c>
      <c r="AOH3">
        <f>'[12]Summary Report - 12 Months Endi'!AOG2</f>
        <v>0</v>
      </c>
      <c r="AOI3">
        <f>'[12]Summary Report - 12 Months Endi'!AOH2</f>
        <v>0</v>
      </c>
      <c r="AOJ3">
        <f>'[12]Summary Report - 12 Months Endi'!AOI2</f>
        <v>0</v>
      </c>
      <c r="AOK3">
        <f>'[12]Summary Report - 12 Months Endi'!AOJ2</f>
        <v>0</v>
      </c>
      <c r="AOL3">
        <f>'[12]Summary Report - 12 Months Endi'!AOK2</f>
        <v>0</v>
      </c>
      <c r="AOM3">
        <f>'[12]Summary Report - 12 Months Endi'!AOL2</f>
        <v>0</v>
      </c>
      <c r="AON3">
        <f>'[12]Summary Report - 12 Months Endi'!AOM2</f>
        <v>0</v>
      </c>
      <c r="AOO3">
        <f>'[12]Summary Report - 12 Months Endi'!AON2</f>
        <v>0</v>
      </c>
      <c r="AOP3">
        <f>'[12]Summary Report - 12 Months Endi'!AOO2</f>
        <v>0</v>
      </c>
      <c r="AOQ3">
        <f>'[12]Summary Report - 12 Months Endi'!AOP2</f>
        <v>0</v>
      </c>
      <c r="AOR3">
        <f>'[12]Summary Report - 12 Months Endi'!AOQ2</f>
        <v>0</v>
      </c>
      <c r="AOS3">
        <f>'[12]Summary Report - 12 Months Endi'!AOR2</f>
        <v>0</v>
      </c>
      <c r="AOT3">
        <f>'[12]Summary Report - 12 Months Endi'!AOS2</f>
        <v>0</v>
      </c>
      <c r="AOU3">
        <f>'[12]Summary Report - 12 Months Endi'!AOT2</f>
        <v>0</v>
      </c>
      <c r="AOV3">
        <f>'[12]Summary Report - 12 Months Endi'!AOU2</f>
        <v>0</v>
      </c>
      <c r="AOW3">
        <f>'[12]Summary Report - 12 Months Endi'!AOV2</f>
        <v>0</v>
      </c>
      <c r="AOX3">
        <f>'[12]Summary Report - 12 Months Endi'!AOW2</f>
        <v>0</v>
      </c>
      <c r="AOY3">
        <f>'[12]Summary Report - 12 Months Endi'!AOX2</f>
        <v>0</v>
      </c>
      <c r="AOZ3">
        <f>'[12]Summary Report - 12 Months Endi'!AOY2</f>
        <v>0</v>
      </c>
      <c r="APA3">
        <f>'[12]Summary Report - 12 Months Endi'!AOZ2</f>
        <v>0</v>
      </c>
      <c r="APB3">
        <f>'[12]Summary Report - 12 Months Endi'!APA2</f>
        <v>0</v>
      </c>
      <c r="APC3">
        <f>'[12]Summary Report - 12 Months Endi'!APB2</f>
        <v>0</v>
      </c>
      <c r="APD3">
        <f>'[12]Summary Report - 12 Months Endi'!APC2</f>
        <v>0</v>
      </c>
      <c r="APE3">
        <f>'[12]Summary Report - 12 Months Endi'!APD2</f>
        <v>0</v>
      </c>
      <c r="APF3">
        <f>'[12]Summary Report - 12 Months Endi'!APE2</f>
        <v>0</v>
      </c>
      <c r="APG3">
        <f>'[12]Summary Report - 12 Months Endi'!APF2</f>
        <v>0</v>
      </c>
      <c r="APH3">
        <f>'[12]Summary Report - 12 Months Endi'!APG2</f>
        <v>0</v>
      </c>
      <c r="API3">
        <f>'[12]Summary Report - 12 Months Endi'!APH2</f>
        <v>0</v>
      </c>
      <c r="APJ3">
        <f>'[12]Summary Report - 12 Months Endi'!API2</f>
        <v>0</v>
      </c>
      <c r="APK3">
        <f>'[12]Summary Report - 12 Months Endi'!APJ2</f>
        <v>0</v>
      </c>
      <c r="APL3">
        <f>'[12]Summary Report - 12 Months Endi'!APK2</f>
        <v>0</v>
      </c>
      <c r="APM3">
        <f>'[12]Summary Report - 12 Months Endi'!APL2</f>
        <v>0</v>
      </c>
      <c r="APN3">
        <f>'[12]Summary Report - 12 Months Endi'!APM2</f>
        <v>0</v>
      </c>
      <c r="APO3">
        <f>'[12]Summary Report - 12 Months Endi'!APN2</f>
        <v>0</v>
      </c>
      <c r="APP3">
        <f>'[12]Summary Report - 12 Months Endi'!APO2</f>
        <v>0</v>
      </c>
      <c r="APQ3">
        <f>'[12]Summary Report - 12 Months Endi'!APP2</f>
        <v>0</v>
      </c>
      <c r="APR3">
        <f>'[12]Summary Report - 12 Months Endi'!APQ2</f>
        <v>0</v>
      </c>
      <c r="APS3">
        <f>'[12]Summary Report - 12 Months Endi'!APR2</f>
        <v>0</v>
      </c>
      <c r="APT3">
        <f>'[12]Summary Report - 12 Months Endi'!APS2</f>
        <v>0</v>
      </c>
      <c r="APU3">
        <f>'[12]Summary Report - 12 Months Endi'!APT2</f>
        <v>0</v>
      </c>
      <c r="APV3">
        <f>'[12]Summary Report - 12 Months Endi'!APU2</f>
        <v>0</v>
      </c>
      <c r="APW3">
        <f>'[12]Summary Report - 12 Months Endi'!APV2</f>
        <v>0</v>
      </c>
      <c r="APX3">
        <f>'[12]Summary Report - 12 Months Endi'!APW2</f>
        <v>0</v>
      </c>
      <c r="APY3">
        <f>'[12]Summary Report - 12 Months Endi'!APX2</f>
        <v>0</v>
      </c>
      <c r="APZ3">
        <f>'[12]Summary Report - 12 Months Endi'!APY2</f>
        <v>0</v>
      </c>
      <c r="AQA3">
        <f>'[12]Summary Report - 12 Months Endi'!APZ2</f>
        <v>0</v>
      </c>
      <c r="AQB3">
        <f>'[12]Summary Report - 12 Months Endi'!AQA2</f>
        <v>0</v>
      </c>
      <c r="AQC3">
        <f>'[12]Summary Report - 12 Months Endi'!AQB2</f>
        <v>0</v>
      </c>
      <c r="AQD3">
        <f>'[12]Summary Report - 12 Months Endi'!AQC2</f>
        <v>0</v>
      </c>
      <c r="AQE3">
        <f>'[12]Summary Report - 12 Months Endi'!AQD2</f>
        <v>0</v>
      </c>
      <c r="AQF3">
        <f>'[12]Summary Report - 12 Months Endi'!AQE2</f>
        <v>0</v>
      </c>
      <c r="AQG3">
        <f>'[12]Summary Report - 12 Months Endi'!AQF2</f>
        <v>0</v>
      </c>
      <c r="AQH3">
        <f>'[12]Summary Report - 12 Months Endi'!AQG2</f>
        <v>0</v>
      </c>
      <c r="AQI3">
        <f>'[12]Summary Report - 12 Months Endi'!AQH2</f>
        <v>0</v>
      </c>
      <c r="AQJ3">
        <f>'[12]Summary Report - 12 Months Endi'!AQI2</f>
        <v>0</v>
      </c>
      <c r="AQK3">
        <f>'[12]Summary Report - 12 Months Endi'!AQJ2</f>
        <v>0</v>
      </c>
      <c r="AQL3">
        <f>'[12]Summary Report - 12 Months Endi'!AQK2</f>
        <v>0</v>
      </c>
      <c r="AQM3">
        <f>'[12]Summary Report - 12 Months Endi'!AQL2</f>
        <v>0</v>
      </c>
      <c r="AQN3">
        <f>'[12]Summary Report - 12 Months Endi'!AQM2</f>
        <v>0</v>
      </c>
      <c r="AQO3">
        <f>'[12]Summary Report - 12 Months Endi'!AQN2</f>
        <v>0</v>
      </c>
      <c r="AQP3">
        <f>'[12]Summary Report - 12 Months Endi'!AQO2</f>
        <v>0</v>
      </c>
      <c r="AQQ3">
        <f>'[12]Summary Report - 12 Months Endi'!AQP2</f>
        <v>0</v>
      </c>
      <c r="AQR3">
        <f>'[12]Summary Report - 12 Months Endi'!AQQ2</f>
        <v>0</v>
      </c>
      <c r="AQS3">
        <f>'[12]Summary Report - 12 Months Endi'!AQR2</f>
        <v>0</v>
      </c>
      <c r="AQT3">
        <f>'[12]Summary Report - 12 Months Endi'!AQS2</f>
        <v>0</v>
      </c>
      <c r="AQU3">
        <f>'[12]Summary Report - 12 Months Endi'!AQT2</f>
        <v>0</v>
      </c>
      <c r="AQV3">
        <f>'[12]Summary Report - 12 Months Endi'!AQU2</f>
        <v>0</v>
      </c>
      <c r="AQW3">
        <f>'[12]Summary Report - 12 Months Endi'!AQV2</f>
        <v>0</v>
      </c>
      <c r="AQX3">
        <f>'[12]Summary Report - 12 Months Endi'!AQW2</f>
        <v>0</v>
      </c>
      <c r="AQY3">
        <f>'[12]Summary Report - 12 Months Endi'!AQX2</f>
        <v>0</v>
      </c>
      <c r="AQZ3">
        <f>'[12]Summary Report - 12 Months Endi'!AQY2</f>
        <v>0</v>
      </c>
      <c r="ARA3">
        <f>'[12]Summary Report - 12 Months Endi'!AQZ2</f>
        <v>0</v>
      </c>
      <c r="ARB3">
        <f>'[12]Summary Report - 12 Months Endi'!ARA2</f>
        <v>0</v>
      </c>
      <c r="ARC3">
        <f>'[12]Summary Report - 12 Months Endi'!ARB2</f>
        <v>0</v>
      </c>
      <c r="ARD3">
        <f>'[12]Summary Report - 12 Months Endi'!ARC2</f>
        <v>0</v>
      </c>
      <c r="ARE3">
        <f>'[12]Summary Report - 12 Months Endi'!ARD2</f>
        <v>0</v>
      </c>
      <c r="ARF3">
        <f>'[12]Summary Report - 12 Months Endi'!ARE2</f>
        <v>0</v>
      </c>
      <c r="ARG3">
        <f>'[12]Summary Report - 12 Months Endi'!ARF2</f>
        <v>0</v>
      </c>
      <c r="ARH3">
        <f>'[12]Summary Report - 12 Months Endi'!ARG2</f>
        <v>0</v>
      </c>
      <c r="ARI3">
        <f>'[12]Summary Report - 12 Months Endi'!ARH2</f>
        <v>0</v>
      </c>
      <c r="ARJ3">
        <f>'[12]Summary Report - 12 Months Endi'!ARI2</f>
        <v>0</v>
      </c>
      <c r="ARK3">
        <f>'[12]Summary Report - 12 Months Endi'!ARJ2</f>
        <v>0</v>
      </c>
      <c r="ARL3">
        <f>'[12]Summary Report - 12 Months Endi'!ARK2</f>
        <v>0</v>
      </c>
      <c r="ARM3">
        <f>'[12]Summary Report - 12 Months Endi'!ARL2</f>
        <v>0</v>
      </c>
      <c r="ARN3">
        <f>'[12]Summary Report - 12 Months Endi'!ARM2</f>
        <v>0</v>
      </c>
      <c r="ARO3">
        <f>'[12]Summary Report - 12 Months Endi'!ARN2</f>
        <v>0</v>
      </c>
      <c r="ARP3">
        <f>'[12]Summary Report - 12 Months Endi'!ARO2</f>
        <v>0</v>
      </c>
      <c r="ARQ3">
        <f>'[12]Summary Report - 12 Months Endi'!ARP2</f>
        <v>0</v>
      </c>
      <c r="ARR3">
        <f>'[12]Summary Report - 12 Months Endi'!ARQ2</f>
        <v>0</v>
      </c>
      <c r="ARS3">
        <f>'[12]Summary Report - 12 Months Endi'!ARR2</f>
        <v>0</v>
      </c>
      <c r="ART3">
        <f>'[12]Summary Report - 12 Months Endi'!ARS2</f>
        <v>0</v>
      </c>
      <c r="ARU3">
        <f>'[12]Summary Report - 12 Months Endi'!ART2</f>
        <v>0</v>
      </c>
      <c r="ARV3">
        <f>'[12]Summary Report - 12 Months Endi'!ARU2</f>
        <v>0</v>
      </c>
      <c r="ARW3">
        <f>'[12]Summary Report - 12 Months Endi'!ARV2</f>
        <v>0</v>
      </c>
      <c r="ARX3">
        <f>'[12]Summary Report - 12 Months Endi'!ARW2</f>
        <v>0</v>
      </c>
      <c r="ARY3">
        <f>'[12]Summary Report - 12 Months Endi'!ARX2</f>
        <v>0</v>
      </c>
      <c r="ARZ3">
        <f>'[12]Summary Report - 12 Months Endi'!ARY2</f>
        <v>0</v>
      </c>
      <c r="ASA3">
        <f>'[12]Summary Report - 12 Months Endi'!ARZ2</f>
        <v>0</v>
      </c>
      <c r="ASB3">
        <f>'[12]Summary Report - 12 Months Endi'!ASA2</f>
        <v>0</v>
      </c>
      <c r="ASC3">
        <f>'[12]Summary Report - 12 Months Endi'!ASB2</f>
        <v>0</v>
      </c>
      <c r="ASD3">
        <f>'[12]Summary Report - 12 Months Endi'!ASC2</f>
        <v>0</v>
      </c>
      <c r="ASE3">
        <f>'[12]Summary Report - 12 Months Endi'!ASD2</f>
        <v>0</v>
      </c>
      <c r="ASF3">
        <f>'[12]Summary Report - 12 Months Endi'!ASE2</f>
        <v>0</v>
      </c>
      <c r="ASG3">
        <f>'[12]Summary Report - 12 Months Endi'!ASF2</f>
        <v>0</v>
      </c>
      <c r="ASH3">
        <f>'[12]Summary Report - 12 Months Endi'!ASG2</f>
        <v>0</v>
      </c>
      <c r="ASI3">
        <f>'[12]Summary Report - 12 Months Endi'!ASH2</f>
        <v>0</v>
      </c>
      <c r="ASJ3">
        <f>'[12]Summary Report - 12 Months Endi'!ASI2</f>
        <v>0</v>
      </c>
      <c r="ASK3">
        <f>'[12]Summary Report - 12 Months Endi'!ASJ2</f>
        <v>0</v>
      </c>
      <c r="ASL3">
        <f>'[12]Summary Report - 12 Months Endi'!ASK2</f>
        <v>0</v>
      </c>
      <c r="ASM3">
        <f>'[12]Summary Report - 12 Months Endi'!ASL2</f>
        <v>0</v>
      </c>
      <c r="ASN3">
        <f>'[12]Summary Report - 12 Months Endi'!ASM2</f>
        <v>0</v>
      </c>
      <c r="ASO3">
        <f>'[12]Summary Report - 12 Months Endi'!ASN2</f>
        <v>0</v>
      </c>
      <c r="ASP3">
        <f>'[12]Summary Report - 12 Months Endi'!ASO2</f>
        <v>0</v>
      </c>
      <c r="ASQ3">
        <f>'[12]Summary Report - 12 Months Endi'!ASP2</f>
        <v>0</v>
      </c>
      <c r="ASR3">
        <f>'[12]Summary Report - 12 Months Endi'!ASQ2</f>
        <v>0</v>
      </c>
      <c r="ASS3">
        <f>'[12]Summary Report - 12 Months Endi'!ASR2</f>
        <v>0</v>
      </c>
      <c r="AST3">
        <f>'[12]Summary Report - 12 Months Endi'!ASS2</f>
        <v>0</v>
      </c>
      <c r="ASU3">
        <f>'[12]Summary Report - 12 Months Endi'!AST2</f>
        <v>0</v>
      </c>
      <c r="ASV3">
        <f>'[12]Summary Report - 12 Months Endi'!ASU2</f>
        <v>0</v>
      </c>
      <c r="ASW3">
        <f>'[12]Summary Report - 12 Months Endi'!ASV2</f>
        <v>0</v>
      </c>
      <c r="ASX3">
        <f>'[12]Summary Report - 12 Months Endi'!ASW2</f>
        <v>0</v>
      </c>
      <c r="ASY3">
        <f>'[12]Summary Report - 12 Months Endi'!ASX2</f>
        <v>0</v>
      </c>
      <c r="ASZ3">
        <f>'[12]Summary Report - 12 Months Endi'!ASY2</f>
        <v>0</v>
      </c>
      <c r="ATA3">
        <f>'[12]Summary Report - 12 Months Endi'!ASZ2</f>
        <v>0</v>
      </c>
      <c r="ATB3">
        <f>'[12]Summary Report - 12 Months Endi'!ATA2</f>
        <v>0</v>
      </c>
      <c r="ATC3">
        <f>'[12]Summary Report - 12 Months Endi'!ATB2</f>
        <v>0</v>
      </c>
      <c r="ATD3">
        <f>'[12]Summary Report - 12 Months Endi'!ATC2</f>
        <v>0</v>
      </c>
      <c r="ATE3">
        <f>'[12]Summary Report - 12 Months Endi'!ATD2</f>
        <v>0</v>
      </c>
      <c r="ATF3">
        <f>'[12]Summary Report - 12 Months Endi'!ATE2</f>
        <v>0</v>
      </c>
      <c r="ATG3">
        <f>'[12]Summary Report - 12 Months Endi'!ATF2</f>
        <v>0</v>
      </c>
      <c r="ATH3">
        <f>'[12]Summary Report - 12 Months Endi'!ATG2</f>
        <v>0</v>
      </c>
      <c r="ATI3">
        <f>'[12]Summary Report - 12 Months Endi'!ATH2</f>
        <v>0</v>
      </c>
      <c r="ATJ3">
        <f>'[12]Summary Report - 12 Months Endi'!ATI2</f>
        <v>0</v>
      </c>
      <c r="ATK3">
        <f>'[12]Summary Report - 12 Months Endi'!ATJ2</f>
        <v>0</v>
      </c>
      <c r="ATL3">
        <f>'[12]Summary Report - 12 Months Endi'!ATK2</f>
        <v>0</v>
      </c>
      <c r="ATM3">
        <f>'[12]Summary Report - 12 Months Endi'!ATL2</f>
        <v>0</v>
      </c>
      <c r="ATN3">
        <f>'[12]Summary Report - 12 Months Endi'!ATM2</f>
        <v>0</v>
      </c>
      <c r="ATO3">
        <f>'[12]Summary Report - 12 Months Endi'!ATN2</f>
        <v>0</v>
      </c>
      <c r="ATP3">
        <f>'[12]Summary Report - 12 Months Endi'!ATO2</f>
        <v>0</v>
      </c>
      <c r="ATQ3">
        <f>'[12]Summary Report - 12 Months Endi'!ATP2</f>
        <v>0</v>
      </c>
      <c r="ATR3">
        <f>'[12]Summary Report - 12 Months Endi'!ATQ2</f>
        <v>0</v>
      </c>
      <c r="ATS3">
        <f>'[12]Summary Report - 12 Months Endi'!ATR2</f>
        <v>0</v>
      </c>
      <c r="ATT3">
        <f>'[12]Summary Report - 12 Months Endi'!ATS2</f>
        <v>0</v>
      </c>
      <c r="ATU3">
        <f>'[12]Summary Report - 12 Months Endi'!ATT2</f>
        <v>0</v>
      </c>
      <c r="ATV3">
        <f>'[12]Summary Report - 12 Months Endi'!ATU2</f>
        <v>0</v>
      </c>
      <c r="ATW3">
        <f>'[12]Summary Report - 12 Months Endi'!ATV2</f>
        <v>0</v>
      </c>
      <c r="ATX3">
        <f>'[12]Summary Report - 12 Months Endi'!ATW2</f>
        <v>0</v>
      </c>
      <c r="ATY3">
        <f>'[12]Summary Report - 12 Months Endi'!ATX2</f>
        <v>0</v>
      </c>
      <c r="ATZ3">
        <f>'[12]Summary Report - 12 Months Endi'!ATY2</f>
        <v>0</v>
      </c>
      <c r="AUA3">
        <f>'[12]Summary Report - 12 Months Endi'!ATZ2</f>
        <v>0</v>
      </c>
      <c r="AUB3">
        <f>'[12]Summary Report - 12 Months Endi'!AUA2</f>
        <v>0</v>
      </c>
      <c r="AUC3">
        <f>'[12]Summary Report - 12 Months Endi'!AUB2</f>
        <v>0</v>
      </c>
      <c r="AUD3">
        <f>'[12]Summary Report - 12 Months Endi'!AUC2</f>
        <v>0</v>
      </c>
      <c r="AUE3">
        <f>'[12]Summary Report - 12 Months Endi'!AUD2</f>
        <v>0</v>
      </c>
      <c r="AUF3">
        <f>'[12]Summary Report - 12 Months Endi'!AUE2</f>
        <v>0</v>
      </c>
      <c r="AUG3">
        <f>'[12]Summary Report - 12 Months Endi'!AUF2</f>
        <v>0</v>
      </c>
      <c r="AUH3">
        <f>'[12]Summary Report - 12 Months Endi'!AUG2</f>
        <v>0</v>
      </c>
      <c r="AUI3">
        <f>'[12]Summary Report - 12 Months Endi'!AUH2</f>
        <v>0</v>
      </c>
      <c r="AUJ3">
        <f>'[12]Summary Report - 12 Months Endi'!AUI2</f>
        <v>0</v>
      </c>
      <c r="AUK3">
        <f>'[12]Summary Report - 12 Months Endi'!AUJ2</f>
        <v>0</v>
      </c>
      <c r="AUL3">
        <f>'[12]Summary Report - 12 Months Endi'!AUK2</f>
        <v>0</v>
      </c>
      <c r="AUM3">
        <f>'[12]Summary Report - 12 Months Endi'!AUL2</f>
        <v>0</v>
      </c>
      <c r="AUN3">
        <f>'[12]Summary Report - 12 Months Endi'!AUM2</f>
        <v>0</v>
      </c>
      <c r="AUO3">
        <f>'[12]Summary Report - 12 Months Endi'!AUN2</f>
        <v>0</v>
      </c>
      <c r="AUP3">
        <f>'[12]Summary Report - 12 Months Endi'!AUO2</f>
        <v>0</v>
      </c>
      <c r="AUQ3">
        <f>'[12]Summary Report - 12 Months Endi'!AUP2</f>
        <v>0</v>
      </c>
      <c r="AUR3">
        <f>'[12]Summary Report - 12 Months Endi'!AUQ2</f>
        <v>0</v>
      </c>
      <c r="AUS3">
        <f>'[12]Summary Report - 12 Months Endi'!AUR2</f>
        <v>0</v>
      </c>
      <c r="AUT3">
        <f>'[12]Summary Report - 12 Months Endi'!AUS2</f>
        <v>0</v>
      </c>
      <c r="AUU3">
        <f>'[12]Summary Report - 12 Months Endi'!AUT2</f>
        <v>0</v>
      </c>
      <c r="AUV3">
        <f>'[12]Summary Report - 12 Months Endi'!AUU2</f>
        <v>0</v>
      </c>
      <c r="AUW3">
        <f>'[12]Summary Report - 12 Months Endi'!AUV2</f>
        <v>0</v>
      </c>
      <c r="AUX3">
        <f>'[12]Summary Report - 12 Months Endi'!AUW2</f>
        <v>0</v>
      </c>
      <c r="AUY3">
        <f>'[12]Summary Report - 12 Months Endi'!AUX2</f>
        <v>0</v>
      </c>
      <c r="AUZ3">
        <f>'[12]Summary Report - 12 Months Endi'!AUY2</f>
        <v>0</v>
      </c>
      <c r="AVA3">
        <f>'[12]Summary Report - 12 Months Endi'!AUZ2</f>
        <v>0</v>
      </c>
      <c r="AVB3">
        <f>'[12]Summary Report - 12 Months Endi'!AVA2</f>
        <v>0</v>
      </c>
      <c r="AVC3">
        <f>'[12]Summary Report - 12 Months Endi'!AVB2</f>
        <v>0</v>
      </c>
      <c r="AVD3">
        <f>'[12]Summary Report - 12 Months Endi'!AVC2</f>
        <v>0</v>
      </c>
      <c r="AVE3">
        <f>'[12]Summary Report - 12 Months Endi'!AVD2</f>
        <v>0</v>
      </c>
      <c r="AVF3">
        <f>'[12]Summary Report - 12 Months Endi'!AVE2</f>
        <v>0</v>
      </c>
      <c r="AVG3">
        <f>'[12]Summary Report - 12 Months Endi'!AVF2</f>
        <v>0</v>
      </c>
      <c r="AVH3">
        <f>'[12]Summary Report - 12 Months Endi'!AVG2</f>
        <v>0</v>
      </c>
      <c r="AVI3">
        <f>'[12]Summary Report - 12 Months Endi'!AVH2</f>
        <v>0</v>
      </c>
      <c r="AVJ3">
        <f>'[12]Summary Report - 12 Months Endi'!AVI2</f>
        <v>0</v>
      </c>
      <c r="AVK3">
        <f>'[12]Summary Report - 12 Months Endi'!AVJ2</f>
        <v>0</v>
      </c>
      <c r="AVL3">
        <f>'[12]Summary Report - 12 Months Endi'!AVK2</f>
        <v>0</v>
      </c>
      <c r="AVM3">
        <f>'[12]Summary Report - 12 Months Endi'!AVL2</f>
        <v>0</v>
      </c>
      <c r="AVN3">
        <f>'[12]Summary Report - 12 Months Endi'!AVM2</f>
        <v>0</v>
      </c>
      <c r="AVO3">
        <f>'[12]Summary Report - 12 Months Endi'!AVN2</f>
        <v>0</v>
      </c>
      <c r="AVP3">
        <f>'[12]Summary Report - 12 Months Endi'!AVO2</f>
        <v>0</v>
      </c>
      <c r="AVQ3">
        <f>'[12]Summary Report - 12 Months Endi'!AVP2</f>
        <v>0</v>
      </c>
      <c r="AVR3">
        <f>'[12]Summary Report - 12 Months Endi'!AVQ2</f>
        <v>0</v>
      </c>
      <c r="AVS3">
        <f>'[12]Summary Report - 12 Months Endi'!AVR2</f>
        <v>0</v>
      </c>
      <c r="AVT3">
        <f>'[12]Summary Report - 12 Months Endi'!AVS2</f>
        <v>0</v>
      </c>
      <c r="AVU3">
        <f>'[12]Summary Report - 12 Months Endi'!AVT2</f>
        <v>0</v>
      </c>
      <c r="AVV3">
        <f>'[12]Summary Report - 12 Months Endi'!AVU2</f>
        <v>0</v>
      </c>
      <c r="AVW3">
        <f>'[12]Summary Report - 12 Months Endi'!AVV2</f>
        <v>0</v>
      </c>
      <c r="AVX3">
        <f>'[12]Summary Report - 12 Months Endi'!AVW2</f>
        <v>0</v>
      </c>
      <c r="AVY3">
        <f>'[12]Summary Report - 12 Months Endi'!AVX2</f>
        <v>0</v>
      </c>
      <c r="AVZ3">
        <f>'[12]Summary Report - 12 Months Endi'!AVY2</f>
        <v>0</v>
      </c>
      <c r="AWA3">
        <f>'[12]Summary Report - 12 Months Endi'!AVZ2</f>
        <v>0</v>
      </c>
      <c r="AWB3">
        <f>'[12]Summary Report - 12 Months Endi'!AWA2</f>
        <v>0</v>
      </c>
      <c r="AWC3">
        <f>'[12]Summary Report - 12 Months Endi'!AWB2</f>
        <v>0</v>
      </c>
      <c r="AWD3">
        <f>'[12]Summary Report - 12 Months Endi'!AWC2</f>
        <v>0</v>
      </c>
      <c r="AWE3">
        <f>'[12]Summary Report - 12 Months Endi'!AWD2</f>
        <v>0</v>
      </c>
      <c r="AWF3">
        <f>'[12]Summary Report - 12 Months Endi'!AWE2</f>
        <v>0</v>
      </c>
      <c r="AWG3">
        <f>'[12]Summary Report - 12 Months Endi'!AWF2</f>
        <v>0</v>
      </c>
      <c r="AWH3">
        <f>'[12]Summary Report - 12 Months Endi'!AWG2</f>
        <v>0</v>
      </c>
      <c r="AWI3">
        <f>'[12]Summary Report - 12 Months Endi'!AWH2</f>
        <v>0</v>
      </c>
      <c r="AWJ3">
        <f>'[12]Summary Report - 12 Months Endi'!AWI2</f>
        <v>0</v>
      </c>
      <c r="AWK3">
        <f>'[12]Summary Report - 12 Months Endi'!AWJ2</f>
        <v>0</v>
      </c>
      <c r="AWL3">
        <f>'[12]Summary Report - 12 Months Endi'!AWK2</f>
        <v>0</v>
      </c>
      <c r="AWM3">
        <f>'[12]Summary Report - 12 Months Endi'!AWL2</f>
        <v>0</v>
      </c>
      <c r="AWN3">
        <f>'[12]Summary Report - 12 Months Endi'!AWM2</f>
        <v>0</v>
      </c>
      <c r="AWO3">
        <f>'[12]Summary Report - 12 Months Endi'!AWN2</f>
        <v>0</v>
      </c>
      <c r="AWP3">
        <f>'[12]Summary Report - 12 Months Endi'!AWO2</f>
        <v>0</v>
      </c>
      <c r="AWQ3">
        <f>'[12]Summary Report - 12 Months Endi'!AWP2</f>
        <v>0</v>
      </c>
      <c r="AWR3">
        <f>'[12]Summary Report - 12 Months Endi'!AWQ2</f>
        <v>0</v>
      </c>
      <c r="AWS3">
        <f>'[12]Summary Report - 12 Months Endi'!AWR2</f>
        <v>0</v>
      </c>
      <c r="AWT3">
        <f>'[12]Summary Report - 12 Months Endi'!AWS2</f>
        <v>0</v>
      </c>
      <c r="AWU3">
        <f>'[12]Summary Report - 12 Months Endi'!AWT2</f>
        <v>0</v>
      </c>
      <c r="AWV3">
        <f>'[12]Summary Report - 12 Months Endi'!AWU2</f>
        <v>0</v>
      </c>
      <c r="AWW3">
        <f>'[12]Summary Report - 12 Months Endi'!AWV2</f>
        <v>0</v>
      </c>
      <c r="AWX3">
        <f>'[12]Summary Report - 12 Months Endi'!AWW2</f>
        <v>0</v>
      </c>
      <c r="AWY3">
        <f>'[12]Summary Report - 12 Months Endi'!AWX2</f>
        <v>0</v>
      </c>
      <c r="AWZ3">
        <f>'[12]Summary Report - 12 Months Endi'!AWY2</f>
        <v>0</v>
      </c>
      <c r="AXA3">
        <f>'[12]Summary Report - 12 Months Endi'!AWZ2</f>
        <v>0</v>
      </c>
      <c r="AXB3">
        <f>'[12]Summary Report - 12 Months Endi'!AXA2</f>
        <v>0</v>
      </c>
      <c r="AXC3">
        <f>'[12]Summary Report - 12 Months Endi'!AXB2</f>
        <v>0</v>
      </c>
      <c r="AXD3">
        <f>'[12]Summary Report - 12 Months Endi'!AXC2</f>
        <v>0</v>
      </c>
      <c r="AXE3">
        <f>'[12]Summary Report - 12 Months Endi'!AXD2</f>
        <v>0</v>
      </c>
      <c r="AXF3">
        <f>'[12]Summary Report - 12 Months Endi'!AXE2</f>
        <v>0</v>
      </c>
      <c r="AXG3">
        <f>'[12]Summary Report - 12 Months Endi'!AXF2</f>
        <v>0</v>
      </c>
      <c r="AXH3">
        <f>'[12]Summary Report - 12 Months Endi'!AXG2</f>
        <v>0</v>
      </c>
      <c r="AXI3">
        <f>'[12]Summary Report - 12 Months Endi'!AXH2</f>
        <v>0</v>
      </c>
      <c r="AXJ3">
        <f>'[12]Summary Report - 12 Months Endi'!AXI2</f>
        <v>0</v>
      </c>
      <c r="AXK3">
        <f>'[12]Summary Report - 12 Months Endi'!AXJ2</f>
        <v>0</v>
      </c>
      <c r="AXL3">
        <f>'[12]Summary Report - 12 Months Endi'!AXK2</f>
        <v>0</v>
      </c>
      <c r="AXM3">
        <f>'[12]Summary Report - 12 Months Endi'!AXL2</f>
        <v>0</v>
      </c>
      <c r="AXN3">
        <f>'[12]Summary Report - 12 Months Endi'!AXM2</f>
        <v>0</v>
      </c>
      <c r="AXO3">
        <f>'[12]Summary Report - 12 Months Endi'!AXN2</f>
        <v>0</v>
      </c>
      <c r="AXP3">
        <f>'[12]Summary Report - 12 Months Endi'!AXO2</f>
        <v>0</v>
      </c>
      <c r="AXQ3">
        <f>'[12]Summary Report - 12 Months Endi'!AXP2</f>
        <v>0</v>
      </c>
      <c r="AXR3">
        <f>'[12]Summary Report - 12 Months Endi'!AXQ2</f>
        <v>0</v>
      </c>
      <c r="AXS3">
        <f>'[12]Summary Report - 12 Months Endi'!AXR2</f>
        <v>0</v>
      </c>
      <c r="AXT3">
        <f>'[12]Summary Report - 12 Months Endi'!AXS2</f>
        <v>0</v>
      </c>
      <c r="AXU3">
        <f>'[12]Summary Report - 12 Months Endi'!AXT2</f>
        <v>0</v>
      </c>
      <c r="AXV3">
        <f>'[12]Summary Report - 12 Months Endi'!AXU2</f>
        <v>0</v>
      </c>
      <c r="AXW3">
        <f>'[12]Summary Report - 12 Months Endi'!AXV2</f>
        <v>0</v>
      </c>
      <c r="AXX3">
        <f>'[12]Summary Report - 12 Months Endi'!AXW2</f>
        <v>0</v>
      </c>
      <c r="AXY3">
        <f>'[12]Summary Report - 12 Months Endi'!AXX2</f>
        <v>0</v>
      </c>
      <c r="AXZ3">
        <f>'[12]Summary Report - 12 Months Endi'!AXY2</f>
        <v>0</v>
      </c>
      <c r="AYA3">
        <f>'[12]Summary Report - 12 Months Endi'!AXZ2</f>
        <v>0</v>
      </c>
      <c r="AYB3">
        <f>'[12]Summary Report - 12 Months Endi'!AYA2</f>
        <v>0</v>
      </c>
      <c r="AYC3">
        <f>'[12]Summary Report - 12 Months Endi'!AYB2</f>
        <v>0</v>
      </c>
      <c r="AYD3">
        <f>'[12]Summary Report - 12 Months Endi'!AYC2</f>
        <v>0</v>
      </c>
      <c r="AYE3">
        <f>'[12]Summary Report - 12 Months Endi'!AYD2</f>
        <v>0</v>
      </c>
      <c r="AYF3">
        <f>'[12]Summary Report - 12 Months Endi'!AYE2</f>
        <v>0</v>
      </c>
      <c r="AYG3">
        <f>'[12]Summary Report - 12 Months Endi'!AYF2</f>
        <v>0</v>
      </c>
      <c r="AYH3">
        <f>'[12]Summary Report - 12 Months Endi'!AYG2</f>
        <v>0</v>
      </c>
      <c r="AYI3">
        <f>'[12]Summary Report - 12 Months Endi'!AYH2</f>
        <v>0</v>
      </c>
      <c r="AYJ3">
        <f>'[12]Summary Report - 12 Months Endi'!AYI2</f>
        <v>0</v>
      </c>
      <c r="AYK3">
        <f>'[12]Summary Report - 12 Months Endi'!AYJ2</f>
        <v>0</v>
      </c>
      <c r="AYL3">
        <f>'[12]Summary Report - 12 Months Endi'!AYK2</f>
        <v>0</v>
      </c>
      <c r="AYM3">
        <f>'[12]Summary Report - 12 Months Endi'!AYL2</f>
        <v>0</v>
      </c>
      <c r="AYN3">
        <f>'[12]Summary Report - 12 Months Endi'!AYM2</f>
        <v>0</v>
      </c>
      <c r="AYO3">
        <f>'[12]Summary Report - 12 Months Endi'!AYN2</f>
        <v>0</v>
      </c>
      <c r="AYP3">
        <f>'[12]Summary Report - 12 Months Endi'!AYO2</f>
        <v>0</v>
      </c>
      <c r="AYQ3">
        <f>'[12]Summary Report - 12 Months Endi'!AYP2</f>
        <v>0</v>
      </c>
      <c r="AYR3">
        <f>'[12]Summary Report - 12 Months Endi'!AYQ2</f>
        <v>0</v>
      </c>
      <c r="AYS3">
        <f>'[12]Summary Report - 12 Months Endi'!AYR2</f>
        <v>0</v>
      </c>
      <c r="AYT3">
        <f>'[12]Summary Report - 12 Months Endi'!AYS2</f>
        <v>0</v>
      </c>
      <c r="AYU3">
        <f>'[12]Summary Report - 12 Months Endi'!AYT2</f>
        <v>0</v>
      </c>
      <c r="AYV3">
        <f>'[12]Summary Report - 12 Months Endi'!AYU2</f>
        <v>0</v>
      </c>
      <c r="AYW3">
        <f>'[12]Summary Report - 12 Months Endi'!AYV2</f>
        <v>0</v>
      </c>
      <c r="AYX3">
        <f>'[12]Summary Report - 12 Months Endi'!AYW2</f>
        <v>0</v>
      </c>
      <c r="AYY3">
        <f>'[12]Summary Report - 12 Months Endi'!AYX2</f>
        <v>0</v>
      </c>
      <c r="AYZ3">
        <f>'[12]Summary Report - 12 Months Endi'!AYY2</f>
        <v>0</v>
      </c>
      <c r="AZA3">
        <f>'[12]Summary Report - 12 Months Endi'!AYZ2</f>
        <v>0</v>
      </c>
      <c r="AZB3">
        <f>'[12]Summary Report - 12 Months Endi'!AZA2</f>
        <v>0</v>
      </c>
      <c r="AZC3">
        <f>'[12]Summary Report - 12 Months Endi'!AZB2</f>
        <v>0</v>
      </c>
      <c r="AZD3">
        <f>'[12]Summary Report - 12 Months Endi'!AZC2</f>
        <v>0</v>
      </c>
      <c r="AZE3">
        <f>'[12]Summary Report - 12 Months Endi'!AZD2</f>
        <v>0</v>
      </c>
      <c r="AZF3">
        <f>'[12]Summary Report - 12 Months Endi'!AZE2</f>
        <v>0</v>
      </c>
      <c r="AZG3">
        <f>'[12]Summary Report - 12 Months Endi'!AZF2</f>
        <v>0</v>
      </c>
      <c r="AZH3">
        <f>'[12]Summary Report - 12 Months Endi'!AZG2</f>
        <v>0</v>
      </c>
      <c r="AZI3">
        <f>'[12]Summary Report - 12 Months Endi'!AZH2</f>
        <v>0</v>
      </c>
      <c r="AZJ3">
        <f>'[12]Summary Report - 12 Months Endi'!AZI2</f>
        <v>0</v>
      </c>
      <c r="AZK3">
        <f>'[12]Summary Report - 12 Months Endi'!AZJ2</f>
        <v>0</v>
      </c>
      <c r="AZL3">
        <f>'[12]Summary Report - 12 Months Endi'!AZK2</f>
        <v>0</v>
      </c>
      <c r="AZM3">
        <f>'[12]Summary Report - 12 Months Endi'!AZL2</f>
        <v>0</v>
      </c>
      <c r="AZN3">
        <f>'[12]Summary Report - 12 Months Endi'!AZM2</f>
        <v>0</v>
      </c>
      <c r="AZO3">
        <f>'[12]Summary Report - 12 Months Endi'!AZN2</f>
        <v>0</v>
      </c>
      <c r="AZP3">
        <f>'[12]Summary Report - 12 Months Endi'!AZO2</f>
        <v>0</v>
      </c>
      <c r="AZQ3">
        <f>'[12]Summary Report - 12 Months Endi'!AZP2</f>
        <v>0</v>
      </c>
      <c r="AZR3">
        <f>'[12]Summary Report - 12 Months Endi'!AZQ2</f>
        <v>0</v>
      </c>
      <c r="AZS3">
        <f>'[12]Summary Report - 12 Months Endi'!AZR2</f>
        <v>0</v>
      </c>
      <c r="AZT3">
        <f>'[12]Summary Report - 12 Months Endi'!AZS2</f>
        <v>0</v>
      </c>
      <c r="AZU3">
        <f>'[12]Summary Report - 12 Months Endi'!AZT2</f>
        <v>0</v>
      </c>
      <c r="AZV3">
        <f>'[12]Summary Report - 12 Months Endi'!AZU2</f>
        <v>0</v>
      </c>
      <c r="AZW3">
        <f>'[12]Summary Report - 12 Months Endi'!AZV2</f>
        <v>0</v>
      </c>
      <c r="AZX3">
        <f>'[12]Summary Report - 12 Months Endi'!AZW2</f>
        <v>0</v>
      </c>
      <c r="AZY3">
        <f>'[12]Summary Report - 12 Months Endi'!AZX2</f>
        <v>0</v>
      </c>
      <c r="AZZ3">
        <f>'[12]Summary Report - 12 Months Endi'!AZY2</f>
        <v>0</v>
      </c>
      <c r="BAA3">
        <f>'[12]Summary Report - 12 Months Endi'!AZZ2</f>
        <v>0</v>
      </c>
      <c r="BAB3">
        <f>'[12]Summary Report - 12 Months Endi'!BAA2</f>
        <v>0</v>
      </c>
      <c r="BAC3">
        <f>'[12]Summary Report - 12 Months Endi'!BAB2</f>
        <v>0</v>
      </c>
      <c r="BAD3">
        <f>'[12]Summary Report - 12 Months Endi'!BAC2</f>
        <v>0</v>
      </c>
      <c r="BAE3">
        <f>'[12]Summary Report - 12 Months Endi'!BAD2</f>
        <v>0</v>
      </c>
      <c r="BAF3">
        <f>'[12]Summary Report - 12 Months Endi'!BAE2</f>
        <v>0</v>
      </c>
      <c r="BAG3">
        <f>'[12]Summary Report - 12 Months Endi'!BAF2</f>
        <v>0</v>
      </c>
      <c r="BAH3">
        <f>'[12]Summary Report - 12 Months Endi'!BAG2</f>
        <v>0</v>
      </c>
      <c r="BAI3">
        <f>'[12]Summary Report - 12 Months Endi'!BAH2</f>
        <v>0</v>
      </c>
      <c r="BAJ3">
        <f>'[12]Summary Report - 12 Months Endi'!BAI2</f>
        <v>0</v>
      </c>
      <c r="BAK3">
        <f>'[12]Summary Report - 12 Months Endi'!BAJ2</f>
        <v>0</v>
      </c>
      <c r="BAL3">
        <f>'[12]Summary Report - 12 Months Endi'!BAK2</f>
        <v>0</v>
      </c>
      <c r="BAM3">
        <f>'[12]Summary Report - 12 Months Endi'!BAL2</f>
        <v>0</v>
      </c>
      <c r="BAN3">
        <f>'[12]Summary Report - 12 Months Endi'!BAM2</f>
        <v>0</v>
      </c>
      <c r="BAO3">
        <f>'[12]Summary Report - 12 Months Endi'!BAN2</f>
        <v>0</v>
      </c>
      <c r="BAP3">
        <f>'[12]Summary Report - 12 Months Endi'!BAO2</f>
        <v>0</v>
      </c>
      <c r="BAQ3">
        <f>'[12]Summary Report - 12 Months Endi'!BAP2</f>
        <v>0</v>
      </c>
      <c r="BAR3">
        <f>'[12]Summary Report - 12 Months Endi'!BAQ2</f>
        <v>0</v>
      </c>
      <c r="BAS3">
        <f>'[12]Summary Report - 12 Months Endi'!BAR2</f>
        <v>0</v>
      </c>
      <c r="BAT3">
        <f>'[12]Summary Report - 12 Months Endi'!BAS2</f>
        <v>0</v>
      </c>
      <c r="BAU3">
        <f>'[12]Summary Report - 12 Months Endi'!BAT2</f>
        <v>0</v>
      </c>
      <c r="BAV3">
        <f>'[12]Summary Report - 12 Months Endi'!BAU2</f>
        <v>0</v>
      </c>
      <c r="BAW3">
        <f>'[12]Summary Report - 12 Months Endi'!BAV2</f>
        <v>0</v>
      </c>
      <c r="BAX3">
        <f>'[12]Summary Report - 12 Months Endi'!BAW2</f>
        <v>0</v>
      </c>
      <c r="BAY3">
        <f>'[12]Summary Report - 12 Months Endi'!BAX2</f>
        <v>0</v>
      </c>
      <c r="BAZ3">
        <f>'[12]Summary Report - 12 Months Endi'!BAY2</f>
        <v>0</v>
      </c>
      <c r="BBA3">
        <f>'[12]Summary Report - 12 Months Endi'!BAZ2</f>
        <v>0</v>
      </c>
      <c r="BBB3">
        <f>'[12]Summary Report - 12 Months Endi'!BBA2</f>
        <v>0</v>
      </c>
      <c r="BBC3">
        <f>'[12]Summary Report - 12 Months Endi'!BBB2</f>
        <v>0</v>
      </c>
      <c r="BBD3">
        <f>'[12]Summary Report - 12 Months Endi'!BBC2</f>
        <v>0</v>
      </c>
      <c r="BBE3">
        <f>'[12]Summary Report - 12 Months Endi'!BBD2</f>
        <v>0</v>
      </c>
      <c r="BBF3">
        <f>'[12]Summary Report - 12 Months Endi'!BBE2</f>
        <v>0</v>
      </c>
      <c r="BBG3">
        <f>'[12]Summary Report - 12 Months Endi'!BBF2</f>
        <v>0</v>
      </c>
      <c r="BBH3">
        <f>'[12]Summary Report - 12 Months Endi'!BBG2</f>
        <v>0</v>
      </c>
      <c r="BBI3">
        <f>'[12]Summary Report - 12 Months Endi'!BBH2</f>
        <v>0</v>
      </c>
      <c r="BBJ3">
        <f>'[12]Summary Report - 12 Months Endi'!BBI2</f>
        <v>0</v>
      </c>
      <c r="BBK3">
        <f>'[12]Summary Report - 12 Months Endi'!BBJ2</f>
        <v>0</v>
      </c>
      <c r="BBL3">
        <f>'[12]Summary Report - 12 Months Endi'!BBK2</f>
        <v>0</v>
      </c>
      <c r="BBM3">
        <f>'[12]Summary Report - 12 Months Endi'!BBL2</f>
        <v>0</v>
      </c>
      <c r="BBN3">
        <f>'[12]Summary Report - 12 Months Endi'!BBM2</f>
        <v>0</v>
      </c>
      <c r="BBO3">
        <f>'[12]Summary Report - 12 Months Endi'!BBN2</f>
        <v>0</v>
      </c>
      <c r="BBP3">
        <f>'[12]Summary Report - 12 Months Endi'!BBO2</f>
        <v>0</v>
      </c>
      <c r="BBQ3">
        <f>'[12]Summary Report - 12 Months Endi'!BBP2</f>
        <v>0</v>
      </c>
      <c r="BBR3">
        <f>'[12]Summary Report - 12 Months Endi'!BBQ2</f>
        <v>0</v>
      </c>
      <c r="BBS3">
        <f>'[12]Summary Report - 12 Months Endi'!BBR2</f>
        <v>0</v>
      </c>
      <c r="BBT3">
        <f>'[12]Summary Report - 12 Months Endi'!BBS2</f>
        <v>0</v>
      </c>
      <c r="BBU3">
        <f>'[12]Summary Report - 12 Months Endi'!BBT2</f>
        <v>0</v>
      </c>
      <c r="BBV3">
        <f>'[12]Summary Report - 12 Months Endi'!BBU2</f>
        <v>0</v>
      </c>
      <c r="BBW3">
        <f>'[12]Summary Report - 12 Months Endi'!BBV2</f>
        <v>0</v>
      </c>
      <c r="BBX3">
        <f>'[12]Summary Report - 12 Months Endi'!BBW2</f>
        <v>0</v>
      </c>
      <c r="BBY3">
        <f>'[12]Summary Report - 12 Months Endi'!BBX2</f>
        <v>0</v>
      </c>
      <c r="BBZ3">
        <f>'[12]Summary Report - 12 Months Endi'!BBY2</f>
        <v>0</v>
      </c>
      <c r="BCA3">
        <f>'[12]Summary Report - 12 Months Endi'!BBZ2</f>
        <v>0</v>
      </c>
      <c r="BCB3">
        <f>'[12]Summary Report - 12 Months Endi'!BCA2</f>
        <v>0</v>
      </c>
      <c r="BCC3">
        <f>'[12]Summary Report - 12 Months Endi'!BCB2</f>
        <v>0</v>
      </c>
      <c r="BCD3">
        <f>'[12]Summary Report - 12 Months Endi'!BCC2</f>
        <v>0</v>
      </c>
      <c r="BCE3">
        <f>'[12]Summary Report - 12 Months Endi'!BCD2</f>
        <v>0</v>
      </c>
      <c r="BCF3">
        <f>'[12]Summary Report - 12 Months Endi'!BCE2</f>
        <v>0</v>
      </c>
      <c r="BCG3">
        <f>'[12]Summary Report - 12 Months Endi'!BCF2</f>
        <v>0</v>
      </c>
      <c r="BCH3">
        <f>'[12]Summary Report - 12 Months Endi'!BCG2</f>
        <v>0</v>
      </c>
      <c r="BCI3">
        <f>'[12]Summary Report - 12 Months Endi'!BCH2</f>
        <v>0</v>
      </c>
      <c r="BCJ3">
        <f>'[12]Summary Report - 12 Months Endi'!BCI2</f>
        <v>0</v>
      </c>
      <c r="BCK3">
        <f>'[12]Summary Report - 12 Months Endi'!BCJ2</f>
        <v>0</v>
      </c>
      <c r="BCL3">
        <f>'[12]Summary Report - 12 Months Endi'!BCK2</f>
        <v>0</v>
      </c>
      <c r="BCM3">
        <f>'[12]Summary Report - 12 Months Endi'!BCL2</f>
        <v>0</v>
      </c>
      <c r="BCN3">
        <f>'[12]Summary Report - 12 Months Endi'!BCM2</f>
        <v>0</v>
      </c>
      <c r="BCO3">
        <f>'[12]Summary Report - 12 Months Endi'!BCN2</f>
        <v>0</v>
      </c>
      <c r="BCP3">
        <f>'[12]Summary Report - 12 Months Endi'!BCO2</f>
        <v>0</v>
      </c>
      <c r="BCQ3">
        <f>'[12]Summary Report - 12 Months Endi'!BCP2</f>
        <v>0</v>
      </c>
      <c r="BCR3">
        <f>'[12]Summary Report - 12 Months Endi'!BCQ2</f>
        <v>0</v>
      </c>
      <c r="BCS3">
        <f>'[12]Summary Report - 12 Months Endi'!BCR2</f>
        <v>0</v>
      </c>
      <c r="BCT3">
        <f>'[12]Summary Report - 12 Months Endi'!BCS2</f>
        <v>0</v>
      </c>
      <c r="BCU3">
        <f>'[12]Summary Report - 12 Months Endi'!BCT2</f>
        <v>0</v>
      </c>
      <c r="BCV3">
        <f>'[12]Summary Report - 12 Months Endi'!BCU2</f>
        <v>0</v>
      </c>
      <c r="BCW3">
        <f>'[12]Summary Report - 12 Months Endi'!BCV2</f>
        <v>0</v>
      </c>
      <c r="BCX3">
        <f>'[12]Summary Report - 12 Months Endi'!BCW2</f>
        <v>0</v>
      </c>
      <c r="BCY3">
        <f>'[12]Summary Report - 12 Months Endi'!BCX2</f>
        <v>0</v>
      </c>
      <c r="BCZ3">
        <f>'[12]Summary Report - 12 Months Endi'!BCY2</f>
        <v>0</v>
      </c>
      <c r="BDA3">
        <f>'[12]Summary Report - 12 Months Endi'!BCZ2</f>
        <v>0</v>
      </c>
      <c r="BDB3">
        <f>'[12]Summary Report - 12 Months Endi'!BDA2</f>
        <v>0</v>
      </c>
      <c r="BDC3">
        <f>'[12]Summary Report - 12 Months Endi'!BDB2</f>
        <v>0</v>
      </c>
      <c r="BDD3">
        <f>'[12]Summary Report - 12 Months Endi'!BDC2</f>
        <v>0</v>
      </c>
      <c r="BDE3">
        <f>'[12]Summary Report - 12 Months Endi'!BDD2</f>
        <v>0</v>
      </c>
      <c r="BDF3">
        <f>'[12]Summary Report - 12 Months Endi'!BDE2</f>
        <v>0</v>
      </c>
      <c r="BDG3">
        <f>'[12]Summary Report - 12 Months Endi'!BDF2</f>
        <v>0</v>
      </c>
      <c r="BDH3">
        <f>'[12]Summary Report - 12 Months Endi'!BDG2</f>
        <v>0</v>
      </c>
      <c r="BDI3">
        <f>'[12]Summary Report - 12 Months Endi'!BDH2</f>
        <v>0</v>
      </c>
      <c r="BDJ3">
        <f>'[12]Summary Report - 12 Months Endi'!BDI2</f>
        <v>0</v>
      </c>
      <c r="BDK3">
        <f>'[12]Summary Report - 12 Months Endi'!BDJ2</f>
        <v>0</v>
      </c>
      <c r="BDL3">
        <f>'[12]Summary Report - 12 Months Endi'!BDK2</f>
        <v>0</v>
      </c>
      <c r="BDM3">
        <f>'[12]Summary Report - 12 Months Endi'!BDL2</f>
        <v>0</v>
      </c>
      <c r="BDN3">
        <f>'[12]Summary Report - 12 Months Endi'!BDM2</f>
        <v>0</v>
      </c>
      <c r="BDO3">
        <f>'[12]Summary Report - 12 Months Endi'!BDN2</f>
        <v>0</v>
      </c>
      <c r="BDP3">
        <f>'[12]Summary Report - 12 Months Endi'!BDO2</f>
        <v>0</v>
      </c>
      <c r="BDQ3">
        <f>'[12]Summary Report - 12 Months Endi'!BDP2</f>
        <v>0</v>
      </c>
      <c r="BDR3">
        <f>'[12]Summary Report - 12 Months Endi'!BDQ2</f>
        <v>0</v>
      </c>
      <c r="BDS3">
        <f>'[12]Summary Report - 12 Months Endi'!BDR2</f>
        <v>0</v>
      </c>
      <c r="BDT3">
        <f>'[12]Summary Report - 12 Months Endi'!BDS2</f>
        <v>0</v>
      </c>
      <c r="BDU3">
        <f>'[12]Summary Report - 12 Months Endi'!BDT2</f>
        <v>0</v>
      </c>
      <c r="BDV3">
        <f>'[12]Summary Report - 12 Months Endi'!BDU2</f>
        <v>0</v>
      </c>
      <c r="BDW3">
        <f>'[12]Summary Report - 12 Months Endi'!BDV2</f>
        <v>0</v>
      </c>
      <c r="BDX3">
        <f>'[12]Summary Report - 12 Months Endi'!BDW2</f>
        <v>0</v>
      </c>
      <c r="BDY3">
        <f>'[12]Summary Report - 12 Months Endi'!BDX2</f>
        <v>0</v>
      </c>
      <c r="BDZ3">
        <f>'[12]Summary Report - 12 Months Endi'!BDY2</f>
        <v>0</v>
      </c>
      <c r="BEA3">
        <f>'[12]Summary Report - 12 Months Endi'!BDZ2</f>
        <v>0</v>
      </c>
      <c r="BEB3">
        <f>'[12]Summary Report - 12 Months Endi'!BEA2</f>
        <v>0</v>
      </c>
      <c r="BEC3">
        <f>'[12]Summary Report - 12 Months Endi'!BEB2</f>
        <v>0</v>
      </c>
      <c r="BED3">
        <f>'[12]Summary Report - 12 Months Endi'!BEC2</f>
        <v>0</v>
      </c>
      <c r="BEE3">
        <f>'[12]Summary Report - 12 Months Endi'!BED2</f>
        <v>0</v>
      </c>
      <c r="BEF3">
        <f>'[12]Summary Report - 12 Months Endi'!BEE2</f>
        <v>0</v>
      </c>
      <c r="BEG3">
        <f>'[12]Summary Report - 12 Months Endi'!BEF2</f>
        <v>0</v>
      </c>
      <c r="BEH3">
        <f>'[12]Summary Report - 12 Months Endi'!BEG2</f>
        <v>0</v>
      </c>
      <c r="BEI3">
        <f>'[12]Summary Report - 12 Months Endi'!BEH2</f>
        <v>0</v>
      </c>
      <c r="BEJ3">
        <f>'[12]Summary Report - 12 Months Endi'!BEI2</f>
        <v>0</v>
      </c>
      <c r="BEK3">
        <f>'[12]Summary Report - 12 Months Endi'!BEJ2</f>
        <v>0</v>
      </c>
      <c r="BEL3">
        <f>'[12]Summary Report - 12 Months Endi'!BEK2</f>
        <v>0</v>
      </c>
      <c r="BEM3">
        <f>'[12]Summary Report - 12 Months Endi'!BEL2</f>
        <v>0</v>
      </c>
      <c r="BEN3">
        <f>'[12]Summary Report - 12 Months Endi'!BEM2</f>
        <v>0</v>
      </c>
      <c r="BEO3">
        <f>'[12]Summary Report - 12 Months Endi'!BEN2</f>
        <v>0</v>
      </c>
      <c r="BEP3">
        <f>'[12]Summary Report - 12 Months Endi'!BEO2</f>
        <v>0</v>
      </c>
      <c r="BEQ3">
        <f>'[12]Summary Report - 12 Months Endi'!BEP2</f>
        <v>0</v>
      </c>
      <c r="BER3">
        <f>'[12]Summary Report - 12 Months Endi'!BEQ2</f>
        <v>0</v>
      </c>
      <c r="BES3">
        <f>'[12]Summary Report - 12 Months Endi'!BER2</f>
        <v>0</v>
      </c>
      <c r="BET3">
        <f>'[12]Summary Report - 12 Months Endi'!BES2</f>
        <v>0</v>
      </c>
      <c r="BEU3">
        <f>'[12]Summary Report - 12 Months Endi'!BET2</f>
        <v>0</v>
      </c>
      <c r="BEV3">
        <f>'[12]Summary Report - 12 Months Endi'!BEU2</f>
        <v>0</v>
      </c>
      <c r="BEW3">
        <f>'[12]Summary Report - 12 Months Endi'!BEV2</f>
        <v>0</v>
      </c>
      <c r="BEX3">
        <f>'[12]Summary Report - 12 Months Endi'!BEW2</f>
        <v>0</v>
      </c>
      <c r="BEY3">
        <f>'[12]Summary Report - 12 Months Endi'!BEX2</f>
        <v>0</v>
      </c>
      <c r="BEZ3">
        <f>'[12]Summary Report - 12 Months Endi'!BEY2</f>
        <v>0</v>
      </c>
      <c r="BFA3">
        <f>'[12]Summary Report - 12 Months Endi'!BEZ2</f>
        <v>0</v>
      </c>
      <c r="BFB3">
        <f>'[12]Summary Report - 12 Months Endi'!BFA2</f>
        <v>0</v>
      </c>
      <c r="BFC3">
        <f>'[12]Summary Report - 12 Months Endi'!BFB2</f>
        <v>0</v>
      </c>
      <c r="BFD3">
        <f>'[12]Summary Report - 12 Months Endi'!BFC2</f>
        <v>0</v>
      </c>
      <c r="BFE3">
        <f>'[12]Summary Report - 12 Months Endi'!BFD2</f>
        <v>0</v>
      </c>
      <c r="BFF3">
        <f>'[12]Summary Report - 12 Months Endi'!BFE2</f>
        <v>0</v>
      </c>
      <c r="BFG3">
        <f>'[12]Summary Report - 12 Months Endi'!BFF2</f>
        <v>0</v>
      </c>
      <c r="BFH3">
        <f>'[12]Summary Report - 12 Months Endi'!BFG2</f>
        <v>0</v>
      </c>
      <c r="BFI3">
        <f>'[12]Summary Report - 12 Months Endi'!BFH2</f>
        <v>0</v>
      </c>
      <c r="BFJ3">
        <f>'[12]Summary Report - 12 Months Endi'!BFI2</f>
        <v>0</v>
      </c>
      <c r="BFK3">
        <f>'[12]Summary Report - 12 Months Endi'!BFJ2</f>
        <v>0</v>
      </c>
      <c r="BFL3">
        <f>'[12]Summary Report - 12 Months Endi'!BFK2</f>
        <v>0</v>
      </c>
      <c r="BFM3">
        <f>'[12]Summary Report - 12 Months Endi'!BFL2</f>
        <v>0</v>
      </c>
      <c r="BFN3">
        <f>'[12]Summary Report - 12 Months Endi'!BFM2</f>
        <v>0</v>
      </c>
      <c r="BFO3">
        <f>'[12]Summary Report - 12 Months Endi'!BFN2</f>
        <v>0</v>
      </c>
      <c r="BFP3">
        <f>'[12]Summary Report - 12 Months Endi'!BFO2</f>
        <v>0</v>
      </c>
      <c r="BFQ3">
        <f>'[12]Summary Report - 12 Months Endi'!BFP2</f>
        <v>0</v>
      </c>
      <c r="BFR3">
        <f>'[12]Summary Report - 12 Months Endi'!BFQ2</f>
        <v>0</v>
      </c>
      <c r="BFS3">
        <f>'[12]Summary Report - 12 Months Endi'!BFR2</f>
        <v>0</v>
      </c>
      <c r="BFT3">
        <f>'[12]Summary Report - 12 Months Endi'!BFS2</f>
        <v>0</v>
      </c>
      <c r="BFU3">
        <f>'[12]Summary Report - 12 Months Endi'!BFT2</f>
        <v>0</v>
      </c>
      <c r="BFV3">
        <f>'[12]Summary Report - 12 Months Endi'!BFU2</f>
        <v>0</v>
      </c>
      <c r="BFW3">
        <f>'[12]Summary Report - 12 Months Endi'!BFV2</f>
        <v>0</v>
      </c>
      <c r="BFX3">
        <f>'[12]Summary Report - 12 Months Endi'!BFW2</f>
        <v>0</v>
      </c>
      <c r="BFY3">
        <f>'[12]Summary Report - 12 Months Endi'!BFX2</f>
        <v>0</v>
      </c>
      <c r="BFZ3">
        <f>'[12]Summary Report - 12 Months Endi'!BFY2</f>
        <v>0</v>
      </c>
      <c r="BGA3">
        <f>'[12]Summary Report - 12 Months Endi'!BFZ2</f>
        <v>0</v>
      </c>
      <c r="BGB3">
        <f>'[12]Summary Report - 12 Months Endi'!BGA2</f>
        <v>0</v>
      </c>
      <c r="BGC3">
        <f>'[12]Summary Report - 12 Months Endi'!BGB2</f>
        <v>0</v>
      </c>
      <c r="BGD3">
        <f>'[12]Summary Report - 12 Months Endi'!BGC2</f>
        <v>0</v>
      </c>
      <c r="BGE3">
        <f>'[12]Summary Report - 12 Months Endi'!BGD2</f>
        <v>0</v>
      </c>
      <c r="BGF3">
        <f>'[12]Summary Report - 12 Months Endi'!BGE2</f>
        <v>0</v>
      </c>
      <c r="BGG3">
        <f>'[12]Summary Report - 12 Months Endi'!BGF2</f>
        <v>0</v>
      </c>
      <c r="BGH3">
        <f>'[12]Summary Report - 12 Months Endi'!BGG2</f>
        <v>0</v>
      </c>
      <c r="BGI3">
        <f>'[12]Summary Report - 12 Months Endi'!BGH2</f>
        <v>0</v>
      </c>
      <c r="BGJ3">
        <f>'[12]Summary Report - 12 Months Endi'!BGI2</f>
        <v>0</v>
      </c>
      <c r="BGK3">
        <f>'[12]Summary Report - 12 Months Endi'!BGJ2</f>
        <v>0</v>
      </c>
      <c r="BGL3">
        <f>'[12]Summary Report - 12 Months Endi'!BGK2</f>
        <v>0</v>
      </c>
      <c r="BGM3">
        <f>'[12]Summary Report - 12 Months Endi'!BGL2</f>
        <v>0</v>
      </c>
      <c r="BGN3">
        <f>'[12]Summary Report - 12 Months Endi'!BGM2</f>
        <v>0</v>
      </c>
      <c r="BGO3">
        <f>'[12]Summary Report - 12 Months Endi'!BGN2</f>
        <v>0</v>
      </c>
      <c r="BGP3">
        <f>'[12]Summary Report - 12 Months Endi'!BGO2</f>
        <v>0</v>
      </c>
      <c r="BGQ3">
        <f>'[12]Summary Report - 12 Months Endi'!BGP2</f>
        <v>0</v>
      </c>
      <c r="BGR3">
        <f>'[12]Summary Report - 12 Months Endi'!BGQ2</f>
        <v>0</v>
      </c>
      <c r="BGS3">
        <f>'[12]Summary Report - 12 Months Endi'!BGR2</f>
        <v>0</v>
      </c>
      <c r="BGT3">
        <f>'[12]Summary Report - 12 Months Endi'!BGS2</f>
        <v>0</v>
      </c>
      <c r="BGU3">
        <f>'[12]Summary Report - 12 Months Endi'!BGT2</f>
        <v>0</v>
      </c>
      <c r="BGV3">
        <f>'[12]Summary Report - 12 Months Endi'!BGU2</f>
        <v>0</v>
      </c>
      <c r="BGW3">
        <f>'[12]Summary Report - 12 Months Endi'!BGV2</f>
        <v>0</v>
      </c>
      <c r="BGX3">
        <f>'[12]Summary Report - 12 Months Endi'!BGW2</f>
        <v>0</v>
      </c>
      <c r="BGY3">
        <f>'[12]Summary Report - 12 Months Endi'!BGX2</f>
        <v>0</v>
      </c>
      <c r="BGZ3">
        <f>'[12]Summary Report - 12 Months Endi'!BGY2</f>
        <v>0</v>
      </c>
      <c r="BHA3">
        <f>'[12]Summary Report - 12 Months Endi'!BGZ2</f>
        <v>0</v>
      </c>
      <c r="BHB3">
        <f>'[12]Summary Report - 12 Months Endi'!BHA2</f>
        <v>0</v>
      </c>
      <c r="BHC3">
        <f>'[12]Summary Report - 12 Months Endi'!BHB2</f>
        <v>0</v>
      </c>
      <c r="BHD3">
        <f>'[12]Summary Report - 12 Months Endi'!BHC2</f>
        <v>0</v>
      </c>
      <c r="BHE3">
        <f>'[12]Summary Report - 12 Months Endi'!BHD2</f>
        <v>0</v>
      </c>
      <c r="BHF3">
        <f>'[12]Summary Report - 12 Months Endi'!BHE2</f>
        <v>0</v>
      </c>
      <c r="BHG3">
        <f>'[12]Summary Report - 12 Months Endi'!BHF2</f>
        <v>0</v>
      </c>
      <c r="BHH3">
        <f>'[12]Summary Report - 12 Months Endi'!BHG2</f>
        <v>0</v>
      </c>
      <c r="BHI3">
        <f>'[12]Summary Report - 12 Months Endi'!BHH2</f>
        <v>0</v>
      </c>
      <c r="BHJ3">
        <f>'[12]Summary Report - 12 Months Endi'!BHI2</f>
        <v>0</v>
      </c>
      <c r="BHK3">
        <f>'[12]Summary Report - 12 Months Endi'!BHJ2</f>
        <v>0</v>
      </c>
      <c r="BHL3">
        <f>'[12]Summary Report - 12 Months Endi'!BHK2</f>
        <v>0</v>
      </c>
      <c r="BHM3">
        <f>'[12]Summary Report - 12 Months Endi'!BHL2</f>
        <v>0</v>
      </c>
      <c r="BHN3">
        <f>'[12]Summary Report - 12 Months Endi'!BHM2</f>
        <v>0</v>
      </c>
      <c r="BHO3">
        <f>'[12]Summary Report - 12 Months Endi'!BHN2</f>
        <v>0</v>
      </c>
      <c r="BHP3">
        <f>'[12]Summary Report - 12 Months Endi'!BHO2</f>
        <v>0</v>
      </c>
      <c r="BHQ3">
        <f>'[12]Summary Report - 12 Months Endi'!BHP2</f>
        <v>0</v>
      </c>
      <c r="BHR3">
        <f>'[12]Summary Report - 12 Months Endi'!BHQ2</f>
        <v>0</v>
      </c>
      <c r="BHS3">
        <f>'[12]Summary Report - 12 Months Endi'!BHR2</f>
        <v>0</v>
      </c>
      <c r="BHT3">
        <f>'[12]Summary Report - 12 Months Endi'!BHS2</f>
        <v>0</v>
      </c>
      <c r="BHU3">
        <f>'[12]Summary Report - 12 Months Endi'!BHT2</f>
        <v>0</v>
      </c>
      <c r="BHV3">
        <f>'[12]Summary Report - 12 Months Endi'!BHU2</f>
        <v>0</v>
      </c>
      <c r="BHW3">
        <f>'[12]Summary Report - 12 Months Endi'!BHV2</f>
        <v>0</v>
      </c>
      <c r="BHX3">
        <f>'[12]Summary Report - 12 Months Endi'!BHW2</f>
        <v>0</v>
      </c>
      <c r="BHY3">
        <f>'[12]Summary Report - 12 Months Endi'!BHX2</f>
        <v>0</v>
      </c>
      <c r="BHZ3">
        <f>'[12]Summary Report - 12 Months Endi'!BHY2</f>
        <v>0</v>
      </c>
      <c r="BIA3">
        <f>'[12]Summary Report - 12 Months Endi'!BHZ2</f>
        <v>0</v>
      </c>
      <c r="BIB3">
        <f>'[12]Summary Report - 12 Months Endi'!BIA2</f>
        <v>0</v>
      </c>
      <c r="BIC3">
        <f>'[12]Summary Report - 12 Months Endi'!BIB2</f>
        <v>0</v>
      </c>
      <c r="BID3">
        <f>'[12]Summary Report - 12 Months Endi'!BIC2</f>
        <v>0</v>
      </c>
      <c r="BIE3">
        <f>'[12]Summary Report - 12 Months Endi'!BID2</f>
        <v>0</v>
      </c>
      <c r="BIF3">
        <f>'[12]Summary Report - 12 Months Endi'!BIE2</f>
        <v>0</v>
      </c>
      <c r="BIG3">
        <f>'[12]Summary Report - 12 Months Endi'!BIF2</f>
        <v>0</v>
      </c>
      <c r="BIH3">
        <f>'[12]Summary Report - 12 Months Endi'!BIG2</f>
        <v>0</v>
      </c>
      <c r="BII3">
        <f>'[12]Summary Report - 12 Months Endi'!BIH2</f>
        <v>0</v>
      </c>
      <c r="BIJ3">
        <f>'[12]Summary Report - 12 Months Endi'!BII2</f>
        <v>0</v>
      </c>
      <c r="BIK3">
        <f>'[12]Summary Report - 12 Months Endi'!BIJ2</f>
        <v>0</v>
      </c>
      <c r="BIL3">
        <f>'[12]Summary Report - 12 Months Endi'!BIK2</f>
        <v>0</v>
      </c>
      <c r="BIM3">
        <f>'[12]Summary Report - 12 Months Endi'!BIL2</f>
        <v>0</v>
      </c>
      <c r="BIN3">
        <f>'[12]Summary Report - 12 Months Endi'!BIM2</f>
        <v>0</v>
      </c>
      <c r="BIO3">
        <f>'[12]Summary Report - 12 Months Endi'!BIN2</f>
        <v>0</v>
      </c>
      <c r="BIP3">
        <f>'[12]Summary Report - 12 Months Endi'!BIO2</f>
        <v>0</v>
      </c>
      <c r="BIQ3">
        <f>'[12]Summary Report - 12 Months Endi'!BIP2</f>
        <v>0</v>
      </c>
      <c r="BIR3">
        <f>'[12]Summary Report - 12 Months Endi'!BIQ2</f>
        <v>0</v>
      </c>
      <c r="BIS3">
        <f>'[12]Summary Report - 12 Months Endi'!BIR2</f>
        <v>0</v>
      </c>
      <c r="BIT3">
        <f>'[12]Summary Report - 12 Months Endi'!BIS2</f>
        <v>0</v>
      </c>
      <c r="BIU3">
        <f>'[12]Summary Report - 12 Months Endi'!BIT2</f>
        <v>0</v>
      </c>
      <c r="BIV3">
        <f>'[12]Summary Report - 12 Months Endi'!BIU2</f>
        <v>0</v>
      </c>
      <c r="BIW3">
        <f>'[12]Summary Report - 12 Months Endi'!BIV2</f>
        <v>0</v>
      </c>
      <c r="BIX3">
        <f>'[12]Summary Report - 12 Months Endi'!BIW2</f>
        <v>0</v>
      </c>
      <c r="BIY3">
        <f>'[12]Summary Report - 12 Months Endi'!BIX2</f>
        <v>0</v>
      </c>
      <c r="BIZ3">
        <f>'[12]Summary Report - 12 Months Endi'!BIY2</f>
        <v>0</v>
      </c>
      <c r="BJA3">
        <f>'[12]Summary Report - 12 Months Endi'!BIZ2</f>
        <v>0</v>
      </c>
      <c r="BJB3">
        <f>'[12]Summary Report - 12 Months Endi'!BJA2</f>
        <v>0</v>
      </c>
      <c r="BJC3">
        <f>'[12]Summary Report - 12 Months Endi'!BJB2</f>
        <v>0</v>
      </c>
      <c r="BJD3">
        <f>'[12]Summary Report - 12 Months Endi'!BJC2</f>
        <v>0</v>
      </c>
      <c r="BJE3">
        <f>'[12]Summary Report - 12 Months Endi'!BJD2</f>
        <v>0</v>
      </c>
      <c r="BJF3">
        <f>'[12]Summary Report - 12 Months Endi'!BJE2</f>
        <v>0</v>
      </c>
      <c r="BJG3">
        <f>'[12]Summary Report - 12 Months Endi'!BJF2</f>
        <v>0</v>
      </c>
      <c r="BJH3">
        <f>'[12]Summary Report - 12 Months Endi'!BJG2</f>
        <v>0</v>
      </c>
      <c r="BJI3">
        <f>'[12]Summary Report - 12 Months Endi'!BJH2</f>
        <v>0</v>
      </c>
      <c r="BJJ3">
        <f>'[12]Summary Report - 12 Months Endi'!BJI2</f>
        <v>0</v>
      </c>
      <c r="BJK3">
        <f>'[12]Summary Report - 12 Months Endi'!BJJ2</f>
        <v>0</v>
      </c>
      <c r="BJL3">
        <f>'[12]Summary Report - 12 Months Endi'!BJK2</f>
        <v>0</v>
      </c>
      <c r="BJM3">
        <f>'[12]Summary Report - 12 Months Endi'!BJL2</f>
        <v>0</v>
      </c>
      <c r="BJN3">
        <f>'[12]Summary Report - 12 Months Endi'!BJM2</f>
        <v>0</v>
      </c>
      <c r="BJO3">
        <f>'[12]Summary Report - 12 Months Endi'!BJN2</f>
        <v>0</v>
      </c>
      <c r="BJP3">
        <f>'[12]Summary Report - 12 Months Endi'!BJO2</f>
        <v>0</v>
      </c>
      <c r="BJQ3">
        <f>'[12]Summary Report - 12 Months Endi'!BJP2</f>
        <v>0</v>
      </c>
      <c r="BJR3">
        <f>'[12]Summary Report - 12 Months Endi'!BJQ2</f>
        <v>0</v>
      </c>
      <c r="BJS3">
        <f>'[12]Summary Report - 12 Months Endi'!BJR2</f>
        <v>0</v>
      </c>
      <c r="BJT3">
        <f>'[12]Summary Report - 12 Months Endi'!BJS2</f>
        <v>0</v>
      </c>
      <c r="BJU3">
        <f>'[12]Summary Report - 12 Months Endi'!BJT2</f>
        <v>0</v>
      </c>
      <c r="BJV3">
        <f>'[12]Summary Report - 12 Months Endi'!BJU2</f>
        <v>0</v>
      </c>
      <c r="BJW3">
        <f>'[12]Summary Report - 12 Months Endi'!BJV2</f>
        <v>0</v>
      </c>
      <c r="BJX3">
        <f>'[12]Summary Report - 12 Months Endi'!BJW2</f>
        <v>0</v>
      </c>
      <c r="BJY3">
        <f>'[12]Summary Report - 12 Months Endi'!BJX2</f>
        <v>0</v>
      </c>
      <c r="BJZ3">
        <f>'[12]Summary Report - 12 Months Endi'!BJY2</f>
        <v>0</v>
      </c>
      <c r="BKA3">
        <f>'[12]Summary Report - 12 Months Endi'!BJZ2</f>
        <v>0</v>
      </c>
      <c r="BKB3">
        <f>'[12]Summary Report - 12 Months Endi'!BKA2</f>
        <v>0</v>
      </c>
      <c r="BKC3">
        <f>'[12]Summary Report - 12 Months Endi'!BKB2</f>
        <v>0</v>
      </c>
      <c r="BKD3">
        <f>'[12]Summary Report - 12 Months Endi'!BKC2</f>
        <v>0</v>
      </c>
      <c r="BKE3">
        <f>'[12]Summary Report - 12 Months Endi'!BKD2</f>
        <v>0</v>
      </c>
      <c r="BKF3">
        <f>'[12]Summary Report - 12 Months Endi'!BKE2</f>
        <v>0</v>
      </c>
      <c r="BKG3">
        <f>'[12]Summary Report - 12 Months Endi'!BKF2</f>
        <v>0</v>
      </c>
      <c r="BKH3">
        <f>'[12]Summary Report - 12 Months Endi'!BKG2</f>
        <v>0</v>
      </c>
      <c r="BKI3">
        <f>'[12]Summary Report - 12 Months Endi'!BKH2</f>
        <v>0</v>
      </c>
      <c r="BKJ3">
        <f>'[12]Summary Report - 12 Months Endi'!BKI2</f>
        <v>0</v>
      </c>
      <c r="BKK3">
        <f>'[12]Summary Report - 12 Months Endi'!BKJ2</f>
        <v>0</v>
      </c>
      <c r="BKL3">
        <f>'[12]Summary Report - 12 Months Endi'!BKK2</f>
        <v>0</v>
      </c>
      <c r="BKM3">
        <f>'[12]Summary Report - 12 Months Endi'!BKL2</f>
        <v>0</v>
      </c>
      <c r="BKN3">
        <f>'[12]Summary Report - 12 Months Endi'!BKM2</f>
        <v>0</v>
      </c>
      <c r="BKO3">
        <f>'[12]Summary Report - 12 Months Endi'!BKN2</f>
        <v>0</v>
      </c>
      <c r="BKP3">
        <f>'[12]Summary Report - 12 Months Endi'!BKO2</f>
        <v>0</v>
      </c>
      <c r="BKQ3">
        <f>'[12]Summary Report - 12 Months Endi'!BKP2</f>
        <v>0</v>
      </c>
      <c r="BKR3">
        <f>'[12]Summary Report - 12 Months Endi'!BKQ2</f>
        <v>0</v>
      </c>
      <c r="BKS3">
        <f>'[12]Summary Report - 12 Months Endi'!BKR2</f>
        <v>0</v>
      </c>
      <c r="BKT3">
        <f>'[12]Summary Report - 12 Months Endi'!BKS2</f>
        <v>0</v>
      </c>
      <c r="BKU3">
        <f>'[12]Summary Report - 12 Months Endi'!BKT2</f>
        <v>0</v>
      </c>
      <c r="BKV3">
        <f>'[12]Summary Report - 12 Months Endi'!BKU2</f>
        <v>0</v>
      </c>
      <c r="BKW3">
        <f>'[12]Summary Report - 12 Months Endi'!BKV2</f>
        <v>0</v>
      </c>
      <c r="BKX3">
        <f>'[12]Summary Report - 12 Months Endi'!BKW2</f>
        <v>0</v>
      </c>
      <c r="BKY3">
        <f>'[12]Summary Report - 12 Months Endi'!BKX2</f>
        <v>0</v>
      </c>
      <c r="BKZ3">
        <f>'[12]Summary Report - 12 Months Endi'!BKY2</f>
        <v>0</v>
      </c>
      <c r="BLA3">
        <f>'[12]Summary Report - 12 Months Endi'!BKZ2</f>
        <v>0</v>
      </c>
      <c r="BLB3">
        <f>'[12]Summary Report - 12 Months Endi'!BLA2</f>
        <v>0</v>
      </c>
      <c r="BLC3">
        <f>'[12]Summary Report - 12 Months Endi'!BLB2</f>
        <v>0</v>
      </c>
      <c r="BLD3">
        <f>'[12]Summary Report - 12 Months Endi'!BLC2</f>
        <v>0</v>
      </c>
      <c r="BLE3">
        <f>'[12]Summary Report - 12 Months Endi'!BLD2</f>
        <v>0</v>
      </c>
      <c r="BLF3">
        <f>'[12]Summary Report - 12 Months Endi'!BLE2</f>
        <v>0</v>
      </c>
      <c r="BLG3">
        <f>'[12]Summary Report - 12 Months Endi'!BLF2</f>
        <v>0</v>
      </c>
      <c r="BLH3">
        <f>'[12]Summary Report - 12 Months Endi'!BLG2</f>
        <v>0</v>
      </c>
      <c r="BLI3">
        <f>'[12]Summary Report - 12 Months Endi'!BLH2</f>
        <v>0</v>
      </c>
      <c r="BLJ3">
        <f>'[12]Summary Report - 12 Months Endi'!BLI2</f>
        <v>0</v>
      </c>
      <c r="BLK3">
        <f>'[12]Summary Report - 12 Months Endi'!BLJ2</f>
        <v>0</v>
      </c>
      <c r="BLL3">
        <f>'[12]Summary Report - 12 Months Endi'!BLK2</f>
        <v>0</v>
      </c>
      <c r="BLM3">
        <f>'[12]Summary Report - 12 Months Endi'!BLL2</f>
        <v>0</v>
      </c>
      <c r="BLN3">
        <f>'[12]Summary Report - 12 Months Endi'!BLM2</f>
        <v>0</v>
      </c>
      <c r="BLO3">
        <f>'[12]Summary Report - 12 Months Endi'!BLN2</f>
        <v>0</v>
      </c>
      <c r="BLP3">
        <f>'[12]Summary Report - 12 Months Endi'!BLO2</f>
        <v>0</v>
      </c>
      <c r="BLQ3">
        <f>'[12]Summary Report - 12 Months Endi'!BLP2</f>
        <v>0</v>
      </c>
      <c r="BLR3">
        <f>'[12]Summary Report - 12 Months Endi'!BLQ2</f>
        <v>0</v>
      </c>
      <c r="BLS3">
        <f>'[12]Summary Report - 12 Months Endi'!BLR2</f>
        <v>0</v>
      </c>
      <c r="BLT3">
        <f>'[12]Summary Report - 12 Months Endi'!BLS2</f>
        <v>0</v>
      </c>
      <c r="BLU3">
        <f>'[12]Summary Report - 12 Months Endi'!BLT2</f>
        <v>0</v>
      </c>
      <c r="BLV3">
        <f>'[12]Summary Report - 12 Months Endi'!BLU2</f>
        <v>0</v>
      </c>
      <c r="BLW3">
        <f>'[12]Summary Report - 12 Months Endi'!BLV2</f>
        <v>0</v>
      </c>
      <c r="BLX3">
        <f>'[12]Summary Report - 12 Months Endi'!BLW2</f>
        <v>0</v>
      </c>
      <c r="BLY3">
        <f>'[12]Summary Report - 12 Months Endi'!BLX2</f>
        <v>0</v>
      </c>
      <c r="BLZ3">
        <f>'[12]Summary Report - 12 Months Endi'!BLY2</f>
        <v>0</v>
      </c>
      <c r="BMA3">
        <f>'[12]Summary Report - 12 Months Endi'!BLZ2</f>
        <v>0</v>
      </c>
      <c r="BMB3">
        <f>'[12]Summary Report - 12 Months Endi'!BMA2</f>
        <v>0</v>
      </c>
      <c r="BMC3">
        <f>'[12]Summary Report - 12 Months Endi'!BMB2</f>
        <v>0</v>
      </c>
      <c r="BMD3">
        <f>'[12]Summary Report - 12 Months Endi'!BMC2</f>
        <v>0</v>
      </c>
      <c r="BME3">
        <f>'[12]Summary Report - 12 Months Endi'!BMD2</f>
        <v>0</v>
      </c>
      <c r="BMF3">
        <f>'[12]Summary Report - 12 Months Endi'!BME2</f>
        <v>0</v>
      </c>
      <c r="BMG3">
        <f>'[12]Summary Report - 12 Months Endi'!BMF2</f>
        <v>0</v>
      </c>
      <c r="BMH3">
        <f>'[12]Summary Report - 12 Months Endi'!BMG2</f>
        <v>0</v>
      </c>
      <c r="BMI3">
        <f>'[12]Summary Report - 12 Months Endi'!BMH2</f>
        <v>0</v>
      </c>
      <c r="BMJ3">
        <f>'[12]Summary Report - 12 Months Endi'!BMI2</f>
        <v>0</v>
      </c>
      <c r="BMK3">
        <f>'[12]Summary Report - 12 Months Endi'!BMJ2</f>
        <v>0</v>
      </c>
      <c r="BML3">
        <f>'[12]Summary Report - 12 Months Endi'!BMK2</f>
        <v>0</v>
      </c>
      <c r="BMM3">
        <f>'[12]Summary Report - 12 Months Endi'!BML2</f>
        <v>0</v>
      </c>
      <c r="BMN3">
        <f>'[12]Summary Report - 12 Months Endi'!BMM2</f>
        <v>0</v>
      </c>
      <c r="BMO3">
        <f>'[12]Summary Report - 12 Months Endi'!BMN2</f>
        <v>0</v>
      </c>
      <c r="BMP3">
        <f>'[12]Summary Report - 12 Months Endi'!BMO2</f>
        <v>0</v>
      </c>
      <c r="BMQ3">
        <f>'[12]Summary Report - 12 Months Endi'!BMP2</f>
        <v>0</v>
      </c>
      <c r="BMR3">
        <f>'[12]Summary Report - 12 Months Endi'!BMQ2</f>
        <v>0</v>
      </c>
      <c r="BMS3">
        <f>'[12]Summary Report - 12 Months Endi'!BMR2</f>
        <v>0</v>
      </c>
      <c r="BMT3">
        <f>'[12]Summary Report - 12 Months Endi'!BMS2</f>
        <v>0</v>
      </c>
      <c r="BMU3">
        <f>'[12]Summary Report - 12 Months Endi'!BMT2</f>
        <v>0</v>
      </c>
      <c r="BMV3">
        <f>'[12]Summary Report - 12 Months Endi'!BMU2</f>
        <v>0</v>
      </c>
      <c r="BMW3">
        <f>'[12]Summary Report - 12 Months Endi'!BMV2</f>
        <v>0</v>
      </c>
      <c r="BMX3">
        <f>'[12]Summary Report - 12 Months Endi'!BMW2</f>
        <v>0</v>
      </c>
      <c r="BMY3">
        <f>'[12]Summary Report - 12 Months Endi'!BMX2</f>
        <v>0</v>
      </c>
      <c r="BMZ3">
        <f>'[12]Summary Report - 12 Months Endi'!BMY2</f>
        <v>0</v>
      </c>
      <c r="BNA3">
        <f>'[12]Summary Report - 12 Months Endi'!BMZ2</f>
        <v>0</v>
      </c>
      <c r="BNB3">
        <f>'[12]Summary Report - 12 Months Endi'!BNA2</f>
        <v>0</v>
      </c>
      <c r="BNC3">
        <f>'[12]Summary Report - 12 Months Endi'!BNB2</f>
        <v>0</v>
      </c>
      <c r="BND3">
        <f>'[12]Summary Report - 12 Months Endi'!BNC2</f>
        <v>0</v>
      </c>
      <c r="BNE3">
        <f>'[12]Summary Report - 12 Months Endi'!BND2</f>
        <v>0</v>
      </c>
      <c r="BNF3">
        <f>'[12]Summary Report - 12 Months Endi'!BNE2</f>
        <v>0</v>
      </c>
      <c r="BNG3">
        <f>'[12]Summary Report - 12 Months Endi'!BNF2</f>
        <v>0</v>
      </c>
      <c r="BNH3">
        <f>'[12]Summary Report - 12 Months Endi'!BNG2</f>
        <v>0</v>
      </c>
      <c r="BNI3">
        <f>'[12]Summary Report - 12 Months Endi'!BNH2</f>
        <v>0</v>
      </c>
      <c r="BNJ3">
        <f>'[12]Summary Report - 12 Months Endi'!BNI2</f>
        <v>0</v>
      </c>
      <c r="BNK3">
        <f>'[12]Summary Report - 12 Months Endi'!BNJ2</f>
        <v>0</v>
      </c>
      <c r="BNL3">
        <f>'[12]Summary Report - 12 Months Endi'!BNK2</f>
        <v>0</v>
      </c>
      <c r="BNM3">
        <f>'[12]Summary Report - 12 Months Endi'!BNL2</f>
        <v>0</v>
      </c>
      <c r="BNN3">
        <f>'[12]Summary Report - 12 Months Endi'!BNM2</f>
        <v>0</v>
      </c>
      <c r="BNO3">
        <f>'[12]Summary Report - 12 Months Endi'!BNN2</f>
        <v>0</v>
      </c>
      <c r="BNP3">
        <f>'[12]Summary Report - 12 Months Endi'!BNO2</f>
        <v>0</v>
      </c>
      <c r="BNQ3">
        <f>'[12]Summary Report - 12 Months Endi'!BNP2</f>
        <v>0</v>
      </c>
      <c r="BNR3">
        <f>'[12]Summary Report - 12 Months Endi'!BNQ2</f>
        <v>0</v>
      </c>
      <c r="BNS3">
        <f>'[12]Summary Report - 12 Months Endi'!BNR2</f>
        <v>0</v>
      </c>
      <c r="BNT3">
        <f>'[12]Summary Report - 12 Months Endi'!BNS2</f>
        <v>0</v>
      </c>
      <c r="BNU3">
        <f>'[12]Summary Report - 12 Months Endi'!BNT2</f>
        <v>0</v>
      </c>
      <c r="BNV3">
        <f>'[12]Summary Report - 12 Months Endi'!BNU2</f>
        <v>0</v>
      </c>
      <c r="BNW3">
        <f>'[12]Summary Report - 12 Months Endi'!BNV2</f>
        <v>0</v>
      </c>
      <c r="BNX3">
        <f>'[12]Summary Report - 12 Months Endi'!BNW2</f>
        <v>0</v>
      </c>
      <c r="BNY3">
        <f>'[12]Summary Report - 12 Months Endi'!BNX2</f>
        <v>0</v>
      </c>
      <c r="BNZ3">
        <f>'[12]Summary Report - 12 Months Endi'!BNY2</f>
        <v>0</v>
      </c>
      <c r="BOA3">
        <f>'[12]Summary Report - 12 Months Endi'!BNZ2</f>
        <v>0</v>
      </c>
      <c r="BOB3">
        <f>'[12]Summary Report - 12 Months Endi'!BOA2</f>
        <v>0</v>
      </c>
      <c r="BOC3">
        <f>'[12]Summary Report - 12 Months Endi'!BOB2</f>
        <v>0</v>
      </c>
      <c r="BOD3">
        <f>'[12]Summary Report - 12 Months Endi'!BOC2</f>
        <v>0</v>
      </c>
      <c r="BOE3">
        <f>'[12]Summary Report - 12 Months Endi'!BOD2</f>
        <v>0</v>
      </c>
      <c r="BOF3">
        <f>'[12]Summary Report - 12 Months Endi'!BOE2</f>
        <v>0</v>
      </c>
      <c r="BOG3">
        <f>'[12]Summary Report - 12 Months Endi'!BOF2</f>
        <v>0</v>
      </c>
      <c r="BOH3">
        <f>'[12]Summary Report - 12 Months Endi'!BOG2</f>
        <v>0</v>
      </c>
      <c r="BOI3">
        <f>'[12]Summary Report - 12 Months Endi'!BOH2</f>
        <v>0</v>
      </c>
      <c r="BOJ3">
        <f>'[12]Summary Report - 12 Months Endi'!BOI2</f>
        <v>0</v>
      </c>
      <c r="BOK3">
        <f>'[12]Summary Report - 12 Months Endi'!BOJ2</f>
        <v>0</v>
      </c>
      <c r="BOL3">
        <f>'[12]Summary Report - 12 Months Endi'!BOK2</f>
        <v>0</v>
      </c>
      <c r="BOM3">
        <f>'[12]Summary Report - 12 Months Endi'!BOL2</f>
        <v>0</v>
      </c>
      <c r="BON3">
        <f>'[12]Summary Report - 12 Months Endi'!BOM2</f>
        <v>0</v>
      </c>
      <c r="BOO3">
        <f>'[12]Summary Report - 12 Months Endi'!BON2</f>
        <v>0</v>
      </c>
      <c r="BOP3">
        <f>'[12]Summary Report - 12 Months Endi'!BOO2</f>
        <v>0</v>
      </c>
      <c r="BOQ3">
        <f>'[12]Summary Report - 12 Months Endi'!BOP2</f>
        <v>0</v>
      </c>
      <c r="BOR3">
        <f>'[12]Summary Report - 12 Months Endi'!BOQ2</f>
        <v>0</v>
      </c>
      <c r="BOS3">
        <f>'[12]Summary Report - 12 Months Endi'!BOR2</f>
        <v>0</v>
      </c>
      <c r="BOT3">
        <f>'[12]Summary Report - 12 Months Endi'!BOS2</f>
        <v>0</v>
      </c>
      <c r="BOU3">
        <f>'[12]Summary Report - 12 Months Endi'!BOT2</f>
        <v>0</v>
      </c>
      <c r="BOV3">
        <f>'[12]Summary Report - 12 Months Endi'!BOU2</f>
        <v>0</v>
      </c>
      <c r="BOW3">
        <f>'[12]Summary Report - 12 Months Endi'!BOV2</f>
        <v>0</v>
      </c>
      <c r="BOX3">
        <f>'[12]Summary Report - 12 Months Endi'!BOW2</f>
        <v>0</v>
      </c>
      <c r="BOY3">
        <f>'[12]Summary Report - 12 Months Endi'!BOX2</f>
        <v>0</v>
      </c>
      <c r="BOZ3">
        <f>'[12]Summary Report - 12 Months Endi'!BOY2</f>
        <v>0</v>
      </c>
      <c r="BPA3">
        <f>'[12]Summary Report - 12 Months Endi'!BOZ2</f>
        <v>0</v>
      </c>
      <c r="BPB3">
        <f>'[12]Summary Report - 12 Months Endi'!BPA2</f>
        <v>0</v>
      </c>
      <c r="BPC3">
        <f>'[12]Summary Report - 12 Months Endi'!BPB2</f>
        <v>0</v>
      </c>
      <c r="BPD3">
        <f>'[12]Summary Report - 12 Months Endi'!BPC2</f>
        <v>0</v>
      </c>
      <c r="BPE3">
        <f>'[12]Summary Report - 12 Months Endi'!BPD2</f>
        <v>0</v>
      </c>
      <c r="BPF3">
        <f>'[12]Summary Report - 12 Months Endi'!BPE2</f>
        <v>0</v>
      </c>
      <c r="BPG3">
        <f>'[12]Summary Report - 12 Months Endi'!BPF2</f>
        <v>0</v>
      </c>
      <c r="BPH3">
        <f>'[12]Summary Report - 12 Months Endi'!BPG2</f>
        <v>0</v>
      </c>
      <c r="BPI3">
        <f>'[12]Summary Report - 12 Months Endi'!BPH2</f>
        <v>0</v>
      </c>
      <c r="BPJ3">
        <f>'[12]Summary Report - 12 Months Endi'!BPI2</f>
        <v>0</v>
      </c>
      <c r="BPK3">
        <f>'[12]Summary Report - 12 Months Endi'!BPJ2</f>
        <v>0</v>
      </c>
      <c r="BPL3">
        <f>'[12]Summary Report - 12 Months Endi'!BPK2</f>
        <v>0</v>
      </c>
      <c r="BPM3">
        <f>'[12]Summary Report - 12 Months Endi'!BPL2</f>
        <v>0</v>
      </c>
      <c r="BPN3">
        <f>'[12]Summary Report - 12 Months Endi'!BPM2</f>
        <v>0</v>
      </c>
      <c r="BPO3">
        <f>'[12]Summary Report - 12 Months Endi'!BPN2</f>
        <v>0</v>
      </c>
      <c r="BPP3">
        <f>'[12]Summary Report - 12 Months Endi'!BPO2</f>
        <v>0</v>
      </c>
      <c r="BPQ3">
        <f>'[12]Summary Report - 12 Months Endi'!BPP2</f>
        <v>0</v>
      </c>
      <c r="BPR3">
        <f>'[12]Summary Report - 12 Months Endi'!BPQ2</f>
        <v>0</v>
      </c>
      <c r="BPS3">
        <f>'[12]Summary Report - 12 Months Endi'!BPR2</f>
        <v>0</v>
      </c>
      <c r="BPT3">
        <f>'[12]Summary Report - 12 Months Endi'!BPS2</f>
        <v>0</v>
      </c>
      <c r="BPU3">
        <f>'[12]Summary Report - 12 Months Endi'!BPT2</f>
        <v>0</v>
      </c>
      <c r="BPV3">
        <f>'[12]Summary Report - 12 Months Endi'!BPU2</f>
        <v>0</v>
      </c>
      <c r="BPW3">
        <f>'[12]Summary Report - 12 Months Endi'!BPV2</f>
        <v>0</v>
      </c>
      <c r="BPX3">
        <f>'[12]Summary Report - 12 Months Endi'!BPW2</f>
        <v>0</v>
      </c>
      <c r="BPY3">
        <f>'[12]Summary Report - 12 Months Endi'!BPX2</f>
        <v>0</v>
      </c>
      <c r="BPZ3">
        <f>'[12]Summary Report - 12 Months Endi'!BPY2</f>
        <v>0</v>
      </c>
      <c r="BQA3">
        <f>'[12]Summary Report - 12 Months Endi'!BPZ2</f>
        <v>0</v>
      </c>
      <c r="BQB3">
        <f>'[12]Summary Report - 12 Months Endi'!BQA2</f>
        <v>0</v>
      </c>
      <c r="BQC3">
        <f>'[12]Summary Report - 12 Months Endi'!BQB2</f>
        <v>0</v>
      </c>
      <c r="BQD3">
        <f>'[12]Summary Report - 12 Months Endi'!BQC2</f>
        <v>0</v>
      </c>
      <c r="BQE3">
        <f>'[12]Summary Report - 12 Months Endi'!BQD2</f>
        <v>0</v>
      </c>
      <c r="BQF3">
        <f>'[12]Summary Report - 12 Months Endi'!BQE2</f>
        <v>0</v>
      </c>
      <c r="BQG3">
        <f>'[12]Summary Report - 12 Months Endi'!BQF2</f>
        <v>0</v>
      </c>
      <c r="BQH3">
        <f>'[12]Summary Report - 12 Months Endi'!BQG2</f>
        <v>0</v>
      </c>
      <c r="BQI3">
        <f>'[12]Summary Report - 12 Months Endi'!BQH2</f>
        <v>0</v>
      </c>
      <c r="BQJ3">
        <f>'[12]Summary Report - 12 Months Endi'!BQI2</f>
        <v>0</v>
      </c>
      <c r="BQK3">
        <f>'[12]Summary Report - 12 Months Endi'!BQJ2</f>
        <v>0</v>
      </c>
      <c r="BQL3">
        <f>'[12]Summary Report - 12 Months Endi'!BQK2</f>
        <v>0</v>
      </c>
      <c r="BQM3">
        <f>'[12]Summary Report - 12 Months Endi'!BQL2</f>
        <v>0</v>
      </c>
      <c r="BQN3">
        <f>'[12]Summary Report - 12 Months Endi'!BQM2</f>
        <v>0</v>
      </c>
      <c r="BQO3">
        <f>'[12]Summary Report - 12 Months Endi'!BQN2</f>
        <v>0</v>
      </c>
      <c r="BQP3">
        <f>'[12]Summary Report - 12 Months Endi'!BQO2</f>
        <v>0</v>
      </c>
      <c r="BQQ3">
        <f>'[12]Summary Report - 12 Months Endi'!BQP2</f>
        <v>0</v>
      </c>
      <c r="BQR3">
        <f>'[12]Summary Report - 12 Months Endi'!BQQ2</f>
        <v>0</v>
      </c>
      <c r="BQS3">
        <f>'[12]Summary Report - 12 Months Endi'!BQR2</f>
        <v>0</v>
      </c>
      <c r="BQT3">
        <f>'[12]Summary Report - 12 Months Endi'!BQS2</f>
        <v>0</v>
      </c>
      <c r="BQU3">
        <f>'[12]Summary Report - 12 Months Endi'!BQT2</f>
        <v>0</v>
      </c>
      <c r="BQV3">
        <f>'[12]Summary Report - 12 Months Endi'!BQU2</f>
        <v>0</v>
      </c>
      <c r="BQW3">
        <f>'[12]Summary Report - 12 Months Endi'!BQV2</f>
        <v>0</v>
      </c>
      <c r="BQX3">
        <f>'[12]Summary Report - 12 Months Endi'!BQW2</f>
        <v>0</v>
      </c>
      <c r="BQY3">
        <f>'[12]Summary Report - 12 Months Endi'!BQX2</f>
        <v>0</v>
      </c>
      <c r="BQZ3">
        <f>'[12]Summary Report - 12 Months Endi'!BQY2</f>
        <v>0</v>
      </c>
      <c r="BRA3">
        <f>'[12]Summary Report - 12 Months Endi'!BQZ2</f>
        <v>0</v>
      </c>
      <c r="BRB3">
        <f>'[12]Summary Report - 12 Months Endi'!BRA2</f>
        <v>0</v>
      </c>
      <c r="BRC3">
        <f>'[12]Summary Report - 12 Months Endi'!BRB2</f>
        <v>0</v>
      </c>
      <c r="BRD3">
        <f>'[12]Summary Report - 12 Months Endi'!BRC2</f>
        <v>0</v>
      </c>
      <c r="BRE3">
        <f>'[12]Summary Report - 12 Months Endi'!BRD2</f>
        <v>0</v>
      </c>
      <c r="BRF3">
        <f>'[12]Summary Report - 12 Months Endi'!BRE2</f>
        <v>0</v>
      </c>
      <c r="BRG3">
        <f>'[12]Summary Report - 12 Months Endi'!BRF2</f>
        <v>0</v>
      </c>
      <c r="BRH3">
        <f>'[12]Summary Report - 12 Months Endi'!BRG2</f>
        <v>0</v>
      </c>
      <c r="BRI3">
        <f>'[12]Summary Report - 12 Months Endi'!BRH2</f>
        <v>0</v>
      </c>
      <c r="BRJ3">
        <f>'[12]Summary Report - 12 Months Endi'!BRI2</f>
        <v>0</v>
      </c>
      <c r="BRK3">
        <f>'[12]Summary Report - 12 Months Endi'!BRJ2</f>
        <v>0</v>
      </c>
      <c r="BRL3">
        <f>'[12]Summary Report - 12 Months Endi'!BRK2</f>
        <v>0</v>
      </c>
      <c r="BRM3">
        <f>'[12]Summary Report - 12 Months Endi'!BRL2</f>
        <v>0</v>
      </c>
      <c r="BRN3">
        <f>'[12]Summary Report - 12 Months Endi'!BRM2</f>
        <v>0</v>
      </c>
      <c r="BRO3">
        <f>'[12]Summary Report - 12 Months Endi'!BRN2</f>
        <v>0</v>
      </c>
      <c r="BRP3">
        <f>'[12]Summary Report - 12 Months Endi'!BRO2</f>
        <v>0</v>
      </c>
      <c r="BRQ3">
        <f>'[12]Summary Report - 12 Months Endi'!BRP2</f>
        <v>0</v>
      </c>
      <c r="BRR3">
        <f>'[12]Summary Report - 12 Months Endi'!BRQ2</f>
        <v>0</v>
      </c>
      <c r="BRS3">
        <f>'[12]Summary Report - 12 Months Endi'!BRR2</f>
        <v>0</v>
      </c>
      <c r="BRT3">
        <f>'[12]Summary Report - 12 Months Endi'!BRS2</f>
        <v>0</v>
      </c>
      <c r="BRU3">
        <f>'[12]Summary Report - 12 Months Endi'!BRT2</f>
        <v>0</v>
      </c>
      <c r="BRV3">
        <f>'[12]Summary Report - 12 Months Endi'!BRU2</f>
        <v>0</v>
      </c>
      <c r="BRW3">
        <f>'[12]Summary Report - 12 Months Endi'!BRV2</f>
        <v>0</v>
      </c>
      <c r="BRX3">
        <f>'[12]Summary Report - 12 Months Endi'!BRW2</f>
        <v>0</v>
      </c>
      <c r="BRY3">
        <f>'[12]Summary Report - 12 Months Endi'!BRX2</f>
        <v>0</v>
      </c>
      <c r="BRZ3">
        <f>'[12]Summary Report - 12 Months Endi'!BRY2</f>
        <v>0</v>
      </c>
      <c r="BSA3">
        <f>'[12]Summary Report - 12 Months Endi'!BRZ2</f>
        <v>0</v>
      </c>
      <c r="BSB3">
        <f>'[12]Summary Report - 12 Months Endi'!BSA2</f>
        <v>0</v>
      </c>
      <c r="BSC3">
        <f>'[12]Summary Report - 12 Months Endi'!BSB2</f>
        <v>0</v>
      </c>
      <c r="BSD3">
        <f>'[12]Summary Report - 12 Months Endi'!BSC2</f>
        <v>0</v>
      </c>
      <c r="BSE3">
        <f>'[12]Summary Report - 12 Months Endi'!BSD2</f>
        <v>0</v>
      </c>
      <c r="BSF3">
        <f>'[12]Summary Report - 12 Months Endi'!BSE2</f>
        <v>0</v>
      </c>
      <c r="BSG3">
        <f>'[12]Summary Report - 12 Months Endi'!BSF2</f>
        <v>0</v>
      </c>
      <c r="BSH3">
        <f>'[12]Summary Report - 12 Months Endi'!BSG2</f>
        <v>0</v>
      </c>
      <c r="BSI3">
        <f>'[12]Summary Report - 12 Months Endi'!BSH2</f>
        <v>0</v>
      </c>
      <c r="BSJ3">
        <f>'[12]Summary Report - 12 Months Endi'!BSI2</f>
        <v>0</v>
      </c>
      <c r="BSK3">
        <f>'[12]Summary Report - 12 Months Endi'!BSJ2</f>
        <v>0</v>
      </c>
      <c r="BSL3">
        <f>'[12]Summary Report - 12 Months Endi'!BSK2</f>
        <v>0</v>
      </c>
      <c r="BSM3">
        <f>'[12]Summary Report - 12 Months Endi'!BSL2</f>
        <v>0</v>
      </c>
      <c r="BSN3">
        <f>'[12]Summary Report - 12 Months Endi'!BSM2</f>
        <v>0</v>
      </c>
      <c r="BSO3">
        <f>'[12]Summary Report - 12 Months Endi'!BSN2</f>
        <v>0</v>
      </c>
      <c r="BSP3">
        <f>'[12]Summary Report - 12 Months Endi'!BSO2</f>
        <v>0</v>
      </c>
      <c r="BSQ3">
        <f>'[12]Summary Report - 12 Months Endi'!BSP2</f>
        <v>0</v>
      </c>
      <c r="BSR3">
        <f>'[12]Summary Report - 12 Months Endi'!BSQ2</f>
        <v>0</v>
      </c>
      <c r="BSS3">
        <f>'[12]Summary Report - 12 Months Endi'!BSR2</f>
        <v>0</v>
      </c>
      <c r="BST3">
        <f>'[12]Summary Report - 12 Months Endi'!BSS2</f>
        <v>0</v>
      </c>
      <c r="BSU3">
        <f>'[12]Summary Report - 12 Months Endi'!BST2</f>
        <v>0</v>
      </c>
      <c r="BSV3">
        <f>'[12]Summary Report - 12 Months Endi'!BSU2</f>
        <v>0</v>
      </c>
      <c r="BSW3">
        <f>'[12]Summary Report - 12 Months Endi'!BSV2</f>
        <v>0</v>
      </c>
      <c r="BSX3">
        <f>'[12]Summary Report - 12 Months Endi'!BSW2</f>
        <v>0</v>
      </c>
      <c r="BSY3">
        <f>'[12]Summary Report - 12 Months Endi'!BSX2</f>
        <v>0</v>
      </c>
      <c r="BSZ3">
        <f>'[12]Summary Report - 12 Months Endi'!BSY2</f>
        <v>0</v>
      </c>
      <c r="BTA3">
        <f>'[12]Summary Report - 12 Months Endi'!BSZ2</f>
        <v>0</v>
      </c>
      <c r="BTB3">
        <f>'[12]Summary Report - 12 Months Endi'!BTA2</f>
        <v>0</v>
      </c>
      <c r="BTC3">
        <f>'[12]Summary Report - 12 Months Endi'!BTB2</f>
        <v>0</v>
      </c>
      <c r="BTD3">
        <f>'[12]Summary Report - 12 Months Endi'!BTC2</f>
        <v>0</v>
      </c>
      <c r="BTE3">
        <f>'[12]Summary Report - 12 Months Endi'!BTD2</f>
        <v>0</v>
      </c>
      <c r="BTF3">
        <f>'[12]Summary Report - 12 Months Endi'!BTE2</f>
        <v>0</v>
      </c>
      <c r="BTG3">
        <f>'[12]Summary Report - 12 Months Endi'!BTF2</f>
        <v>0</v>
      </c>
      <c r="BTH3">
        <f>'[12]Summary Report - 12 Months Endi'!BTG2</f>
        <v>0</v>
      </c>
      <c r="BTI3">
        <f>'[12]Summary Report - 12 Months Endi'!BTH2</f>
        <v>0</v>
      </c>
      <c r="BTJ3">
        <f>'[12]Summary Report - 12 Months Endi'!BTI2</f>
        <v>0</v>
      </c>
      <c r="BTK3">
        <f>'[12]Summary Report - 12 Months Endi'!BTJ2</f>
        <v>0</v>
      </c>
      <c r="BTL3">
        <f>'[12]Summary Report - 12 Months Endi'!BTK2</f>
        <v>0</v>
      </c>
      <c r="BTM3">
        <f>'[12]Summary Report - 12 Months Endi'!BTL2</f>
        <v>0</v>
      </c>
      <c r="BTN3">
        <f>'[12]Summary Report - 12 Months Endi'!BTM2</f>
        <v>0</v>
      </c>
      <c r="BTO3">
        <f>'[12]Summary Report - 12 Months Endi'!BTN2</f>
        <v>0</v>
      </c>
      <c r="BTP3">
        <f>'[12]Summary Report - 12 Months Endi'!BTO2</f>
        <v>0</v>
      </c>
      <c r="BTQ3">
        <f>'[12]Summary Report - 12 Months Endi'!BTP2</f>
        <v>0</v>
      </c>
      <c r="BTR3">
        <f>'[12]Summary Report - 12 Months Endi'!BTQ2</f>
        <v>0</v>
      </c>
      <c r="BTS3">
        <f>'[12]Summary Report - 12 Months Endi'!BTR2</f>
        <v>0</v>
      </c>
      <c r="BTT3">
        <f>'[12]Summary Report - 12 Months Endi'!BTS2</f>
        <v>0</v>
      </c>
      <c r="BTU3">
        <f>'[12]Summary Report - 12 Months Endi'!BTT2</f>
        <v>0</v>
      </c>
      <c r="BTV3">
        <f>'[12]Summary Report - 12 Months Endi'!BTU2</f>
        <v>0</v>
      </c>
      <c r="BTW3">
        <f>'[12]Summary Report - 12 Months Endi'!BTV2</f>
        <v>0</v>
      </c>
      <c r="BTX3">
        <f>'[12]Summary Report - 12 Months Endi'!BTW2</f>
        <v>0</v>
      </c>
      <c r="BTY3">
        <f>'[12]Summary Report - 12 Months Endi'!BTX2</f>
        <v>0</v>
      </c>
      <c r="BTZ3">
        <f>'[12]Summary Report - 12 Months Endi'!BTY2</f>
        <v>0</v>
      </c>
      <c r="BUA3">
        <f>'[12]Summary Report - 12 Months Endi'!BTZ2</f>
        <v>0</v>
      </c>
      <c r="BUB3">
        <f>'[12]Summary Report - 12 Months Endi'!BUA2</f>
        <v>0</v>
      </c>
      <c r="BUC3">
        <f>'[12]Summary Report - 12 Months Endi'!BUB2</f>
        <v>0</v>
      </c>
      <c r="BUD3">
        <f>'[12]Summary Report - 12 Months Endi'!BUC2</f>
        <v>0</v>
      </c>
      <c r="BUE3">
        <f>'[12]Summary Report - 12 Months Endi'!BUD2</f>
        <v>0</v>
      </c>
      <c r="BUF3">
        <f>'[12]Summary Report - 12 Months Endi'!BUE2</f>
        <v>0</v>
      </c>
      <c r="BUG3">
        <f>'[12]Summary Report - 12 Months Endi'!BUF2</f>
        <v>0</v>
      </c>
      <c r="BUH3">
        <f>'[12]Summary Report - 12 Months Endi'!BUG2</f>
        <v>0</v>
      </c>
      <c r="BUI3">
        <f>'[12]Summary Report - 12 Months Endi'!BUH2</f>
        <v>0</v>
      </c>
      <c r="BUJ3">
        <f>'[12]Summary Report - 12 Months Endi'!BUI2</f>
        <v>0</v>
      </c>
      <c r="BUK3">
        <f>'[12]Summary Report - 12 Months Endi'!BUJ2</f>
        <v>0</v>
      </c>
      <c r="BUL3">
        <f>'[12]Summary Report - 12 Months Endi'!BUK2</f>
        <v>0</v>
      </c>
      <c r="BUM3">
        <f>'[12]Summary Report - 12 Months Endi'!BUL2</f>
        <v>0</v>
      </c>
      <c r="BUN3">
        <f>'[12]Summary Report - 12 Months Endi'!BUM2</f>
        <v>0</v>
      </c>
      <c r="BUO3">
        <f>'[12]Summary Report - 12 Months Endi'!BUN2</f>
        <v>0</v>
      </c>
      <c r="BUP3">
        <f>'[12]Summary Report - 12 Months Endi'!BUO2</f>
        <v>0</v>
      </c>
      <c r="BUQ3">
        <f>'[12]Summary Report - 12 Months Endi'!BUP2</f>
        <v>0</v>
      </c>
      <c r="BUR3">
        <f>'[12]Summary Report - 12 Months Endi'!BUQ2</f>
        <v>0</v>
      </c>
      <c r="BUS3">
        <f>'[12]Summary Report - 12 Months Endi'!BUR2</f>
        <v>0</v>
      </c>
      <c r="BUT3">
        <f>'[12]Summary Report - 12 Months Endi'!BUS2</f>
        <v>0</v>
      </c>
      <c r="BUU3">
        <f>'[12]Summary Report - 12 Months Endi'!BUT2</f>
        <v>0</v>
      </c>
      <c r="BUV3">
        <f>'[12]Summary Report - 12 Months Endi'!BUU2</f>
        <v>0</v>
      </c>
      <c r="BUW3">
        <f>'[12]Summary Report - 12 Months Endi'!BUV2</f>
        <v>0</v>
      </c>
      <c r="BUX3">
        <f>'[12]Summary Report - 12 Months Endi'!BUW2</f>
        <v>0</v>
      </c>
      <c r="BUY3">
        <f>'[12]Summary Report - 12 Months Endi'!BUX2</f>
        <v>0</v>
      </c>
      <c r="BUZ3">
        <f>'[12]Summary Report - 12 Months Endi'!BUY2</f>
        <v>0</v>
      </c>
      <c r="BVA3">
        <f>'[12]Summary Report - 12 Months Endi'!BUZ2</f>
        <v>0</v>
      </c>
      <c r="BVB3">
        <f>'[12]Summary Report - 12 Months Endi'!BVA2</f>
        <v>0</v>
      </c>
      <c r="BVC3">
        <f>'[12]Summary Report - 12 Months Endi'!BVB2</f>
        <v>0</v>
      </c>
      <c r="BVD3">
        <f>'[12]Summary Report - 12 Months Endi'!BVC2</f>
        <v>0</v>
      </c>
      <c r="BVE3">
        <f>'[12]Summary Report - 12 Months Endi'!BVD2</f>
        <v>0</v>
      </c>
      <c r="BVF3">
        <f>'[12]Summary Report - 12 Months Endi'!BVE2</f>
        <v>0</v>
      </c>
      <c r="BVG3">
        <f>'[12]Summary Report - 12 Months Endi'!BVF2</f>
        <v>0</v>
      </c>
      <c r="BVH3">
        <f>'[12]Summary Report - 12 Months Endi'!BVG2</f>
        <v>0</v>
      </c>
      <c r="BVI3">
        <f>'[12]Summary Report - 12 Months Endi'!BVH2</f>
        <v>0</v>
      </c>
      <c r="BVJ3">
        <f>'[12]Summary Report - 12 Months Endi'!BVI2</f>
        <v>0</v>
      </c>
      <c r="BVK3">
        <f>'[12]Summary Report - 12 Months Endi'!BVJ2</f>
        <v>0</v>
      </c>
      <c r="BVL3">
        <f>'[12]Summary Report - 12 Months Endi'!BVK2</f>
        <v>0</v>
      </c>
      <c r="BVM3">
        <f>'[12]Summary Report - 12 Months Endi'!BVL2</f>
        <v>0</v>
      </c>
      <c r="BVN3">
        <f>'[12]Summary Report - 12 Months Endi'!BVM2</f>
        <v>0</v>
      </c>
      <c r="BVO3">
        <f>'[12]Summary Report - 12 Months Endi'!BVN2</f>
        <v>0</v>
      </c>
      <c r="BVP3">
        <f>'[12]Summary Report - 12 Months Endi'!BVO2</f>
        <v>0</v>
      </c>
      <c r="BVQ3">
        <f>'[12]Summary Report - 12 Months Endi'!BVP2</f>
        <v>0</v>
      </c>
      <c r="BVR3">
        <f>'[12]Summary Report - 12 Months Endi'!BVQ2</f>
        <v>0</v>
      </c>
      <c r="BVS3">
        <f>'[12]Summary Report - 12 Months Endi'!BVR2</f>
        <v>0</v>
      </c>
      <c r="BVT3">
        <f>'[12]Summary Report - 12 Months Endi'!BVS2</f>
        <v>0</v>
      </c>
      <c r="BVU3">
        <f>'[12]Summary Report - 12 Months Endi'!BVT2</f>
        <v>0</v>
      </c>
      <c r="BVV3">
        <f>'[12]Summary Report - 12 Months Endi'!BVU2</f>
        <v>0</v>
      </c>
      <c r="BVW3">
        <f>'[12]Summary Report - 12 Months Endi'!BVV2</f>
        <v>0</v>
      </c>
      <c r="BVX3">
        <f>'[12]Summary Report - 12 Months Endi'!BVW2</f>
        <v>0</v>
      </c>
      <c r="BVY3">
        <f>'[12]Summary Report - 12 Months Endi'!BVX2</f>
        <v>0</v>
      </c>
      <c r="BVZ3">
        <f>'[12]Summary Report - 12 Months Endi'!BVY2</f>
        <v>0</v>
      </c>
      <c r="BWA3">
        <f>'[12]Summary Report - 12 Months Endi'!BVZ2</f>
        <v>0</v>
      </c>
      <c r="BWB3">
        <f>'[12]Summary Report - 12 Months Endi'!BWA2</f>
        <v>0</v>
      </c>
      <c r="BWC3">
        <f>'[12]Summary Report - 12 Months Endi'!BWB2</f>
        <v>0</v>
      </c>
      <c r="BWD3">
        <f>'[12]Summary Report - 12 Months Endi'!BWC2</f>
        <v>0</v>
      </c>
      <c r="BWE3">
        <f>'[12]Summary Report - 12 Months Endi'!BWD2</f>
        <v>0</v>
      </c>
      <c r="BWF3">
        <f>'[12]Summary Report - 12 Months Endi'!BWE2</f>
        <v>0</v>
      </c>
      <c r="BWG3">
        <f>'[12]Summary Report - 12 Months Endi'!BWF2</f>
        <v>0</v>
      </c>
      <c r="BWH3">
        <f>'[12]Summary Report - 12 Months Endi'!BWG2</f>
        <v>0</v>
      </c>
      <c r="BWI3">
        <f>'[12]Summary Report - 12 Months Endi'!BWH2</f>
        <v>0</v>
      </c>
      <c r="BWJ3">
        <f>'[12]Summary Report - 12 Months Endi'!BWI2</f>
        <v>0</v>
      </c>
      <c r="BWK3">
        <f>'[12]Summary Report - 12 Months Endi'!BWJ2</f>
        <v>0</v>
      </c>
      <c r="BWL3">
        <f>'[12]Summary Report - 12 Months Endi'!BWK2</f>
        <v>0</v>
      </c>
      <c r="BWM3">
        <f>'[12]Summary Report - 12 Months Endi'!BWL2</f>
        <v>0</v>
      </c>
      <c r="BWN3">
        <f>'[12]Summary Report - 12 Months Endi'!BWM2</f>
        <v>0</v>
      </c>
      <c r="BWO3">
        <f>'[12]Summary Report - 12 Months Endi'!BWN2</f>
        <v>0</v>
      </c>
      <c r="BWP3">
        <f>'[12]Summary Report - 12 Months Endi'!BWO2</f>
        <v>0</v>
      </c>
      <c r="BWQ3">
        <f>'[12]Summary Report - 12 Months Endi'!BWP2</f>
        <v>0</v>
      </c>
      <c r="BWR3">
        <f>'[12]Summary Report - 12 Months Endi'!BWQ2</f>
        <v>0</v>
      </c>
      <c r="BWS3">
        <f>'[12]Summary Report - 12 Months Endi'!BWR2</f>
        <v>0</v>
      </c>
      <c r="BWT3">
        <f>'[12]Summary Report - 12 Months Endi'!BWS2</f>
        <v>0</v>
      </c>
      <c r="BWU3">
        <f>'[12]Summary Report - 12 Months Endi'!BWT2</f>
        <v>0</v>
      </c>
      <c r="BWV3">
        <f>'[12]Summary Report - 12 Months Endi'!BWU2</f>
        <v>0</v>
      </c>
      <c r="BWW3">
        <f>'[12]Summary Report - 12 Months Endi'!BWV2</f>
        <v>0</v>
      </c>
      <c r="BWX3">
        <f>'[12]Summary Report - 12 Months Endi'!BWW2</f>
        <v>0</v>
      </c>
      <c r="BWY3">
        <f>'[12]Summary Report - 12 Months Endi'!BWX2</f>
        <v>0</v>
      </c>
      <c r="BWZ3">
        <f>'[12]Summary Report - 12 Months Endi'!BWY2</f>
        <v>0</v>
      </c>
      <c r="BXA3">
        <f>'[12]Summary Report - 12 Months Endi'!BWZ2</f>
        <v>0</v>
      </c>
      <c r="BXB3">
        <f>'[12]Summary Report - 12 Months Endi'!BXA2</f>
        <v>0</v>
      </c>
      <c r="BXC3">
        <f>'[12]Summary Report - 12 Months Endi'!BXB2</f>
        <v>0</v>
      </c>
      <c r="BXD3">
        <f>'[12]Summary Report - 12 Months Endi'!BXC2</f>
        <v>0</v>
      </c>
      <c r="BXE3">
        <f>'[12]Summary Report - 12 Months Endi'!BXD2</f>
        <v>0</v>
      </c>
      <c r="BXF3">
        <f>'[12]Summary Report - 12 Months Endi'!BXE2</f>
        <v>0</v>
      </c>
      <c r="BXG3">
        <f>'[12]Summary Report - 12 Months Endi'!BXF2</f>
        <v>0</v>
      </c>
      <c r="BXH3">
        <f>'[12]Summary Report - 12 Months Endi'!BXG2</f>
        <v>0</v>
      </c>
      <c r="BXI3">
        <f>'[12]Summary Report - 12 Months Endi'!BXH2</f>
        <v>0</v>
      </c>
      <c r="BXJ3">
        <f>'[12]Summary Report - 12 Months Endi'!BXI2</f>
        <v>0</v>
      </c>
      <c r="BXK3">
        <f>'[12]Summary Report - 12 Months Endi'!BXJ2</f>
        <v>0</v>
      </c>
      <c r="BXL3">
        <f>'[12]Summary Report - 12 Months Endi'!BXK2</f>
        <v>0</v>
      </c>
      <c r="BXM3">
        <f>'[12]Summary Report - 12 Months Endi'!BXL2</f>
        <v>0</v>
      </c>
      <c r="BXN3">
        <f>'[12]Summary Report - 12 Months Endi'!BXM2</f>
        <v>0</v>
      </c>
      <c r="BXO3">
        <f>'[12]Summary Report - 12 Months Endi'!BXN2</f>
        <v>0</v>
      </c>
      <c r="BXP3">
        <f>'[12]Summary Report - 12 Months Endi'!BXO2</f>
        <v>0</v>
      </c>
      <c r="BXQ3">
        <f>'[12]Summary Report - 12 Months Endi'!BXP2</f>
        <v>0</v>
      </c>
      <c r="BXR3">
        <f>'[12]Summary Report - 12 Months Endi'!BXQ2</f>
        <v>0</v>
      </c>
      <c r="BXS3">
        <f>'[12]Summary Report - 12 Months Endi'!BXR2</f>
        <v>0</v>
      </c>
      <c r="BXT3">
        <f>'[12]Summary Report - 12 Months Endi'!BXS2</f>
        <v>0</v>
      </c>
      <c r="BXU3">
        <f>'[12]Summary Report - 12 Months Endi'!BXT2</f>
        <v>0</v>
      </c>
      <c r="BXV3">
        <f>'[12]Summary Report - 12 Months Endi'!BXU2</f>
        <v>0</v>
      </c>
      <c r="BXW3">
        <f>'[12]Summary Report - 12 Months Endi'!BXV2</f>
        <v>0</v>
      </c>
      <c r="BXX3">
        <f>'[12]Summary Report - 12 Months Endi'!BXW2</f>
        <v>0</v>
      </c>
      <c r="BXY3">
        <f>'[12]Summary Report - 12 Months Endi'!BXX2</f>
        <v>0</v>
      </c>
      <c r="BXZ3">
        <f>'[12]Summary Report - 12 Months Endi'!BXY2</f>
        <v>0</v>
      </c>
      <c r="BYA3">
        <f>'[12]Summary Report - 12 Months Endi'!BXZ2</f>
        <v>0</v>
      </c>
      <c r="BYB3">
        <f>'[12]Summary Report - 12 Months Endi'!BYA2</f>
        <v>0</v>
      </c>
      <c r="BYC3">
        <f>'[12]Summary Report - 12 Months Endi'!BYB2</f>
        <v>0</v>
      </c>
      <c r="BYD3">
        <f>'[12]Summary Report - 12 Months Endi'!BYC2</f>
        <v>0</v>
      </c>
      <c r="BYE3">
        <f>'[12]Summary Report - 12 Months Endi'!BYD2</f>
        <v>0</v>
      </c>
      <c r="BYF3">
        <f>'[12]Summary Report - 12 Months Endi'!BYE2</f>
        <v>0</v>
      </c>
      <c r="BYG3">
        <f>'[12]Summary Report - 12 Months Endi'!BYF2</f>
        <v>0</v>
      </c>
      <c r="BYH3">
        <f>'[12]Summary Report - 12 Months Endi'!BYG2</f>
        <v>0</v>
      </c>
      <c r="BYI3">
        <f>'[12]Summary Report - 12 Months Endi'!BYH2</f>
        <v>0</v>
      </c>
      <c r="BYJ3">
        <f>'[12]Summary Report - 12 Months Endi'!BYI2</f>
        <v>0</v>
      </c>
      <c r="BYK3">
        <f>'[12]Summary Report - 12 Months Endi'!BYJ2</f>
        <v>0</v>
      </c>
      <c r="BYL3">
        <f>'[12]Summary Report - 12 Months Endi'!BYK2</f>
        <v>0</v>
      </c>
      <c r="BYM3">
        <f>'[12]Summary Report - 12 Months Endi'!BYL2</f>
        <v>0</v>
      </c>
      <c r="BYN3">
        <f>'[12]Summary Report - 12 Months Endi'!BYM2</f>
        <v>0</v>
      </c>
      <c r="BYO3">
        <f>'[12]Summary Report - 12 Months Endi'!BYN2</f>
        <v>0</v>
      </c>
      <c r="BYP3">
        <f>'[12]Summary Report - 12 Months Endi'!BYO2</f>
        <v>0</v>
      </c>
      <c r="BYQ3">
        <f>'[12]Summary Report - 12 Months Endi'!BYP2</f>
        <v>0</v>
      </c>
      <c r="BYR3">
        <f>'[12]Summary Report - 12 Months Endi'!BYQ2</f>
        <v>0</v>
      </c>
      <c r="BYS3">
        <f>'[12]Summary Report - 12 Months Endi'!BYR2</f>
        <v>0</v>
      </c>
      <c r="BYT3">
        <f>'[12]Summary Report - 12 Months Endi'!BYS2</f>
        <v>0</v>
      </c>
      <c r="BYU3">
        <f>'[12]Summary Report - 12 Months Endi'!BYT2</f>
        <v>0</v>
      </c>
      <c r="BYV3">
        <f>'[12]Summary Report - 12 Months Endi'!BYU2</f>
        <v>0</v>
      </c>
      <c r="BYW3">
        <f>'[12]Summary Report - 12 Months Endi'!BYV2</f>
        <v>0</v>
      </c>
      <c r="BYX3">
        <f>'[12]Summary Report - 12 Months Endi'!BYW2</f>
        <v>0</v>
      </c>
      <c r="BYY3">
        <f>'[12]Summary Report - 12 Months Endi'!BYX2</f>
        <v>0</v>
      </c>
      <c r="BYZ3">
        <f>'[12]Summary Report - 12 Months Endi'!BYY2</f>
        <v>0</v>
      </c>
      <c r="BZA3">
        <f>'[12]Summary Report - 12 Months Endi'!BYZ2</f>
        <v>0</v>
      </c>
      <c r="BZB3">
        <f>'[12]Summary Report - 12 Months Endi'!BZA2</f>
        <v>0</v>
      </c>
      <c r="BZC3">
        <f>'[12]Summary Report - 12 Months Endi'!BZB2</f>
        <v>0</v>
      </c>
      <c r="BZD3">
        <f>'[12]Summary Report - 12 Months Endi'!BZC2</f>
        <v>0</v>
      </c>
      <c r="BZE3">
        <f>'[12]Summary Report - 12 Months Endi'!BZD2</f>
        <v>0</v>
      </c>
      <c r="BZF3">
        <f>'[12]Summary Report - 12 Months Endi'!BZE2</f>
        <v>0</v>
      </c>
      <c r="BZG3">
        <f>'[12]Summary Report - 12 Months Endi'!BZF2</f>
        <v>0</v>
      </c>
      <c r="BZH3">
        <f>'[12]Summary Report - 12 Months Endi'!BZG2</f>
        <v>0</v>
      </c>
      <c r="BZI3">
        <f>'[12]Summary Report - 12 Months Endi'!BZH2</f>
        <v>0</v>
      </c>
      <c r="BZJ3">
        <f>'[12]Summary Report - 12 Months Endi'!BZI2</f>
        <v>0</v>
      </c>
      <c r="BZK3">
        <f>'[12]Summary Report - 12 Months Endi'!BZJ2</f>
        <v>0</v>
      </c>
      <c r="BZL3">
        <f>'[12]Summary Report - 12 Months Endi'!BZK2</f>
        <v>0</v>
      </c>
      <c r="BZM3">
        <f>'[12]Summary Report - 12 Months Endi'!BZL2</f>
        <v>0</v>
      </c>
      <c r="BZN3">
        <f>'[12]Summary Report - 12 Months Endi'!BZM2</f>
        <v>0</v>
      </c>
      <c r="BZO3">
        <f>'[12]Summary Report - 12 Months Endi'!BZN2</f>
        <v>0</v>
      </c>
      <c r="BZP3">
        <f>'[12]Summary Report - 12 Months Endi'!BZO2</f>
        <v>0</v>
      </c>
      <c r="BZQ3">
        <f>'[12]Summary Report - 12 Months Endi'!BZP2</f>
        <v>0</v>
      </c>
      <c r="BZR3">
        <f>'[12]Summary Report - 12 Months Endi'!BZQ2</f>
        <v>0</v>
      </c>
      <c r="BZS3">
        <f>'[12]Summary Report - 12 Months Endi'!BZR2</f>
        <v>0</v>
      </c>
      <c r="BZT3">
        <f>'[12]Summary Report - 12 Months Endi'!BZS2</f>
        <v>0</v>
      </c>
      <c r="BZU3">
        <f>'[12]Summary Report - 12 Months Endi'!BZT2</f>
        <v>0</v>
      </c>
      <c r="BZV3">
        <f>'[12]Summary Report - 12 Months Endi'!BZU2</f>
        <v>0</v>
      </c>
      <c r="BZW3">
        <f>'[12]Summary Report - 12 Months Endi'!BZV2</f>
        <v>0</v>
      </c>
      <c r="BZX3">
        <f>'[12]Summary Report - 12 Months Endi'!BZW2</f>
        <v>0</v>
      </c>
      <c r="BZY3">
        <f>'[12]Summary Report - 12 Months Endi'!BZX2</f>
        <v>0</v>
      </c>
      <c r="BZZ3">
        <f>'[12]Summary Report - 12 Months Endi'!BZY2</f>
        <v>0</v>
      </c>
      <c r="CAA3">
        <f>'[12]Summary Report - 12 Months Endi'!BZZ2</f>
        <v>0</v>
      </c>
      <c r="CAB3">
        <f>'[12]Summary Report - 12 Months Endi'!CAA2</f>
        <v>0</v>
      </c>
      <c r="CAC3">
        <f>'[12]Summary Report - 12 Months Endi'!CAB2</f>
        <v>0</v>
      </c>
      <c r="CAD3">
        <f>'[12]Summary Report - 12 Months Endi'!CAC2</f>
        <v>0</v>
      </c>
      <c r="CAE3">
        <f>'[12]Summary Report - 12 Months Endi'!CAD2</f>
        <v>0</v>
      </c>
      <c r="CAF3">
        <f>'[12]Summary Report - 12 Months Endi'!CAE2</f>
        <v>0</v>
      </c>
      <c r="CAG3">
        <f>'[12]Summary Report - 12 Months Endi'!CAF2</f>
        <v>0</v>
      </c>
      <c r="CAH3">
        <f>'[12]Summary Report - 12 Months Endi'!CAG2</f>
        <v>0</v>
      </c>
      <c r="CAI3">
        <f>'[12]Summary Report - 12 Months Endi'!CAH2</f>
        <v>0</v>
      </c>
      <c r="CAJ3">
        <f>'[12]Summary Report - 12 Months Endi'!CAI2</f>
        <v>0</v>
      </c>
      <c r="CAK3">
        <f>'[12]Summary Report - 12 Months Endi'!CAJ2</f>
        <v>0</v>
      </c>
      <c r="CAL3">
        <f>'[12]Summary Report - 12 Months Endi'!CAK2</f>
        <v>0</v>
      </c>
      <c r="CAM3">
        <f>'[12]Summary Report - 12 Months Endi'!CAL2</f>
        <v>0</v>
      </c>
      <c r="CAN3">
        <f>'[12]Summary Report - 12 Months Endi'!CAM2</f>
        <v>0</v>
      </c>
      <c r="CAO3">
        <f>'[12]Summary Report - 12 Months Endi'!CAN2</f>
        <v>0</v>
      </c>
      <c r="CAP3">
        <f>'[12]Summary Report - 12 Months Endi'!CAO2</f>
        <v>0</v>
      </c>
      <c r="CAQ3">
        <f>'[12]Summary Report - 12 Months Endi'!CAP2</f>
        <v>0</v>
      </c>
      <c r="CAR3">
        <f>'[12]Summary Report - 12 Months Endi'!CAQ2</f>
        <v>0</v>
      </c>
      <c r="CAS3">
        <f>'[12]Summary Report - 12 Months Endi'!CAR2</f>
        <v>0</v>
      </c>
      <c r="CAT3">
        <f>'[12]Summary Report - 12 Months Endi'!CAS2</f>
        <v>0</v>
      </c>
      <c r="CAU3">
        <f>'[12]Summary Report - 12 Months Endi'!CAT2</f>
        <v>0</v>
      </c>
      <c r="CAV3">
        <f>'[12]Summary Report - 12 Months Endi'!CAU2</f>
        <v>0</v>
      </c>
      <c r="CAW3">
        <f>'[12]Summary Report - 12 Months Endi'!CAV2</f>
        <v>0</v>
      </c>
      <c r="CAX3">
        <f>'[12]Summary Report - 12 Months Endi'!CAW2</f>
        <v>0</v>
      </c>
      <c r="CAY3">
        <f>'[12]Summary Report - 12 Months Endi'!CAX2</f>
        <v>0</v>
      </c>
      <c r="CAZ3">
        <f>'[12]Summary Report - 12 Months Endi'!CAY2</f>
        <v>0</v>
      </c>
      <c r="CBA3">
        <f>'[12]Summary Report - 12 Months Endi'!CAZ2</f>
        <v>0</v>
      </c>
      <c r="CBB3">
        <f>'[12]Summary Report - 12 Months Endi'!CBA2</f>
        <v>0</v>
      </c>
      <c r="CBC3">
        <f>'[12]Summary Report - 12 Months Endi'!CBB2</f>
        <v>0</v>
      </c>
      <c r="CBD3">
        <f>'[12]Summary Report - 12 Months Endi'!CBC2</f>
        <v>0</v>
      </c>
      <c r="CBE3">
        <f>'[12]Summary Report - 12 Months Endi'!CBD2</f>
        <v>0</v>
      </c>
      <c r="CBF3">
        <f>'[12]Summary Report - 12 Months Endi'!CBE2</f>
        <v>0</v>
      </c>
      <c r="CBG3">
        <f>'[12]Summary Report - 12 Months Endi'!CBF2</f>
        <v>0</v>
      </c>
      <c r="CBH3">
        <f>'[12]Summary Report - 12 Months Endi'!CBG2</f>
        <v>0</v>
      </c>
      <c r="CBI3">
        <f>'[12]Summary Report - 12 Months Endi'!CBH2</f>
        <v>0</v>
      </c>
      <c r="CBJ3">
        <f>'[12]Summary Report - 12 Months Endi'!CBI2</f>
        <v>0</v>
      </c>
      <c r="CBK3">
        <f>'[12]Summary Report - 12 Months Endi'!CBJ2</f>
        <v>0</v>
      </c>
      <c r="CBL3">
        <f>'[12]Summary Report - 12 Months Endi'!CBK2</f>
        <v>0</v>
      </c>
      <c r="CBM3">
        <f>'[12]Summary Report - 12 Months Endi'!CBL2</f>
        <v>0</v>
      </c>
      <c r="CBN3">
        <f>'[12]Summary Report - 12 Months Endi'!CBM2</f>
        <v>0</v>
      </c>
      <c r="CBO3">
        <f>'[12]Summary Report - 12 Months Endi'!CBN2</f>
        <v>0</v>
      </c>
      <c r="CBP3">
        <f>'[12]Summary Report - 12 Months Endi'!CBO2</f>
        <v>0</v>
      </c>
      <c r="CBQ3">
        <f>'[12]Summary Report - 12 Months Endi'!CBP2</f>
        <v>0</v>
      </c>
      <c r="CBR3">
        <f>'[12]Summary Report - 12 Months Endi'!CBQ2</f>
        <v>0</v>
      </c>
      <c r="CBS3">
        <f>'[12]Summary Report - 12 Months Endi'!CBR2</f>
        <v>0</v>
      </c>
      <c r="CBT3">
        <f>'[12]Summary Report - 12 Months Endi'!CBS2</f>
        <v>0</v>
      </c>
      <c r="CBU3">
        <f>'[12]Summary Report - 12 Months Endi'!CBT2</f>
        <v>0</v>
      </c>
      <c r="CBV3">
        <f>'[12]Summary Report - 12 Months Endi'!CBU2</f>
        <v>0</v>
      </c>
      <c r="CBW3">
        <f>'[12]Summary Report - 12 Months Endi'!CBV2</f>
        <v>0</v>
      </c>
      <c r="CBX3">
        <f>'[12]Summary Report - 12 Months Endi'!CBW2</f>
        <v>0</v>
      </c>
      <c r="CBY3">
        <f>'[12]Summary Report - 12 Months Endi'!CBX2</f>
        <v>0</v>
      </c>
      <c r="CBZ3">
        <f>'[12]Summary Report - 12 Months Endi'!CBY2</f>
        <v>0</v>
      </c>
      <c r="CCA3">
        <f>'[12]Summary Report - 12 Months Endi'!CBZ2</f>
        <v>0</v>
      </c>
      <c r="CCB3">
        <f>'[12]Summary Report - 12 Months Endi'!CCA2</f>
        <v>0</v>
      </c>
      <c r="CCC3">
        <f>'[12]Summary Report - 12 Months Endi'!CCB2</f>
        <v>0</v>
      </c>
      <c r="CCD3">
        <f>'[12]Summary Report - 12 Months Endi'!CCC2</f>
        <v>0</v>
      </c>
      <c r="CCE3">
        <f>'[12]Summary Report - 12 Months Endi'!CCD2</f>
        <v>0</v>
      </c>
      <c r="CCF3">
        <f>'[12]Summary Report - 12 Months Endi'!CCE2</f>
        <v>0</v>
      </c>
      <c r="CCG3">
        <f>'[12]Summary Report - 12 Months Endi'!CCF2</f>
        <v>0</v>
      </c>
      <c r="CCH3">
        <f>'[12]Summary Report - 12 Months Endi'!CCG2</f>
        <v>0</v>
      </c>
      <c r="CCI3">
        <f>'[12]Summary Report - 12 Months Endi'!CCH2</f>
        <v>0</v>
      </c>
      <c r="CCJ3">
        <f>'[12]Summary Report - 12 Months Endi'!CCI2</f>
        <v>0</v>
      </c>
      <c r="CCK3">
        <f>'[12]Summary Report - 12 Months Endi'!CCJ2</f>
        <v>0</v>
      </c>
      <c r="CCL3">
        <f>'[12]Summary Report - 12 Months Endi'!CCK2</f>
        <v>0</v>
      </c>
      <c r="CCM3">
        <f>'[12]Summary Report - 12 Months Endi'!CCL2</f>
        <v>0</v>
      </c>
      <c r="CCN3">
        <f>'[12]Summary Report - 12 Months Endi'!CCM2</f>
        <v>0</v>
      </c>
      <c r="CCO3">
        <f>'[12]Summary Report - 12 Months Endi'!CCN2</f>
        <v>0</v>
      </c>
      <c r="CCP3">
        <f>'[12]Summary Report - 12 Months Endi'!CCO2</f>
        <v>0</v>
      </c>
      <c r="CCQ3">
        <f>'[12]Summary Report - 12 Months Endi'!CCP2</f>
        <v>0</v>
      </c>
      <c r="CCR3">
        <f>'[12]Summary Report - 12 Months Endi'!CCQ2</f>
        <v>0</v>
      </c>
      <c r="CCS3">
        <f>'[12]Summary Report - 12 Months Endi'!CCR2</f>
        <v>0</v>
      </c>
      <c r="CCT3">
        <f>'[12]Summary Report - 12 Months Endi'!CCS2</f>
        <v>0</v>
      </c>
      <c r="CCU3">
        <f>'[12]Summary Report - 12 Months Endi'!CCT2</f>
        <v>0</v>
      </c>
      <c r="CCV3">
        <f>'[12]Summary Report - 12 Months Endi'!CCU2</f>
        <v>0</v>
      </c>
      <c r="CCW3">
        <f>'[12]Summary Report - 12 Months Endi'!CCV2</f>
        <v>0</v>
      </c>
      <c r="CCX3">
        <f>'[12]Summary Report - 12 Months Endi'!CCW2</f>
        <v>0</v>
      </c>
      <c r="CCY3">
        <f>'[12]Summary Report - 12 Months Endi'!CCX2</f>
        <v>0</v>
      </c>
      <c r="CCZ3">
        <f>'[12]Summary Report - 12 Months Endi'!CCY2</f>
        <v>0</v>
      </c>
      <c r="CDA3">
        <f>'[12]Summary Report - 12 Months Endi'!CCZ2</f>
        <v>0</v>
      </c>
      <c r="CDB3">
        <f>'[12]Summary Report - 12 Months Endi'!CDA2</f>
        <v>0</v>
      </c>
      <c r="CDC3">
        <f>'[12]Summary Report - 12 Months Endi'!CDB2</f>
        <v>0</v>
      </c>
      <c r="CDD3">
        <f>'[12]Summary Report - 12 Months Endi'!CDC2</f>
        <v>0</v>
      </c>
      <c r="CDE3">
        <f>'[12]Summary Report - 12 Months Endi'!CDD2</f>
        <v>0</v>
      </c>
      <c r="CDF3">
        <f>'[12]Summary Report - 12 Months Endi'!CDE2</f>
        <v>0</v>
      </c>
      <c r="CDG3">
        <f>'[12]Summary Report - 12 Months Endi'!CDF2</f>
        <v>0</v>
      </c>
      <c r="CDH3">
        <f>'[12]Summary Report - 12 Months Endi'!CDG2</f>
        <v>0</v>
      </c>
      <c r="CDI3">
        <f>'[12]Summary Report - 12 Months Endi'!CDH2</f>
        <v>0</v>
      </c>
      <c r="CDJ3">
        <f>'[12]Summary Report - 12 Months Endi'!CDI2</f>
        <v>0</v>
      </c>
      <c r="CDK3">
        <f>'[12]Summary Report - 12 Months Endi'!CDJ2</f>
        <v>0</v>
      </c>
      <c r="CDL3">
        <f>'[12]Summary Report - 12 Months Endi'!CDK2</f>
        <v>0</v>
      </c>
      <c r="CDM3">
        <f>'[12]Summary Report - 12 Months Endi'!CDL2</f>
        <v>0</v>
      </c>
      <c r="CDN3">
        <f>'[12]Summary Report - 12 Months Endi'!CDM2</f>
        <v>0</v>
      </c>
      <c r="CDO3">
        <f>'[12]Summary Report - 12 Months Endi'!CDN2</f>
        <v>0</v>
      </c>
      <c r="CDP3">
        <f>'[12]Summary Report - 12 Months Endi'!CDO2</f>
        <v>0</v>
      </c>
      <c r="CDQ3">
        <f>'[12]Summary Report - 12 Months Endi'!CDP2</f>
        <v>0</v>
      </c>
      <c r="CDR3">
        <f>'[12]Summary Report - 12 Months Endi'!CDQ2</f>
        <v>0</v>
      </c>
      <c r="CDS3">
        <f>'[12]Summary Report - 12 Months Endi'!CDR2</f>
        <v>0</v>
      </c>
      <c r="CDT3">
        <f>'[12]Summary Report - 12 Months Endi'!CDS2</f>
        <v>0</v>
      </c>
      <c r="CDU3">
        <f>'[12]Summary Report - 12 Months Endi'!CDT2</f>
        <v>0</v>
      </c>
      <c r="CDV3">
        <f>'[12]Summary Report - 12 Months Endi'!CDU2</f>
        <v>0</v>
      </c>
      <c r="CDW3">
        <f>'[12]Summary Report - 12 Months Endi'!CDV2</f>
        <v>0</v>
      </c>
      <c r="CDX3">
        <f>'[12]Summary Report - 12 Months Endi'!CDW2</f>
        <v>0</v>
      </c>
      <c r="CDY3">
        <f>'[12]Summary Report - 12 Months Endi'!CDX2</f>
        <v>0</v>
      </c>
      <c r="CDZ3">
        <f>'[12]Summary Report - 12 Months Endi'!CDY2</f>
        <v>0</v>
      </c>
      <c r="CEA3">
        <f>'[12]Summary Report - 12 Months Endi'!CDZ2</f>
        <v>0</v>
      </c>
      <c r="CEB3">
        <f>'[12]Summary Report - 12 Months Endi'!CEA2</f>
        <v>0</v>
      </c>
      <c r="CEC3">
        <f>'[12]Summary Report - 12 Months Endi'!CEB2</f>
        <v>0</v>
      </c>
      <c r="CED3">
        <f>'[12]Summary Report - 12 Months Endi'!CEC2</f>
        <v>0</v>
      </c>
      <c r="CEE3">
        <f>'[12]Summary Report - 12 Months Endi'!CED2</f>
        <v>0</v>
      </c>
      <c r="CEF3">
        <f>'[12]Summary Report - 12 Months Endi'!CEE2</f>
        <v>0</v>
      </c>
      <c r="CEG3">
        <f>'[12]Summary Report - 12 Months Endi'!CEF2</f>
        <v>0</v>
      </c>
      <c r="CEH3">
        <f>'[12]Summary Report - 12 Months Endi'!CEG2</f>
        <v>0</v>
      </c>
      <c r="CEI3">
        <f>'[12]Summary Report - 12 Months Endi'!CEH2</f>
        <v>0</v>
      </c>
      <c r="CEJ3">
        <f>'[12]Summary Report - 12 Months Endi'!CEI2</f>
        <v>0</v>
      </c>
      <c r="CEK3">
        <f>'[12]Summary Report - 12 Months Endi'!CEJ2</f>
        <v>0</v>
      </c>
      <c r="CEL3">
        <f>'[12]Summary Report - 12 Months Endi'!CEK2</f>
        <v>0</v>
      </c>
      <c r="CEM3">
        <f>'[12]Summary Report - 12 Months Endi'!CEL2</f>
        <v>0</v>
      </c>
      <c r="CEN3">
        <f>'[12]Summary Report - 12 Months Endi'!CEM2</f>
        <v>0</v>
      </c>
      <c r="CEO3">
        <f>'[12]Summary Report - 12 Months Endi'!CEN2</f>
        <v>0</v>
      </c>
      <c r="CEP3">
        <f>'[12]Summary Report - 12 Months Endi'!CEO2</f>
        <v>0</v>
      </c>
      <c r="CEQ3">
        <f>'[12]Summary Report - 12 Months Endi'!CEP2</f>
        <v>0</v>
      </c>
      <c r="CER3">
        <f>'[12]Summary Report - 12 Months Endi'!CEQ2</f>
        <v>0</v>
      </c>
      <c r="CES3">
        <f>'[12]Summary Report - 12 Months Endi'!CER2</f>
        <v>0</v>
      </c>
      <c r="CET3">
        <f>'[12]Summary Report - 12 Months Endi'!CES2</f>
        <v>0</v>
      </c>
      <c r="CEU3">
        <f>'[12]Summary Report - 12 Months Endi'!CET2</f>
        <v>0</v>
      </c>
      <c r="CEV3">
        <f>'[12]Summary Report - 12 Months Endi'!CEU2</f>
        <v>0</v>
      </c>
      <c r="CEW3">
        <f>'[12]Summary Report - 12 Months Endi'!CEV2</f>
        <v>0</v>
      </c>
      <c r="CEX3">
        <f>'[12]Summary Report - 12 Months Endi'!CEW2</f>
        <v>0</v>
      </c>
      <c r="CEY3">
        <f>'[12]Summary Report - 12 Months Endi'!CEX2</f>
        <v>0</v>
      </c>
      <c r="CEZ3">
        <f>'[12]Summary Report - 12 Months Endi'!CEY2</f>
        <v>0</v>
      </c>
      <c r="CFA3">
        <f>'[12]Summary Report - 12 Months Endi'!CEZ2</f>
        <v>0</v>
      </c>
      <c r="CFB3">
        <f>'[12]Summary Report - 12 Months Endi'!CFA2</f>
        <v>0</v>
      </c>
      <c r="CFC3">
        <f>'[12]Summary Report - 12 Months Endi'!CFB2</f>
        <v>0</v>
      </c>
      <c r="CFD3">
        <f>'[12]Summary Report - 12 Months Endi'!CFC2</f>
        <v>0</v>
      </c>
      <c r="CFE3">
        <f>'[12]Summary Report - 12 Months Endi'!CFD2</f>
        <v>0</v>
      </c>
      <c r="CFF3">
        <f>'[12]Summary Report - 12 Months Endi'!CFE2</f>
        <v>0</v>
      </c>
      <c r="CFG3">
        <f>'[12]Summary Report - 12 Months Endi'!CFF2</f>
        <v>0</v>
      </c>
      <c r="CFH3">
        <f>'[12]Summary Report - 12 Months Endi'!CFG2</f>
        <v>0</v>
      </c>
      <c r="CFI3">
        <f>'[12]Summary Report - 12 Months Endi'!CFH2</f>
        <v>0</v>
      </c>
      <c r="CFJ3">
        <f>'[12]Summary Report - 12 Months Endi'!CFI2</f>
        <v>0</v>
      </c>
      <c r="CFK3">
        <f>'[12]Summary Report - 12 Months Endi'!CFJ2</f>
        <v>0</v>
      </c>
      <c r="CFL3">
        <f>'[12]Summary Report - 12 Months Endi'!CFK2</f>
        <v>0</v>
      </c>
      <c r="CFM3">
        <f>'[12]Summary Report - 12 Months Endi'!CFL2</f>
        <v>0</v>
      </c>
      <c r="CFN3">
        <f>'[12]Summary Report - 12 Months Endi'!CFM2</f>
        <v>0</v>
      </c>
      <c r="CFO3">
        <f>'[12]Summary Report - 12 Months Endi'!CFN2</f>
        <v>0</v>
      </c>
      <c r="CFP3">
        <f>'[12]Summary Report - 12 Months Endi'!CFO2</f>
        <v>0</v>
      </c>
      <c r="CFQ3">
        <f>'[12]Summary Report - 12 Months Endi'!CFP2</f>
        <v>0</v>
      </c>
      <c r="CFR3">
        <f>'[12]Summary Report - 12 Months Endi'!CFQ2</f>
        <v>0</v>
      </c>
      <c r="CFS3">
        <f>'[12]Summary Report - 12 Months Endi'!CFR2</f>
        <v>0</v>
      </c>
      <c r="CFT3">
        <f>'[12]Summary Report - 12 Months Endi'!CFS2</f>
        <v>0</v>
      </c>
      <c r="CFU3">
        <f>'[12]Summary Report - 12 Months Endi'!CFT2</f>
        <v>0</v>
      </c>
      <c r="CFV3">
        <f>'[12]Summary Report - 12 Months Endi'!CFU2</f>
        <v>0</v>
      </c>
      <c r="CFW3">
        <f>'[12]Summary Report - 12 Months Endi'!CFV2</f>
        <v>0</v>
      </c>
      <c r="CFX3">
        <f>'[12]Summary Report - 12 Months Endi'!CFW2</f>
        <v>0</v>
      </c>
      <c r="CFY3">
        <f>'[12]Summary Report - 12 Months Endi'!CFX2</f>
        <v>0</v>
      </c>
      <c r="CFZ3">
        <f>'[12]Summary Report - 12 Months Endi'!CFY2</f>
        <v>0</v>
      </c>
      <c r="CGA3">
        <f>'[12]Summary Report - 12 Months Endi'!CFZ2</f>
        <v>0</v>
      </c>
      <c r="CGB3">
        <f>'[12]Summary Report - 12 Months Endi'!CGA2</f>
        <v>0</v>
      </c>
      <c r="CGC3">
        <f>'[12]Summary Report - 12 Months Endi'!CGB2</f>
        <v>0</v>
      </c>
      <c r="CGD3">
        <f>'[12]Summary Report - 12 Months Endi'!CGC2</f>
        <v>0</v>
      </c>
      <c r="CGE3">
        <f>'[12]Summary Report - 12 Months Endi'!CGD2</f>
        <v>0</v>
      </c>
      <c r="CGF3">
        <f>'[12]Summary Report - 12 Months Endi'!CGE2</f>
        <v>0</v>
      </c>
      <c r="CGG3">
        <f>'[12]Summary Report - 12 Months Endi'!CGF2</f>
        <v>0</v>
      </c>
      <c r="CGH3">
        <f>'[12]Summary Report - 12 Months Endi'!CGG2</f>
        <v>0</v>
      </c>
      <c r="CGI3">
        <f>'[12]Summary Report - 12 Months Endi'!CGH2</f>
        <v>0</v>
      </c>
      <c r="CGJ3">
        <f>'[12]Summary Report - 12 Months Endi'!CGI2</f>
        <v>0</v>
      </c>
      <c r="CGK3">
        <f>'[12]Summary Report - 12 Months Endi'!CGJ2</f>
        <v>0</v>
      </c>
      <c r="CGL3">
        <f>'[12]Summary Report - 12 Months Endi'!CGK2</f>
        <v>0</v>
      </c>
      <c r="CGM3">
        <f>'[12]Summary Report - 12 Months Endi'!CGL2</f>
        <v>0</v>
      </c>
      <c r="CGN3">
        <f>'[12]Summary Report - 12 Months Endi'!CGM2</f>
        <v>0</v>
      </c>
      <c r="CGO3">
        <f>'[12]Summary Report - 12 Months Endi'!CGN2</f>
        <v>0</v>
      </c>
      <c r="CGP3">
        <f>'[12]Summary Report - 12 Months Endi'!CGO2</f>
        <v>0</v>
      </c>
      <c r="CGQ3">
        <f>'[12]Summary Report - 12 Months Endi'!CGP2</f>
        <v>0</v>
      </c>
      <c r="CGR3">
        <f>'[12]Summary Report - 12 Months Endi'!CGQ2</f>
        <v>0</v>
      </c>
      <c r="CGS3">
        <f>'[12]Summary Report - 12 Months Endi'!CGR2</f>
        <v>0</v>
      </c>
      <c r="CGT3">
        <f>'[12]Summary Report - 12 Months Endi'!CGS2</f>
        <v>0</v>
      </c>
      <c r="CGU3">
        <f>'[12]Summary Report - 12 Months Endi'!CGT2</f>
        <v>0</v>
      </c>
      <c r="CGV3">
        <f>'[12]Summary Report - 12 Months Endi'!CGU2</f>
        <v>0</v>
      </c>
      <c r="CGW3">
        <f>'[12]Summary Report - 12 Months Endi'!CGV2</f>
        <v>0</v>
      </c>
      <c r="CGX3">
        <f>'[12]Summary Report - 12 Months Endi'!CGW2</f>
        <v>0</v>
      </c>
      <c r="CGY3">
        <f>'[12]Summary Report - 12 Months Endi'!CGX2</f>
        <v>0</v>
      </c>
      <c r="CGZ3">
        <f>'[12]Summary Report - 12 Months Endi'!CGY2</f>
        <v>0</v>
      </c>
      <c r="CHA3">
        <f>'[12]Summary Report - 12 Months Endi'!CGZ2</f>
        <v>0</v>
      </c>
      <c r="CHB3">
        <f>'[12]Summary Report - 12 Months Endi'!CHA2</f>
        <v>0</v>
      </c>
      <c r="CHC3">
        <f>'[12]Summary Report - 12 Months Endi'!CHB2</f>
        <v>0</v>
      </c>
      <c r="CHD3">
        <f>'[12]Summary Report - 12 Months Endi'!CHC2</f>
        <v>0</v>
      </c>
      <c r="CHE3">
        <f>'[12]Summary Report - 12 Months Endi'!CHD2</f>
        <v>0</v>
      </c>
      <c r="CHF3">
        <f>'[12]Summary Report - 12 Months Endi'!CHE2</f>
        <v>0</v>
      </c>
      <c r="CHG3">
        <f>'[12]Summary Report - 12 Months Endi'!CHF2</f>
        <v>0</v>
      </c>
      <c r="CHH3">
        <f>'[12]Summary Report - 12 Months Endi'!CHG2</f>
        <v>0</v>
      </c>
      <c r="CHI3">
        <f>'[12]Summary Report - 12 Months Endi'!CHH2</f>
        <v>0</v>
      </c>
      <c r="CHJ3">
        <f>'[12]Summary Report - 12 Months Endi'!CHI2</f>
        <v>0</v>
      </c>
      <c r="CHK3">
        <f>'[12]Summary Report - 12 Months Endi'!CHJ2</f>
        <v>0</v>
      </c>
      <c r="CHL3">
        <f>'[12]Summary Report - 12 Months Endi'!CHK2</f>
        <v>0</v>
      </c>
      <c r="CHM3">
        <f>'[12]Summary Report - 12 Months Endi'!CHL2</f>
        <v>0</v>
      </c>
      <c r="CHN3">
        <f>'[12]Summary Report - 12 Months Endi'!CHM2</f>
        <v>0</v>
      </c>
      <c r="CHO3">
        <f>'[12]Summary Report - 12 Months Endi'!CHN2</f>
        <v>0</v>
      </c>
      <c r="CHP3">
        <f>'[12]Summary Report - 12 Months Endi'!CHO2</f>
        <v>0</v>
      </c>
      <c r="CHQ3">
        <f>'[12]Summary Report - 12 Months Endi'!CHP2</f>
        <v>0</v>
      </c>
      <c r="CHR3">
        <f>'[12]Summary Report - 12 Months Endi'!CHQ2</f>
        <v>0</v>
      </c>
      <c r="CHS3">
        <f>'[12]Summary Report - 12 Months Endi'!CHR2</f>
        <v>0</v>
      </c>
      <c r="CHT3">
        <f>'[12]Summary Report - 12 Months Endi'!CHS2</f>
        <v>0</v>
      </c>
      <c r="CHU3">
        <f>'[12]Summary Report - 12 Months Endi'!CHT2</f>
        <v>0</v>
      </c>
      <c r="CHV3">
        <f>'[12]Summary Report - 12 Months Endi'!CHU2</f>
        <v>0</v>
      </c>
      <c r="CHW3">
        <f>'[12]Summary Report - 12 Months Endi'!CHV2</f>
        <v>0</v>
      </c>
      <c r="CHX3">
        <f>'[12]Summary Report - 12 Months Endi'!CHW2</f>
        <v>0</v>
      </c>
      <c r="CHY3">
        <f>'[12]Summary Report - 12 Months Endi'!CHX2</f>
        <v>0</v>
      </c>
      <c r="CHZ3">
        <f>'[12]Summary Report - 12 Months Endi'!CHY2</f>
        <v>0</v>
      </c>
      <c r="CIA3">
        <f>'[12]Summary Report - 12 Months Endi'!CHZ2</f>
        <v>0</v>
      </c>
      <c r="CIB3">
        <f>'[12]Summary Report - 12 Months Endi'!CIA2</f>
        <v>0</v>
      </c>
      <c r="CIC3">
        <f>'[12]Summary Report - 12 Months Endi'!CIB2</f>
        <v>0</v>
      </c>
      <c r="CID3">
        <f>'[12]Summary Report - 12 Months Endi'!CIC2</f>
        <v>0</v>
      </c>
      <c r="CIE3">
        <f>'[12]Summary Report - 12 Months Endi'!CID2</f>
        <v>0</v>
      </c>
      <c r="CIF3">
        <f>'[12]Summary Report - 12 Months Endi'!CIE2</f>
        <v>0</v>
      </c>
      <c r="CIG3">
        <f>'[12]Summary Report - 12 Months Endi'!CIF2</f>
        <v>0</v>
      </c>
      <c r="CIH3">
        <f>'[12]Summary Report - 12 Months Endi'!CIG2</f>
        <v>0</v>
      </c>
      <c r="CII3">
        <f>'[12]Summary Report - 12 Months Endi'!CIH2</f>
        <v>0</v>
      </c>
      <c r="CIJ3">
        <f>'[12]Summary Report - 12 Months Endi'!CII2</f>
        <v>0</v>
      </c>
      <c r="CIK3">
        <f>'[12]Summary Report - 12 Months Endi'!CIJ2</f>
        <v>0</v>
      </c>
      <c r="CIL3">
        <f>'[12]Summary Report - 12 Months Endi'!CIK2</f>
        <v>0</v>
      </c>
      <c r="CIM3">
        <f>'[12]Summary Report - 12 Months Endi'!CIL2</f>
        <v>0</v>
      </c>
      <c r="CIN3">
        <f>'[12]Summary Report - 12 Months Endi'!CIM2</f>
        <v>0</v>
      </c>
      <c r="CIO3">
        <f>'[12]Summary Report - 12 Months Endi'!CIN2</f>
        <v>0</v>
      </c>
      <c r="CIP3">
        <f>'[12]Summary Report - 12 Months Endi'!CIO2</f>
        <v>0</v>
      </c>
      <c r="CIQ3">
        <f>'[12]Summary Report - 12 Months Endi'!CIP2</f>
        <v>0</v>
      </c>
      <c r="CIR3">
        <f>'[12]Summary Report - 12 Months Endi'!CIQ2</f>
        <v>0</v>
      </c>
      <c r="CIS3">
        <f>'[12]Summary Report - 12 Months Endi'!CIR2</f>
        <v>0</v>
      </c>
      <c r="CIT3">
        <f>'[12]Summary Report - 12 Months Endi'!CIS2</f>
        <v>0</v>
      </c>
      <c r="CIU3">
        <f>'[12]Summary Report - 12 Months Endi'!CIT2</f>
        <v>0</v>
      </c>
      <c r="CIV3">
        <f>'[12]Summary Report - 12 Months Endi'!CIU2</f>
        <v>0</v>
      </c>
      <c r="CIW3">
        <f>'[12]Summary Report - 12 Months Endi'!CIV2</f>
        <v>0</v>
      </c>
      <c r="CIX3">
        <f>'[12]Summary Report - 12 Months Endi'!CIW2</f>
        <v>0</v>
      </c>
      <c r="CIY3">
        <f>'[12]Summary Report - 12 Months Endi'!CIX2</f>
        <v>0</v>
      </c>
      <c r="CIZ3">
        <f>'[12]Summary Report - 12 Months Endi'!CIY2</f>
        <v>0</v>
      </c>
      <c r="CJA3">
        <f>'[12]Summary Report - 12 Months Endi'!CIZ2</f>
        <v>0</v>
      </c>
      <c r="CJB3">
        <f>'[12]Summary Report - 12 Months Endi'!CJA2</f>
        <v>0</v>
      </c>
      <c r="CJC3">
        <f>'[12]Summary Report - 12 Months Endi'!CJB2</f>
        <v>0</v>
      </c>
      <c r="CJD3">
        <f>'[12]Summary Report - 12 Months Endi'!CJC2</f>
        <v>0</v>
      </c>
      <c r="CJE3">
        <f>'[12]Summary Report - 12 Months Endi'!CJD2</f>
        <v>0</v>
      </c>
      <c r="CJF3">
        <f>'[12]Summary Report - 12 Months Endi'!CJE2</f>
        <v>0</v>
      </c>
      <c r="CJG3">
        <f>'[12]Summary Report - 12 Months Endi'!CJF2</f>
        <v>0</v>
      </c>
      <c r="CJH3">
        <f>'[12]Summary Report - 12 Months Endi'!CJG2</f>
        <v>0</v>
      </c>
      <c r="CJI3">
        <f>'[12]Summary Report - 12 Months Endi'!CJH2</f>
        <v>0</v>
      </c>
      <c r="CJJ3">
        <f>'[12]Summary Report - 12 Months Endi'!CJI2</f>
        <v>0</v>
      </c>
      <c r="CJK3">
        <f>'[12]Summary Report - 12 Months Endi'!CJJ2</f>
        <v>0</v>
      </c>
      <c r="CJL3">
        <f>'[12]Summary Report - 12 Months Endi'!CJK2</f>
        <v>0</v>
      </c>
      <c r="CJM3">
        <f>'[12]Summary Report - 12 Months Endi'!CJL2</f>
        <v>0</v>
      </c>
      <c r="CJN3">
        <f>'[12]Summary Report - 12 Months Endi'!CJM2</f>
        <v>0</v>
      </c>
      <c r="CJO3">
        <f>'[12]Summary Report - 12 Months Endi'!CJN2</f>
        <v>0</v>
      </c>
      <c r="CJP3">
        <f>'[12]Summary Report - 12 Months Endi'!CJO2</f>
        <v>0</v>
      </c>
      <c r="CJQ3">
        <f>'[12]Summary Report - 12 Months Endi'!CJP2</f>
        <v>0</v>
      </c>
      <c r="CJR3">
        <f>'[12]Summary Report - 12 Months Endi'!CJQ2</f>
        <v>0</v>
      </c>
      <c r="CJS3">
        <f>'[12]Summary Report - 12 Months Endi'!CJR2</f>
        <v>0</v>
      </c>
      <c r="CJT3">
        <f>'[12]Summary Report - 12 Months Endi'!CJS2</f>
        <v>0</v>
      </c>
      <c r="CJU3">
        <f>'[12]Summary Report - 12 Months Endi'!CJT2</f>
        <v>0</v>
      </c>
      <c r="CJV3">
        <f>'[12]Summary Report - 12 Months Endi'!CJU2</f>
        <v>0</v>
      </c>
      <c r="CJW3">
        <f>'[12]Summary Report - 12 Months Endi'!CJV2</f>
        <v>0</v>
      </c>
      <c r="CJX3">
        <f>'[12]Summary Report - 12 Months Endi'!CJW2</f>
        <v>0</v>
      </c>
      <c r="CJY3">
        <f>'[12]Summary Report - 12 Months Endi'!CJX2</f>
        <v>0</v>
      </c>
      <c r="CJZ3">
        <f>'[12]Summary Report - 12 Months Endi'!CJY2</f>
        <v>0</v>
      </c>
      <c r="CKA3">
        <f>'[12]Summary Report - 12 Months Endi'!CJZ2</f>
        <v>0</v>
      </c>
      <c r="CKB3">
        <f>'[12]Summary Report - 12 Months Endi'!CKA2</f>
        <v>0</v>
      </c>
      <c r="CKC3">
        <f>'[12]Summary Report - 12 Months Endi'!CKB2</f>
        <v>0</v>
      </c>
      <c r="CKD3">
        <f>'[12]Summary Report - 12 Months Endi'!CKC2</f>
        <v>0</v>
      </c>
      <c r="CKE3">
        <f>'[12]Summary Report - 12 Months Endi'!CKD2</f>
        <v>0</v>
      </c>
      <c r="CKF3">
        <f>'[12]Summary Report - 12 Months Endi'!CKE2</f>
        <v>0</v>
      </c>
      <c r="CKG3">
        <f>'[12]Summary Report - 12 Months Endi'!CKF2</f>
        <v>0</v>
      </c>
      <c r="CKH3">
        <f>'[12]Summary Report - 12 Months Endi'!CKG2</f>
        <v>0</v>
      </c>
      <c r="CKI3">
        <f>'[12]Summary Report - 12 Months Endi'!CKH2</f>
        <v>0</v>
      </c>
      <c r="CKJ3">
        <f>'[12]Summary Report - 12 Months Endi'!CKI2</f>
        <v>0</v>
      </c>
      <c r="CKK3">
        <f>'[12]Summary Report - 12 Months Endi'!CKJ2</f>
        <v>0</v>
      </c>
      <c r="CKL3">
        <f>'[12]Summary Report - 12 Months Endi'!CKK2</f>
        <v>0</v>
      </c>
      <c r="CKM3">
        <f>'[12]Summary Report - 12 Months Endi'!CKL2</f>
        <v>0</v>
      </c>
      <c r="CKN3">
        <f>'[12]Summary Report - 12 Months Endi'!CKM2</f>
        <v>0</v>
      </c>
      <c r="CKO3">
        <f>'[12]Summary Report - 12 Months Endi'!CKN2</f>
        <v>0</v>
      </c>
      <c r="CKP3">
        <f>'[12]Summary Report - 12 Months Endi'!CKO2</f>
        <v>0</v>
      </c>
      <c r="CKQ3">
        <f>'[12]Summary Report - 12 Months Endi'!CKP2</f>
        <v>0</v>
      </c>
      <c r="CKR3">
        <f>'[12]Summary Report - 12 Months Endi'!CKQ2</f>
        <v>0</v>
      </c>
      <c r="CKS3">
        <f>'[12]Summary Report - 12 Months Endi'!CKR2</f>
        <v>0</v>
      </c>
      <c r="CKT3">
        <f>'[12]Summary Report - 12 Months Endi'!CKS2</f>
        <v>0</v>
      </c>
      <c r="CKU3">
        <f>'[12]Summary Report - 12 Months Endi'!CKT2</f>
        <v>0</v>
      </c>
      <c r="CKV3">
        <f>'[12]Summary Report - 12 Months Endi'!CKU2</f>
        <v>0</v>
      </c>
      <c r="CKW3">
        <f>'[12]Summary Report - 12 Months Endi'!CKV2</f>
        <v>0</v>
      </c>
      <c r="CKX3">
        <f>'[12]Summary Report - 12 Months Endi'!CKW2</f>
        <v>0</v>
      </c>
      <c r="CKY3">
        <f>'[12]Summary Report - 12 Months Endi'!CKX2</f>
        <v>0</v>
      </c>
      <c r="CKZ3">
        <f>'[12]Summary Report - 12 Months Endi'!CKY2</f>
        <v>0</v>
      </c>
      <c r="CLA3">
        <f>'[12]Summary Report - 12 Months Endi'!CKZ2</f>
        <v>0</v>
      </c>
      <c r="CLB3">
        <f>'[12]Summary Report - 12 Months Endi'!CLA2</f>
        <v>0</v>
      </c>
      <c r="CLC3">
        <f>'[12]Summary Report - 12 Months Endi'!CLB2</f>
        <v>0</v>
      </c>
      <c r="CLD3">
        <f>'[12]Summary Report - 12 Months Endi'!CLC2</f>
        <v>0</v>
      </c>
      <c r="CLE3">
        <f>'[12]Summary Report - 12 Months Endi'!CLD2</f>
        <v>0</v>
      </c>
      <c r="CLF3">
        <f>'[12]Summary Report - 12 Months Endi'!CLE2</f>
        <v>0</v>
      </c>
      <c r="CLG3">
        <f>'[12]Summary Report - 12 Months Endi'!CLF2</f>
        <v>0</v>
      </c>
      <c r="CLH3">
        <f>'[12]Summary Report - 12 Months Endi'!CLG2</f>
        <v>0</v>
      </c>
      <c r="CLI3">
        <f>'[12]Summary Report - 12 Months Endi'!CLH2</f>
        <v>0</v>
      </c>
      <c r="CLJ3">
        <f>'[12]Summary Report - 12 Months Endi'!CLI2</f>
        <v>0</v>
      </c>
      <c r="CLK3">
        <f>'[12]Summary Report - 12 Months Endi'!CLJ2</f>
        <v>0</v>
      </c>
      <c r="CLL3">
        <f>'[12]Summary Report - 12 Months Endi'!CLK2</f>
        <v>0</v>
      </c>
      <c r="CLM3">
        <f>'[12]Summary Report - 12 Months Endi'!CLL2</f>
        <v>0</v>
      </c>
      <c r="CLN3">
        <f>'[12]Summary Report - 12 Months Endi'!CLM2</f>
        <v>0</v>
      </c>
      <c r="CLO3">
        <f>'[12]Summary Report - 12 Months Endi'!CLN2</f>
        <v>0</v>
      </c>
      <c r="CLP3">
        <f>'[12]Summary Report - 12 Months Endi'!CLO2</f>
        <v>0</v>
      </c>
      <c r="CLQ3">
        <f>'[12]Summary Report - 12 Months Endi'!CLP2</f>
        <v>0</v>
      </c>
      <c r="CLR3">
        <f>'[12]Summary Report - 12 Months Endi'!CLQ2</f>
        <v>0</v>
      </c>
      <c r="CLS3">
        <f>'[12]Summary Report - 12 Months Endi'!CLR2</f>
        <v>0</v>
      </c>
      <c r="CLT3">
        <f>'[12]Summary Report - 12 Months Endi'!CLS2</f>
        <v>0</v>
      </c>
      <c r="CLU3">
        <f>'[12]Summary Report - 12 Months Endi'!CLT2</f>
        <v>0</v>
      </c>
      <c r="CLV3">
        <f>'[12]Summary Report - 12 Months Endi'!CLU2</f>
        <v>0</v>
      </c>
      <c r="CLW3">
        <f>'[12]Summary Report - 12 Months Endi'!CLV2</f>
        <v>0</v>
      </c>
      <c r="CLX3">
        <f>'[12]Summary Report - 12 Months Endi'!CLW2</f>
        <v>0</v>
      </c>
      <c r="CLY3">
        <f>'[12]Summary Report - 12 Months Endi'!CLX2</f>
        <v>0</v>
      </c>
      <c r="CLZ3">
        <f>'[12]Summary Report - 12 Months Endi'!CLY2</f>
        <v>0</v>
      </c>
      <c r="CMA3">
        <f>'[12]Summary Report - 12 Months Endi'!CLZ2</f>
        <v>0</v>
      </c>
      <c r="CMB3">
        <f>'[12]Summary Report - 12 Months Endi'!CMA2</f>
        <v>0</v>
      </c>
      <c r="CMC3">
        <f>'[12]Summary Report - 12 Months Endi'!CMB2</f>
        <v>0</v>
      </c>
      <c r="CMD3">
        <f>'[12]Summary Report - 12 Months Endi'!CMC2</f>
        <v>0</v>
      </c>
      <c r="CME3">
        <f>'[12]Summary Report - 12 Months Endi'!CMD2</f>
        <v>0</v>
      </c>
      <c r="CMF3">
        <f>'[12]Summary Report - 12 Months Endi'!CME2</f>
        <v>0</v>
      </c>
      <c r="CMG3">
        <f>'[12]Summary Report - 12 Months Endi'!CMF2</f>
        <v>0</v>
      </c>
      <c r="CMH3">
        <f>'[12]Summary Report - 12 Months Endi'!CMG2</f>
        <v>0</v>
      </c>
      <c r="CMI3">
        <f>'[12]Summary Report - 12 Months Endi'!CMH2</f>
        <v>0</v>
      </c>
      <c r="CMJ3">
        <f>'[12]Summary Report - 12 Months Endi'!CMI2</f>
        <v>0</v>
      </c>
      <c r="CMK3">
        <f>'[12]Summary Report - 12 Months Endi'!CMJ2</f>
        <v>0</v>
      </c>
      <c r="CML3">
        <f>'[12]Summary Report - 12 Months Endi'!CMK2</f>
        <v>0</v>
      </c>
      <c r="CMM3">
        <f>'[12]Summary Report - 12 Months Endi'!CML2</f>
        <v>0</v>
      </c>
      <c r="CMN3">
        <f>'[12]Summary Report - 12 Months Endi'!CMM2</f>
        <v>0</v>
      </c>
      <c r="CMO3">
        <f>'[12]Summary Report - 12 Months Endi'!CMN2</f>
        <v>0</v>
      </c>
      <c r="CMP3">
        <f>'[12]Summary Report - 12 Months Endi'!CMO2</f>
        <v>0</v>
      </c>
      <c r="CMQ3">
        <f>'[12]Summary Report - 12 Months Endi'!CMP2</f>
        <v>0</v>
      </c>
      <c r="CMR3">
        <f>'[12]Summary Report - 12 Months Endi'!CMQ2</f>
        <v>0</v>
      </c>
      <c r="CMS3">
        <f>'[12]Summary Report - 12 Months Endi'!CMR2</f>
        <v>0</v>
      </c>
      <c r="CMT3">
        <f>'[12]Summary Report - 12 Months Endi'!CMS2</f>
        <v>0</v>
      </c>
      <c r="CMU3">
        <f>'[12]Summary Report - 12 Months Endi'!CMT2</f>
        <v>0</v>
      </c>
      <c r="CMV3">
        <f>'[12]Summary Report - 12 Months Endi'!CMU2</f>
        <v>0</v>
      </c>
      <c r="CMW3">
        <f>'[12]Summary Report - 12 Months Endi'!CMV2</f>
        <v>0</v>
      </c>
      <c r="CMX3">
        <f>'[12]Summary Report - 12 Months Endi'!CMW2</f>
        <v>0</v>
      </c>
      <c r="CMY3">
        <f>'[12]Summary Report - 12 Months Endi'!CMX2</f>
        <v>0</v>
      </c>
      <c r="CMZ3">
        <f>'[12]Summary Report - 12 Months Endi'!CMY2</f>
        <v>0</v>
      </c>
      <c r="CNA3">
        <f>'[12]Summary Report - 12 Months Endi'!CMZ2</f>
        <v>0</v>
      </c>
      <c r="CNB3">
        <f>'[12]Summary Report - 12 Months Endi'!CNA2</f>
        <v>0</v>
      </c>
      <c r="CNC3">
        <f>'[12]Summary Report - 12 Months Endi'!CNB2</f>
        <v>0</v>
      </c>
      <c r="CND3">
        <f>'[12]Summary Report - 12 Months Endi'!CNC2</f>
        <v>0</v>
      </c>
      <c r="CNE3">
        <f>'[12]Summary Report - 12 Months Endi'!CND2</f>
        <v>0</v>
      </c>
      <c r="CNF3">
        <f>'[12]Summary Report - 12 Months Endi'!CNE2</f>
        <v>0</v>
      </c>
      <c r="CNG3">
        <f>'[12]Summary Report - 12 Months Endi'!CNF2</f>
        <v>0</v>
      </c>
      <c r="CNH3">
        <f>'[12]Summary Report - 12 Months Endi'!CNG2</f>
        <v>0</v>
      </c>
      <c r="CNI3">
        <f>'[12]Summary Report - 12 Months Endi'!CNH2</f>
        <v>0</v>
      </c>
      <c r="CNJ3">
        <f>'[12]Summary Report - 12 Months Endi'!CNI2</f>
        <v>0</v>
      </c>
      <c r="CNK3">
        <f>'[12]Summary Report - 12 Months Endi'!CNJ2</f>
        <v>0</v>
      </c>
      <c r="CNL3">
        <f>'[12]Summary Report - 12 Months Endi'!CNK2</f>
        <v>0</v>
      </c>
      <c r="CNM3">
        <f>'[12]Summary Report - 12 Months Endi'!CNL2</f>
        <v>0</v>
      </c>
      <c r="CNN3">
        <f>'[12]Summary Report - 12 Months Endi'!CNM2</f>
        <v>0</v>
      </c>
      <c r="CNO3">
        <f>'[12]Summary Report - 12 Months Endi'!CNN2</f>
        <v>0</v>
      </c>
      <c r="CNP3">
        <f>'[12]Summary Report - 12 Months Endi'!CNO2</f>
        <v>0</v>
      </c>
      <c r="CNQ3">
        <f>'[12]Summary Report - 12 Months Endi'!CNP2</f>
        <v>0</v>
      </c>
      <c r="CNR3">
        <f>'[12]Summary Report - 12 Months Endi'!CNQ2</f>
        <v>0</v>
      </c>
      <c r="CNS3">
        <f>'[12]Summary Report - 12 Months Endi'!CNR2</f>
        <v>0</v>
      </c>
      <c r="CNT3">
        <f>'[12]Summary Report - 12 Months Endi'!CNS2</f>
        <v>0</v>
      </c>
      <c r="CNU3">
        <f>'[12]Summary Report - 12 Months Endi'!CNT2</f>
        <v>0</v>
      </c>
      <c r="CNV3">
        <f>'[12]Summary Report - 12 Months Endi'!CNU2</f>
        <v>0</v>
      </c>
      <c r="CNW3">
        <f>'[12]Summary Report - 12 Months Endi'!CNV2</f>
        <v>0</v>
      </c>
      <c r="CNX3">
        <f>'[12]Summary Report - 12 Months Endi'!CNW2</f>
        <v>0</v>
      </c>
      <c r="CNY3">
        <f>'[12]Summary Report - 12 Months Endi'!CNX2</f>
        <v>0</v>
      </c>
      <c r="CNZ3">
        <f>'[12]Summary Report - 12 Months Endi'!CNY2</f>
        <v>0</v>
      </c>
      <c r="COA3">
        <f>'[12]Summary Report - 12 Months Endi'!CNZ2</f>
        <v>0</v>
      </c>
      <c r="COB3">
        <f>'[12]Summary Report - 12 Months Endi'!COA2</f>
        <v>0</v>
      </c>
      <c r="COC3">
        <f>'[12]Summary Report - 12 Months Endi'!COB2</f>
        <v>0</v>
      </c>
      <c r="COD3">
        <f>'[12]Summary Report - 12 Months Endi'!COC2</f>
        <v>0</v>
      </c>
      <c r="COE3">
        <f>'[12]Summary Report - 12 Months Endi'!COD2</f>
        <v>0</v>
      </c>
      <c r="COF3">
        <f>'[12]Summary Report - 12 Months Endi'!COE2</f>
        <v>0</v>
      </c>
      <c r="COG3">
        <f>'[12]Summary Report - 12 Months Endi'!COF2</f>
        <v>0</v>
      </c>
      <c r="COH3">
        <f>'[12]Summary Report - 12 Months Endi'!COG2</f>
        <v>0</v>
      </c>
      <c r="COI3">
        <f>'[12]Summary Report - 12 Months Endi'!COH2</f>
        <v>0</v>
      </c>
      <c r="COJ3">
        <f>'[12]Summary Report - 12 Months Endi'!COI2</f>
        <v>0</v>
      </c>
      <c r="COK3">
        <f>'[12]Summary Report - 12 Months Endi'!COJ2</f>
        <v>0</v>
      </c>
      <c r="COL3">
        <f>'[12]Summary Report - 12 Months Endi'!COK2</f>
        <v>0</v>
      </c>
      <c r="COM3">
        <f>'[12]Summary Report - 12 Months Endi'!COL2</f>
        <v>0</v>
      </c>
      <c r="CON3">
        <f>'[12]Summary Report - 12 Months Endi'!COM2</f>
        <v>0</v>
      </c>
      <c r="COO3">
        <f>'[12]Summary Report - 12 Months Endi'!CON2</f>
        <v>0</v>
      </c>
      <c r="COP3">
        <f>'[12]Summary Report - 12 Months Endi'!COO2</f>
        <v>0</v>
      </c>
      <c r="COQ3">
        <f>'[12]Summary Report - 12 Months Endi'!COP2</f>
        <v>0</v>
      </c>
      <c r="COR3">
        <f>'[12]Summary Report - 12 Months Endi'!COQ2</f>
        <v>0</v>
      </c>
      <c r="COS3">
        <f>'[12]Summary Report - 12 Months Endi'!COR2</f>
        <v>0</v>
      </c>
      <c r="COT3">
        <f>'[12]Summary Report - 12 Months Endi'!COS2</f>
        <v>0</v>
      </c>
      <c r="COU3">
        <f>'[12]Summary Report - 12 Months Endi'!COT2</f>
        <v>0</v>
      </c>
      <c r="COV3">
        <f>'[12]Summary Report - 12 Months Endi'!COU2</f>
        <v>0</v>
      </c>
      <c r="COW3">
        <f>'[12]Summary Report - 12 Months Endi'!COV2</f>
        <v>0</v>
      </c>
      <c r="COX3">
        <f>'[12]Summary Report - 12 Months Endi'!COW2</f>
        <v>0</v>
      </c>
      <c r="COY3">
        <f>'[12]Summary Report - 12 Months Endi'!COX2</f>
        <v>0</v>
      </c>
      <c r="COZ3">
        <f>'[12]Summary Report - 12 Months Endi'!COY2</f>
        <v>0</v>
      </c>
      <c r="CPA3">
        <f>'[12]Summary Report - 12 Months Endi'!COZ2</f>
        <v>0</v>
      </c>
      <c r="CPB3">
        <f>'[12]Summary Report - 12 Months Endi'!CPA2</f>
        <v>0</v>
      </c>
      <c r="CPC3">
        <f>'[12]Summary Report - 12 Months Endi'!CPB2</f>
        <v>0</v>
      </c>
      <c r="CPD3">
        <f>'[12]Summary Report - 12 Months Endi'!CPC2</f>
        <v>0</v>
      </c>
      <c r="CPE3">
        <f>'[12]Summary Report - 12 Months Endi'!CPD2</f>
        <v>0</v>
      </c>
      <c r="CPF3">
        <f>'[12]Summary Report - 12 Months Endi'!CPE2</f>
        <v>0</v>
      </c>
      <c r="CPG3">
        <f>'[12]Summary Report - 12 Months Endi'!CPF2</f>
        <v>0</v>
      </c>
      <c r="CPH3">
        <f>'[12]Summary Report - 12 Months Endi'!CPG2</f>
        <v>0</v>
      </c>
      <c r="CPI3">
        <f>'[12]Summary Report - 12 Months Endi'!CPH2</f>
        <v>0</v>
      </c>
      <c r="CPJ3">
        <f>'[12]Summary Report - 12 Months Endi'!CPI2</f>
        <v>0</v>
      </c>
      <c r="CPK3">
        <f>'[12]Summary Report - 12 Months Endi'!CPJ2</f>
        <v>0</v>
      </c>
      <c r="CPL3">
        <f>'[12]Summary Report - 12 Months Endi'!CPK2</f>
        <v>0</v>
      </c>
      <c r="CPM3">
        <f>'[12]Summary Report - 12 Months Endi'!CPL2</f>
        <v>0</v>
      </c>
      <c r="CPN3">
        <f>'[12]Summary Report - 12 Months Endi'!CPM2</f>
        <v>0</v>
      </c>
      <c r="CPO3">
        <f>'[12]Summary Report - 12 Months Endi'!CPN2</f>
        <v>0</v>
      </c>
      <c r="CPP3">
        <f>'[12]Summary Report - 12 Months Endi'!CPO2</f>
        <v>0</v>
      </c>
      <c r="CPQ3">
        <f>'[12]Summary Report - 12 Months Endi'!CPP2</f>
        <v>0</v>
      </c>
      <c r="CPR3">
        <f>'[12]Summary Report - 12 Months Endi'!CPQ2</f>
        <v>0</v>
      </c>
      <c r="CPS3">
        <f>'[12]Summary Report - 12 Months Endi'!CPR2</f>
        <v>0</v>
      </c>
      <c r="CPT3">
        <f>'[12]Summary Report - 12 Months Endi'!CPS2</f>
        <v>0</v>
      </c>
      <c r="CPU3">
        <f>'[12]Summary Report - 12 Months Endi'!CPT2</f>
        <v>0</v>
      </c>
      <c r="CPV3">
        <f>'[12]Summary Report - 12 Months Endi'!CPU2</f>
        <v>0</v>
      </c>
      <c r="CPW3">
        <f>'[12]Summary Report - 12 Months Endi'!CPV2</f>
        <v>0</v>
      </c>
      <c r="CPX3">
        <f>'[12]Summary Report - 12 Months Endi'!CPW2</f>
        <v>0</v>
      </c>
      <c r="CPY3">
        <f>'[12]Summary Report - 12 Months Endi'!CPX2</f>
        <v>0</v>
      </c>
      <c r="CPZ3">
        <f>'[12]Summary Report - 12 Months Endi'!CPY2</f>
        <v>0</v>
      </c>
      <c r="CQA3">
        <f>'[12]Summary Report - 12 Months Endi'!CPZ2</f>
        <v>0</v>
      </c>
      <c r="CQB3">
        <f>'[12]Summary Report - 12 Months Endi'!CQA2</f>
        <v>0</v>
      </c>
      <c r="CQC3">
        <f>'[12]Summary Report - 12 Months Endi'!CQB2</f>
        <v>0</v>
      </c>
      <c r="CQD3">
        <f>'[12]Summary Report - 12 Months Endi'!CQC2</f>
        <v>0</v>
      </c>
      <c r="CQE3">
        <f>'[12]Summary Report - 12 Months Endi'!CQD2</f>
        <v>0</v>
      </c>
      <c r="CQF3">
        <f>'[12]Summary Report - 12 Months Endi'!CQE2</f>
        <v>0</v>
      </c>
      <c r="CQG3">
        <f>'[12]Summary Report - 12 Months Endi'!CQF2</f>
        <v>0</v>
      </c>
      <c r="CQH3">
        <f>'[12]Summary Report - 12 Months Endi'!CQG2</f>
        <v>0</v>
      </c>
      <c r="CQI3">
        <f>'[12]Summary Report - 12 Months Endi'!CQH2</f>
        <v>0</v>
      </c>
      <c r="CQJ3">
        <f>'[12]Summary Report - 12 Months Endi'!CQI2</f>
        <v>0</v>
      </c>
      <c r="CQK3">
        <f>'[12]Summary Report - 12 Months Endi'!CQJ2</f>
        <v>0</v>
      </c>
      <c r="CQL3">
        <f>'[12]Summary Report - 12 Months Endi'!CQK2</f>
        <v>0</v>
      </c>
      <c r="CQM3">
        <f>'[12]Summary Report - 12 Months Endi'!CQL2</f>
        <v>0</v>
      </c>
      <c r="CQN3">
        <f>'[12]Summary Report - 12 Months Endi'!CQM2</f>
        <v>0</v>
      </c>
      <c r="CQO3">
        <f>'[12]Summary Report - 12 Months Endi'!CQN2</f>
        <v>0</v>
      </c>
      <c r="CQP3">
        <f>'[12]Summary Report - 12 Months Endi'!CQO2</f>
        <v>0</v>
      </c>
      <c r="CQQ3">
        <f>'[12]Summary Report - 12 Months Endi'!CQP2</f>
        <v>0</v>
      </c>
      <c r="CQR3">
        <f>'[12]Summary Report - 12 Months Endi'!CQQ2</f>
        <v>0</v>
      </c>
      <c r="CQS3">
        <f>'[12]Summary Report - 12 Months Endi'!CQR2</f>
        <v>0</v>
      </c>
      <c r="CQT3">
        <f>'[12]Summary Report - 12 Months Endi'!CQS2</f>
        <v>0</v>
      </c>
      <c r="CQU3">
        <f>'[12]Summary Report - 12 Months Endi'!CQT2</f>
        <v>0</v>
      </c>
      <c r="CQV3">
        <f>'[12]Summary Report - 12 Months Endi'!CQU2</f>
        <v>0</v>
      </c>
      <c r="CQW3">
        <f>'[12]Summary Report - 12 Months Endi'!CQV2</f>
        <v>0</v>
      </c>
      <c r="CQX3">
        <f>'[12]Summary Report - 12 Months Endi'!CQW2</f>
        <v>0</v>
      </c>
      <c r="CQY3">
        <f>'[12]Summary Report - 12 Months Endi'!CQX2</f>
        <v>0</v>
      </c>
      <c r="CQZ3">
        <f>'[12]Summary Report - 12 Months Endi'!CQY2</f>
        <v>0</v>
      </c>
      <c r="CRA3">
        <f>'[12]Summary Report - 12 Months Endi'!CQZ2</f>
        <v>0</v>
      </c>
      <c r="CRB3">
        <f>'[12]Summary Report - 12 Months Endi'!CRA2</f>
        <v>0</v>
      </c>
      <c r="CRC3">
        <f>'[12]Summary Report - 12 Months Endi'!CRB2</f>
        <v>0</v>
      </c>
      <c r="CRD3">
        <f>'[12]Summary Report - 12 Months Endi'!CRC2</f>
        <v>0</v>
      </c>
      <c r="CRE3">
        <f>'[12]Summary Report - 12 Months Endi'!CRD2</f>
        <v>0</v>
      </c>
      <c r="CRF3">
        <f>'[12]Summary Report - 12 Months Endi'!CRE2</f>
        <v>0</v>
      </c>
      <c r="CRG3">
        <f>'[12]Summary Report - 12 Months Endi'!CRF2</f>
        <v>0</v>
      </c>
      <c r="CRH3">
        <f>'[12]Summary Report - 12 Months Endi'!CRG2</f>
        <v>0</v>
      </c>
      <c r="CRI3">
        <f>'[12]Summary Report - 12 Months Endi'!CRH2</f>
        <v>0</v>
      </c>
      <c r="CRJ3">
        <f>'[12]Summary Report - 12 Months Endi'!CRI2</f>
        <v>0</v>
      </c>
      <c r="CRK3">
        <f>'[12]Summary Report - 12 Months Endi'!CRJ2</f>
        <v>0</v>
      </c>
      <c r="CRL3">
        <f>'[12]Summary Report - 12 Months Endi'!CRK2</f>
        <v>0</v>
      </c>
      <c r="CRM3">
        <f>'[12]Summary Report - 12 Months Endi'!CRL2</f>
        <v>0</v>
      </c>
      <c r="CRN3">
        <f>'[12]Summary Report - 12 Months Endi'!CRM2</f>
        <v>0</v>
      </c>
      <c r="CRO3">
        <f>'[12]Summary Report - 12 Months Endi'!CRN2</f>
        <v>0</v>
      </c>
      <c r="CRP3">
        <f>'[12]Summary Report - 12 Months Endi'!CRO2</f>
        <v>0</v>
      </c>
      <c r="CRQ3">
        <f>'[12]Summary Report - 12 Months Endi'!CRP2</f>
        <v>0</v>
      </c>
      <c r="CRR3">
        <f>'[12]Summary Report - 12 Months Endi'!CRQ2</f>
        <v>0</v>
      </c>
      <c r="CRS3">
        <f>'[12]Summary Report - 12 Months Endi'!CRR2</f>
        <v>0</v>
      </c>
      <c r="CRT3">
        <f>'[12]Summary Report - 12 Months Endi'!CRS2</f>
        <v>0</v>
      </c>
      <c r="CRU3">
        <f>'[12]Summary Report - 12 Months Endi'!CRT2</f>
        <v>0</v>
      </c>
      <c r="CRV3">
        <f>'[12]Summary Report - 12 Months Endi'!CRU2</f>
        <v>0</v>
      </c>
      <c r="CRW3">
        <f>'[12]Summary Report - 12 Months Endi'!CRV2</f>
        <v>0</v>
      </c>
      <c r="CRX3">
        <f>'[12]Summary Report - 12 Months Endi'!CRW2</f>
        <v>0</v>
      </c>
      <c r="CRY3">
        <f>'[12]Summary Report - 12 Months Endi'!CRX2</f>
        <v>0</v>
      </c>
      <c r="CRZ3">
        <f>'[12]Summary Report - 12 Months Endi'!CRY2</f>
        <v>0</v>
      </c>
      <c r="CSA3">
        <f>'[12]Summary Report - 12 Months Endi'!CRZ2</f>
        <v>0</v>
      </c>
      <c r="CSB3">
        <f>'[12]Summary Report - 12 Months Endi'!CSA2</f>
        <v>0</v>
      </c>
      <c r="CSC3">
        <f>'[12]Summary Report - 12 Months Endi'!CSB2</f>
        <v>0</v>
      </c>
      <c r="CSD3">
        <f>'[12]Summary Report - 12 Months Endi'!CSC2</f>
        <v>0</v>
      </c>
      <c r="CSE3">
        <f>'[12]Summary Report - 12 Months Endi'!CSD2</f>
        <v>0</v>
      </c>
      <c r="CSF3">
        <f>'[12]Summary Report - 12 Months Endi'!CSE2</f>
        <v>0</v>
      </c>
      <c r="CSG3">
        <f>'[12]Summary Report - 12 Months Endi'!CSF2</f>
        <v>0</v>
      </c>
      <c r="CSH3">
        <f>'[12]Summary Report - 12 Months Endi'!CSG2</f>
        <v>0</v>
      </c>
      <c r="CSI3">
        <f>'[12]Summary Report - 12 Months Endi'!CSH2</f>
        <v>0</v>
      </c>
      <c r="CSJ3">
        <f>'[12]Summary Report - 12 Months Endi'!CSI2</f>
        <v>0</v>
      </c>
      <c r="CSK3">
        <f>'[12]Summary Report - 12 Months Endi'!CSJ2</f>
        <v>0</v>
      </c>
      <c r="CSL3">
        <f>'[12]Summary Report - 12 Months Endi'!CSK2</f>
        <v>0</v>
      </c>
      <c r="CSM3">
        <f>'[12]Summary Report - 12 Months Endi'!CSL2</f>
        <v>0</v>
      </c>
      <c r="CSN3">
        <f>'[12]Summary Report - 12 Months Endi'!CSM2</f>
        <v>0</v>
      </c>
      <c r="CSO3">
        <f>'[12]Summary Report - 12 Months Endi'!CSN2</f>
        <v>0</v>
      </c>
      <c r="CSP3">
        <f>'[12]Summary Report - 12 Months Endi'!CSO2</f>
        <v>0</v>
      </c>
      <c r="CSQ3">
        <f>'[12]Summary Report - 12 Months Endi'!CSP2</f>
        <v>0</v>
      </c>
      <c r="CSR3">
        <f>'[12]Summary Report - 12 Months Endi'!CSQ2</f>
        <v>0</v>
      </c>
      <c r="CSS3">
        <f>'[12]Summary Report - 12 Months Endi'!CSR2</f>
        <v>0</v>
      </c>
      <c r="CST3">
        <f>'[12]Summary Report - 12 Months Endi'!CSS2</f>
        <v>0</v>
      </c>
      <c r="CSU3">
        <f>'[12]Summary Report - 12 Months Endi'!CST2</f>
        <v>0</v>
      </c>
      <c r="CSV3">
        <f>'[12]Summary Report - 12 Months Endi'!CSU2</f>
        <v>0</v>
      </c>
      <c r="CSW3">
        <f>'[12]Summary Report - 12 Months Endi'!CSV2</f>
        <v>0</v>
      </c>
      <c r="CSX3">
        <f>'[12]Summary Report - 12 Months Endi'!CSW2</f>
        <v>0</v>
      </c>
      <c r="CSY3">
        <f>'[12]Summary Report - 12 Months Endi'!CSX2</f>
        <v>0</v>
      </c>
      <c r="CSZ3">
        <f>'[12]Summary Report - 12 Months Endi'!CSY2</f>
        <v>0</v>
      </c>
      <c r="CTA3">
        <f>'[12]Summary Report - 12 Months Endi'!CSZ2</f>
        <v>0</v>
      </c>
      <c r="CTB3">
        <f>'[12]Summary Report - 12 Months Endi'!CTA2</f>
        <v>0</v>
      </c>
      <c r="CTC3">
        <f>'[12]Summary Report - 12 Months Endi'!CTB2</f>
        <v>0</v>
      </c>
      <c r="CTD3">
        <f>'[12]Summary Report - 12 Months Endi'!CTC2</f>
        <v>0</v>
      </c>
      <c r="CTE3">
        <f>'[12]Summary Report - 12 Months Endi'!CTD2</f>
        <v>0</v>
      </c>
      <c r="CTF3">
        <f>'[12]Summary Report - 12 Months Endi'!CTE2</f>
        <v>0</v>
      </c>
      <c r="CTG3">
        <f>'[12]Summary Report - 12 Months Endi'!CTF2</f>
        <v>0</v>
      </c>
      <c r="CTH3">
        <f>'[12]Summary Report - 12 Months Endi'!CTG2</f>
        <v>0</v>
      </c>
      <c r="CTI3">
        <f>'[12]Summary Report - 12 Months Endi'!CTH2</f>
        <v>0</v>
      </c>
      <c r="CTJ3">
        <f>'[12]Summary Report - 12 Months Endi'!CTI2</f>
        <v>0</v>
      </c>
      <c r="CTK3">
        <f>'[12]Summary Report - 12 Months Endi'!CTJ2</f>
        <v>0</v>
      </c>
      <c r="CTL3">
        <f>'[12]Summary Report - 12 Months Endi'!CTK2</f>
        <v>0</v>
      </c>
      <c r="CTM3">
        <f>'[12]Summary Report - 12 Months Endi'!CTL2</f>
        <v>0</v>
      </c>
      <c r="CTN3">
        <f>'[12]Summary Report - 12 Months Endi'!CTM2</f>
        <v>0</v>
      </c>
      <c r="CTO3">
        <f>'[12]Summary Report - 12 Months Endi'!CTN2</f>
        <v>0</v>
      </c>
      <c r="CTP3">
        <f>'[12]Summary Report - 12 Months Endi'!CTO2</f>
        <v>0</v>
      </c>
      <c r="CTQ3">
        <f>'[12]Summary Report - 12 Months Endi'!CTP2</f>
        <v>0</v>
      </c>
      <c r="CTR3">
        <f>'[12]Summary Report - 12 Months Endi'!CTQ2</f>
        <v>0</v>
      </c>
      <c r="CTS3">
        <f>'[12]Summary Report - 12 Months Endi'!CTR2</f>
        <v>0</v>
      </c>
      <c r="CTT3">
        <f>'[12]Summary Report - 12 Months Endi'!CTS2</f>
        <v>0</v>
      </c>
      <c r="CTU3">
        <f>'[12]Summary Report - 12 Months Endi'!CTT2</f>
        <v>0</v>
      </c>
      <c r="CTV3">
        <f>'[12]Summary Report - 12 Months Endi'!CTU2</f>
        <v>0</v>
      </c>
      <c r="CTW3">
        <f>'[12]Summary Report - 12 Months Endi'!CTV2</f>
        <v>0</v>
      </c>
      <c r="CTX3">
        <f>'[12]Summary Report - 12 Months Endi'!CTW2</f>
        <v>0</v>
      </c>
      <c r="CTY3">
        <f>'[12]Summary Report - 12 Months Endi'!CTX2</f>
        <v>0</v>
      </c>
      <c r="CTZ3">
        <f>'[12]Summary Report - 12 Months Endi'!CTY2</f>
        <v>0</v>
      </c>
      <c r="CUA3">
        <f>'[12]Summary Report - 12 Months Endi'!CTZ2</f>
        <v>0</v>
      </c>
      <c r="CUB3">
        <f>'[12]Summary Report - 12 Months Endi'!CUA2</f>
        <v>0</v>
      </c>
      <c r="CUC3">
        <f>'[12]Summary Report - 12 Months Endi'!CUB2</f>
        <v>0</v>
      </c>
      <c r="CUD3">
        <f>'[12]Summary Report - 12 Months Endi'!CUC2</f>
        <v>0</v>
      </c>
      <c r="CUE3">
        <f>'[12]Summary Report - 12 Months Endi'!CUD2</f>
        <v>0</v>
      </c>
      <c r="CUF3">
        <f>'[12]Summary Report - 12 Months Endi'!CUE2</f>
        <v>0</v>
      </c>
      <c r="CUG3">
        <f>'[12]Summary Report - 12 Months Endi'!CUF2</f>
        <v>0</v>
      </c>
      <c r="CUH3">
        <f>'[12]Summary Report - 12 Months Endi'!CUG2</f>
        <v>0</v>
      </c>
      <c r="CUI3">
        <f>'[12]Summary Report - 12 Months Endi'!CUH2</f>
        <v>0</v>
      </c>
      <c r="CUJ3">
        <f>'[12]Summary Report - 12 Months Endi'!CUI2</f>
        <v>0</v>
      </c>
      <c r="CUK3">
        <f>'[12]Summary Report - 12 Months Endi'!CUJ2</f>
        <v>0</v>
      </c>
      <c r="CUL3">
        <f>'[12]Summary Report - 12 Months Endi'!CUK2</f>
        <v>0</v>
      </c>
      <c r="CUM3">
        <f>'[12]Summary Report - 12 Months Endi'!CUL2</f>
        <v>0</v>
      </c>
      <c r="CUN3">
        <f>'[12]Summary Report - 12 Months Endi'!CUM2</f>
        <v>0</v>
      </c>
      <c r="CUO3">
        <f>'[12]Summary Report - 12 Months Endi'!CUN2</f>
        <v>0</v>
      </c>
      <c r="CUP3">
        <f>'[12]Summary Report - 12 Months Endi'!CUO2</f>
        <v>0</v>
      </c>
      <c r="CUQ3">
        <f>'[12]Summary Report - 12 Months Endi'!CUP2</f>
        <v>0</v>
      </c>
      <c r="CUR3">
        <f>'[12]Summary Report - 12 Months Endi'!CUQ2</f>
        <v>0</v>
      </c>
      <c r="CUS3">
        <f>'[12]Summary Report - 12 Months Endi'!CUR2</f>
        <v>0</v>
      </c>
      <c r="CUT3">
        <f>'[12]Summary Report - 12 Months Endi'!CUS2</f>
        <v>0</v>
      </c>
      <c r="CUU3">
        <f>'[12]Summary Report - 12 Months Endi'!CUT2</f>
        <v>0</v>
      </c>
      <c r="CUV3">
        <f>'[12]Summary Report - 12 Months Endi'!CUU2</f>
        <v>0</v>
      </c>
      <c r="CUW3">
        <f>'[12]Summary Report - 12 Months Endi'!CUV2</f>
        <v>0</v>
      </c>
      <c r="CUX3">
        <f>'[12]Summary Report - 12 Months Endi'!CUW2</f>
        <v>0</v>
      </c>
      <c r="CUY3">
        <f>'[12]Summary Report - 12 Months Endi'!CUX2</f>
        <v>0</v>
      </c>
      <c r="CUZ3">
        <f>'[12]Summary Report - 12 Months Endi'!CUY2</f>
        <v>0</v>
      </c>
      <c r="CVA3">
        <f>'[12]Summary Report - 12 Months Endi'!CUZ2</f>
        <v>0</v>
      </c>
      <c r="CVB3">
        <f>'[12]Summary Report - 12 Months Endi'!CVA2</f>
        <v>0</v>
      </c>
      <c r="CVC3">
        <f>'[12]Summary Report - 12 Months Endi'!CVB2</f>
        <v>0</v>
      </c>
      <c r="CVD3">
        <f>'[12]Summary Report - 12 Months Endi'!CVC2</f>
        <v>0</v>
      </c>
      <c r="CVE3">
        <f>'[12]Summary Report - 12 Months Endi'!CVD2</f>
        <v>0</v>
      </c>
      <c r="CVF3">
        <f>'[12]Summary Report - 12 Months Endi'!CVE2</f>
        <v>0</v>
      </c>
      <c r="CVG3">
        <f>'[12]Summary Report - 12 Months Endi'!CVF2</f>
        <v>0</v>
      </c>
      <c r="CVH3">
        <f>'[12]Summary Report - 12 Months Endi'!CVG2</f>
        <v>0</v>
      </c>
      <c r="CVI3">
        <f>'[12]Summary Report - 12 Months Endi'!CVH2</f>
        <v>0</v>
      </c>
      <c r="CVJ3">
        <f>'[12]Summary Report - 12 Months Endi'!CVI2</f>
        <v>0</v>
      </c>
      <c r="CVK3">
        <f>'[12]Summary Report - 12 Months Endi'!CVJ2</f>
        <v>0</v>
      </c>
      <c r="CVL3">
        <f>'[12]Summary Report - 12 Months Endi'!CVK2</f>
        <v>0</v>
      </c>
      <c r="CVM3">
        <f>'[12]Summary Report - 12 Months Endi'!CVL2</f>
        <v>0</v>
      </c>
      <c r="CVN3">
        <f>'[12]Summary Report - 12 Months Endi'!CVM2</f>
        <v>0</v>
      </c>
      <c r="CVO3">
        <f>'[12]Summary Report - 12 Months Endi'!CVN2</f>
        <v>0</v>
      </c>
      <c r="CVP3">
        <f>'[12]Summary Report - 12 Months Endi'!CVO2</f>
        <v>0</v>
      </c>
      <c r="CVQ3">
        <f>'[12]Summary Report - 12 Months Endi'!CVP2</f>
        <v>0</v>
      </c>
      <c r="CVR3">
        <f>'[12]Summary Report - 12 Months Endi'!CVQ2</f>
        <v>0</v>
      </c>
      <c r="CVS3">
        <f>'[12]Summary Report - 12 Months Endi'!CVR2</f>
        <v>0</v>
      </c>
      <c r="CVT3">
        <f>'[12]Summary Report - 12 Months Endi'!CVS2</f>
        <v>0</v>
      </c>
      <c r="CVU3">
        <f>'[12]Summary Report - 12 Months Endi'!CVT2</f>
        <v>0</v>
      </c>
      <c r="CVV3">
        <f>'[12]Summary Report - 12 Months Endi'!CVU2</f>
        <v>0</v>
      </c>
      <c r="CVW3">
        <f>'[12]Summary Report - 12 Months Endi'!CVV2</f>
        <v>0</v>
      </c>
      <c r="CVX3">
        <f>'[12]Summary Report - 12 Months Endi'!CVW2</f>
        <v>0</v>
      </c>
      <c r="CVY3">
        <f>'[12]Summary Report - 12 Months Endi'!CVX2</f>
        <v>0</v>
      </c>
      <c r="CVZ3">
        <f>'[12]Summary Report - 12 Months Endi'!CVY2</f>
        <v>0</v>
      </c>
      <c r="CWA3">
        <f>'[12]Summary Report - 12 Months Endi'!CVZ2</f>
        <v>0</v>
      </c>
      <c r="CWB3">
        <f>'[12]Summary Report - 12 Months Endi'!CWA2</f>
        <v>0</v>
      </c>
      <c r="CWC3">
        <f>'[12]Summary Report - 12 Months Endi'!CWB2</f>
        <v>0</v>
      </c>
      <c r="CWD3">
        <f>'[12]Summary Report - 12 Months Endi'!CWC2</f>
        <v>0</v>
      </c>
      <c r="CWE3">
        <f>'[12]Summary Report - 12 Months Endi'!CWD2</f>
        <v>0</v>
      </c>
      <c r="CWF3">
        <f>'[12]Summary Report - 12 Months Endi'!CWE2</f>
        <v>0</v>
      </c>
      <c r="CWG3">
        <f>'[12]Summary Report - 12 Months Endi'!CWF2</f>
        <v>0</v>
      </c>
      <c r="CWH3">
        <f>'[12]Summary Report - 12 Months Endi'!CWG2</f>
        <v>0</v>
      </c>
      <c r="CWI3">
        <f>'[12]Summary Report - 12 Months Endi'!CWH2</f>
        <v>0</v>
      </c>
      <c r="CWJ3">
        <f>'[12]Summary Report - 12 Months Endi'!CWI2</f>
        <v>0</v>
      </c>
      <c r="CWK3">
        <f>'[12]Summary Report - 12 Months Endi'!CWJ2</f>
        <v>0</v>
      </c>
      <c r="CWL3">
        <f>'[12]Summary Report - 12 Months Endi'!CWK2</f>
        <v>0</v>
      </c>
      <c r="CWM3">
        <f>'[12]Summary Report - 12 Months Endi'!CWL2</f>
        <v>0</v>
      </c>
      <c r="CWN3">
        <f>'[12]Summary Report - 12 Months Endi'!CWM2</f>
        <v>0</v>
      </c>
      <c r="CWO3">
        <f>'[12]Summary Report - 12 Months Endi'!CWN2</f>
        <v>0</v>
      </c>
      <c r="CWP3">
        <f>'[12]Summary Report - 12 Months Endi'!CWO2</f>
        <v>0</v>
      </c>
      <c r="CWQ3">
        <f>'[12]Summary Report - 12 Months Endi'!CWP2</f>
        <v>0</v>
      </c>
      <c r="CWR3">
        <f>'[12]Summary Report - 12 Months Endi'!CWQ2</f>
        <v>0</v>
      </c>
      <c r="CWS3">
        <f>'[12]Summary Report - 12 Months Endi'!CWR2</f>
        <v>0</v>
      </c>
      <c r="CWT3">
        <f>'[12]Summary Report - 12 Months Endi'!CWS2</f>
        <v>0</v>
      </c>
      <c r="CWU3">
        <f>'[12]Summary Report - 12 Months Endi'!CWT2</f>
        <v>0</v>
      </c>
      <c r="CWV3">
        <f>'[12]Summary Report - 12 Months Endi'!CWU2</f>
        <v>0</v>
      </c>
      <c r="CWW3">
        <f>'[12]Summary Report - 12 Months Endi'!CWV2</f>
        <v>0</v>
      </c>
      <c r="CWX3">
        <f>'[12]Summary Report - 12 Months Endi'!CWW2</f>
        <v>0</v>
      </c>
      <c r="CWY3">
        <f>'[12]Summary Report - 12 Months Endi'!CWX2</f>
        <v>0</v>
      </c>
      <c r="CWZ3">
        <f>'[12]Summary Report - 12 Months Endi'!CWY2</f>
        <v>0</v>
      </c>
      <c r="CXA3">
        <f>'[12]Summary Report - 12 Months Endi'!CWZ2</f>
        <v>0</v>
      </c>
      <c r="CXB3">
        <f>'[12]Summary Report - 12 Months Endi'!CXA2</f>
        <v>0</v>
      </c>
      <c r="CXC3">
        <f>'[12]Summary Report - 12 Months Endi'!CXB2</f>
        <v>0</v>
      </c>
      <c r="CXD3">
        <f>'[12]Summary Report - 12 Months Endi'!CXC2</f>
        <v>0</v>
      </c>
      <c r="CXE3">
        <f>'[12]Summary Report - 12 Months Endi'!CXD2</f>
        <v>0</v>
      </c>
      <c r="CXF3">
        <f>'[12]Summary Report - 12 Months Endi'!CXE2</f>
        <v>0</v>
      </c>
      <c r="CXG3">
        <f>'[12]Summary Report - 12 Months Endi'!CXF2</f>
        <v>0</v>
      </c>
      <c r="CXH3">
        <f>'[12]Summary Report - 12 Months Endi'!CXG2</f>
        <v>0</v>
      </c>
      <c r="CXI3">
        <f>'[12]Summary Report - 12 Months Endi'!CXH2</f>
        <v>0</v>
      </c>
      <c r="CXJ3">
        <f>'[12]Summary Report - 12 Months Endi'!CXI2</f>
        <v>0</v>
      </c>
      <c r="CXK3">
        <f>'[12]Summary Report - 12 Months Endi'!CXJ2</f>
        <v>0</v>
      </c>
      <c r="CXL3">
        <f>'[12]Summary Report - 12 Months Endi'!CXK2</f>
        <v>0</v>
      </c>
      <c r="CXM3">
        <f>'[12]Summary Report - 12 Months Endi'!CXL2</f>
        <v>0</v>
      </c>
      <c r="CXN3">
        <f>'[12]Summary Report - 12 Months Endi'!CXM2</f>
        <v>0</v>
      </c>
      <c r="CXO3">
        <f>'[12]Summary Report - 12 Months Endi'!CXN2</f>
        <v>0</v>
      </c>
      <c r="CXP3">
        <f>'[12]Summary Report - 12 Months Endi'!CXO2</f>
        <v>0</v>
      </c>
      <c r="CXQ3">
        <f>'[12]Summary Report - 12 Months Endi'!CXP2</f>
        <v>0</v>
      </c>
      <c r="CXR3">
        <f>'[12]Summary Report - 12 Months Endi'!CXQ2</f>
        <v>0</v>
      </c>
      <c r="CXS3">
        <f>'[12]Summary Report - 12 Months Endi'!CXR2</f>
        <v>0</v>
      </c>
      <c r="CXT3">
        <f>'[12]Summary Report - 12 Months Endi'!CXS2</f>
        <v>0</v>
      </c>
      <c r="CXU3">
        <f>'[12]Summary Report - 12 Months Endi'!CXT2</f>
        <v>0</v>
      </c>
      <c r="CXV3">
        <f>'[12]Summary Report - 12 Months Endi'!CXU2</f>
        <v>0</v>
      </c>
      <c r="CXW3">
        <f>'[12]Summary Report - 12 Months Endi'!CXV2</f>
        <v>0</v>
      </c>
      <c r="CXX3">
        <f>'[12]Summary Report - 12 Months Endi'!CXW2</f>
        <v>0</v>
      </c>
      <c r="CXY3">
        <f>'[12]Summary Report - 12 Months Endi'!CXX2</f>
        <v>0</v>
      </c>
      <c r="CXZ3">
        <f>'[12]Summary Report - 12 Months Endi'!CXY2</f>
        <v>0</v>
      </c>
      <c r="CYA3">
        <f>'[12]Summary Report - 12 Months Endi'!CXZ2</f>
        <v>0</v>
      </c>
      <c r="CYB3">
        <f>'[12]Summary Report - 12 Months Endi'!CYA2</f>
        <v>0</v>
      </c>
      <c r="CYC3">
        <f>'[12]Summary Report - 12 Months Endi'!CYB2</f>
        <v>0</v>
      </c>
      <c r="CYD3">
        <f>'[12]Summary Report - 12 Months Endi'!CYC2</f>
        <v>0</v>
      </c>
      <c r="CYE3">
        <f>'[12]Summary Report - 12 Months Endi'!CYD2</f>
        <v>0</v>
      </c>
      <c r="CYF3">
        <f>'[12]Summary Report - 12 Months Endi'!CYE2</f>
        <v>0</v>
      </c>
      <c r="CYG3">
        <f>'[12]Summary Report - 12 Months Endi'!CYF2</f>
        <v>0</v>
      </c>
      <c r="CYH3">
        <f>'[12]Summary Report - 12 Months Endi'!CYG2</f>
        <v>0</v>
      </c>
      <c r="CYI3">
        <f>'[12]Summary Report - 12 Months Endi'!CYH2</f>
        <v>0</v>
      </c>
      <c r="CYJ3">
        <f>'[12]Summary Report - 12 Months Endi'!CYI2</f>
        <v>0</v>
      </c>
      <c r="CYK3">
        <f>'[12]Summary Report - 12 Months Endi'!CYJ2</f>
        <v>0</v>
      </c>
      <c r="CYL3">
        <f>'[12]Summary Report - 12 Months Endi'!CYK2</f>
        <v>0</v>
      </c>
      <c r="CYM3">
        <f>'[12]Summary Report - 12 Months Endi'!CYL2</f>
        <v>0</v>
      </c>
      <c r="CYN3">
        <f>'[12]Summary Report - 12 Months Endi'!CYM2</f>
        <v>0</v>
      </c>
      <c r="CYO3">
        <f>'[12]Summary Report - 12 Months Endi'!CYN2</f>
        <v>0</v>
      </c>
      <c r="CYP3">
        <f>'[12]Summary Report - 12 Months Endi'!CYO2</f>
        <v>0</v>
      </c>
      <c r="CYQ3">
        <f>'[12]Summary Report - 12 Months Endi'!CYP2</f>
        <v>0</v>
      </c>
      <c r="CYR3">
        <f>'[12]Summary Report - 12 Months Endi'!CYQ2</f>
        <v>0</v>
      </c>
      <c r="CYS3">
        <f>'[12]Summary Report - 12 Months Endi'!CYR2</f>
        <v>0</v>
      </c>
      <c r="CYT3">
        <f>'[12]Summary Report - 12 Months Endi'!CYS2</f>
        <v>0</v>
      </c>
      <c r="CYU3">
        <f>'[12]Summary Report - 12 Months Endi'!CYT2</f>
        <v>0</v>
      </c>
      <c r="CYV3">
        <f>'[12]Summary Report - 12 Months Endi'!CYU2</f>
        <v>0</v>
      </c>
      <c r="CYW3">
        <f>'[12]Summary Report - 12 Months Endi'!CYV2</f>
        <v>0</v>
      </c>
      <c r="CYX3">
        <f>'[12]Summary Report - 12 Months Endi'!CYW2</f>
        <v>0</v>
      </c>
      <c r="CYY3">
        <f>'[12]Summary Report - 12 Months Endi'!CYX2</f>
        <v>0</v>
      </c>
      <c r="CYZ3">
        <f>'[12]Summary Report - 12 Months Endi'!CYY2</f>
        <v>0</v>
      </c>
      <c r="CZA3">
        <f>'[12]Summary Report - 12 Months Endi'!CYZ2</f>
        <v>0</v>
      </c>
      <c r="CZB3">
        <f>'[12]Summary Report - 12 Months Endi'!CZA2</f>
        <v>0</v>
      </c>
      <c r="CZC3">
        <f>'[12]Summary Report - 12 Months Endi'!CZB2</f>
        <v>0</v>
      </c>
      <c r="CZD3">
        <f>'[12]Summary Report - 12 Months Endi'!CZC2</f>
        <v>0</v>
      </c>
      <c r="CZE3">
        <f>'[12]Summary Report - 12 Months Endi'!CZD2</f>
        <v>0</v>
      </c>
      <c r="CZF3">
        <f>'[12]Summary Report - 12 Months Endi'!CZE2</f>
        <v>0</v>
      </c>
      <c r="CZG3">
        <f>'[12]Summary Report - 12 Months Endi'!CZF2</f>
        <v>0</v>
      </c>
      <c r="CZH3">
        <f>'[12]Summary Report - 12 Months Endi'!CZG2</f>
        <v>0</v>
      </c>
      <c r="CZI3">
        <f>'[12]Summary Report - 12 Months Endi'!CZH2</f>
        <v>0</v>
      </c>
      <c r="CZJ3">
        <f>'[12]Summary Report - 12 Months Endi'!CZI2</f>
        <v>0</v>
      </c>
      <c r="CZK3">
        <f>'[12]Summary Report - 12 Months Endi'!CZJ2</f>
        <v>0</v>
      </c>
      <c r="CZL3">
        <f>'[12]Summary Report - 12 Months Endi'!CZK2</f>
        <v>0</v>
      </c>
      <c r="CZM3">
        <f>'[12]Summary Report - 12 Months Endi'!CZL2</f>
        <v>0</v>
      </c>
      <c r="CZN3">
        <f>'[12]Summary Report - 12 Months Endi'!CZM2</f>
        <v>0</v>
      </c>
      <c r="CZO3">
        <f>'[12]Summary Report - 12 Months Endi'!CZN2</f>
        <v>0</v>
      </c>
      <c r="CZP3">
        <f>'[12]Summary Report - 12 Months Endi'!CZO2</f>
        <v>0</v>
      </c>
      <c r="CZQ3">
        <f>'[12]Summary Report - 12 Months Endi'!CZP2</f>
        <v>0</v>
      </c>
      <c r="CZR3">
        <f>'[12]Summary Report - 12 Months Endi'!CZQ2</f>
        <v>0</v>
      </c>
      <c r="CZS3">
        <f>'[12]Summary Report - 12 Months Endi'!CZR2</f>
        <v>0</v>
      </c>
      <c r="CZT3">
        <f>'[12]Summary Report - 12 Months Endi'!CZS2</f>
        <v>0</v>
      </c>
      <c r="CZU3">
        <f>'[12]Summary Report - 12 Months Endi'!CZT2</f>
        <v>0</v>
      </c>
      <c r="CZV3">
        <f>'[12]Summary Report - 12 Months Endi'!CZU2</f>
        <v>0</v>
      </c>
      <c r="CZW3">
        <f>'[12]Summary Report - 12 Months Endi'!CZV2</f>
        <v>0</v>
      </c>
      <c r="CZX3">
        <f>'[12]Summary Report - 12 Months Endi'!CZW2</f>
        <v>0</v>
      </c>
      <c r="CZY3">
        <f>'[12]Summary Report - 12 Months Endi'!CZX2</f>
        <v>0</v>
      </c>
      <c r="CZZ3">
        <f>'[12]Summary Report - 12 Months Endi'!CZY2</f>
        <v>0</v>
      </c>
      <c r="DAA3">
        <f>'[12]Summary Report - 12 Months Endi'!CZZ2</f>
        <v>0</v>
      </c>
      <c r="DAB3">
        <f>'[12]Summary Report - 12 Months Endi'!DAA2</f>
        <v>0</v>
      </c>
      <c r="DAC3">
        <f>'[12]Summary Report - 12 Months Endi'!DAB2</f>
        <v>0</v>
      </c>
      <c r="DAD3">
        <f>'[12]Summary Report - 12 Months Endi'!DAC2</f>
        <v>0</v>
      </c>
      <c r="DAE3">
        <f>'[12]Summary Report - 12 Months Endi'!DAD2</f>
        <v>0</v>
      </c>
      <c r="DAF3">
        <f>'[12]Summary Report - 12 Months Endi'!DAE2</f>
        <v>0</v>
      </c>
      <c r="DAG3">
        <f>'[12]Summary Report - 12 Months Endi'!DAF2</f>
        <v>0</v>
      </c>
      <c r="DAH3">
        <f>'[12]Summary Report - 12 Months Endi'!DAG2</f>
        <v>0</v>
      </c>
      <c r="DAI3">
        <f>'[12]Summary Report - 12 Months Endi'!DAH2</f>
        <v>0</v>
      </c>
      <c r="DAJ3">
        <f>'[12]Summary Report - 12 Months Endi'!DAI2</f>
        <v>0</v>
      </c>
      <c r="DAK3">
        <f>'[12]Summary Report - 12 Months Endi'!DAJ2</f>
        <v>0</v>
      </c>
      <c r="DAL3">
        <f>'[12]Summary Report - 12 Months Endi'!DAK2</f>
        <v>0</v>
      </c>
      <c r="DAM3">
        <f>'[12]Summary Report - 12 Months Endi'!DAL2</f>
        <v>0</v>
      </c>
      <c r="DAN3">
        <f>'[12]Summary Report - 12 Months Endi'!DAM2</f>
        <v>0</v>
      </c>
      <c r="DAO3">
        <f>'[12]Summary Report - 12 Months Endi'!DAN2</f>
        <v>0</v>
      </c>
      <c r="DAP3">
        <f>'[12]Summary Report - 12 Months Endi'!DAO2</f>
        <v>0</v>
      </c>
      <c r="DAQ3">
        <f>'[12]Summary Report - 12 Months Endi'!DAP2</f>
        <v>0</v>
      </c>
      <c r="DAR3">
        <f>'[12]Summary Report - 12 Months Endi'!DAQ2</f>
        <v>0</v>
      </c>
      <c r="DAS3">
        <f>'[12]Summary Report - 12 Months Endi'!DAR2</f>
        <v>0</v>
      </c>
      <c r="DAT3">
        <f>'[12]Summary Report - 12 Months Endi'!DAS2</f>
        <v>0</v>
      </c>
      <c r="DAU3">
        <f>'[12]Summary Report - 12 Months Endi'!DAT2</f>
        <v>0</v>
      </c>
      <c r="DAV3">
        <f>'[12]Summary Report - 12 Months Endi'!DAU2</f>
        <v>0</v>
      </c>
      <c r="DAW3">
        <f>'[12]Summary Report - 12 Months Endi'!DAV2</f>
        <v>0</v>
      </c>
      <c r="DAX3">
        <f>'[12]Summary Report - 12 Months Endi'!DAW2</f>
        <v>0</v>
      </c>
      <c r="DAY3">
        <f>'[12]Summary Report - 12 Months Endi'!DAX2</f>
        <v>0</v>
      </c>
      <c r="DAZ3">
        <f>'[12]Summary Report - 12 Months Endi'!DAY2</f>
        <v>0</v>
      </c>
      <c r="DBA3">
        <f>'[12]Summary Report - 12 Months Endi'!DAZ2</f>
        <v>0</v>
      </c>
      <c r="DBB3">
        <f>'[12]Summary Report - 12 Months Endi'!DBA2</f>
        <v>0</v>
      </c>
      <c r="DBC3">
        <f>'[12]Summary Report - 12 Months Endi'!DBB2</f>
        <v>0</v>
      </c>
      <c r="DBD3">
        <f>'[12]Summary Report - 12 Months Endi'!DBC2</f>
        <v>0</v>
      </c>
      <c r="DBE3">
        <f>'[12]Summary Report - 12 Months Endi'!DBD2</f>
        <v>0</v>
      </c>
      <c r="DBF3">
        <f>'[12]Summary Report - 12 Months Endi'!DBE2</f>
        <v>0</v>
      </c>
      <c r="DBG3">
        <f>'[12]Summary Report - 12 Months Endi'!DBF2</f>
        <v>0</v>
      </c>
      <c r="DBH3">
        <f>'[12]Summary Report - 12 Months Endi'!DBG2</f>
        <v>0</v>
      </c>
      <c r="DBI3">
        <f>'[12]Summary Report - 12 Months Endi'!DBH2</f>
        <v>0</v>
      </c>
      <c r="DBJ3">
        <f>'[12]Summary Report - 12 Months Endi'!DBI2</f>
        <v>0</v>
      </c>
      <c r="DBK3">
        <f>'[12]Summary Report - 12 Months Endi'!DBJ2</f>
        <v>0</v>
      </c>
      <c r="DBL3">
        <f>'[12]Summary Report - 12 Months Endi'!DBK2</f>
        <v>0</v>
      </c>
      <c r="DBM3">
        <f>'[12]Summary Report - 12 Months Endi'!DBL2</f>
        <v>0</v>
      </c>
      <c r="DBN3">
        <f>'[12]Summary Report - 12 Months Endi'!DBM2</f>
        <v>0</v>
      </c>
      <c r="DBO3">
        <f>'[12]Summary Report - 12 Months Endi'!DBN2</f>
        <v>0</v>
      </c>
      <c r="DBP3">
        <f>'[12]Summary Report - 12 Months Endi'!DBO2</f>
        <v>0</v>
      </c>
      <c r="DBQ3">
        <f>'[12]Summary Report - 12 Months Endi'!DBP2</f>
        <v>0</v>
      </c>
      <c r="DBR3">
        <f>'[12]Summary Report - 12 Months Endi'!DBQ2</f>
        <v>0</v>
      </c>
      <c r="DBS3">
        <f>'[12]Summary Report - 12 Months Endi'!DBR2</f>
        <v>0</v>
      </c>
      <c r="DBT3">
        <f>'[12]Summary Report - 12 Months Endi'!DBS2</f>
        <v>0</v>
      </c>
      <c r="DBU3">
        <f>'[12]Summary Report - 12 Months Endi'!DBT2</f>
        <v>0</v>
      </c>
      <c r="DBV3">
        <f>'[12]Summary Report - 12 Months Endi'!DBU2</f>
        <v>0</v>
      </c>
      <c r="DBW3">
        <f>'[12]Summary Report - 12 Months Endi'!DBV2</f>
        <v>0</v>
      </c>
      <c r="DBX3">
        <f>'[12]Summary Report - 12 Months Endi'!DBW2</f>
        <v>0</v>
      </c>
      <c r="DBY3">
        <f>'[12]Summary Report - 12 Months Endi'!DBX2</f>
        <v>0</v>
      </c>
      <c r="DBZ3">
        <f>'[12]Summary Report - 12 Months Endi'!DBY2</f>
        <v>0</v>
      </c>
      <c r="DCA3">
        <f>'[12]Summary Report - 12 Months Endi'!DBZ2</f>
        <v>0</v>
      </c>
      <c r="DCB3">
        <f>'[12]Summary Report - 12 Months Endi'!DCA2</f>
        <v>0</v>
      </c>
      <c r="DCC3">
        <f>'[12]Summary Report - 12 Months Endi'!DCB2</f>
        <v>0</v>
      </c>
      <c r="DCD3">
        <f>'[12]Summary Report - 12 Months Endi'!DCC2</f>
        <v>0</v>
      </c>
      <c r="DCE3">
        <f>'[12]Summary Report - 12 Months Endi'!DCD2</f>
        <v>0</v>
      </c>
      <c r="DCF3">
        <f>'[12]Summary Report - 12 Months Endi'!DCE2</f>
        <v>0</v>
      </c>
      <c r="DCG3">
        <f>'[12]Summary Report - 12 Months Endi'!DCF2</f>
        <v>0</v>
      </c>
      <c r="DCH3">
        <f>'[12]Summary Report - 12 Months Endi'!DCG2</f>
        <v>0</v>
      </c>
      <c r="DCI3">
        <f>'[12]Summary Report - 12 Months Endi'!DCH2</f>
        <v>0</v>
      </c>
      <c r="DCJ3">
        <f>'[12]Summary Report - 12 Months Endi'!DCI2</f>
        <v>0</v>
      </c>
      <c r="DCK3">
        <f>'[12]Summary Report - 12 Months Endi'!DCJ2</f>
        <v>0</v>
      </c>
      <c r="DCL3">
        <f>'[12]Summary Report - 12 Months Endi'!DCK2</f>
        <v>0</v>
      </c>
      <c r="DCM3">
        <f>'[12]Summary Report - 12 Months Endi'!DCL2</f>
        <v>0</v>
      </c>
      <c r="DCN3">
        <f>'[12]Summary Report - 12 Months Endi'!DCM2</f>
        <v>0</v>
      </c>
      <c r="DCO3">
        <f>'[12]Summary Report - 12 Months Endi'!DCN2</f>
        <v>0</v>
      </c>
      <c r="DCP3">
        <f>'[12]Summary Report - 12 Months Endi'!DCO2</f>
        <v>0</v>
      </c>
      <c r="DCQ3">
        <f>'[12]Summary Report - 12 Months Endi'!DCP2</f>
        <v>0</v>
      </c>
      <c r="DCR3">
        <f>'[12]Summary Report - 12 Months Endi'!DCQ2</f>
        <v>0</v>
      </c>
      <c r="DCS3">
        <f>'[12]Summary Report - 12 Months Endi'!DCR2</f>
        <v>0</v>
      </c>
      <c r="DCT3">
        <f>'[12]Summary Report - 12 Months Endi'!DCS2</f>
        <v>0</v>
      </c>
      <c r="DCU3">
        <f>'[12]Summary Report - 12 Months Endi'!DCT2</f>
        <v>0</v>
      </c>
      <c r="DCV3">
        <f>'[12]Summary Report - 12 Months Endi'!DCU2</f>
        <v>0</v>
      </c>
      <c r="DCW3">
        <f>'[12]Summary Report - 12 Months Endi'!DCV2</f>
        <v>0</v>
      </c>
      <c r="DCX3">
        <f>'[12]Summary Report - 12 Months Endi'!DCW2</f>
        <v>0</v>
      </c>
      <c r="DCY3">
        <f>'[12]Summary Report - 12 Months Endi'!DCX2</f>
        <v>0</v>
      </c>
      <c r="DCZ3">
        <f>'[12]Summary Report - 12 Months Endi'!DCY2</f>
        <v>0</v>
      </c>
      <c r="DDA3">
        <f>'[12]Summary Report - 12 Months Endi'!DCZ2</f>
        <v>0</v>
      </c>
      <c r="DDB3">
        <f>'[12]Summary Report - 12 Months Endi'!DDA2</f>
        <v>0</v>
      </c>
      <c r="DDC3">
        <f>'[12]Summary Report - 12 Months Endi'!DDB2</f>
        <v>0</v>
      </c>
      <c r="DDD3">
        <f>'[12]Summary Report - 12 Months Endi'!DDC2</f>
        <v>0</v>
      </c>
      <c r="DDE3">
        <f>'[12]Summary Report - 12 Months Endi'!DDD2</f>
        <v>0</v>
      </c>
      <c r="DDF3">
        <f>'[12]Summary Report - 12 Months Endi'!DDE2</f>
        <v>0</v>
      </c>
      <c r="DDG3">
        <f>'[12]Summary Report - 12 Months Endi'!DDF2</f>
        <v>0</v>
      </c>
      <c r="DDH3">
        <f>'[12]Summary Report - 12 Months Endi'!DDG2</f>
        <v>0</v>
      </c>
      <c r="DDI3">
        <f>'[12]Summary Report - 12 Months Endi'!DDH2</f>
        <v>0</v>
      </c>
      <c r="DDJ3">
        <f>'[12]Summary Report - 12 Months Endi'!DDI2</f>
        <v>0</v>
      </c>
      <c r="DDK3">
        <f>'[12]Summary Report - 12 Months Endi'!DDJ2</f>
        <v>0</v>
      </c>
      <c r="DDL3">
        <f>'[12]Summary Report - 12 Months Endi'!DDK2</f>
        <v>0</v>
      </c>
      <c r="DDM3">
        <f>'[12]Summary Report - 12 Months Endi'!DDL2</f>
        <v>0</v>
      </c>
      <c r="DDN3">
        <f>'[12]Summary Report - 12 Months Endi'!DDM2</f>
        <v>0</v>
      </c>
      <c r="DDO3">
        <f>'[12]Summary Report - 12 Months Endi'!DDN2</f>
        <v>0</v>
      </c>
      <c r="DDP3">
        <f>'[12]Summary Report - 12 Months Endi'!DDO2</f>
        <v>0</v>
      </c>
      <c r="DDQ3">
        <f>'[12]Summary Report - 12 Months Endi'!DDP2</f>
        <v>0</v>
      </c>
      <c r="DDR3">
        <f>'[12]Summary Report - 12 Months Endi'!DDQ2</f>
        <v>0</v>
      </c>
      <c r="DDS3">
        <f>'[12]Summary Report - 12 Months Endi'!DDR2</f>
        <v>0</v>
      </c>
      <c r="DDT3">
        <f>'[12]Summary Report - 12 Months Endi'!DDS2</f>
        <v>0</v>
      </c>
      <c r="DDU3">
        <f>'[12]Summary Report - 12 Months Endi'!DDT2</f>
        <v>0</v>
      </c>
      <c r="DDV3">
        <f>'[12]Summary Report - 12 Months Endi'!DDU2</f>
        <v>0</v>
      </c>
      <c r="DDW3">
        <f>'[12]Summary Report - 12 Months Endi'!DDV2</f>
        <v>0</v>
      </c>
      <c r="DDX3">
        <f>'[12]Summary Report - 12 Months Endi'!DDW2</f>
        <v>0</v>
      </c>
      <c r="DDY3">
        <f>'[12]Summary Report - 12 Months Endi'!DDX2</f>
        <v>0</v>
      </c>
      <c r="DDZ3">
        <f>'[12]Summary Report - 12 Months Endi'!DDY2</f>
        <v>0</v>
      </c>
      <c r="DEA3">
        <f>'[12]Summary Report - 12 Months Endi'!DDZ2</f>
        <v>0</v>
      </c>
      <c r="DEB3">
        <f>'[12]Summary Report - 12 Months Endi'!DEA2</f>
        <v>0</v>
      </c>
      <c r="DEC3">
        <f>'[12]Summary Report - 12 Months Endi'!DEB2</f>
        <v>0</v>
      </c>
      <c r="DED3">
        <f>'[12]Summary Report - 12 Months Endi'!DEC2</f>
        <v>0</v>
      </c>
      <c r="DEE3">
        <f>'[12]Summary Report - 12 Months Endi'!DED2</f>
        <v>0</v>
      </c>
      <c r="DEF3">
        <f>'[12]Summary Report - 12 Months Endi'!DEE2</f>
        <v>0</v>
      </c>
      <c r="DEG3">
        <f>'[12]Summary Report - 12 Months Endi'!DEF2</f>
        <v>0</v>
      </c>
      <c r="DEH3">
        <f>'[12]Summary Report - 12 Months Endi'!DEG2</f>
        <v>0</v>
      </c>
      <c r="DEI3">
        <f>'[12]Summary Report - 12 Months Endi'!DEH2</f>
        <v>0</v>
      </c>
      <c r="DEJ3">
        <f>'[12]Summary Report - 12 Months Endi'!DEI2</f>
        <v>0</v>
      </c>
      <c r="DEK3">
        <f>'[12]Summary Report - 12 Months Endi'!DEJ2</f>
        <v>0</v>
      </c>
      <c r="DEL3">
        <f>'[12]Summary Report - 12 Months Endi'!DEK2</f>
        <v>0</v>
      </c>
      <c r="DEM3">
        <f>'[12]Summary Report - 12 Months Endi'!DEL2</f>
        <v>0</v>
      </c>
      <c r="DEN3">
        <f>'[12]Summary Report - 12 Months Endi'!DEM2</f>
        <v>0</v>
      </c>
      <c r="DEO3">
        <f>'[12]Summary Report - 12 Months Endi'!DEN2</f>
        <v>0</v>
      </c>
      <c r="DEP3">
        <f>'[12]Summary Report - 12 Months Endi'!DEO2</f>
        <v>0</v>
      </c>
      <c r="DEQ3">
        <f>'[12]Summary Report - 12 Months Endi'!DEP2</f>
        <v>0</v>
      </c>
      <c r="DER3">
        <f>'[12]Summary Report - 12 Months Endi'!DEQ2</f>
        <v>0</v>
      </c>
      <c r="DES3">
        <f>'[12]Summary Report - 12 Months Endi'!DER2</f>
        <v>0</v>
      </c>
      <c r="DET3">
        <f>'[12]Summary Report - 12 Months Endi'!DES2</f>
        <v>0</v>
      </c>
      <c r="DEU3">
        <f>'[12]Summary Report - 12 Months Endi'!DET2</f>
        <v>0</v>
      </c>
      <c r="DEV3">
        <f>'[12]Summary Report - 12 Months Endi'!DEU2</f>
        <v>0</v>
      </c>
      <c r="DEW3">
        <f>'[12]Summary Report - 12 Months Endi'!DEV2</f>
        <v>0</v>
      </c>
      <c r="DEX3">
        <f>'[12]Summary Report - 12 Months Endi'!DEW2</f>
        <v>0</v>
      </c>
      <c r="DEY3">
        <f>'[12]Summary Report - 12 Months Endi'!DEX2</f>
        <v>0</v>
      </c>
      <c r="DEZ3">
        <f>'[12]Summary Report - 12 Months Endi'!DEY2</f>
        <v>0</v>
      </c>
      <c r="DFA3">
        <f>'[12]Summary Report - 12 Months Endi'!DEZ2</f>
        <v>0</v>
      </c>
      <c r="DFB3">
        <f>'[12]Summary Report - 12 Months Endi'!DFA2</f>
        <v>0</v>
      </c>
      <c r="DFC3">
        <f>'[12]Summary Report - 12 Months Endi'!DFB2</f>
        <v>0</v>
      </c>
      <c r="DFD3">
        <f>'[12]Summary Report - 12 Months Endi'!DFC2</f>
        <v>0</v>
      </c>
      <c r="DFE3">
        <f>'[12]Summary Report - 12 Months Endi'!DFD2</f>
        <v>0</v>
      </c>
      <c r="DFF3">
        <f>'[12]Summary Report - 12 Months Endi'!DFE2</f>
        <v>0</v>
      </c>
      <c r="DFG3">
        <f>'[12]Summary Report - 12 Months Endi'!DFF2</f>
        <v>0</v>
      </c>
      <c r="DFH3">
        <f>'[12]Summary Report - 12 Months Endi'!DFG2</f>
        <v>0</v>
      </c>
      <c r="DFI3">
        <f>'[12]Summary Report - 12 Months Endi'!DFH2</f>
        <v>0</v>
      </c>
      <c r="DFJ3">
        <f>'[12]Summary Report - 12 Months Endi'!DFI2</f>
        <v>0</v>
      </c>
      <c r="DFK3">
        <f>'[12]Summary Report - 12 Months Endi'!DFJ2</f>
        <v>0</v>
      </c>
      <c r="DFL3">
        <f>'[12]Summary Report - 12 Months Endi'!DFK2</f>
        <v>0</v>
      </c>
      <c r="DFM3">
        <f>'[12]Summary Report - 12 Months Endi'!DFL2</f>
        <v>0</v>
      </c>
      <c r="DFN3">
        <f>'[12]Summary Report - 12 Months Endi'!DFM2</f>
        <v>0</v>
      </c>
      <c r="DFO3">
        <f>'[12]Summary Report - 12 Months Endi'!DFN2</f>
        <v>0</v>
      </c>
      <c r="DFP3">
        <f>'[12]Summary Report - 12 Months Endi'!DFO2</f>
        <v>0</v>
      </c>
      <c r="DFQ3">
        <f>'[12]Summary Report - 12 Months Endi'!DFP2</f>
        <v>0</v>
      </c>
      <c r="DFR3">
        <f>'[12]Summary Report - 12 Months Endi'!DFQ2</f>
        <v>0</v>
      </c>
      <c r="DFS3">
        <f>'[12]Summary Report - 12 Months Endi'!DFR2</f>
        <v>0</v>
      </c>
      <c r="DFT3">
        <f>'[12]Summary Report - 12 Months Endi'!DFS2</f>
        <v>0</v>
      </c>
      <c r="DFU3">
        <f>'[12]Summary Report - 12 Months Endi'!DFT2</f>
        <v>0</v>
      </c>
      <c r="DFV3">
        <f>'[12]Summary Report - 12 Months Endi'!DFU2</f>
        <v>0</v>
      </c>
      <c r="DFW3">
        <f>'[12]Summary Report - 12 Months Endi'!DFV2</f>
        <v>0</v>
      </c>
      <c r="DFX3">
        <f>'[12]Summary Report - 12 Months Endi'!DFW2</f>
        <v>0</v>
      </c>
      <c r="DFY3">
        <f>'[12]Summary Report - 12 Months Endi'!DFX2</f>
        <v>0</v>
      </c>
      <c r="DFZ3">
        <f>'[12]Summary Report - 12 Months Endi'!DFY2</f>
        <v>0</v>
      </c>
      <c r="DGA3">
        <f>'[12]Summary Report - 12 Months Endi'!DFZ2</f>
        <v>0</v>
      </c>
      <c r="DGB3">
        <f>'[12]Summary Report - 12 Months Endi'!DGA2</f>
        <v>0</v>
      </c>
      <c r="DGC3">
        <f>'[12]Summary Report - 12 Months Endi'!DGB2</f>
        <v>0</v>
      </c>
      <c r="DGD3">
        <f>'[12]Summary Report - 12 Months Endi'!DGC2</f>
        <v>0</v>
      </c>
      <c r="DGE3">
        <f>'[12]Summary Report - 12 Months Endi'!DGD2</f>
        <v>0</v>
      </c>
      <c r="DGF3">
        <f>'[12]Summary Report - 12 Months Endi'!DGE2</f>
        <v>0</v>
      </c>
      <c r="DGG3">
        <f>'[12]Summary Report - 12 Months Endi'!DGF2</f>
        <v>0</v>
      </c>
      <c r="DGH3">
        <f>'[12]Summary Report - 12 Months Endi'!DGG2</f>
        <v>0</v>
      </c>
      <c r="DGI3">
        <f>'[12]Summary Report - 12 Months Endi'!DGH2</f>
        <v>0</v>
      </c>
      <c r="DGJ3">
        <f>'[12]Summary Report - 12 Months Endi'!DGI2</f>
        <v>0</v>
      </c>
      <c r="DGK3">
        <f>'[12]Summary Report - 12 Months Endi'!DGJ2</f>
        <v>0</v>
      </c>
      <c r="DGL3">
        <f>'[12]Summary Report - 12 Months Endi'!DGK2</f>
        <v>0</v>
      </c>
      <c r="DGM3">
        <f>'[12]Summary Report - 12 Months Endi'!DGL2</f>
        <v>0</v>
      </c>
      <c r="DGN3">
        <f>'[12]Summary Report - 12 Months Endi'!DGM2</f>
        <v>0</v>
      </c>
      <c r="DGO3">
        <f>'[12]Summary Report - 12 Months Endi'!DGN2</f>
        <v>0</v>
      </c>
      <c r="DGP3">
        <f>'[12]Summary Report - 12 Months Endi'!DGO2</f>
        <v>0</v>
      </c>
      <c r="DGQ3">
        <f>'[12]Summary Report - 12 Months Endi'!DGP2</f>
        <v>0</v>
      </c>
      <c r="DGR3">
        <f>'[12]Summary Report - 12 Months Endi'!DGQ2</f>
        <v>0</v>
      </c>
      <c r="DGS3">
        <f>'[12]Summary Report - 12 Months Endi'!DGR2</f>
        <v>0</v>
      </c>
      <c r="DGT3">
        <f>'[12]Summary Report - 12 Months Endi'!DGS2</f>
        <v>0</v>
      </c>
      <c r="DGU3">
        <f>'[12]Summary Report - 12 Months Endi'!DGT2</f>
        <v>0</v>
      </c>
      <c r="DGV3">
        <f>'[12]Summary Report - 12 Months Endi'!DGU2</f>
        <v>0</v>
      </c>
      <c r="DGW3">
        <f>'[12]Summary Report - 12 Months Endi'!DGV2</f>
        <v>0</v>
      </c>
      <c r="DGX3">
        <f>'[12]Summary Report - 12 Months Endi'!DGW2</f>
        <v>0</v>
      </c>
      <c r="DGY3">
        <f>'[12]Summary Report - 12 Months Endi'!DGX2</f>
        <v>0</v>
      </c>
      <c r="DGZ3">
        <f>'[12]Summary Report - 12 Months Endi'!DGY2</f>
        <v>0</v>
      </c>
      <c r="DHA3">
        <f>'[12]Summary Report - 12 Months Endi'!DGZ2</f>
        <v>0</v>
      </c>
      <c r="DHB3">
        <f>'[12]Summary Report - 12 Months Endi'!DHA2</f>
        <v>0</v>
      </c>
      <c r="DHC3">
        <f>'[12]Summary Report - 12 Months Endi'!DHB2</f>
        <v>0</v>
      </c>
      <c r="DHD3">
        <f>'[12]Summary Report - 12 Months Endi'!DHC2</f>
        <v>0</v>
      </c>
      <c r="DHE3">
        <f>'[12]Summary Report - 12 Months Endi'!DHD2</f>
        <v>0</v>
      </c>
      <c r="DHF3">
        <f>'[12]Summary Report - 12 Months Endi'!DHE2</f>
        <v>0</v>
      </c>
      <c r="DHG3">
        <f>'[12]Summary Report - 12 Months Endi'!DHF2</f>
        <v>0</v>
      </c>
      <c r="DHH3">
        <f>'[12]Summary Report - 12 Months Endi'!DHG2</f>
        <v>0</v>
      </c>
      <c r="DHI3">
        <f>'[12]Summary Report - 12 Months Endi'!DHH2</f>
        <v>0</v>
      </c>
      <c r="DHJ3">
        <f>'[12]Summary Report - 12 Months Endi'!DHI2</f>
        <v>0</v>
      </c>
      <c r="DHK3">
        <f>'[12]Summary Report - 12 Months Endi'!DHJ2</f>
        <v>0</v>
      </c>
      <c r="DHL3">
        <f>'[12]Summary Report - 12 Months Endi'!DHK2</f>
        <v>0</v>
      </c>
      <c r="DHM3">
        <f>'[12]Summary Report - 12 Months Endi'!DHL2</f>
        <v>0</v>
      </c>
      <c r="DHN3">
        <f>'[12]Summary Report - 12 Months Endi'!DHM2</f>
        <v>0</v>
      </c>
      <c r="DHO3">
        <f>'[12]Summary Report - 12 Months Endi'!DHN2</f>
        <v>0</v>
      </c>
      <c r="DHP3">
        <f>'[12]Summary Report - 12 Months Endi'!DHO2</f>
        <v>0</v>
      </c>
      <c r="DHQ3">
        <f>'[12]Summary Report - 12 Months Endi'!DHP2</f>
        <v>0</v>
      </c>
      <c r="DHR3">
        <f>'[12]Summary Report - 12 Months Endi'!DHQ2</f>
        <v>0</v>
      </c>
      <c r="DHS3">
        <f>'[12]Summary Report - 12 Months Endi'!DHR2</f>
        <v>0</v>
      </c>
      <c r="DHT3">
        <f>'[12]Summary Report - 12 Months Endi'!DHS2</f>
        <v>0</v>
      </c>
      <c r="DHU3">
        <f>'[12]Summary Report - 12 Months Endi'!DHT2</f>
        <v>0</v>
      </c>
      <c r="DHV3">
        <f>'[12]Summary Report - 12 Months Endi'!DHU2</f>
        <v>0</v>
      </c>
      <c r="DHW3">
        <f>'[12]Summary Report - 12 Months Endi'!DHV2</f>
        <v>0</v>
      </c>
      <c r="DHX3">
        <f>'[12]Summary Report - 12 Months Endi'!DHW2</f>
        <v>0</v>
      </c>
      <c r="DHY3">
        <f>'[12]Summary Report - 12 Months Endi'!DHX2</f>
        <v>0</v>
      </c>
      <c r="DHZ3">
        <f>'[12]Summary Report - 12 Months Endi'!DHY2</f>
        <v>0</v>
      </c>
      <c r="DIA3">
        <f>'[12]Summary Report - 12 Months Endi'!DHZ2</f>
        <v>0</v>
      </c>
      <c r="DIB3">
        <f>'[12]Summary Report - 12 Months Endi'!DIA2</f>
        <v>0</v>
      </c>
      <c r="DIC3">
        <f>'[12]Summary Report - 12 Months Endi'!DIB2</f>
        <v>0</v>
      </c>
      <c r="DID3">
        <f>'[12]Summary Report - 12 Months Endi'!DIC2</f>
        <v>0</v>
      </c>
      <c r="DIE3">
        <f>'[12]Summary Report - 12 Months Endi'!DID2</f>
        <v>0</v>
      </c>
      <c r="DIF3">
        <f>'[12]Summary Report - 12 Months Endi'!DIE2</f>
        <v>0</v>
      </c>
      <c r="DIG3">
        <f>'[12]Summary Report - 12 Months Endi'!DIF2</f>
        <v>0</v>
      </c>
      <c r="DIH3">
        <f>'[12]Summary Report - 12 Months Endi'!DIG2</f>
        <v>0</v>
      </c>
      <c r="DII3">
        <f>'[12]Summary Report - 12 Months Endi'!DIH2</f>
        <v>0</v>
      </c>
      <c r="DIJ3">
        <f>'[12]Summary Report - 12 Months Endi'!DII2</f>
        <v>0</v>
      </c>
      <c r="DIK3">
        <f>'[12]Summary Report - 12 Months Endi'!DIJ2</f>
        <v>0</v>
      </c>
      <c r="DIL3">
        <f>'[12]Summary Report - 12 Months Endi'!DIK2</f>
        <v>0</v>
      </c>
      <c r="DIM3">
        <f>'[12]Summary Report - 12 Months Endi'!DIL2</f>
        <v>0</v>
      </c>
      <c r="DIN3">
        <f>'[12]Summary Report - 12 Months Endi'!DIM2</f>
        <v>0</v>
      </c>
      <c r="DIO3">
        <f>'[12]Summary Report - 12 Months Endi'!DIN2</f>
        <v>0</v>
      </c>
      <c r="DIP3">
        <f>'[12]Summary Report - 12 Months Endi'!DIO2</f>
        <v>0</v>
      </c>
      <c r="DIQ3">
        <f>'[12]Summary Report - 12 Months Endi'!DIP2</f>
        <v>0</v>
      </c>
      <c r="DIR3">
        <f>'[12]Summary Report - 12 Months Endi'!DIQ2</f>
        <v>0</v>
      </c>
      <c r="DIS3">
        <f>'[12]Summary Report - 12 Months Endi'!DIR2</f>
        <v>0</v>
      </c>
      <c r="DIT3">
        <f>'[12]Summary Report - 12 Months Endi'!DIS2</f>
        <v>0</v>
      </c>
      <c r="DIU3">
        <f>'[12]Summary Report - 12 Months Endi'!DIT2</f>
        <v>0</v>
      </c>
      <c r="DIV3">
        <f>'[12]Summary Report - 12 Months Endi'!DIU2</f>
        <v>0</v>
      </c>
      <c r="DIW3">
        <f>'[12]Summary Report - 12 Months Endi'!DIV2</f>
        <v>0</v>
      </c>
      <c r="DIX3">
        <f>'[12]Summary Report - 12 Months Endi'!DIW2</f>
        <v>0</v>
      </c>
      <c r="DIY3">
        <f>'[12]Summary Report - 12 Months Endi'!DIX2</f>
        <v>0</v>
      </c>
      <c r="DIZ3">
        <f>'[12]Summary Report - 12 Months Endi'!DIY2</f>
        <v>0</v>
      </c>
      <c r="DJA3">
        <f>'[12]Summary Report - 12 Months Endi'!DIZ2</f>
        <v>0</v>
      </c>
      <c r="DJB3">
        <f>'[12]Summary Report - 12 Months Endi'!DJA2</f>
        <v>0</v>
      </c>
      <c r="DJC3">
        <f>'[12]Summary Report - 12 Months Endi'!DJB2</f>
        <v>0</v>
      </c>
      <c r="DJD3">
        <f>'[12]Summary Report - 12 Months Endi'!DJC2</f>
        <v>0</v>
      </c>
      <c r="DJE3">
        <f>'[12]Summary Report - 12 Months Endi'!DJD2</f>
        <v>0</v>
      </c>
      <c r="DJF3">
        <f>'[12]Summary Report - 12 Months Endi'!DJE2</f>
        <v>0</v>
      </c>
      <c r="DJG3">
        <f>'[12]Summary Report - 12 Months Endi'!DJF2</f>
        <v>0</v>
      </c>
      <c r="DJH3">
        <f>'[12]Summary Report - 12 Months Endi'!DJG2</f>
        <v>0</v>
      </c>
      <c r="DJI3">
        <f>'[12]Summary Report - 12 Months Endi'!DJH2</f>
        <v>0</v>
      </c>
      <c r="DJJ3">
        <f>'[12]Summary Report - 12 Months Endi'!DJI2</f>
        <v>0</v>
      </c>
      <c r="DJK3">
        <f>'[12]Summary Report - 12 Months Endi'!DJJ2</f>
        <v>0</v>
      </c>
      <c r="DJL3">
        <f>'[12]Summary Report - 12 Months Endi'!DJK2</f>
        <v>0</v>
      </c>
      <c r="DJM3">
        <f>'[12]Summary Report - 12 Months Endi'!DJL2</f>
        <v>0</v>
      </c>
      <c r="DJN3">
        <f>'[12]Summary Report - 12 Months Endi'!DJM2</f>
        <v>0</v>
      </c>
      <c r="DJO3">
        <f>'[12]Summary Report - 12 Months Endi'!DJN2</f>
        <v>0</v>
      </c>
      <c r="DJP3">
        <f>'[12]Summary Report - 12 Months Endi'!DJO2</f>
        <v>0</v>
      </c>
      <c r="DJQ3">
        <f>'[12]Summary Report - 12 Months Endi'!DJP2</f>
        <v>0</v>
      </c>
      <c r="DJR3">
        <f>'[12]Summary Report - 12 Months Endi'!DJQ2</f>
        <v>0</v>
      </c>
      <c r="DJS3">
        <f>'[12]Summary Report - 12 Months Endi'!DJR2</f>
        <v>0</v>
      </c>
      <c r="DJT3">
        <f>'[12]Summary Report - 12 Months Endi'!DJS2</f>
        <v>0</v>
      </c>
      <c r="DJU3">
        <f>'[12]Summary Report - 12 Months Endi'!DJT2</f>
        <v>0</v>
      </c>
      <c r="DJV3">
        <f>'[12]Summary Report - 12 Months Endi'!DJU2</f>
        <v>0</v>
      </c>
      <c r="DJW3">
        <f>'[12]Summary Report - 12 Months Endi'!DJV2</f>
        <v>0</v>
      </c>
      <c r="DJX3">
        <f>'[12]Summary Report - 12 Months Endi'!DJW2</f>
        <v>0</v>
      </c>
      <c r="DJY3">
        <f>'[12]Summary Report - 12 Months Endi'!DJX2</f>
        <v>0</v>
      </c>
      <c r="DJZ3">
        <f>'[12]Summary Report - 12 Months Endi'!DJY2</f>
        <v>0</v>
      </c>
      <c r="DKA3">
        <f>'[12]Summary Report - 12 Months Endi'!DJZ2</f>
        <v>0</v>
      </c>
      <c r="DKB3">
        <f>'[12]Summary Report - 12 Months Endi'!DKA2</f>
        <v>0</v>
      </c>
      <c r="DKC3">
        <f>'[12]Summary Report - 12 Months Endi'!DKB2</f>
        <v>0</v>
      </c>
      <c r="DKD3">
        <f>'[12]Summary Report - 12 Months Endi'!DKC2</f>
        <v>0</v>
      </c>
      <c r="DKE3">
        <f>'[12]Summary Report - 12 Months Endi'!DKD2</f>
        <v>0</v>
      </c>
      <c r="DKF3">
        <f>'[12]Summary Report - 12 Months Endi'!DKE2</f>
        <v>0</v>
      </c>
      <c r="DKG3">
        <f>'[12]Summary Report - 12 Months Endi'!DKF2</f>
        <v>0</v>
      </c>
      <c r="DKH3">
        <f>'[12]Summary Report - 12 Months Endi'!DKG2</f>
        <v>0</v>
      </c>
      <c r="DKI3">
        <f>'[12]Summary Report - 12 Months Endi'!DKH2</f>
        <v>0</v>
      </c>
      <c r="DKJ3">
        <f>'[12]Summary Report - 12 Months Endi'!DKI2</f>
        <v>0</v>
      </c>
      <c r="DKK3">
        <f>'[12]Summary Report - 12 Months Endi'!DKJ2</f>
        <v>0</v>
      </c>
      <c r="DKL3">
        <f>'[12]Summary Report - 12 Months Endi'!DKK2</f>
        <v>0</v>
      </c>
      <c r="DKM3">
        <f>'[12]Summary Report - 12 Months Endi'!DKL2</f>
        <v>0</v>
      </c>
      <c r="DKN3">
        <f>'[12]Summary Report - 12 Months Endi'!DKM2</f>
        <v>0</v>
      </c>
      <c r="DKO3">
        <f>'[12]Summary Report - 12 Months Endi'!DKN2</f>
        <v>0</v>
      </c>
      <c r="DKP3">
        <f>'[12]Summary Report - 12 Months Endi'!DKO2</f>
        <v>0</v>
      </c>
      <c r="DKQ3">
        <f>'[12]Summary Report - 12 Months Endi'!DKP2</f>
        <v>0</v>
      </c>
      <c r="DKR3">
        <f>'[12]Summary Report - 12 Months Endi'!DKQ2</f>
        <v>0</v>
      </c>
      <c r="DKS3">
        <f>'[12]Summary Report - 12 Months Endi'!DKR2</f>
        <v>0</v>
      </c>
      <c r="DKT3">
        <f>'[12]Summary Report - 12 Months Endi'!DKS2</f>
        <v>0</v>
      </c>
      <c r="DKU3">
        <f>'[12]Summary Report - 12 Months Endi'!DKT2</f>
        <v>0</v>
      </c>
      <c r="DKV3">
        <f>'[12]Summary Report - 12 Months Endi'!DKU2</f>
        <v>0</v>
      </c>
      <c r="DKW3">
        <f>'[12]Summary Report - 12 Months Endi'!DKV2</f>
        <v>0</v>
      </c>
      <c r="DKX3">
        <f>'[12]Summary Report - 12 Months Endi'!DKW2</f>
        <v>0</v>
      </c>
      <c r="DKY3">
        <f>'[12]Summary Report - 12 Months Endi'!DKX2</f>
        <v>0</v>
      </c>
      <c r="DKZ3">
        <f>'[12]Summary Report - 12 Months Endi'!DKY2</f>
        <v>0</v>
      </c>
      <c r="DLA3">
        <f>'[12]Summary Report - 12 Months Endi'!DKZ2</f>
        <v>0</v>
      </c>
      <c r="DLB3">
        <f>'[12]Summary Report - 12 Months Endi'!DLA2</f>
        <v>0</v>
      </c>
      <c r="DLC3">
        <f>'[12]Summary Report - 12 Months Endi'!DLB2</f>
        <v>0</v>
      </c>
      <c r="DLD3">
        <f>'[12]Summary Report - 12 Months Endi'!DLC2</f>
        <v>0</v>
      </c>
      <c r="DLE3">
        <f>'[12]Summary Report - 12 Months Endi'!DLD2</f>
        <v>0</v>
      </c>
      <c r="DLF3">
        <f>'[12]Summary Report - 12 Months Endi'!DLE2</f>
        <v>0</v>
      </c>
      <c r="DLG3">
        <f>'[12]Summary Report - 12 Months Endi'!DLF2</f>
        <v>0</v>
      </c>
      <c r="DLH3">
        <f>'[12]Summary Report - 12 Months Endi'!DLG2</f>
        <v>0</v>
      </c>
      <c r="DLI3">
        <f>'[12]Summary Report - 12 Months Endi'!DLH2</f>
        <v>0</v>
      </c>
      <c r="DLJ3">
        <f>'[12]Summary Report - 12 Months Endi'!DLI2</f>
        <v>0</v>
      </c>
      <c r="DLK3">
        <f>'[12]Summary Report - 12 Months Endi'!DLJ2</f>
        <v>0</v>
      </c>
      <c r="DLL3">
        <f>'[12]Summary Report - 12 Months Endi'!DLK2</f>
        <v>0</v>
      </c>
      <c r="DLM3">
        <f>'[12]Summary Report - 12 Months Endi'!DLL2</f>
        <v>0</v>
      </c>
      <c r="DLN3">
        <f>'[12]Summary Report - 12 Months Endi'!DLM2</f>
        <v>0</v>
      </c>
      <c r="DLO3">
        <f>'[12]Summary Report - 12 Months Endi'!DLN2</f>
        <v>0</v>
      </c>
      <c r="DLP3">
        <f>'[12]Summary Report - 12 Months Endi'!DLO2</f>
        <v>0</v>
      </c>
      <c r="DLQ3">
        <f>'[12]Summary Report - 12 Months Endi'!DLP2</f>
        <v>0</v>
      </c>
      <c r="DLR3">
        <f>'[12]Summary Report - 12 Months Endi'!DLQ2</f>
        <v>0</v>
      </c>
      <c r="DLS3">
        <f>'[12]Summary Report - 12 Months Endi'!DLR2</f>
        <v>0</v>
      </c>
      <c r="DLT3">
        <f>'[12]Summary Report - 12 Months Endi'!DLS2</f>
        <v>0</v>
      </c>
      <c r="DLU3">
        <f>'[12]Summary Report - 12 Months Endi'!DLT2</f>
        <v>0</v>
      </c>
      <c r="DLV3">
        <f>'[12]Summary Report - 12 Months Endi'!DLU2</f>
        <v>0</v>
      </c>
      <c r="DLW3">
        <f>'[12]Summary Report - 12 Months Endi'!DLV2</f>
        <v>0</v>
      </c>
      <c r="DLX3">
        <f>'[12]Summary Report - 12 Months Endi'!DLW2</f>
        <v>0</v>
      </c>
      <c r="DLY3">
        <f>'[12]Summary Report - 12 Months Endi'!DLX2</f>
        <v>0</v>
      </c>
      <c r="DLZ3">
        <f>'[12]Summary Report - 12 Months Endi'!DLY2</f>
        <v>0</v>
      </c>
      <c r="DMA3">
        <f>'[12]Summary Report - 12 Months Endi'!DLZ2</f>
        <v>0</v>
      </c>
      <c r="DMB3">
        <f>'[12]Summary Report - 12 Months Endi'!DMA2</f>
        <v>0</v>
      </c>
      <c r="DMC3">
        <f>'[12]Summary Report - 12 Months Endi'!DMB2</f>
        <v>0</v>
      </c>
      <c r="DMD3">
        <f>'[12]Summary Report - 12 Months Endi'!DMC2</f>
        <v>0</v>
      </c>
      <c r="DME3">
        <f>'[12]Summary Report - 12 Months Endi'!DMD2</f>
        <v>0</v>
      </c>
      <c r="DMF3">
        <f>'[12]Summary Report - 12 Months Endi'!DME2</f>
        <v>0</v>
      </c>
      <c r="DMG3">
        <f>'[12]Summary Report - 12 Months Endi'!DMF2</f>
        <v>0</v>
      </c>
      <c r="DMH3">
        <f>'[12]Summary Report - 12 Months Endi'!DMG2</f>
        <v>0</v>
      </c>
      <c r="DMI3">
        <f>'[12]Summary Report - 12 Months Endi'!DMH2</f>
        <v>0</v>
      </c>
      <c r="DMJ3">
        <f>'[12]Summary Report - 12 Months Endi'!DMI2</f>
        <v>0</v>
      </c>
      <c r="DMK3">
        <f>'[12]Summary Report - 12 Months Endi'!DMJ2</f>
        <v>0</v>
      </c>
      <c r="DML3">
        <f>'[12]Summary Report - 12 Months Endi'!DMK2</f>
        <v>0</v>
      </c>
      <c r="DMM3">
        <f>'[12]Summary Report - 12 Months Endi'!DML2</f>
        <v>0</v>
      </c>
      <c r="DMN3">
        <f>'[12]Summary Report - 12 Months Endi'!DMM2</f>
        <v>0</v>
      </c>
      <c r="DMO3">
        <f>'[12]Summary Report - 12 Months Endi'!DMN2</f>
        <v>0</v>
      </c>
      <c r="DMP3">
        <f>'[12]Summary Report - 12 Months Endi'!DMO2</f>
        <v>0</v>
      </c>
      <c r="DMQ3">
        <f>'[12]Summary Report - 12 Months Endi'!DMP2</f>
        <v>0</v>
      </c>
      <c r="DMR3">
        <f>'[12]Summary Report - 12 Months Endi'!DMQ2</f>
        <v>0</v>
      </c>
      <c r="DMS3">
        <f>'[12]Summary Report - 12 Months Endi'!DMR2</f>
        <v>0</v>
      </c>
      <c r="DMT3">
        <f>'[12]Summary Report - 12 Months Endi'!DMS2</f>
        <v>0</v>
      </c>
      <c r="DMU3">
        <f>'[12]Summary Report - 12 Months Endi'!DMT2</f>
        <v>0</v>
      </c>
      <c r="DMV3">
        <f>'[12]Summary Report - 12 Months Endi'!DMU2</f>
        <v>0</v>
      </c>
      <c r="DMW3">
        <f>'[12]Summary Report - 12 Months Endi'!DMV2</f>
        <v>0</v>
      </c>
      <c r="DMX3">
        <f>'[12]Summary Report - 12 Months Endi'!DMW2</f>
        <v>0</v>
      </c>
      <c r="DMY3">
        <f>'[12]Summary Report - 12 Months Endi'!DMX2</f>
        <v>0</v>
      </c>
      <c r="DMZ3">
        <f>'[12]Summary Report - 12 Months Endi'!DMY2</f>
        <v>0</v>
      </c>
      <c r="DNA3">
        <f>'[12]Summary Report - 12 Months Endi'!DMZ2</f>
        <v>0</v>
      </c>
      <c r="DNB3">
        <f>'[12]Summary Report - 12 Months Endi'!DNA2</f>
        <v>0</v>
      </c>
      <c r="DNC3">
        <f>'[12]Summary Report - 12 Months Endi'!DNB2</f>
        <v>0</v>
      </c>
      <c r="DND3">
        <f>'[12]Summary Report - 12 Months Endi'!DNC2</f>
        <v>0</v>
      </c>
      <c r="DNE3">
        <f>'[12]Summary Report - 12 Months Endi'!DND2</f>
        <v>0</v>
      </c>
      <c r="DNF3">
        <f>'[12]Summary Report - 12 Months Endi'!DNE2</f>
        <v>0</v>
      </c>
      <c r="DNG3">
        <f>'[12]Summary Report - 12 Months Endi'!DNF2</f>
        <v>0</v>
      </c>
      <c r="DNH3">
        <f>'[12]Summary Report - 12 Months Endi'!DNG2</f>
        <v>0</v>
      </c>
      <c r="DNI3">
        <f>'[12]Summary Report - 12 Months Endi'!DNH2</f>
        <v>0</v>
      </c>
      <c r="DNJ3">
        <f>'[12]Summary Report - 12 Months Endi'!DNI2</f>
        <v>0</v>
      </c>
      <c r="DNK3">
        <f>'[12]Summary Report - 12 Months Endi'!DNJ2</f>
        <v>0</v>
      </c>
      <c r="DNL3">
        <f>'[12]Summary Report - 12 Months Endi'!DNK2</f>
        <v>0</v>
      </c>
      <c r="DNM3">
        <f>'[12]Summary Report - 12 Months Endi'!DNL2</f>
        <v>0</v>
      </c>
      <c r="DNN3">
        <f>'[12]Summary Report - 12 Months Endi'!DNM2</f>
        <v>0</v>
      </c>
      <c r="DNO3">
        <f>'[12]Summary Report - 12 Months Endi'!DNN2</f>
        <v>0</v>
      </c>
      <c r="DNP3">
        <f>'[12]Summary Report - 12 Months Endi'!DNO2</f>
        <v>0</v>
      </c>
      <c r="DNQ3">
        <f>'[12]Summary Report - 12 Months Endi'!DNP2</f>
        <v>0</v>
      </c>
      <c r="DNR3">
        <f>'[12]Summary Report - 12 Months Endi'!DNQ2</f>
        <v>0</v>
      </c>
      <c r="DNS3">
        <f>'[12]Summary Report - 12 Months Endi'!DNR2</f>
        <v>0</v>
      </c>
      <c r="DNT3">
        <f>'[12]Summary Report - 12 Months Endi'!DNS2</f>
        <v>0</v>
      </c>
      <c r="DNU3">
        <f>'[12]Summary Report - 12 Months Endi'!DNT2</f>
        <v>0</v>
      </c>
      <c r="DNV3">
        <f>'[12]Summary Report - 12 Months Endi'!DNU2</f>
        <v>0</v>
      </c>
      <c r="DNW3">
        <f>'[12]Summary Report - 12 Months Endi'!DNV2</f>
        <v>0</v>
      </c>
      <c r="DNX3">
        <f>'[12]Summary Report - 12 Months Endi'!DNW2</f>
        <v>0</v>
      </c>
      <c r="DNY3">
        <f>'[12]Summary Report - 12 Months Endi'!DNX2</f>
        <v>0</v>
      </c>
      <c r="DNZ3">
        <f>'[12]Summary Report - 12 Months Endi'!DNY2</f>
        <v>0</v>
      </c>
      <c r="DOA3">
        <f>'[12]Summary Report - 12 Months Endi'!DNZ2</f>
        <v>0</v>
      </c>
      <c r="DOB3">
        <f>'[12]Summary Report - 12 Months Endi'!DOA2</f>
        <v>0</v>
      </c>
      <c r="DOC3">
        <f>'[12]Summary Report - 12 Months Endi'!DOB2</f>
        <v>0</v>
      </c>
      <c r="DOD3">
        <f>'[12]Summary Report - 12 Months Endi'!DOC2</f>
        <v>0</v>
      </c>
      <c r="DOE3">
        <f>'[12]Summary Report - 12 Months Endi'!DOD2</f>
        <v>0</v>
      </c>
      <c r="DOF3">
        <f>'[12]Summary Report - 12 Months Endi'!DOE2</f>
        <v>0</v>
      </c>
      <c r="DOG3">
        <f>'[12]Summary Report - 12 Months Endi'!DOF2</f>
        <v>0</v>
      </c>
      <c r="DOH3">
        <f>'[12]Summary Report - 12 Months Endi'!DOG2</f>
        <v>0</v>
      </c>
      <c r="DOI3">
        <f>'[12]Summary Report - 12 Months Endi'!DOH2</f>
        <v>0</v>
      </c>
      <c r="DOJ3">
        <f>'[12]Summary Report - 12 Months Endi'!DOI2</f>
        <v>0</v>
      </c>
      <c r="DOK3">
        <f>'[12]Summary Report - 12 Months Endi'!DOJ2</f>
        <v>0</v>
      </c>
      <c r="DOL3">
        <f>'[12]Summary Report - 12 Months Endi'!DOK2</f>
        <v>0</v>
      </c>
      <c r="DOM3">
        <f>'[12]Summary Report - 12 Months Endi'!DOL2</f>
        <v>0</v>
      </c>
      <c r="DON3">
        <f>'[12]Summary Report - 12 Months Endi'!DOM2</f>
        <v>0</v>
      </c>
      <c r="DOO3">
        <f>'[12]Summary Report - 12 Months Endi'!DON2</f>
        <v>0</v>
      </c>
      <c r="DOP3">
        <f>'[12]Summary Report - 12 Months Endi'!DOO2</f>
        <v>0</v>
      </c>
      <c r="DOQ3">
        <f>'[12]Summary Report - 12 Months Endi'!DOP2</f>
        <v>0</v>
      </c>
      <c r="DOR3">
        <f>'[12]Summary Report - 12 Months Endi'!DOQ2</f>
        <v>0</v>
      </c>
      <c r="DOS3">
        <f>'[12]Summary Report - 12 Months Endi'!DOR2</f>
        <v>0</v>
      </c>
      <c r="DOT3">
        <f>'[12]Summary Report - 12 Months Endi'!DOS2</f>
        <v>0</v>
      </c>
      <c r="DOU3">
        <f>'[12]Summary Report - 12 Months Endi'!DOT2</f>
        <v>0</v>
      </c>
      <c r="DOV3">
        <f>'[12]Summary Report - 12 Months Endi'!DOU2</f>
        <v>0</v>
      </c>
      <c r="DOW3">
        <f>'[12]Summary Report - 12 Months Endi'!DOV2</f>
        <v>0</v>
      </c>
      <c r="DOX3">
        <f>'[12]Summary Report - 12 Months Endi'!DOW2</f>
        <v>0</v>
      </c>
      <c r="DOY3">
        <f>'[12]Summary Report - 12 Months Endi'!DOX2</f>
        <v>0</v>
      </c>
      <c r="DOZ3">
        <f>'[12]Summary Report - 12 Months Endi'!DOY2</f>
        <v>0</v>
      </c>
      <c r="DPA3">
        <f>'[12]Summary Report - 12 Months Endi'!DOZ2</f>
        <v>0</v>
      </c>
      <c r="DPB3">
        <f>'[12]Summary Report - 12 Months Endi'!DPA2</f>
        <v>0</v>
      </c>
      <c r="DPC3">
        <f>'[12]Summary Report - 12 Months Endi'!DPB2</f>
        <v>0</v>
      </c>
      <c r="DPD3">
        <f>'[12]Summary Report - 12 Months Endi'!DPC2</f>
        <v>0</v>
      </c>
      <c r="DPE3">
        <f>'[12]Summary Report - 12 Months Endi'!DPD2</f>
        <v>0</v>
      </c>
      <c r="DPF3">
        <f>'[12]Summary Report - 12 Months Endi'!DPE2</f>
        <v>0</v>
      </c>
      <c r="DPG3">
        <f>'[12]Summary Report - 12 Months Endi'!DPF2</f>
        <v>0</v>
      </c>
      <c r="DPH3">
        <f>'[12]Summary Report - 12 Months Endi'!DPG2</f>
        <v>0</v>
      </c>
      <c r="DPI3">
        <f>'[12]Summary Report - 12 Months Endi'!DPH2</f>
        <v>0</v>
      </c>
      <c r="DPJ3">
        <f>'[12]Summary Report - 12 Months Endi'!DPI2</f>
        <v>0</v>
      </c>
      <c r="DPK3">
        <f>'[12]Summary Report - 12 Months Endi'!DPJ2</f>
        <v>0</v>
      </c>
      <c r="DPL3">
        <f>'[12]Summary Report - 12 Months Endi'!DPK2</f>
        <v>0</v>
      </c>
      <c r="DPM3">
        <f>'[12]Summary Report - 12 Months Endi'!DPL2</f>
        <v>0</v>
      </c>
      <c r="DPN3">
        <f>'[12]Summary Report - 12 Months Endi'!DPM2</f>
        <v>0</v>
      </c>
      <c r="DPO3">
        <f>'[12]Summary Report - 12 Months Endi'!DPN2</f>
        <v>0</v>
      </c>
      <c r="DPP3">
        <f>'[12]Summary Report - 12 Months Endi'!DPO2</f>
        <v>0</v>
      </c>
      <c r="DPQ3">
        <f>'[12]Summary Report - 12 Months Endi'!DPP2</f>
        <v>0</v>
      </c>
      <c r="DPR3">
        <f>'[12]Summary Report - 12 Months Endi'!DPQ2</f>
        <v>0</v>
      </c>
      <c r="DPS3">
        <f>'[12]Summary Report - 12 Months Endi'!DPR2</f>
        <v>0</v>
      </c>
      <c r="DPT3">
        <f>'[12]Summary Report - 12 Months Endi'!DPS2</f>
        <v>0</v>
      </c>
      <c r="DPU3">
        <f>'[12]Summary Report - 12 Months Endi'!DPT2</f>
        <v>0</v>
      </c>
      <c r="DPV3">
        <f>'[12]Summary Report - 12 Months Endi'!DPU2</f>
        <v>0</v>
      </c>
      <c r="DPW3">
        <f>'[12]Summary Report - 12 Months Endi'!DPV2</f>
        <v>0</v>
      </c>
      <c r="DPX3">
        <f>'[12]Summary Report - 12 Months Endi'!DPW2</f>
        <v>0</v>
      </c>
      <c r="DPY3">
        <f>'[12]Summary Report - 12 Months Endi'!DPX2</f>
        <v>0</v>
      </c>
      <c r="DPZ3">
        <f>'[12]Summary Report - 12 Months Endi'!DPY2</f>
        <v>0</v>
      </c>
      <c r="DQA3">
        <f>'[12]Summary Report - 12 Months Endi'!DPZ2</f>
        <v>0</v>
      </c>
      <c r="DQB3">
        <f>'[12]Summary Report - 12 Months Endi'!DQA2</f>
        <v>0</v>
      </c>
      <c r="DQC3">
        <f>'[12]Summary Report - 12 Months Endi'!DQB2</f>
        <v>0</v>
      </c>
      <c r="DQD3">
        <f>'[12]Summary Report - 12 Months Endi'!DQC2</f>
        <v>0</v>
      </c>
      <c r="DQE3">
        <f>'[12]Summary Report - 12 Months Endi'!DQD2</f>
        <v>0</v>
      </c>
      <c r="DQF3">
        <f>'[12]Summary Report - 12 Months Endi'!DQE2</f>
        <v>0</v>
      </c>
      <c r="DQG3">
        <f>'[12]Summary Report - 12 Months Endi'!DQF2</f>
        <v>0</v>
      </c>
      <c r="DQH3">
        <f>'[12]Summary Report - 12 Months Endi'!DQG2</f>
        <v>0</v>
      </c>
      <c r="DQI3">
        <f>'[12]Summary Report - 12 Months Endi'!DQH2</f>
        <v>0</v>
      </c>
      <c r="DQJ3">
        <f>'[12]Summary Report - 12 Months Endi'!DQI2</f>
        <v>0</v>
      </c>
      <c r="DQK3">
        <f>'[12]Summary Report - 12 Months Endi'!DQJ2</f>
        <v>0</v>
      </c>
      <c r="DQL3">
        <f>'[12]Summary Report - 12 Months Endi'!DQK2</f>
        <v>0</v>
      </c>
      <c r="DQM3">
        <f>'[12]Summary Report - 12 Months Endi'!DQL2</f>
        <v>0</v>
      </c>
      <c r="DQN3">
        <f>'[12]Summary Report - 12 Months Endi'!DQM2</f>
        <v>0</v>
      </c>
      <c r="DQO3">
        <f>'[12]Summary Report - 12 Months Endi'!DQN2</f>
        <v>0</v>
      </c>
      <c r="DQP3">
        <f>'[12]Summary Report - 12 Months Endi'!DQO2</f>
        <v>0</v>
      </c>
      <c r="DQQ3">
        <f>'[12]Summary Report - 12 Months Endi'!DQP2</f>
        <v>0</v>
      </c>
      <c r="DQR3">
        <f>'[12]Summary Report - 12 Months Endi'!DQQ2</f>
        <v>0</v>
      </c>
      <c r="DQS3">
        <f>'[12]Summary Report - 12 Months Endi'!DQR2</f>
        <v>0</v>
      </c>
      <c r="DQT3">
        <f>'[12]Summary Report - 12 Months Endi'!DQS2</f>
        <v>0</v>
      </c>
      <c r="DQU3">
        <f>'[12]Summary Report - 12 Months Endi'!DQT2</f>
        <v>0</v>
      </c>
      <c r="DQV3">
        <f>'[12]Summary Report - 12 Months Endi'!DQU2</f>
        <v>0</v>
      </c>
      <c r="DQW3">
        <f>'[12]Summary Report - 12 Months Endi'!DQV2</f>
        <v>0</v>
      </c>
      <c r="DQX3">
        <f>'[12]Summary Report - 12 Months Endi'!DQW2</f>
        <v>0</v>
      </c>
      <c r="DQY3">
        <f>'[12]Summary Report - 12 Months Endi'!DQX2</f>
        <v>0</v>
      </c>
      <c r="DQZ3">
        <f>'[12]Summary Report - 12 Months Endi'!DQY2</f>
        <v>0</v>
      </c>
      <c r="DRA3">
        <f>'[12]Summary Report - 12 Months Endi'!DQZ2</f>
        <v>0</v>
      </c>
      <c r="DRB3">
        <f>'[12]Summary Report - 12 Months Endi'!DRA2</f>
        <v>0</v>
      </c>
      <c r="DRC3">
        <f>'[12]Summary Report - 12 Months Endi'!DRB2</f>
        <v>0</v>
      </c>
      <c r="DRD3">
        <f>'[12]Summary Report - 12 Months Endi'!DRC2</f>
        <v>0</v>
      </c>
      <c r="DRE3">
        <f>'[12]Summary Report - 12 Months Endi'!DRD2</f>
        <v>0</v>
      </c>
      <c r="DRF3">
        <f>'[12]Summary Report - 12 Months Endi'!DRE2</f>
        <v>0</v>
      </c>
      <c r="DRG3">
        <f>'[12]Summary Report - 12 Months Endi'!DRF2</f>
        <v>0</v>
      </c>
      <c r="DRH3">
        <f>'[12]Summary Report - 12 Months Endi'!DRG2</f>
        <v>0</v>
      </c>
      <c r="DRI3">
        <f>'[12]Summary Report - 12 Months Endi'!DRH2</f>
        <v>0</v>
      </c>
      <c r="DRJ3">
        <f>'[12]Summary Report - 12 Months Endi'!DRI2</f>
        <v>0</v>
      </c>
      <c r="DRK3">
        <f>'[12]Summary Report - 12 Months Endi'!DRJ2</f>
        <v>0</v>
      </c>
      <c r="DRL3">
        <f>'[12]Summary Report - 12 Months Endi'!DRK2</f>
        <v>0</v>
      </c>
      <c r="DRM3">
        <f>'[12]Summary Report - 12 Months Endi'!DRL2</f>
        <v>0</v>
      </c>
      <c r="DRN3">
        <f>'[12]Summary Report - 12 Months Endi'!DRM2</f>
        <v>0</v>
      </c>
      <c r="DRO3">
        <f>'[12]Summary Report - 12 Months Endi'!DRN2</f>
        <v>0</v>
      </c>
      <c r="DRP3">
        <f>'[12]Summary Report - 12 Months Endi'!DRO2</f>
        <v>0</v>
      </c>
      <c r="DRQ3">
        <f>'[12]Summary Report - 12 Months Endi'!DRP2</f>
        <v>0</v>
      </c>
      <c r="DRR3">
        <f>'[12]Summary Report - 12 Months Endi'!DRQ2</f>
        <v>0</v>
      </c>
      <c r="DRS3">
        <f>'[12]Summary Report - 12 Months Endi'!DRR2</f>
        <v>0</v>
      </c>
      <c r="DRT3">
        <f>'[12]Summary Report - 12 Months Endi'!DRS2</f>
        <v>0</v>
      </c>
      <c r="DRU3">
        <f>'[12]Summary Report - 12 Months Endi'!DRT2</f>
        <v>0</v>
      </c>
      <c r="DRV3">
        <f>'[12]Summary Report - 12 Months Endi'!DRU2</f>
        <v>0</v>
      </c>
      <c r="DRW3">
        <f>'[12]Summary Report - 12 Months Endi'!DRV2</f>
        <v>0</v>
      </c>
      <c r="DRX3">
        <f>'[12]Summary Report - 12 Months Endi'!DRW2</f>
        <v>0</v>
      </c>
      <c r="DRY3">
        <f>'[12]Summary Report - 12 Months Endi'!DRX2</f>
        <v>0</v>
      </c>
      <c r="DRZ3">
        <f>'[12]Summary Report - 12 Months Endi'!DRY2</f>
        <v>0</v>
      </c>
      <c r="DSA3">
        <f>'[12]Summary Report - 12 Months Endi'!DRZ2</f>
        <v>0</v>
      </c>
      <c r="DSB3">
        <f>'[12]Summary Report - 12 Months Endi'!DSA2</f>
        <v>0</v>
      </c>
      <c r="DSC3">
        <f>'[12]Summary Report - 12 Months Endi'!DSB2</f>
        <v>0</v>
      </c>
      <c r="DSD3">
        <f>'[12]Summary Report - 12 Months Endi'!DSC2</f>
        <v>0</v>
      </c>
      <c r="DSE3">
        <f>'[12]Summary Report - 12 Months Endi'!DSD2</f>
        <v>0</v>
      </c>
      <c r="DSF3">
        <f>'[12]Summary Report - 12 Months Endi'!DSE2</f>
        <v>0</v>
      </c>
      <c r="DSG3">
        <f>'[12]Summary Report - 12 Months Endi'!DSF2</f>
        <v>0</v>
      </c>
      <c r="DSH3">
        <f>'[12]Summary Report - 12 Months Endi'!DSG2</f>
        <v>0</v>
      </c>
      <c r="DSI3">
        <f>'[12]Summary Report - 12 Months Endi'!DSH2</f>
        <v>0</v>
      </c>
      <c r="DSJ3">
        <f>'[12]Summary Report - 12 Months Endi'!DSI2</f>
        <v>0</v>
      </c>
      <c r="DSK3">
        <f>'[12]Summary Report - 12 Months Endi'!DSJ2</f>
        <v>0</v>
      </c>
      <c r="DSL3">
        <f>'[12]Summary Report - 12 Months Endi'!DSK2</f>
        <v>0</v>
      </c>
      <c r="DSM3">
        <f>'[12]Summary Report - 12 Months Endi'!DSL2</f>
        <v>0</v>
      </c>
      <c r="DSN3">
        <f>'[12]Summary Report - 12 Months Endi'!DSM2</f>
        <v>0</v>
      </c>
      <c r="DSO3">
        <f>'[12]Summary Report - 12 Months Endi'!DSN2</f>
        <v>0</v>
      </c>
      <c r="DSP3">
        <f>'[12]Summary Report - 12 Months Endi'!DSO2</f>
        <v>0</v>
      </c>
      <c r="DSQ3">
        <f>'[12]Summary Report - 12 Months Endi'!DSP2</f>
        <v>0</v>
      </c>
      <c r="DSR3">
        <f>'[12]Summary Report - 12 Months Endi'!DSQ2</f>
        <v>0</v>
      </c>
      <c r="DSS3">
        <f>'[12]Summary Report - 12 Months Endi'!DSR2</f>
        <v>0</v>
      </c>
      <c r="DST3">
        <f>'[12]Summary Report - 12 Months Endi'!DSS2</f>
        <v>0</v>
      </c>
      <c r="DSU3">
        <f>'[12]Summary Report - 12 Months Endi'!DST2</f>
        <v>0</v>
      </c>
      <c r="DSV3">
        <f>'[12]Summary Report - 12 Months Endi'!DSU2</f>
        <v>0</v>
      </c>
      <c r="DSW3">
        <f>'[12]Summary Report - 12 Months Endi'!DSV2</f>
        <v>0</v>
      </c>
      <c r="DSX3">
        <f>'[12]Summary Report - 12 Months Endi'!DSW2</f>
        <v>0</v>
      </c>
      <c r="DSY3">
        <f>'[12]Summary Report - 12 Months Endi'!DSX2</f>
        <v>0</v>
      </c>
      <c r="DSZ3">
        <f>'[12]Summary Report - 12 Months Endi'!DSY2</f>
        <v>0</v>
      </c>
      <c r="DTA3">
        <f>'[12]Summary Report - 12 Months Endi'!DSZ2</f>
        <v>0</v>
      </c>
      <c r="DTB3">
        <f>'[12]Summary Report - 12 Months Endi'!DTA2</f>
        <v>0</v>
      </c>
      <c r="DTC3">
        <f>'[12]Summary Report - 12 Months Endi'!DTB2</f>
        <v>0</v>
      </c>
      <c r="DTD3">
        <f>'[12]Summary Report - 12 Months Endi'!DTC2</f>
        <v>0</v>
      </c>
      <c r="DTE3">
        <f>'[12]Summary Report - 12 Months Endi'!DTD2</f>
        <v>0</v>
      </c>
      <c r="DTF3">
        <f>'[12]Summary Report - 12 Months Endi'!DTE2</f>
        <v>0</v>
      </c>
      <c r="DTG3">
        <f>'[12]Summary Report - 12 Months Endi'!DTF2</f>
        <v>0</v>
      </c>
      <c r="DTH3">
        <f>'[12]Summary Report - 12 Months Endi'!DTG2</f>
        <v>0</v>
      </c>
      <c r="DTI3">
        <f>'[12]Summary Report - 12 Months Endi'!DTH2</f>
        <v>0</v>
      </c>
      <c r="DTJ3">
        <f>'[12]Summary Report - 12 Months Endi'!DTI2</f>
        <v>0</v>
      </c>
      <c r="DTK3">
        <f>'[12]Summary Report - 12 Months Endi'!DTJ2</f>
        <v>0</v>
      </c>
      <c r="DTL3">
        <f>'[12]Summary Report - 12 Months Endi'!DTK2</f>
        <v>0</v>
      </c>
      <c r="DTM3">
        <f>'[12]Summary Report - 12 Months Endi'!DTL2</f>
        <v>0</v>
      </c>
      <c r="DTN3">
        <f>'[12]Summary Report - 12 Months Endi'!DTM2</f>
        <v>0</v>
      </c>
      <c r="DTO3">
        <f>'[12]Summary Report - 12 Months Endi'!DTN2</f>
        <v>0</v>
      </c>
      <c r="DTP3">
        <f>'[12]Summary Report - 12 Months Endi'!DTO2</f>
        <v>0</v>
      </c>
      <c r="DTQ3">
        <f>'[12]Summary Report - 12 Months Endi'!DTP2</f>
        <v>0</v>
      </c>
      <c r="DTR3">
        <f>'[12]Summary Report - 12 Months Endi'!DTQ2</f>
        <v>0</v>
      </c>
      <c r="DTS3">
        <f>'[12]Summary Report - 12 Months Endi'!DTR2</f>
        <v>0</v>
      </c>
      <c r="DTT3">
        <f>'[12]Summary Report - 12 Months Endi'!DTS2</f>
        <v>0</v>
      </c>
      <c r="DTU3">
        <f>'[12]Summary Report - 12 Months Endi'!DTT2</f>
        <v>0</v>
      </c>
      <c r="DTV3">
        <f>'[12]Summary Report - 12 Months Endi'!DTU2</f>
        <v>0</v>
      </c>
      <c r="DTW3">
        <f>'[12]Summary Report - 12 Months Endi'!DTV2</f>
        <v>0</v>
      </c>
      <c r="DTX3">
        <f>'[12]Summary Report - 12 Months Endi'!DTW2</f>
        <v>0</v>
      </c>
      <c r="DTY3">
        <f>'[12]Summary Report - 12 Months Endi'!DTX2</f>
        <v>0</v>
      </c>
      <c r="DTZ3">
        <f>'[12]Summary Report - 12 Months Endi'!DTY2</f>
        <v>0</v>
      </c>
      <c r="DUA3">
        <f>'[12]Summary Report - 12 Months Endi'!DTZ2</f>
        <v>0</v>
      </c>
      <c r="DUB3">
        <f>'[12]Summary Report - 12 Months Endi'!DUA2</f>
        <v>0</v>
      </c>
      <c r="DUC3">
        <f>'[12]Summary Report - 12 Months Endi'!DUB2</f>
        <v>0</v>
      </c>
      <c r="DUD3">
        <f>'[12]Summary Report - 12 Months Endi'!DUC2</f>
        <v>0</v>
      </c>
      <c r="DUE3">
        <f>'[12]Summary Report - 12 Months Endi'!DUD2</f>
        <v>0</v>
      </c>
      <c r="DUF3">
        <f>'[12]Summary Report - 12 Months Endi'!DUE2</f>
        <v>0</v>
      </c>
      <c r="DUG3">
        <f>'[12]Summary Report - 12 Months Endi'!DUF2</f>
        <v>0</v>
      </c>
      <c r="DUH3">
        <f>'[12]Summary Report - 12 Months Endi'!DUG2</f>
        <v>0</v>
      </c>
      <c r="DUI3">
        <f>'[12]Summary Report - 12 Months Endi'!DUH2</f>
        <v>0</v>
      </c>
      <c r="DUJ3">
        <f>'[12]Summary Report - 12 Months Endi'!DUI2</f>
        <v>0</v>
      </c>
      <c r="DUK3">
        <f>'[12]Summary Report - 12 Months Endi'!DUJ2</f>
        <v>0</v>
      </c>
      <c r="DUL3">
        <f>'[12]Summary Report - 12 Months Endi'!DUK2</f>
        <v>0</v>
      </c>
      <c r="DUM3">
        <f>'[12]Summary Report - 12 Months Endi'!DUL2</f>
        <v>0</v>
      </c>
      <c r="DUN3">
        <f>'[12]Summary Report - 12 Months Endi'!DUM2</f>
        <v>0</v>
      </c>
      <c r="DUO3">
        <f>'[12]Summary Report - 12 Months Endi'!DUN2</f>
        <v>0</v>
      </c>
      <c r="DUP3">
        <f>'[12]Summary Report - 12 Months Endi'!DUO2</f>
        <v>0</v>
      </c>
      <c r="DUQ3">
        <f>'[12]Summary Report - 12 Months Endi'!DUP2</f>
        <v>0</v>
      </c>
      <c r="DUR3">
        <f>'[12]Summary Report - 12 Months Endi'!DUQ2</f>
        <v>0</v>
      </c>
      <c r="DUS3">
        <f>'[12]Summary Report - 12 Months Endi'!DUR2</f>
        <v>0</v>
      </c>
      <c r="DUT3">
        <f>'[12]Summary Report - 12 Months Endi'!DUS2</f>
        <v>0</v>
      </c>
      <c r="DUU3">
        <f>'[12]Summary Report - 12 Months Endi'!DUT2</f>
        <v>0</v>
      </c>
      <c r="DUV3">
        <f>'[12]Summary Report - 12 Months Endi'!DUU2</f>
        <v>0</v>
      </c>
      <c r="DUW3">
        <f>'[12]Summary Report - 12 Months Endi'!DUV2</f>
        <v>0</v>
      </c>
      <c r="DUX3">
        <f>'[12]Summary Report - 12 Months Endi'!DUW2</f>
        <v>0</v>
      </c>
      <c r="DUY3">
        <f>'[12]Summary Report - 12 Months Endi'!DUX2</f>
        <v>0</v>
      </c>
      <c r="DUZ3">
        <f>'[12]Summary Report - 12 Months Endi'!DUY2</f>
        <v>0</v>
      </c>
      <c r="DVA3">
        <f>'[12]Summary Report - 12 Months Endi'!DUZ2</f>
        <v>0</v>
      </c>
      <c r="DVB3">
        <f>'[12]Summary Report - 12 Months Endi'!DVA2</f>
        <v>0</v>
      </c>
      <c r="DVC3">
        <f>'[12]Summary Report - 12 Months Endi'!DVB2</f>
        <v>0</v>
      </c>
      <c r="DVD3">
        <f>'[12]Summary Report - 12 Months Endi'!DVC2</f>
        <v>0</v>
      </c>
      <c r="DVE3">
        <f>'[12]Summary Report - 12 Months Endi'!DVD2</f>
        <v>0</v>
      </c>
      <c r="DVF3">
        <f>'[12]Summary Report - 12 Months Endi'!DVE2</f>
        <v>0</v>
      </c>
      <c r="DVG3">
        <f>'[12]Summary Report - 12 Months Endi'!DVF2</f>
        <v>0</v>
      </c>
      <c r="DVH3">
        <f>'[12]Summary Report - 12 Months Endi'!DVG2</f>
        <v>0</v>
      </c>
      <c r="DVI3">
        <f>'[12]Summary Report - 12 Months Endi'!DVH2</f>
        <v>0</v>
      </c>
      <c r="DVJ3">
        <f>'[12]Summary Report - 12 Months Endi'!DVI2</f>
        <v>0</v>
      </c>
      <c r="DVK3">
        <f>'[12]Summary Report - 12 Months Endi'!DVJ2</f>
        <v>0</v>
      </c>
      <c r="DVL3">
        <f>'[12]Summary Report - 12 Months Endi'!DVK2</f>
        <v>0</v>
      </c>
      <c r="DVM3">
        <f>'[12]Summary Report - 12 Months Endi'!DVL2</f>
        <v>0</v>
      </c>
      <c r="DVN3">
        <f>'[12]Summary Report - 12 Months Endi'!DVM2</f>
        <v>0</v>
      </c>
      <c r="DVO3">
        <f>'[12]Summary Report - 12 Months Endi'!DVN2</f>
        <v>0</v>
      </c>
      <c r="DVP3">
        <f>'[12]Summary Report - 12 Months Endi'!DVO2</f>
        <v>0</v>
      </c>
      <c r="DVQ3">
        <f>'[12]Summary Report - 12 Months Endi'!DVP2</f>
        <v>0</v>
      </c>
      <c r="DVR3">
        <f>'[12]Summary Report - 12 Months Endi'!DVQ2</f>
        <v>0</v>
      </c>
      <c r="DVS3">
        <f>'[12]Summary Report - 12 Months Endi'!DVR2</f>
        <v>0</v>
      </c>
      <c r="DVT3">
        <f>'[12]Summary Report - 12 Months Endi'!DVS2</f>
        <v>0</v>
      </c>
      <c r="DVU3">
        <f>'[12]Summary Report - 12 Months Endi'!DVT2</f>
        <v>0</v>
      </c>
      <c r="DVV3">
        <f>'[12]Summary Report - 12 Months Endi'!DVU2</f>
        <v>0</v>
      </c>
      <c r="DVW3">
        <f>'[12]Summary Report - 12 Months Endi'!DVV2</f>
        <v>0</v>
      </c>
      <c r="DVX3">
        <f>'[12]Summary Report - 12 Months Endi'!DVW2</f>
        <v>0</v>
      </c>
      <c r="DVY3">
        <f>'[12]Summary Report - 12 Months Endi'!DVX2</f>
        <v>0</v>
      </c>
      <c r="DVZ3">
        <f>'[12]Summary Report - 12 Months Endi'!DVY2</f>
        <v>0</v>
      </c>
      <c r="DWA3">
        <f>'[12]Summary Report - 12 Months Endi'!DVZ2</f>
        <v>0</v>
      </c>
      <c r="DWB3">
        <f>'[12]Summary Report - 12 Months Endi'!DWA2</f>
        <v>0</v>
      </c>
      <c r="DWC3">
        <f>'[12]Summary Report - 12 Months Endi'!DWB2</f>
        <v>0</v>
      </c>
      <c r="DWD3">
        <f>'[12]Summary Report - 12 Months Endi'!DWC2</f>
        <v>0</v>
      </c>
      <c r="DWE3">
        <f>'[12]Summary Report - 12 Months Endi'!DWD2</f>
        <v>0</v>
      </c>
      <c r="DWF3">
        <f>'[12]Summary Report - 12 Months Endi'!DWE2</f>
        <v>0</v>
      </c>
      <c r="DWG3">
        <f>'[12]Summary Report - 12 Months Endi'!DWF2</f>
        <v>0</v>
      </c>
      <c r="DWH3">
        <f>'[12]Summary Report - 12 Months Endi'!DWG2</f>
        <v>0</v>
      </c>
      <c r="DWI3">
        <f>'[12]Summary Report - 12 Months Endi'!DWH2</f>
        <v>0</v>
      </c>
      <c r="DWJ3">
        <f>'[12]Summary Report - 12 Months Endi'!DWI2</f>
        <v>0</v>
      </c>
      <c r="DWK3">
        <f>'[12]Summary Report - 12 Months Endi'!DWJ2</f>
        <v>0</v>
      </c>
      <c r="DWL3">
        <f>'[12]Summary Report - 12 Months Endi'!DWK2</f>
        <v>0</v>
      </c>
      <c r="DWM3">
        <f>'[12]Summary Report - 12 Months Endi'!DWL2</f>
        <v>0</v>
      </c>
      <c r="DWN3">
        <f>'[12]Summary Report - 12 Months Endi'!DWM2</f>
        <v>0</v>
      </c>
      <c r="DWO3">
        <f>'[12]Summary Report - 12 Months Endi'!DWN2</f>
        <v>0</v>
      </c>
      <c r="DWP3">
        <f>'[12]Summary Report - 12 Months Endi'!DWO2</f>
        <v>0</v>
      </c>
      <c r="DWQ3">
        <f>'[12]Summary Report - 12 Months Endi'!DWP2</f>
        <v>0</v>
      </c>
      <c r="DWR3">
        <f>'[12]Summary Report - 12 Months Endi'!DWQ2</f>
        <v>0</v>
      </c>
      <c r="DWS3">
        <f>'[12]Summary Report - 12 Months Endi'!DWR2</f>
        <v>0</v>
      </c>
      <c r="DWT3">
        <f>'[12]Summary Report - 12 Months Endi'!DWS2</f>
        <v>0</v>
      </c>
      <c r="DWU3">
        <f>'[12]Summary Report - 12 Months Endi'!DWT2</f>
        <v>0</v>
      </c>
      <c r="DWV3">
        <f>'[12]Summary Report - 12 Months Endi'!DWU2</f>
        <v>0</v>
      </c>
      <c r="DWW3">
        <f>'[12]Summary Report - 12 Months Endi'!DWV2</f>
        <v>0</v>
      </c>
      <c r="DWX3">
        <f>'[12]Summary Report - 12 Months Endi'!DWW2</f>
        <v>0</v>
      </c>
      <c r="DWY3">
        <f>'[12]Summary Report - 12 Months Endi'!DWX2</f>
        <v>0</v>
      </c>
      <c r="DWZ3">
        <f>'[12]Summary Report - 12 Months Endi'!DWY2</f>
        <v>0</v>
      </c>
      <c r="DXA3">
        <f>'[12]Summary Report - 12 Months Endi'!DWZ2</f>
        <v>0</v>
      </c>
      <c r="DXB3">
        <f>'[12]Summary Report - 12 Months Endi'!DXA2</f>
        <v>0</v>
      </c>
      <c r="DXC3">
        <f>'[12]Summary Report - 12 Months Endi'!DXB2</f>
        <v>0</v>
      </c>
      <c r="DXD3">
        <f>'[12]Summary Report - 12 Months Endi'!DXC2</f>
        <v>0</v>
      </c>
      <c r="DXE3">
        <f>'[12]Summary Report - 12 Months Endi'!DXD2</f>
        <v>0</v>
      </c>
      <c r="DXF3">
        <f>'[12]Summary Report - 12 Months Endi'!DXE2</f>
        <v>0</v>
      </c>
      <c r="DXG3">
        <f>'[12]Summary Report - 12 Months Endi'!DXF2</f>
        <v>0</v>
      </c>
      <c r="DXH3">
        <f>'[12]Summary Report - 12 Months Endi'!DXG2</f>
        <v>0</v>
      </c>
      <c r="DXI3">
        <f>'[12]Summary Report - 12 Months Endi'!DXH2</f>
        <v>0</v>
      </c>
      <c r="DXJ3">
        <f>'[12]Summary Report - 12 Months Endi'!DXI2</f>
        <v>0</v>
      </c>
      <c r="DXK3">
        <f>'[12]Summary Report - 12 Months Endi'!DXJ2</f>
        <v>0</v>
      </c>
      <c r="DXL3">
        <f>'[12]Summary Report - 12 Months Endi'!DXK2</f>
        <v>0</v>
      </c>
      <c r="DXM3">
        <f>'[12]Summary Report - 12 Months Endi'!DXL2</f>
        <v>0</v>
      </c>
      <c r="DXN3">
        <f>'[12]Summary Report - 12 Months Endi'!DXM2</f>
        <v>0</v>
      </c>
      <c r="DXO3">
        <f>'[12]Summary Report - 12 Months Endi'!DXN2</f>
        <v>0</v>
      </c>
      <c r="DXP3">
        <f>'[12]Summary Report - 12 Months Endi'!DXO2</f>
        <v>0</v>
      </c>
      <c r="DXQ3">
        <f>'[12]Summary Report - 12 Months Endi'!DXP2</f>
        <v>0</v>
      </c>
      <c r="DXR3">
        <f>'[12]Summary Report - 12 Months Endi'!DXQ2</f>
        <v>0</v>
      </c>
      <c r="DXS3">
        <f>'[12]Summary Report - 12 Months Endi'!DXR2</f>
        <v>0</v>
      </c>
      <c r="DXT3">
        <f>'[12]Summary Report - 12 Months Endi'!DXS2</f>
        <v>0</v>
      </c>
      <c r="DXU3">
        <f>'[12]Summary Report - 12 Months Endi'!DXT2</f>
        <v>0</v>
      </c>
      <c r="DXV3">
        <f>'[12]Summary Report - 12 Months Endi'!DXU2</f>
        <v>0</v>
      </c>
      <c r="DXW3">
        <f>'[12]Summary Report - 12 Months Endi'!DXV2</f>
        <v>0</v>
      </c>
      <c r="DXX3">
        <f>'[12]Summary Report - 12 Months Endi'!DXW2</f>
        <v>0</v>
      </c>
      <c r="DXY3">
        <f>'[12]Summary Report - 12 Months Endi'!DXX2</f>
        <v>0</v>
      </c>
      <c r="DXZ3">
        <f>'[12]Summary Report - 12 Months Endi'!DXY2</f>
        <v>0</v>
      </c>
      <c r="DYA3">
        <f>'[12]Summary Report - 12 Months Endi'!DXZ2</f>
        <v>0</v>
      </c>
      <c r="DYB3">
        <f>'[12]Summary Report - 12 Months Endi'!DYA2</f>
        <v>0</v>
      </c>
      <c r="DYC3">
        <f>'[12]Summary Report - 12 Months Endi'!DYB2</f>
        <v>0</v>
      </c>
      <c r="DYD3">
        <f>'[12]Summary Report - 12 Months Endi'!DYC2</f>
        <v>0</v>
      </c>
      <c r="DYE3">
        <f>'[12]Summary Report - 12 Months Endi'!DYD2</f>
        <v>0</v>
      </c>
      <c r="DYF3">
        <f>'[12]Summary Report - 12 Months Endi'!DYE2</f>
        <v>0</v>
      </c>
      <c r="DYG3">
        <f>'[12]Summary Report - 12 Months Endi'!DYF2</f>
        <v>0</v>
      </c>
      <c r="DYH3">
        <f>'[12]Summary Report - 12 Months Endi'!DYG2</f>
        <v>0</v>
      </c>
      <c r="DYI3">
        <f>'[12]Summary Report - 12 Months Endi'!DYH2</f>
        <v>0</v>
      </c>
      <c r="DYJ3">
        <f>'[12]Summary Report - 12 Months Endi'!DYI2</f>
        <v>0</v>
      </c>
      <c r="DYK3">
        <f>'[12]Summary Report - 12 Months Endi'!DYJ2</f>
        <v>0</v>
      </c>
      <c r="DYL3">
        <f>'[12]Summary Report - 12 Months Endi'!DYK2</f>
        <v>0</v>
      </c>
      <c r="DYM3">
        <f>'[12]Summary Report - 12 Months Endi'!DYL2</f>
        <v>0</v>
      </c>
      <c r="DYN3">
        <f>'[12]Summary Report - 12 Months Endi'!DYM2</f>
        <v>0</v>
      </c>
      <c r="DYO3">
        <f>'[12]Summary Report - 12 Months Endi'!DYN2</f>
        <v>0</v>
      </c>
      <c r="DYP3">
        <f>'[12]Summary Report - 12 Months Endi'!DYO2</f>
        <v>0</v>
      </c>
      <c r="DYQ3">
        <f>'[12]Summary Report - 12 Months Endi'!DYP2</f>
        <v>0</v>
      </c>
      <c r="DYR3">
        <f>'[12]Summary Report - 12 Months Endi'!DYQ2</f>
        <v>0</v>
      </c>
      <c r="DYS3">
        <f>'[12]Summary Report - 12 Months Endi'!DYR2</f>
        <v>0</v>
      </c>
      <c r="DYT3">
        <f>'[12]Summary Report - 12 Months Endi'!DYS2</f>
        <v>0</v>
      </c>
      <c r="DYU3">
        <f>'[12]Summary Report - 12 Months Endi'!DYT2</f>
        <v>0</v>
      </c>
      <c r="DYV3">
        <f>'[12]Summary Report - 12 Months Endi'!DYU2</f>
        <v>0</v>
      </c>
      <c r="DYW3">
        <f>'[12]Summary Report - 12 Months Endi'!DYV2</f>
        <v>0</v>
      </c>
      <c r="DYX3">
        <f>'[12]Summary Report - 12 Months Endi'!DYW2</f>
        <v>0</v>
      </c>
      <c r="DYY3">
        <f>'[12]Summary Report - 12 Months Endi'!DYX2</f>
        <v>0</v>
      </c>
      <c r="DYZ3">
        <f>'[12]Summary Report - 12 Months Endi'!DYY2</f>
        <v>0</v>
      </c>
      <c r="DZA3">
        <f>'[12]Summary Report - 12 Months Endi'!DYZ2</f>
        <v>0</v>
      </c>
      <c r="DZB3">
        <f>'[12]Summary Report - 12 Months Endi'!DZA2</f>
        <v>0</v>
      </c>
      <c r="DZC3">
        <f>'[12]Summary Report - 12 Months Endi'!DZB2</f>
        <v>0</v>
      </c>
      <c r="DZD3">
        <f>'[12]Summary Report - 12 Months Endi'!DZC2</f>
        <v>0</v>
      </c>
      <c r="DZE3">
        <f>'[12]Summary Report - 12 Months Endi'!DZD2</f>
        <v>0</v>
      </c>
      <c r="DZF3">
        <f>'[12]Summary Report - 12 Months Endi'!DZE2</f>
        <v>0</v>
      </c>
      <c r="DZG3">
        <f>'[12]Summary Report - 12 Months Endi'!DZF2</f>
        <v>0</v>
      </c>
      <c r="DZH3">
        <f>'[12]Summary Report - 12 Months Endi'!DZG2</f>
        <v>0</v>
      </c>
      <c r="DZI3">
        <f>'[12]Summary Report - 12 Months Endi'!DZH2</f>
        <v>0</v>
      </c>
      <c r="DZJ3">
        <f>'[12]Summary Report - 12 Months Endi'!DZI2</f>
        <v>0</v>
      </c>
      <c r="DZK3">
        <f>'[12]Summary Report - 12 Months Endi'!DZJ2</f>
        <v>0</v>
      </c>
      <c r="DZL3">
        <f>'[12]Summary Report - 12 Months Endi'!DZK2</f>
        <v>0</v>
      </c>
      <c r="DZM3">
        <f>'[12]Summary Report - 12 Months Endi'!DZL2</f>
        <v>0</v>
      </c>
      <c r="DZN3">
        <f>'[12]Summary Report - 12 Months Endi'!DZM2</f>
        <v>0</v>
      </c>
      <c r="DZO3">
        <f>'[12]Summary Report - 12 Months Endi'!DZN2</f>
        <v>0</v>
      </c>
      <c r="DZP3">
        <f>'[12]Summary Report - 12 Months Endi'!DZO2</f>
        <v>0</v>
      </c>
      <c r="DZQ3">
        <f>'[12]Summary Report - 12 Months Endi'!DZP2</f>
        <v>0</v>
      </c>
      <c r="DZR3">
        <f>'[12]Summary Report - 12 Months Endi'!DZQ2</f>
        <v>0</v>
      </c>
      <c r="DZS3">
        <f>'[12]Summary Report - 12 Months Endi'!DZR2</f>
        <v>0</v>
      </c>
      <c r="DZT3">
        <f>'[12]Summary Report - 12 Months Endi'!DZS2</f>
        <v>0</v>
      </c>
      <c r="DZU3">
        <f>'[12]Summary Report - 12 Months Endi'!DZT2</f>
        <v>0</v>
      </c>
      <c r="DZV3">
        <f>'[12]Summary Report - 12 Months Endi'!DZU2</f>
        <v>0</v>
      </c>
      <c r="DZW3">
        <f>'[12]Summary Report - 12 Months Endi'!DZV2</f>
        <v>0</v>
      </c>
      <c r="DZX3">
        <f>'[12]Summary Report - 12 Months Endi'!DZW2</f>
        <v>0</v>
      </c>
      <c r="DZY3">
        <f>'[12]Summary Report - 12 Months Endi'!DZX2</f>
        <v>0</v>
      </c>
      <c r="DZZ3">
        <f>'[12]Summary Report - 12 Months Endi'!DZY2</f>
        <v>0</v>
      </c>
      <c r="EAA3">
        <f>'[12]Summary Report - 12 Months Endi'!DZZ2</f>
        <v>0</v>
      </c>
      <c r="EAB3">
        <f>'[12]Summary Report - 12 Months Endi'!EAA2</f>
        <v>0</v>
      </c>
      <c r="EAC3">
        <f>'[12]Summary Report - 12 Months Endi'!EAB2</f>
        <v>0</v>
      </c>
      <c r="EAD3">
        <f>'[12]Summary Report - 12 Months Endi'!EAC2</f>
        <v>0</v>
      </c>
      <c r="EAE3">
        <f>'[12]Summary Report - 12 Months Endi'!EAD2</f>
        <v>0</v>
      </c>
      <c r="EAF3">
        <f>'[12]Summary Report - 12 Months Endi'!EAE2</f>
        <v>0</v>
      </c>
      <c r="EAG3">
        <f>'[12]Summary Report - 12 Months Endi'!EAF2</f>
        <v>0</v>
      </c>
      <c r="EAH3">
        <f>'[12]Summary Report - 12 Months Endi'!EAG2</f>
        <v>0</v>
      </c>
      <c r="EAI3">
        <f>'[12]Summary Report - 12 Months Endi'!EAH2</f>
        <v>0</v>
      </c>
      <c r="EAJ3">
        <f>'[12]Summary Report - 12 Months Endi'!EAI2</f>
        <v>0</v>
      </c>
      <c r="EAK3">
        <f>'[12]Summary Report - 12 Months Endi'!EAJ2</f>
        <v>0</v>
      </c>
      <c r="EAL3">
        <f>'[12]Summary Report - 12 Months Endi'!EAK2</f>
        <v>0</v>
      </c>
      <c r="EAM3">
        <f>'[12]Summary Report - 12 Months Endi'!EAL2</f>
        <v>0</v>
      </c>
      <c r="EAN3">
        <f>'[12]Summary Report - 12 Months Endi'!EAM2</f>
        <v>0</v>
      </c>
      <c r="EAO3">
        <f>'[12]Summary Report - 12 Months Endi'!EAN2</f>
        <v>0</v>
      </c>
      <c r="EAP3">
        <f>'[12]Summary Report - 12 Months Endi'!EAO2</f>
        <v>0</v>
      </c>
      <c r="EAQ3">
        <f>'[12]Summary Report - 12 Months Endi'!EAP2</f>
        <v>0</v>
      </c>
      <c r="EAR3">
        <f>'[12]Summary Report - 12 Months Endi'!EAQ2</f>
        <v>0</v>
      </c>
      <c r="EAS3">
        <f>'[12]Summary Report - 12 Months Endi'!EAR2</f>
        <v>0</v>
      </c>
      <c r="EAT3">
        <f>'[12]Summary Report - 12 Months Endi'!EAS2</f>
        <v>0</v>
      </c>
      <c r="EAU3">
        <f>'[12]Summary Report - 12 Months Endi'!EAT2</f>
        <v>0</v>
      </c>
      <c r="EAV3">
        <f>'[12]Summary Report - 12 Months Endi'!EAU2</f>
        <v>0</v>
      </c>
      <c r="EAW3">
        <f>'[12]Summary Report - 12 Months Endi'!EAV2</f>
        <v>0</v>
      </c>
      <c r="EAX3">
        <f>'[12]Summary Report - 12 Months Endi'!EAW2</f>
        <v>0</v>
      </c>
      <c r="EAY3">
        <f>'[12]Summary Report - 12 Months Endi'!EAX2</f>
        <v>0</v>
      </c>
      <c r="EAZ3">
        <f>'[12]Summary Report - 12 Months Endi'!EAY2</f>
        <v>0</v>
      </c>
      <c r="EBA3">
        <f>'[12]Summary Report - 12 Months Endi'!EAZ2</f>
        <v>0</v>
      </c>
      <c r="EBB3">
        <f>'[12]Summary Report - 12 Months Endi'!EBA2</f>
        <v>0</v>
      </c>
      <c r="EBC3">
        <f>'[12]Summary Report - 12 Months Endi'!EBB2</f>
        <v>0</v>
      </c>
      <c r="EBD3">
        <f>'[12]Summary Report - 12 Months Endi'!EBC2</f>
        <v>0</v>
      </c>
      <c r="EBE3">
        <f>'[12]Summary Report - 12 Months Endi'!EBD2</f>
        <v>0</v>
      </c>
      <c r="EBF3">
        <f>'[12]Summary Report - 12 Months Endi'!EBE2</f>
        <v>0</v>
      </c>
      <c r="EBG3">
        <f>'[12]Summary Report - 12 Months Endi'!EBF2</f>
        <v>0</v>
      </c>
      <c r="EBH3">
        <f>'[12]Summary Report - 12 Months Endi'!EBG2</f>
        <v>0</v>
      </c>
      <c r="EBI3">
        <f>'[12]Summary Report - 12 Months Endi'!EBH2</f>
        <v>0</v>
      </c>
      <c r="EBJ3">
        <f>'[12]Summary Report - 12 Months Endi'!EBI2</f>
        <v>0</v>
      </c>
      <c r="EBK3">
        <f>'[12]Summary Report - 12 Months Endi'!EBJ2</f>
        <v>0</v>
      </c>
      <c r="EBL3">
        <f>'[12]Summary Report - 12 Months Endi'!EBK2</f>
        <v>0</v>
      </c>
      <c r="EBM3">
        <f>'[12]Summary Report - 12 Months Endi'!EBL2</f>
        <v>0</v>
      </c>
      <c r="EBN3">
        <f>'[12]Summary Report - 12 Months Endi'!EBM2</f>
        <v>0</v>
      </c>
      <c r="EBO3">
        <f>'[12]Summary Report - 12 Months Endi'!EBN2</f>
        <v>0</v>
      </c>
      <c r="EBP3">
        <f>'[12]Summary Report - 12 Months Endi'!EBO2</f>
        <v>0</v>
      </c>
      <c r="EBQ3">
        <f>'[12]Summary Report - 12 Months Endi'!EBP2</f>
        <v>0</v>
      </c>
      <c r="EBR3">
        <f>'[12]Summary Report - 12 Months Endi'!EBQ2</f>
        <v>0</v>
      </c>
      <c r="EBS3">
        <f>'[12]Summary Report - 12 Months Endi'!EBR2</f>
        <v>0</v>
      </c>
      <c r="EBT3">
        <f>'[12]Summary Report - 12 Months Endi'!EBS2</f>
        <v>0</v>
      </c>
      <c r="EBU3">
        <f>'[12]Summary Report - 12 Months Endi'!EBT2</f>
        <v>0</v>
      </c>
      <c r="EBV3">
        <f>'[12]Summary Report - 12 Months Endi'!EBU2</f>
        <v>0</v>
      </c>
      <c r="EBW3">
        <f>'[12]Summary Report - 12 Months Endi'!EBV2</f>
        <v>0</v>
      </c>
      <c r="EBX3">
        <f>'[12]Summary Report - 12 Months Endi'!EBW2</f>
        <v>0</v>
      </c>
      <c r="EBY3">
        <f>'[12]Summary Report - 12 Months Endi'!EBX2</f>
        <v>0</v>
      </c>
      <c r="EBZ3">
        <f>'[12]Summary Report - 12 Months Endi'!EBY2</f>
        <v>0</v>
      </c>
      <c r="ECA3">
        <f>'[12]Summary Report - 12 Months Endi'!EBZ2</f>
        <v>0</v>
      </c>
      <c r="ECB3">
        <f>'[12]Summary Report - 12 Months Endi'!ECA2</f>
        <v>0</v>
      </c>
      <c r="ECC3">
        <f>'[12]Summary Report - 12 Months Endi'!ECB2</f>
        <v>0</v>
      </c>
      <c r="ECD3">
        <f>'[12]Summary Report - 12 Months Endi'!ECC2</f>
        <v>0</v>
      </c>
      <c r="ECE3">
        <f>'[12]Summary Report - 12 Months Endi'!ECD2</f>
        <v>0</v>
      </c>
      <c r="ECF3">
        <f>'[12]Summary Report - 12 Months Endi'!ECE2</f>
        <v>0</v>
      </c>
      <c r="ECG3">
        <f>'[12]Summary Report - 12 Months Endi'!ECF2</f>
        <v>0</v>
      </c>
      <c r="ECH3">
        <f>'[12]Summary Report - 12 Months Endi'!ECG2</f>
        <v>0</v>
      </c>
      <c r="ECI3">
        <f>'[12]Summary Report - 12 Months Endi'!ECH2</f>
        <v>0</v>
      </c>
      <c r="ECJ3">
        <f>'[12]Summary Report - 12 Months Endi'!ECI2</f>
        <v>0</v>
      </c>
      <c r="ECK3">
        <f>'[12]Summary Report - 12 Months Endi'!ECJ2</f>
        <v>0</v>
      </c>
      <c r="ECL3">
        <f>'[12]Summary Report - 12 Months Endi'!ECK2</f>
        <v>0</v>
      </c>
      <c r="ECM3">
        <f>'[12]Summary Report - 12 Months Endi'!ECL2</f>
        <v>0</v>
      </c>
      <c r="ECN3">
        <f>'[12]Summary Report - 12 Months Endi'!ECM2</f>
        <v>0</v>
      </c>
      <c r="ECO3">
        <f>'[12]Summary Report - 12 Months Endi'!ECN2</f>
        <v>0</v>
      </c>
      <c r="ECP3">
        <f>'[12]Summary Report - 12 Months Endi'!ECO2</f>
        <v>0</v>
      </c>
      <c r="ECQ3">
        <f>'[12]Summary Report - 12 Months Endi'!ECP2</f>
        <v>0</v>
      </c>
      <c r="ECR3">
        <f>'[12]Summary Report - 12 Months Endi'!ECQ2</f>
        <v>0</v>
      </c>
      <c r="ECS3">
        <f>'[12]Summary Report - 12 Months Endi'!ECR2</f>
        <v>0</v>
      </c>
      <c r="ECT3">
        <f>'[12]Summary Report - 12 Months Endi'!ECS2</f>
        <v>0</v>
      </c>
      <c r="ECU3">
        <f>'[12]Summary Report - 12 Months Endi'!ECT2</f>
        <v>0</v>
      </c>
      <c r="ECV3">
        <f>'[12]Summary Report - 12 Months Endi'!ECU2</f>
        <v>0</v>
      </c>
      <c r="ECW3">
        <f>'[12]Summary Report - 12 Months Endi'!ECV2</f>
        <v>0</v>
      </c>
      <c r="ECX3">
        <f>'[12]Summary Report - 12 Months Endi'!ECW2</f>
        <v>0</v>
      </c>
      <c r="ECY3">
        <f>'[12]Summary Report - 12 Months Endi'!ECX2</f>
        <v>0</v>
      </c>
      <c r="ECZ3">
        <f>'[12]Summary Report - 12 Months Endi'!ECY2</f>
        <v>0</v>
      </c>
      <c r="EDA3">
        <f>'[12]Summary Report - 12 Months Endi'!ECZ2</f>
        <v>0</v>
      </c>
      <c r="EDB3">
        <f>'[12]Summary Report - 12 Months Endi'!EDA2</f>
        <v>0</v>
      </c>
      <c r="EDC3">
        <f>'[12]Summary Report - 12 Months Endi'!EDB2</f>
        <v>0</v>
      </c>
      <c r="EDD3">
        <f>'[12]Summary Report - 12 Months Endi'!EDC2</f>
        <v>0</v>
      </c>
      <c r="EDE3">
        <f>'[12]Summary Report - 12 Months Endi'!EDD2</f>
        <v>0</v>
      </c>
      <c r="EDF3">
        <f>'[12]Summary Report - 12 Months Endi'!EDE2</f>
        <v>0</v>
      </c>
      <c r="EDG3">
        <f>'[12]Summary Report - 12 Months Endi'!EDF2</f>
        <v>0</v>
      </c>
      <c r="EDH3">
        <f>'[12]Summary Report - 12 Months Endi'!EDG2</f>
        <v>0</v>
      </c>
      <c r="EDI3">
        <f>'[12]Summary Report - 12 Months Endi'!EDH2</f>
        <v>0</v>
      </c>
      <c r="EDJ3">
        <f>'[12]Summary Report - 12 Months Endi'!EDI2</f>
        <v>0</v>
      </c>
      <c r="EDK3">
        <f>'[12]Summary Report - 12 Months Endi'!EDJ2</f>
        <v>0</v>
      </c>
      <c r="EDL3">
        <f>'[12]Summary Report - 12 Months Endi'!EDK2</f>
        <v>0</v>
      </c>
      <c r="EDM3">
        <f>'[12]Summary Report - 12 Months Endi'!EDL2</f>
        <v>0</v>
      </c>
      <c r="EDN3">
        <f>'[12]Summary Report - 12 Months Endi'!EDM2</f>
        <v>0</v>
      </c>
      <c r="EDO3">
        <f>'[12]Summary Report - 12 Months Endi'!EDN2</f>
        <v>0</v>
      </c>
      <c r="EDP3">
        <f>'[12]Summary Report - 12 Months Endi'!EDO2</f>
        <v>0</v>
      </c>
      <c r="EDQ3">
        <f>'[12]Summary Report - 12 Months Endi'!EDP2</f>
        <v>0</v>
      </c>
      <c r="EDR3">
        <f>'[12]Summary Report - 12 Months Endi'!EDQ2</f>
        <v>0</v>
      </c>
      <c r="EDS3">
        <f>'[12]Summary Report - 12 Months Endi'!EDR2</f>
        <v>0</v>
      </c>
      <c r="EDT3">
        <f>'[12]Summary Report - 12 Months Endi'!EDS2</f>
        <v>0</v>
      </c>
      <c r="EDU3">
        <f>'[12]Summary Report - 12 Months Endi'!EDT2</f>
        <v>0</v>
      </c>
      <c r="EDV3">
        <f>'[12]Summary Report - 12 Months Endi'!EDU2</f>
        <v>0</v>
      </c>
      <c r="EDW3">
        <f>'[12]Summary Report - 12 Months Endi'!EDV2</f>
        <v>0</v>
      </c>
      <c r="EDX3">
        <f>'[12]Summary Report - 12 Months Endi'!EDW2</f>
        <v>0</v>
      </c>
      <c r="EDY3">
        <f>'[12]Summary Report - 12 Months Endi'!EDX2</f>
        <v>0</v>
      </c>
      <c r="EDZ3">
        <f>'[12]Summary Report - 12 Months Endi'!EDY2</f>
        <v>0</v>
      </c>
      <c r="EEA3">
        <f>'[12]Summary Report - 12 Months Endi'!EDZ2</f>
        <v>0</v>
      </c>
      <c r="EEB3">
        <f>'[12]Summary Report - 12 Months Endi'!EEA2</f>
        <v>0</v>
      </c>
      <c r="EEC3">
        <f>'[12]Summary Report - 12 Months Endi'!EEB2</f>
        <v>0</v>
      </c>
      <c r="EED3">
        <f>'[12]Summary Report - 12 Months Endi'!EEC2</f>
        <v>0</v>
      </c>
      <c r="EEE3">
        <f>'[12]Summary Report - 12 Months Endi'!EED2</f>
        <v>0</v>
      </c>
      <c r="EEF3">
        <f>'[12]Summary Report - 12 Months Endi'!EEE2</f>
        <v>0</v>
      </c>
      <c r="EEG3">
        <f>'[12]Summary Report - 12 Months Endi'!EEF2</f>
        <v>0</v>
      </c>
      <c r="EEH3">
        <f>'[12]Summary Report - 12 Months Endi'!EEG2</f>
        <v>0</v>
      </c>
      <c r="EEI3">
        <f>'[12]Summary Report - 12 Months Endi'!EEH2</f>
        <v>0</v>
      </c>
      <c r="EEJ3">
        <f>'[12]Summary Report - 12 Months Endi'!EEI2</f>
        <v>0</v>
      </c>
      <c r="EEK3">
        <f>'[12]Summary Report - 12 Months Endi'!EEJ2</f>
        <v>0</v>
      </c>
      <c r="EEL3">
        <f>'[12]Summary Report - 12 Months Endi'!EEK2</f>
        <v>0</v>
      </c>
      <c r="EEM3">
        <f>'[12]Summary Report - 12 Months Endi'!EEL2</f>
        <v>0</v>
      </c>
      <c r="EEN3">
        <f>'[12]Summary Report - 12 Months Endi'!EEM2</f>
        <v>0</v>
      </c>
      <c r="EEO3">
        <f>'[12]Summary Report - 12 Months Endi'!EEN2</f>
        <v>0</v>
      </c>
      <c r="EEP3">
        <f>'[12]Summary Report - 12 Months Endi'!EEO2</f>
        <v>0</v>
      </c>
      <c r="EEQ3">
        <f>'[12]Summary Report - 12 Months Endi'!EEP2</f>
        <v>0</v>
      </c>
      <c r="EER3">
        <f>'[12]Summary Report - 12 Months Endi'!EEQ2</f>
        <v>0</v>
      </c>
      <c r="EES3">
        <f>'[12]Summary Report - 12 Months Endi'!EER2</f>
        <v>0</v>
      </c>
      <c r="EET3">
        <f>'[12]Summary Report - 12 Months Endi'!EES2</f>
        <v>0</v>
      </c>
      <c r="EEU3">
        <f>'[12]Summary Report - 12 Months Endi'!EET2</f>
        <v>0</v>
      </c>
      <c r="EEV3">
        <f>'[12]Summary Report - 12 Months Endi'!EEU2</f>
        <v>0</v>
      </c>
      <c r="EEW3">
        <f>'[12]Summary Report - 12 Months Endi'!EEV2</f>
        <v>0</v>
      </c>
      <c r="EEX3">
        <f>'[12]Summary Report - 12 Months Endi'!EEW2</f>
        <v>0</v>
      </c>
      <c r="EEY3">
        <f>'[12]Summary Report - 12 Months Endi'!EEX2</f>
        <v>0</v>
      </c>
      <c r="EEZ3">
        <f>'[12]Summary Report - 12 Months Endi'!EEY2</f>
        <v>0</v>
      </c>
      <c r="EFA3">
        <f>'[12]Summary Report - 12 Months Endi'!EEZ2</f>
        <v>0</v>
      </c>
      <c r="EFB3">
        <f>'[12]Summary Report - 12 Months Endi'!EFA2</f>
        <v>0</v>
      </c>
      <c r="EFC3">
        <f>'[12]Summary Report - 12 Months Endi'!EFB2</f>
        <v>0</v>
      </c>
      <c r="EFD3">
        <f>'[12]Summary Report - 12 Months Endi'!EFC2</f>
        <v>0</v>
      </c>
      <c r="EFE3">
        <f>'[12]Summary Report - 12 Months Endi'!EFD2</f>
        <v>0</v>
      </c>
      <c r="EFF3">
        <f>'[12]Summary Report - 12 Months Endi'!EFE2</f>
        <v>0</v>
      </c>
      <c r="EFG3">
        <f>'[12]Summary Report - 12 Months Endi'!EFF2</f>
        <v>0</v>
      </c>
      <c r="EFH3">
        <f>'[12]Summary Report - 12 Months Endi'!EFG2</f>
        <v>0</v>
      </c>
      <c r="EFI3">
        <f>'[12]Summary Report - 12 Months Endi'!EFH2</f>
        <v>0</v>
      </c>
      <c r="EFJ3">
        <f>'[12]Summary Report - 12 Months Endi'!EFI2</f>
        <v>0</v>
      </c>
      <c r="EFK3">
        <f>'[12]Summary Report - 12 Months Endi'!EFJ2</f>
        <v>0</v>
      </c>
      <c r="EFL3">
        <f>'[12]Summary Report - 12 Months Endi'!EFK2</f>
        <v>0</v>
      </c>
      <c r="EFM3">
        <f>'[12]Summary Report - 12 Months Endi'!EFL2</f>
        <v>0</v>
      </c>
      <c r="EFN3">
        <f>'[12]Summary Report - 12 Months Endi'!EFM2</f>
        <v>0</v>
      </c>
      <c r="EFO3">
        <f>'[12]Summary Report - 12 Months Endi'!EFN2</f>
        <v>0</v>
      </c>
      <c r="EFP3">
        <f>'[12]Summary Report - 12 Months Endi'!EFO2</f>
        <v>0</v>
      </c>
      <c r="EFQ3">
        <f>'[12]Summary Report - 12 Months Endi'!EFP2</f>
        <v>0</v>
      </c>
      <c r="EFR3">
        <f>'[12]Summary Report - 12 Months Endi'!EFQ2</f>
        <v>0</v>
      </c>
      <c r="EFS3">
        <f>'[12]Summary Report - 12 Months Endi'!EFR2</f>
        <v>0</v>
      </c>
      <c r="EFT3">
        <f>'[12]Summary Report - 12 Months Endi'!EFS2</f>
        <v>0</v>
      </c>
      <c r="EFU3">
        <f>'[12]Summary Report - 12 Months Endi'!EFT2</f>
        <v>0</v>
      </c>
      <c r="EFV3">
        <f>'[12]Summary Report - 12 Months Endi'!EFU2</f>
        <v>0</v>
      </c>
      <c r="EFW3">
        <f>'[12]Summary Report - 12 Months Endi'!EFV2</f>
        <v>0</v>
      </c>
      <c r="EFX3">
        <f>'[12]Summary Report - 12 Months Endi'!EFW2</f>
        <v>0</v>
      </c>
      <c r="EFY3">
        <f>'[12]Summary Report - 12 Months Endi'!EFX2</f>
        <v>0</v>
      </c>
      <c r="EFZ3">
        <f>'[12]Summary Report - 12 Months Endi'!EFY2</f>
        <v>0</v>
      </c>
      <c r="EGA3">
        <f>'[12]Summary Report - 12 Months Endi'!EFZ2</f>
        <v>0</v>
      </c>
      <c r="EGB3">
        <f>'[12]Summary Report - 12 Months Endi'!EGA2</f>
        <v>0</v>
      </c>
      <c r="EGC3">
        <f>'[12]Summary Report - 12 Months Endi'!EGB2</f>
        <v>0</v>
      </c>
      <c r="EGD3">
        <f>'[12]Summary Report - 12 Months Endi'!EGC2</f>
        <v>0</v>
      </c>
      <c r="EGE3">
        <f>'[12]Summary Report - 12 Months Endi'!EGD2</f>
        <v>0</v>
      </c>
      <c r="EGF3">
        <f>'[12]Summary Report - 12 Months Endi'!EGE2</f>
        <v>0</v>
      </c>
      <c r="EGG3">
        <f>'[12]Summary Report - 12 Months Endi'!EGF2</f>
        <v>0</v>
      </c>
      <c r="EGH3">
        <f>'[12]Summary Report - 12 Months Endi'!EGG2</f>
        <v>0</v>
      </c>
      <c r="EGI3">
        <f>'[12]Summary Report - 12 Months Endi'!EGH2</f>
        <v>0</v>
      </c>
      <c r="EGJ3">
        <f>'[12]Summary Report - 12 Months Endi'!EGI2</f>
        <v>0</v>
      </c>
      <c r="EGK3">
        <f>'[12]Summary Report - 12 Months Endi'!EGJ2</f>
        <v>0</v>
      </c>
      <c r="EGL3">
        <f>'[12]Summary Report - 12 Months Endi'!EGK2</f>
        <v>0</v>
      </c>
      <c r="EGM3">
        <f>'[12]Summary Report - 12 Months Endi'!EGL2</f>
        <v>0</v>
      </c>
      <c r="EGN3">
        <f>'[12]Summary Report - 12 Months Endi'!EGM2</f>
        <v>0</v>
      </c>
      <c r="EGO3">
        <f>'[12]Summary Report - 12 Months Endi'!EGN2</f>
        <v>0</v>
      </c>
      <c r="EGP3">
        <f>'[12]Summary Report - 12 Months Endi'!EGO2</f>
        <v>0</v>
      </c>
      <c r="EGQ3">
        <f>'[12]Summary Report - 12 Months Endi'!EGP2</f>
        <v>0</v>
      </c>
      <c r="EGR3">
        <f>'[12]Summary Report - 12 Months Endi'!EGQ2</f>
        <v>0</v>
      </c>
      <c r="EGS3">
        <f>'[12]Summary Report - 12 Months Endi'!EGR2</f>
        <v>0</v>
      </c>
      <c r="EGT3">
        <f>'[12]Summary Report - 12 Months Endi'!EGS2</f>
        <v>0</v>
      </c>
      <c r="EGU3">
        <f>'[12]Summary Report - 12 Months Endi'!EGT2</f>
        <v>0</v>
      </c>
      <c r="EGV3">
        <f>'[12]Summary Report - 12 Months Endi'!EGU2</f>
        <v>0</v>
      </c>
      <c r="EGW3">
        <f>'[12]Summary Report - 12 Months Endi'!EGV2</f>
        <v>0</v>
      </c>
      <c r="EGX3">
        <f>'[12]Summary Report - 12 Months Endi'!EGW2</f>
        <v>0</v>
      </c>
      <c r="EGY3">
        <f>'[12]Summary Report - 12 Months Endi'!EGX2</f>
        <v>0</v>
      </c>
      <c r="EGZ3">
        <f>'[12]Summary Report - 12 Months Endi'!EGY2</f>
        <v>0</v>
      </c>
      <c r="EHA3">
        <f>'[12]Summary Report - 12 Months Endi'!EGZ2</f>
        <v>0</v>
      </c>
      <c r="EHB3">
        <f>'[12]Summary Report - 12 Months Endi'!EHA2</f>
        <v>0</v>
      </c>
      <c r="EHC3">
        <f>'[12]Summary Report - 12 Months Endi'!EHB2</f>
        <v>0</v>
      </c>
      <c r="EHD3">
        <f>'[12]Summary Report - 12 Months Endi'!EHC2</f>
        <v>0</v>
      </c>
      <c r="EHE3">
        <f>'[12]Summary Report - 12 Months Endi'!EHD2</f>
        <v>0</v>
      </c>
      <c r="EHF3">
        <f>'[12]Summary Report - 12 Months Endi'!EHE2</f>
        <v>0</v>
      </c>
      <c r="EHG3">
        <f>'[12]Summary Report - 12 Months Endi'!EHF2</f>
        <v>0</v>
      </c>
      <c r="EHH3">
        <f>'[12]Summary Report - 12 Months Endi'!EHG2</f>
        <v>0</v>
      </c>
      <c r="EHI3">
        <f>'[12]Summary Report - 12 Months Endi'!EHH2</f>
        <v>0</v>
      </c>
      <c r="EHJ3">
        <f>'[12]Summary Report - 12 Months Endi'!EHI2</f>
        <v>0</v>
      </c>
      <c r="EHK3">
        <f>'[12]Summary Report - 12 Months Endi'!EHJ2</f>
        <v>0</v>
      </c>
      <c r="EHL3">
        <f>'[12]Summary Report - 12 Months Endi'!EHK2</f>
        <v>0</v>
      </c>
      <c r="EHM3">
        <f>'[12]Summary Report - 12 Months Endi'!EHL2</f>
        <v>0</v>
      </c>
      <c r="EHN3">
        <f>'[12]Summary Report - 12 Months Endi'!EHM2</f>
        <v>0</v>
      </c>
      <c r="EHO3">
        <f>'[12]Summary Report - 12 Months Endi'!EHN2</f>
        <v>0</v>
      </c>
      <c r="EHP3">
        <f>'[12]Summary Report - 12 Months Endi'!EHO2</f>
        <v>0</v>
      </c>
      <c r="EHQ3">
        <f>'[12]Summary Report - 12 Months Endi'!EHP2</f>
        <v>0</v>
      </c>
      <c r="EHR3">
        <f>'[12]Summary Report - 12 Months Endi'!EHQ2</f>
        <v>0</v>
      </c>
      <c r="EHS3">
        <f>'[12]Summary Report - 12 Months Endi'!EHR2</f>
        <v>0</v>
      </c>
      <c r="EHT3">
        <f>'[12]Summary Report - 12 Months Endi'!EHS2</f>
        <v>0</v>
      </c>
      <c r="EHU3">
        <f>'[12]Summary Report - 12 Months Endi'!EHT2</f>
        <v>0</v>
      </c>
      <c r="EHV3">
        <f>'[12]Summary Report - 12 Months Endi'!EHU2</f>
        <v>0</v>
      </c>
      <c r="EHW3">
        <f>'[12]Summary Report - 12 Months Endi'!EHV2</f>
        <v>0</v>
      </c>
      <c r="EHX3">
        <f>'[12]Summary Report - 12 Months Endi'!EHW2</f>
        <v>0</v>
      </c>
      <c r="EHY3">
        <f>'[12]Summary Report - 12 Months Endi'!EHX2</f>
        <v>0</v>
      </c>
      <c r="EHZ3">
        <f>'[12]Summary Report - 12 Months Endi'!EHY2</f>
        <v>0</v>
      </c>
      <c r="EIA3">
        <f>'[12]Summary Report - 12 Months Endi'!EHZ2</f>
        <v>0</v>
      </c>
      <c r="EIB3">
        <f>'[12]Summary Report - 12 Months Endi'!EIA2</f>
        <v>0</v>
      </c>
      <c r="EIC3">
        <f>'[12]Summary Report - 12 Months Endi'!EIB2</f>
        <v>0</v>
      </c>
      <c r="EID3">
        <f>'[12]Summary Report - 12 Months Endi'!EIC2</f>
        <v>0</v>
      </c>
      <c r="EIE3">
        <f>'[12]Summary Report - 12 Months Endi'!EID2</f>
        <v>0</v>
      </c>
      <c r="EIF3">
        <f>'[12]Summary Report - 12 Months Endi'!EIE2</f>
        <v>0</v>
      </c>
      <c r="EIG3">
        <f>'[12]Summary Report - 12 Months Endi'!EIF2</f>
        <v>0</v>
      </c>
      <c r="EIH3">
        <f>'[12]Summary Report - 12 Months Endi'!EIG2</f>
        <v>0</v>
      </c>
      <c r="EII3">
        <f>'[12]Summary Report - 12 Months Endi'!EIH2</f>
        <v>0</v>
      </c>
      <c r="EIJ3">
        <f>'[12]Summary Report - 12 Months Endi'!EII2</f>
        <v>0</v>
      </c>
      <c r="EIK3">
        <f>'[12]Summary Report - 12 Months Endi'!EIJ2</f>
        <v>0</v>
      </c>
      <c r="EIL3">
        <f>'[12]Summary Report - 12 Months Endi'!EIK2</f>
        <v>0</v>
      </c>
      <c r="EIM3">
        <f>'[12]Summary Report - 12 Months Endi'!EIL2</f>
        <v>0</v>
      </c>
      <c r="EIN3">
        <f>'[12]Summary Report - 12 Months Endi'!EIM2</f>
        <v>0</v>
      </c>
      <c r="EIO3">
        <f>'[12]Summary Report - 12 Months Endi'!EIN2</f>
        <v>0</v>
      </c>
      <c r="EIP3">
        <f>'[12]Summary Report - 12 Months Endi'!EIO2</f>
        <v>0</v>
      </c>
      <c r="EIQ3">
        <f>'[12]Summary Report - 12 Months Endi'!EIP2</f>
        <v>0</v>
      </c>
      <c r="EIR3">
        <f>'[12]Summary Report - 12 Months Endi'!EIQ2</f>
        <v>0</v>
      </c>
      <c r="EIS3">
        <f>'[12]Summary Report - 12 Months Endi'!EIR2</f>
        <v>0</v>
      </c>
      <c r="EIT3">
        <f>'[12]Summary Report - 12 Months Endi'!EIS2</f>
        <v>0</v>
      </c>
      <c r="EIU3">
        <f>'[12]Summary Report - 12 Months Endi'!EIT2</f>
        <v>0</v>
      </c>
      <c r="EIV3">
        <f>'[12]Summary Report - 12 Months Endi'!EIU2</f>
        <v>0</v>
      </c>
      <c r="EIW3">
        <f>'[12]Summary Report - 12 Months Endi'!EIV2</f>
        <v>0</v>
      </c>
      <c r="EIX3">
        <f>'[12]Summary Report - 12 Months Endi'!EIW2</f>
        <v>0</v>
      </c>
      <c r="EIY3">
        <f>'[12]Summary Report - 12 Months Endi'!EIX2</f>
        <v>0</v>
      </c>
      <c r="EIZ3">
        <f>'[12]Summary Report - 12 Months Endi'!EIY2</f>
        <v>0</v>
      </c>
      <c r="EJA3">
        <f>'[12]Summary Report - 12 Months Endi'!EIZ2</f>
        <v>0</v>
      </c>
      <c r="EJB3">
        <f>'[12]Summary Report - 12 Months Endi'!EJA2</f>
        <v>0</v>
      </c>
      <c r="EJC3">
        <f>'[12]Summary Report - 12 Months Endi'!EJB2</f>
        <v>0</v>
      </c>
      <c r="EJD3">
        <f>'[12]Summary Report - 12 Months Endi'!EJC2</f>
        <v>0</v>
      </c>
      <c r="EJE3">
        <f>'[12]Summary Report - 12 Months Endi'!EJD2</f>
        <v>0</v>
      </c>
      <c r="EJF3">
        <f>'[12]Summary Report - 12 Months Endi'!EJE2</f>
        <v>0</v>
      </c>
      <c r="EJG3">
        <f>'[12]Summary Report - 12 Months Endi'!EJF2</f>
        <v>0</v>
      </c>
      <c r="EJH3">
        <f>'[12]Summary Report - 12 Months Endi'!EJG2</f>
        <v>0</v>
      </c>
      <c r="EJI3">
        <f>'[12]Summary Report - 12 Months Endi'!EJH2</f>
        <v>0</v>
      </c>
      <c r="EJJ3">
        <f>'[12]Summary Report - 12 Months Endi'!EJI2</f>
        <v>0</v>
      </c>
      <c r="EJK3">
        <f>'[12]Summary Report - 12 Months Endi'!EJJ2</f>
        <v>0</v>
      </c>
      <c r="EJL3">
        <f>'[12]Summary Report - 12 Months Endi'!EJK2</f>
        <v>0</v>
      </c>
      <c r="EJM3">
        <f>'[12]Summary Report - 12 Months Endi'!EJL2</f>
        <v>0</v>
      </c>
      <c r="EJN3">
        <f>'[12]Summary Report - 12 Months Endi'!EJM2</f>
        <v>0</v>
      </c>
      <c r="EJO3">
        <f>'[12]Summary Report - 12 Months Endi'!EJN2</f>
        <v>0</v>
      </c>
      <c r="EJP3">
        <f>'[12]Summary Report - 12 Months Endi'!EJO2</f>
        <v>0</v>
      </c>
      <c r="EJQ3">
        <f>'[12]Summary Report - 12 Months Endi'!EJP2</f>
        <v>0</v>
      </c>
      <c r="EJR3">
        <f>'[12]Summary Report - 12 Months Endi'!EJQ2</f>
        <v>0</v>
      </c>
      <c r="EJS3">
        <f>'[12]Summary Report - 12 Months Endi'!EJR2</f>
        <v>0</v>
      </c>
      <c r="EJT3">
        <f>'[12]Summary Report - 12 Months Endi'!EJS2</f>
        <v>0</v>
      </c>
      <c r="EJU3">
        <f>'[12]Summary Report - 12 Months Endi'!EJT2</f>
        <v>0</v>
      </c>
      <c r="EJV3">
        <f>'[12]Summary Report - 12 Months Endi'!EJU2</f>
        <v>0</v>
      </c>
      <c r="EJW3">
        <f>'[12]Summary Report - 12 Months Endi'!EJV2</f>
        <v>0</v>
      </c>
      <c r="EJX3">
        <f>'[12]Summary Report - 12 Months Endi'!EJW2</f>
        <v>0</v>
      </c>
      <c r="EJY3">
        <f>'[12]Summary Report - 12 Months Endi'!EJX2</f>
        <v>0</v>
      </c>
      <c r="EJZ3">
        <f>'[12]Summary Report - 12 Months Endi'!EJY2</f>
        <v>0</v>
      </c>
      <c r="EKA3">
        <f>'[12]Summary Report - 12 Months Endi'!EJZ2</f>
        <v>0</v>
      </c>
      <c r="EKB3">
        <f>'[12]Summary Report - 12 Months Endi'!EKA2</f>
        <v>0</v>
      </c>
      <c r="EKC3">
        <f>'[12]Summary Report - 12 Months Endi'!EKB2</f>
        <v>0</v>
      </c>
      <c r="EKD3">
        <f>'[12]Summary Report - 12 Months Endi'!EKC2</f>
        <v>0</v>
      </c>
      <c r="EKE3">
        <f>'[12]Summary Report - 12 Months Endi'!EKD2</f>
        <v>0</v>
      </c>
      <c r="EKF3">
        <f>'[12]Summary Report - 12 Months Endi'!EKE2</f>
        <v>0</v>
      </c>
      <c r="EKG3">
        <f>'[12]Summary Report - 12 Months Endi'!EKF2</f>
        <v>0</v>
      </c>
      <c r="EKH3">
        <f>'[12]Summary Report - 12 Months Endi'!EKG2</f>
        <v>0</v>
      </c>
      <c r="EKI3">
        <f>'[12]Summary Report - 12 Months Endi'!EKH2</f>
        <v>0</v>
      </c>
      <c r="EKJ3">
        <f>'[12]Summary Report - 12 Months Endi'!EKI2</f>
        <v>0</v>
      </c>
      <c r="EKK3">
        <f>'[12]Summary Report - 12 Months Endi'!EKJ2</f>
        <v>0</v>
      </c>
      <c r="EKL3">
        <f>'[12]Summary Report - 12 Months Endi'!EKK2</f>
        <v>0</v>
      </c>
      <c r="EKM3">
        <f>'[12]Summary Report - 12 Months Endi'!EKL2</f>
        <v>0</v>
      </c>
      <c r="EKN3">
        <f>'[12]Summary Report - 12 Months Endi'!EKM2</f>
        <v>0</v>
      </c>
      <c r="EKO3">
        <f>'[12]Summary Report - 12 Months Endi'!EKN2</f>
        <v>0</v>
      </c>
      <c r="EKP3">
        <f>'[12]Summary Report - 12 Months Endi'!EKO2</f>
        <v>0</v>
      </c>
      <c r="EKQ3">
        <f>'[12]Summary Report - 12 Months Endi'!EKP2</f>
        <v>0</v>
      </c>
      <c r="EKR3">
        <f>'[12]Summary Report - 12 Months Endi'!EKQ2</f>
        <v>0</v>
      </c>
      <c r="EKS3">
        <f>'[12]Summary Report - 12 Months Endi'!EKR2</f>
        <v>0</v>
      </c>
      <c r="EKT3">
        <f>'[12]Summary Report - 12 Months Endi'!EKS2</f>
        <v>0</v>
      </c>
      <c r="EKU3">
        <f>'[12]Summary Report - 12 Months Endi'!EKT2</f>
        <v>0</v>
      </c>
      <c r="EKV3">
        <f>'[12]Summary Report - 12 Months Endi'!EKU2</f>
        <v>0</v>
      </c>
      <c r="EKW3">
        <f>'[12]Summary Report - 12 Months Endi'!EKV2</f>
        <v>0</v>
      </c>
      <c r="EKX3">
        <f>'[12]Summary Report - 12 Months Endi'!EKW2</f>
        <v>0</v>
      </c>
      <c r="EKY3">
        <f>'[12]Summary Report - 12 Months Endi'!EKX2</f>
        <v>0</v>
      </c>
      <c r="EKZ3">
        <f>'[12]Summary Report - 12 Months Endi'!EKY2</f>
        <v>0</v>
      </c>
      <c r="ELA3">
        <f>'[12]Summary Report - 12 Months Endi'!EKZ2</f>
        <v>0</v>
      </c>
      <c r="ELB3">
        <f>'[12]Summary Report - 12 Months Endi'!ELA2</f>
        <v>0</v>
      </c>
      <c r="ELC3">
        <f>'[12]Summary Report - 12 Months Endi'!ELB2</f>
        <v>0</v>
      </c>
      <c r="ELD3">
        <f>'[12]Summary Report - 12 Months Endi'!ELC2</f>
        <v>0</v>
      </c>
      <c r="ELE3">
        <f>'[12]Summary Report - 12 Months Endi'!ELD2</f>
        <v>0</v>
      </c>
      <c r="ELF3">
        <f>'[12]Summary Report - 12 Months Endi'!ELE2</f>
        <v>0</v>
      </c>
      <c r="ELG3">
        <f>'[12]Summary Report - 12 Months Endi'!ELF2</f>
        <v>0</v>
      </c>
      <c r="ELH3">
        <f>'[12]Summary Report - 12 Months Endi'!ELG2</f>
        <v>0</v>
      </c>
      <c r="ELI3">
        <f>'[12]Summary Report - 12 Months Endi'!ELH2</f>
        <v>0</v>
      </c>
      <c r="ELJ3">
        <f>'[12]Summary Report - 12 Months Endi'!ELI2</f>
        <v>0</v>
      </c>
      <c r="ELK3">
        <f>'[12]Summary Report - 12 Months Endi'!ELJ2</f>
        <v>0</v>
      </c>
      <c r="ELL3">
        <f>'[12]Summary Report - 12 Months Endi'!ELK2</f>
        <v>0</v>
      </c>
      <c r="ELM3">
        <f>'[12]Summary Report - 12 Months Endi'!ELL2</f>
        <v>0</v>
      </c>
      <c r="ELN3">
        <f>'[12]Summary Report - 12 Months Endi'!ELM2</f>
        <v>0</v>
      </c>
      <c r="ELO3">
        <f>'[12]Summary Report - 12 Months Endi'!ELN2</f>
        <v>0</v>
      </c>
      <c r="ELP3">
        <f>'[12]Summary Report - 12 Months Endi'!ELO2</f>
        <v>0</v>
      </c>
      <c r="ELQ3">
        <f>'[12]Summary Report - 12 Months Endi'!ELP2</f>
        <v>0</v>
      </c>
      <c r="ELR3">
        <f>'[12]Summary Report - 12 Months Endi'!ELQ2</f>
        <v>0</v>
      </c>
      <c r="ELS3">
        <f>'[12]Summary Report - 12 Months Endi'!ELR2</f>
        <v>0</v>
      </c>
      <c r="ELT3">
        <f>'[12]Summary Report - 12 Months Endi'!ELS2</f>
        <v>0</v>
      </c>
      <c r="ELU3">
        <f>'[12]Summary Report - 12 Months Endi'!ELT2</f>
        <v>0</v>
      </c>
      <c r="ELV3">
        <f>'[12]Summary Report - 12 Months Endi'!ELU2</f>
        <v>0</v>
      </c>
      <c r="ELW3">
        <f>'[12]Summary Report - 12 Months Endi'!ELV2</f>
        <v>0</v>
      </c>
      <c r="ELX3">
        <f>'[12]Summary Report - 12 Months Endi'!ELW2</f>
        <v>0</v>
      </c>
      <c r="ELY3">
        <f>'[12]Summary Report - 12 Months Endi'!ELX2</f>
        <v>0</v>
      </c>
      <c r="ELZ3">
        <f>'[12]Summary Report - 12 Months Endi'!ELY2</f>
        <v>0</v>
      </c>
      <c r="EMA3">
        <f>'[12]Summary Report - 12 Months Endi'!ELZ2</f>
        <v>0</v>
      </c>
      <c r="EMB3">
        <f>'[12]Summary Report - 12 Months Endi'!EMA2</f>
        <v>0</v>
      </c>
      <c r="EMC3">
        <f>'[12]Summary Report - 12 Months Endi'!EMB2</f>
        <v>0</v>
      </c>
      <c r="EMD3">
        <f>'[12]Summary Report - 12 Months Endi'!EMC2</f>
        <v>0</v>
      </c>
      <c r="EME3">
        <f>'[12]Summary Report - 12 Months Endi'!EMD2</f>
        <v>0</v>
      </c>
      <c r="EMF3">
        <f>'[12]Summary Report - 12 Months Endi'!EME2</f>
        <v>0</v>
      </c>
      <c r="EMG3">
        <f>'[12]Summary Report - 12 Months Endi'!EMF2</f>
        <v>0</v>
      </c>
      <c r="EMH3">
        <f>'[12]Summary Report - 12 Months Endi'!EMG2</f>
        <v>0</v>
      </c>
      <c r="EMI3">
        <f>'[12]Summary Report - 12 Months Endi'!EMH2</f>
        <v>0</v>
      </c>
      <c r="EMJ3">
        <f>'[12]Summary Report - 12 Months Endi'!EMI2</f>
        <v>0</v>
      </c>
      <c r="EMK3">
        <f>'[12]Summary Report - 12 Months Endi'!EMJ2</f>
        <v>0</v>
      </c>
      <c r="EML3">
        <f>'[12]Summary Report - 12 Months Endi'!EMK2</f>
        <v>0</v>
      </c>
      <c r="EMM3">
        <f>'[12]Summary Report - 12 Months Endi'!EML2</f>
        <v>0</v>
      </c>
      <c r="EMN3">
        <f>'[12]Summary Report - 12 Months Endi'!EMM2</f>
        <v>0</v>
      </c>
      <c r="EMO3">
        <f>'[12]Summary Report - 12 Months Endi'!EMN2</f>
        <v>0</v>
      </c>
      <c r="EMP3">
        <f>'[12]Summary Report - 12 Months Endi'!EMO2</f>
        <v>0</v>
      </c>
      <c r="EMQ3">
        <f>'[12]Summary Report - 12 Months Endi'!EMP2</f>
        <v>0</v>
      </c>
      <c r="EMR3">
        <f>'[12]Summary Report - 12 Months Endi'!EMQ2</f>
        <v>0</v>
      </c>
      <c r="EMS3">
        <f>'[12]Summary Report - 12 Months Endi'!EMR2</f>
        <v>0</v>
      </c>
      <c r="EMT3">
        <f>'[12]Summary Report - 12 Months Endi'!EMS2</f>
        <v>0</v>
      </c>
      <c r="EMU3">
        <f>'[12]Summary Report - 12 Months Endi'!EMT2</f>
        <v>0</v>
      </c>
      <c r="EMV3">
        <f>'[12]Summary Report - 12 Months Endi'!EMU2</f>
        <v>0</v>
      </c>
      <c r="EMW3">
        <f>'[12]Summary Report - 12 Months Endi'!EMV2</f>
        <v>0</v>
      </c>
      <c r="EMX3">
        <f>'[12]Summary Report - 12 Months Endi'!EMW2</f>
        <v>0</v>
      </c>
      <c r="EMY3">
        <f>'[12]Summary Report - 12 Months Endi'!EMX2</f>
        <v>0</v>
      </c>
      <c r="EMZ3">
        <f>'[12]Summary Report - 12 Months Endi'!EMY2</f>
        <v>0</v>
      </c>
      <c r="ENA3">
        <f>'[12]Summary Report - 12 Months Endi'!EMZ2</f>
        <v>0</v>
      </c>
      <c r="ENB3">
        <f>'[12]Summary Report - 12 Months Endi'!ENA2</f>
        <v>0</v>
      </c>
      <c r="ENC3">
        <f>'[12]Summary Report - 12 Months Endi'!ENB2</f>
        <v>0</v>
      </c>
      <c r="END3">
        <f>'[12]Summary Report - 12 Months Endi'!ENC2</f>
        <v>0</v>
      </c>
      <c r="ENE3">
        <f>'[12]Summary Report - 12 Months Endi'!END2</f>
        <v>0</v>
      </c>
      <c r="ENF3">
        <f>'[12]Summary Report - 12 Months Endi'!ENE2</f>
        <v>0</v>
      </c>
      <c r="ENG3">
        <f>'[12]Summary Report - 12 Months Endi'!ENF2</f>
        <v>0</v>
      </c>
      <c r="ENH3">
        <f>'[12]Summary Report - 12 Months Endi'!ENG2</f>
        <v>0</v>
      </c>
      <c r="ENI3">
        <f>'[12]Summary Report - 12 Months Endi'!ENH2</f>
        <v>0</v>
      </c>
      <c r="ENJ3">
        <f>'[12]Summary Report - 12 Months Endi'!ENI2</f>
        <v>0</v>
      </c>
      <c r="ENK3">
        <f>'[12]Summary Report - 12 Months Endi'!ENJ2</f>
        <v>0</v>
      </c>
      <c r="ENL3">
        <f>'[12]Summary Report - 12 Months Endi'!ENK2</f>
        <v>0</v>
      </c>
      <c r="ENM3">
        <f>'[12]Summary Report - 12 Months Endi'!ENL2</f>
        <v>0</v>
      </c>
      <c r="ENN3">
        <f>'[12]Summary Report - 12 Months Endi'!ENM2</f>
        <v>0</v>
      </c>
      <c r="ENO3">
        <f>'[12]Summary Report - 12 Months Endi'!ENN2</f>
        <v>0</v>
      </c>
      <c r="ENP3">
        <f>'[12]Summary Report - 12 Months Endi'!ENO2</f>
        <v>0</v>
      </c>
      <c r="ENQ3">
        <f>'[12]Summary Report - 12 Months Endi'!ENP2</f>
        <v>0</v>
      </c>
      <c r="ENR3">
        <f>'[12]Summary Report - 12 Months Endi'!ENQ2</f>
        <v>0</v>
      </c>
      <c r="ENS3">
        <f>'[12]Summary Report - 12 Months Endi'!ENR2</f>
        <v>0</v>
      </c>
      <c r="ENT3">
        <f>'[12]Summary Report - 12 Months Endi'!ENS2</f>
        <v>0</v>
      </c>
      <c r="ENU3">
        <f>'[12]Summary Report - 12 Months Endi'!ENT2</f>
        <v>0</v>
      </c>
      <c r="ENV3">
        <f>'[12]Summary Report - 12 Months Endi'!ENU2</f>
        <v>0</v>
      </c>
      <c r="ENW3">
        <f>'[12]Summary Report - 12 Months Endi'!ENV2</f>
        <v>0</v>
      </c>
      <c r="ENX3">
        <f>'[12]Summary Report - 12 Months Endi'!ENW2</f>
        <v>0</v>
      </c>
      <c r="ENY3">
        <f>'[12]Summary Report - 12 Months Endi'!ENX2</f>
        <v>0</v>
      </c>
      <c r="ENZ3">
        <f>'[12]Summary Report - 12 Months Endi'!ENY2</f>
        <v>0</v>
      </c>
      <c r="EOA3">
        <f>'[12]Summary Report - 12 Months Endi'!ENZ2</f>
        <v>0</v>
      </c>
      <c r="EOB3">
        <f>'[12]Summary Report - 12 Months Endi'!EOA2</f>
        <v>0</v>
      </c>
      <c r="EOC3">
        <f>'[12]Summary Report - 12 Months Endi'!EOB2</f>
        <v>0</v>
      </c>
      <c r="EOD3">
        <f>'[12]Summary Report - 12 Months Endi'!EOC2</f>
        <v>0</v>
      </c>
      <c r="EOE3">
        <f>'[12]Summary Report - 12 Months Endi'!EOD2</f>
        <v>0</v>
      </c>
      <c r="EOF3">
        <f>'[12]Summary Report - 12 Months Endi'!EOE2</f>
        <v>0</v>
      </c>
      <c r="EOG3">
        <f>'[12]Summary Report - 12 Months Endi'!EOF2</f>
        <v>0</v>
      </c>
      <c r="EOH3">
        <f>'[12]Summary Report - 12 Months Endi'!EOG2</f>
        <v>0</v>
      </c>
      <c r="EOI3">
        <f>'[12]Summary Report - 12 Months Endi'!EOH2</f>
        <v>0</v>
      </c>
      <c r="EOJ3">
        <f>'[12]Summary Report - 12 Months Endi'!EOI2</f>
        <v>0</v>
      </c>
      <c r="EOK3">
        <f>'[12]Summary Report - 12 Months Endi'!EOJ2</f>
        <v>0</v>
      </c>
      <c r="EOL3">
        <f>'[12]Summary Report - 12 Months Endi'!EOK2</f>
        <v>0</v>
      </c>
      <c r="EOM3">
        <f>'[12]Summary Report - 12 Months Endi'!EOL2</f>
        <v>0</v>
      </c>
      <c r="EON3">
        <f>'[12]Summary Report - 12 Months Endi'!EOM2</f>
        <v>0</v>
      </c>
      <c r="EOO3">
        <f>'[12]Summary Report - 12 Months Endi'!EON2</f>
        <v>0</v>
      </c>
      <c r="EOP3">
        <f>'[12]Summary Report - 12 Months Endi'!EOO2</f>
        <v>0</v>
      </c>
      <c r="EOQ3">
        <f>'[12]Summary Report - 12 Months Endi'!EOP2</f>
        <v>0</v>
      </c>
      <c r="EOR3">
        <f>'[12]Summary Report - 12 Months Endi'!EOQ2</f>
        <v>0</v>
      </c>
      <c r="EOS3">
        <f>'[12]Summary Report - 12 Months Endi'!EOR2</f>
        <v>0</v>
      </c>
      <c r="EOT3">
        <f>'[12]Summary Report - 12 Months Endi'!EOS2</f>
        <v>0</v>
      </c>
      <c r="EOU3">
        <f>'[12]Summary Report - 12 Months Endi'!EOT2</f>
        <v>0</v>
      </c>
      <c r="EOV3">
        <f>'[12]Summary Report - 12 Months Endi'!EOU2</f>
        <v>0</v>
      </c>
      <c r="EOW3">
        <f>'[12]Summary Report - 12 Months Endi'!EOV2</f>
        <v>0</v>
      </c>
      <c r="EOX3">
        <f>'[12]Summary Report - 12 Months Endi'!EOW2</f>
        <v>0</v>
      </c>
      <c r="EOY3">
        <f>'[12]Summary Report - 12 Months Endi'!EOX2</f>
        <v>0</v>
      </c>
      <c r="EOZ3">
        <f>'[12]Summary Report - 12 Months Endi'!EOY2</f>
        <v>0</v>
      </c>
      <c r="EPA3">
        <f>'[12]Summary Report - 12 Months Endi'!EOZ2</f>
        <v>0</v>
      </c>
      <c r="EPB3">
        <f>'[12]Summary Report - 12 Months Endi'!EPA2</f>
        <v>0</v>
      </c>
      <c r="EPC3">
        <f>'[12]Summary Report - 12 Months Endi'!EPB2</f>
        <v>0</v>
      </c>
      <c r="EPD3">
        <f>'[12]Summary Report - 12 Months Endi'!EPC2</f>
        <v>0</v>
      </c>
      <c r="EPE3">
        <f>'[12]Summary Report - 12 Months Endi'!EPD2</f>
        <v>0</v>
      </c>
      <c r="EPF3">
        <f>'[12]Summary Report - 12 Months Endi'!EPE2</f>
        <v>0</v>
      </c>
      <c r="EPG3">
        <f>'[12]Summary Report - 12 Months Endi'!EPF2</f>
        <v>0</v>
      </c>
      <c r="EPH3">
        <f>'[12]Summary Report - 12 Months Endi'!EPG2</f>
        <v>0</v>
      </c>
      <c r="EPI3">
        <f>'[12]Summary Report - 12 Months Endi'!EPH2</f>
        <v>0</v>
      </c>
      <c r="EPJ3">
        <f>'[12]Summary Report - 12 Months Endi'!EPI2</f>
        <v>0</v>
      </c>
      <c r="EPK3">
        <f>'[12]Summary Report - 12 Months Endi'!EPJ2</f>
        <v>0</v>
      </c>
      <c r="EPL3">
        <f>'[12]Summary Report - 12 Months Endi'!EPK2</f>
        <v>0</v>
      </c>
      <c r="EPM3">
        <f>'[12]Summary Report - 12 Months Endi'!EPL2</f>
        <v>0</v>
      </c>
      <c r="EPN3">
        <f>'[12]Summary Report - 12 Months Endi'!EPM2</f>
        <v>0</v>
      </c>
      <c r="EPO3">
        <f>'[12]Summary Report - 12 Months Endi'!EPN2</f>
        <v>0</v>
      </c>
      <c r="EPP3">
        <f>'[12]Summary Report - 12 Months Endi'!EPO2</f>
        <v>0</v>
      </c>
      <c r="EPQ3">
        <f>'[12]Summary Report - 12 Months Endi'!EPP2</f>
        <v>0</v>
      </c>
      <c r="EPR3">
        <f>'[12]Summary Report - 12 Months Endi'!EPQ2</f>
        <v>0</v>
      </c>
      <c r="EPS3">
        <f>'[12]Summary Report - 12 Months Endi'!EPR2</f>
        <v>0</v>
      </c>
      <c r="EPT3">
        <f>'[12]Summary Report - 12 Months Endi'!EPS2</f>
        <v>0</v>
      </c>
      <c r="EPU3">
        <f>'[12]Summary Report - 12 Months Endi'!EPT2</f>
        <v>0</v>
      </c>
      <c r="EPV3">
        <f>'[12]Summary Report - 12 Months Endi'!EPU2</f>
        <v>0</v>
      </c>
      <c r="EPW3">
        <f>'[12]Summary Report - 12 Months Endi'!EPV2</f>
        <v>0</v>
      </c>
      <c r="EPX3">
        <f>'[12]Summary Report - 12 Months Endi'!EPW2</f>
        <v>0</v>
      </c>
      <c r="EPY3">
        <f>'[12]Summary Report - 12 Months Endi'!EPX2</f>
        <v>0</v>
      </c>
      <c r="EPZ3">
        <f>'[12]Summary Report - 12 Months Endi'!EPY2</f>
        <v>0</v>
      </c>
      <c r="EQA3">
        <f>'[12]Summary Report - 12 Months Endi'!EPZ2</f>
        <v>0</v>
      </c>
      <c r="EQB3">
        <f>'[12]Summary Report - 12 Months Endi'!EQA2</f>
        <v>0</v>
      </c>
      <c r="EQC3">
        <f>'[12]Summary Report - 12 Months Endi'!EQB2</f>
        <v>0</v>
      </c>
      <c r="EQD3">
        <f>'[12]Summary Report - 12 Months Endi'!EQC2</f>
        <v>0</v>
      </c>
      <c r="EQE3">
        <f>'[12]Summary Report - 12 Months Endi'!EQD2</f>
        <v>0</v>
      </c>
      <c r="EQF3">
        <f>'[12]Summary Report - 12 Months Endi'!EQE2</f>
        <v>0</v>
      </c>
      <c r="EQG3">
        <f>'[12]Summary Report - 12 Months Endi'!EQF2</f>
        <v>0</v>
      </c>
      <c r="EQH3">
        <f>'[12]Summary Report - 12 Months Endi'!EQG2</f>
        <v>0</v>
      </c>
      <c r="EQI3">
        <f>'[12]Summary Report - 12 Months Endi'!EQH2</f>
        <v>0</v>
      </c>
      <c r="EQJ3">
        <f>'[12]Summary Report - 12 Months Endi'!EQI2</f>
        <v>0</v>
      </c>
      <c r="EQK3">
        <f>'[12]Summary Report - 12 Months Endi'!EQJ2</f>
        <v>0</v>
      </c>
      <c r="EQL3">
        <f>'[12]Summary Report - 12 Months Endi'!EQK2</f>
        <v>0</v>
      </c>
      <c r="EQM3">
        <f>'[12]Summary Report - 12 Months Endi'!EQL2</f>
        <v>0</v>
      </c>
      <c r="EQN3">
        <f>'[12]Summary Report - 12 Months Endi'!EQM2</f>
        <v>0</v>
      </c>
      <c r="EQO3">
        <f>'[12]Summary Report - 12 Months Endi'!EQN2</f>
        <v>0</v>
      </c>
      <c r="EQP3">
        <f>'[12]Summary Report - 12 Months Endi'!EQO2</f>
        <v>0</v>
      </c>
      <c r="EQQ3">
        <f>'[12]Summary Report - 12 Months Endi'!EQP2</f>
        <v>0</v>
      </c>
      <c r="EQR3">
        <f>'[12]Summary Report - 12 Months Endi'!EQQ2</f>
        <v>0</v>
      </c>
      <c r="EQS3">
        <f>'[12]Summary Report - 12 Months Endi'!EQR2</f>
        <v>0</v>
      </c>
      <c r="EQT3">
        <f>'[12]Summary Report - 12 Months Endi'!EQS2</f>
        <v>0</v>
      </c>
      <c r="EQU3">
        <f>'[12]Summary Report - 12 Months Endi'!EQT2</f>
        <v>0</v>
      </c>
      <c r="EQV3">
        <f>'[12]Summary Report - 12 Months Endi'!EQU2</f>
        <v>0</v>
      </c>
      <c r="EQW3">
        <f>'[12]Summary Report - 12 Months Endi'!EQV2</f>
        <v>0</v>
      </c>
      <c r="EQX3">
        <f>'[12]Summary Report - 12 Months Endi'!EQW2</f>
        <v>0</v>
      </c>
      <c r="EQY3">
        <f>'[12]Summary Report - 12 Months Endi'!EQX2</f>
        <v>0</v>
      </c>
      <c r="EQZ3">
        <f>'[12]Summary Report - 12 Months Endi'!EQY2</f>
        <v>0</v>
      </c>
      <c r="ERA3">
        <f>'[12]Summary Report - 12 Months Endi'!EQZ2</f>
        <v>0</v>
      </c>
      <c r="ERB3">
        <f>'[12]Summary Report - 12 Months Endi'!ERA2</f>
        <v>0</v>
      </c>
      <c r="ERC3">
        <f>'[12]Summary Report - 12 Months Endi'!ERB2</f>
        <v>0</v>
      </c>
      <c r="ERD3">
        <f>'[12]Summary Report - 12 Months Endi'!ERC2</f>
        <v>0</v>
      </c>
      <c r="ERE3">
        <f>'[12]Summary Report - 12 Months Endi'!ERD2</f>
        <v>0</v>
      </c>
      <c r="ERF3">
        <f>'[12]Summary Report - 12 Months Endi'!ERE2</f>
        <v>0</v>
      </c>
      <c r="ERG3">
        <f>'[12]Summary Report - 12 Months Endi'!ERF2</f>
        <v>0</v>
      </c>
      <c r="ERH3">
        <f>'[12]Summary Report - 12 Months Endi'!ERG2</f>
        <v>0</v>
      </c>
      <c r="ERI3">
        <f>'[12]Summary Report - 12 Months Endi'!ERH2</f>
        <v>0</v>
      </c>
      <c r="ERJ3">
        <f>'[12]Summary Report - 12 Months Endi'!ERI2</f>
        <v>0</v>
      </c>
      <c r="ERK3">
        <f>'[12]Summary Report - 12 Months Endi'!ERJ2</f>
        <v>0</v>
      </c>
      <c r="ERL3">
        <f>'[12]Summary Report - 12 Months Endi'!ERK2</f>
        <v>0</v>
      </c>
      <c r="ERM3">
        <f>'[12]Summary Report - 12 Months Endi'!ERL2</f>
        <v>0</v>
      </c>
      <c r="ERN3">
        <f>'[12]Summary Report - 12 Months Endi'!ERM2</f>
        <v>0</v>
      </c>
      <c r="ERO3">
        <f>'[12]Summary Report - 12 Months Endi'!ERN2</f>
        <v>0</v>
      </c>
      <c r="ERP3">
        <f>'[12]Summary Report - 12 Months Endi'!ERO2</f>
        <v>0</v>
      </c>
      <c r="ERQ3">
        <f>'[12]Summary Report - 12 Months Endi'!ERP2</f>
        <v>0</v>
      </c>
      <c r="ERR3">
        <f>'[12]Summary Report - 12 Months Endi'!ERQ2</f>
        <v>0</v>
      </c>
      <c r="ERS3">
        <f>'[12]Summary Report - 12 Months Endi'!ERR2</f>
        <v>0</v>
      </c>
      <c r="ERT3">
        <f>'[12]Summary Report - 12 Months Endi'!ERS2</f>
        <v>0</v>
      </c>
      <c r="ERU3">
        <f>'[12]Summary Report - 12 Months Endi'!ERT2</f>
        <v>0</v>
      </c>
      <c r="ERV3">
        <f>'[12]Summary Report - 12 Months Endi'!ERU2</f>
        <v>0</v>
      </c>
      <c r="ERW3">
        <f>'[12]Summary Report - 12 Months Endi'!ERV2</f>
        <v>0</v>
      </c>
      <c r="ERX3">
        <f>'[12]Summary Report - 12 Months Endi'!ERW2</f>
        <v>0</v>
      </c>
      <c r="ERY3">
        <f>'[12]Summary Report - 12 Months Endi'!ERX2</f>
        <v>0</v>
      </c>
      <c r="ERZ3">
        <f>'[12]Summary Report - 12 Months Endi'!ERY2</f>
        <v>0</v>
      </c>
      <c r="ESA3">
        <f>'[12]Summary Report - 12 Months Endi'!ERZ2</f>
        <v>0</v>
      </c>
      <c r="ESB3">
        <f>'[12]Summary Report - 12 Months Endi'!ESA2</f>
        <v>0</v>
      </c>
      <c r="ESC3">
        <f>'[12]Summary Report - 12 Months Endi'!ESB2</f>
        <v>0</v>
      </c>
      <c r="ESD3">
        <f>'[12]Summary Report - 12 Months Endi'!ESC2</f>
        <v>0</v>
      </c>
      <c r="ESE3">
        <f>'[12]Summary Report - 12 Months Endi'!ESD2</f>
        <v>0</v>
      </c>
      <c r="ESF3">
        <f>'[12]Summary Report - 12 Months Endi'!ESE2</f>
        <v>0</v>
      </c>
      <c r="ESG3">
        <f>'[12]Summary Report - 12 Months Endi'!ESF2</f>
        <v>0</v>
      </c>
      <c r="ESH3">
        <f>'[12]Summary Report - 12 Months Endi'!ESG2</f>
        <v>0</v>
      </c>
      <c r="ESI3">
        <f>'[12]Summary Report - 12 Months Endi'!ESH2</f>
        <v>0</v>
      </c>
      <c r="ESJ3">
        <f>'[12]Summary Report - 12 Months Endi'!ESI2</f>
        <v>0</v>
      </c>
      <c r="ESK3">
        <f>'[12]Summary Report - 12 Months Endi'!ESJ2</f>
        <v>0</v>
      </c>
      <c r="ESL3">
        <f>'[12]Summary Report - 12 Months Endi'!ESK2</f>
        <v>0</v>
      </c>
      <c r="ESM3">
        <f>'[12]Summary Report - 12 Months Endi'!ESL2</f>
        <v>0</v>
      </c>
      <c r="ESN3">
        <f>'[12]Summary Report - 12 Months Endi'!ESM2</f>
        <v>0</v>
      </c>
      <c r="ESO3">
        <f>'[12]Summary Report - 12 Months Endi'!ESN2</f>
        <v>0</v>
      </c>
      <c r="ESP3">
        <f>'[12]Summary Report - 12 Months Endi'!ESO2</f>
        <v>0</v>
      </c>
      <c r="ESQ3">
        <f>'[12]Summary Report - 12 Months Endi'!ESP2</f>
        <v>0</v>
      </c>
      <c r="ESR3">
        <f>'[12]Summary Report - 12 Months Endi'!ESQ2</f>
        <v>0</v>
      </c>
      <c r="ESS3">
        <f>'[12]Summary Report - 12 Months Endi'!ESR2</f>
        <v>0</v>
      </c>
      <c r="EST3">
        <f>'[12]Summary Report - 12 Months Endi'!ESS2</f>
        <v>0</v>
      </c>
      <c r="ESU3">
        <f>'[12]Summary Report - 12 Months Endi'!EST2</f>
        <v>0</v>
      </c>
      <c r="ESV3">
        <f>'[12]Summary Report - 12 Months Endi'!ESU2</f>
        <v>0</v>
      </c>
      <c r="ESW3">
        <f>'[12]Summary Report - 12 Months Endi'!ESV2</f>
        <v>0</v>
      </c>
      <c r="ESX3">
        <f>'[12]Summary Report - 12 Months Endi'!ESW2</f>
        <v>0</v>
      </c>
      <c r="ESY3">
        <f>'[12]Summary Report - 12 Months Endi'!ESX2</f>
        <v>0</v>
      </c>
      <c r="ESZ3">
        <f>'[12]Summary Report - 12 Months Endi'!ESY2</f>
        <v>0</v>
      </c>
      <c r="ETA3">
        <f>'[12]Summary Report - 12 Months Endi'!ESZ2</f>
        <v>0</v>
      </c>
      <c r="ETB3">
        <f>'[12]Summary Report - 12 Months Endi'!ETA2</f>
        <v>0</v>
      </c>
      <c r="ETC3">
        <f>'[12]Summary Report - 12 Months Endi'!ETB2</f>
        <v>0</v>
      </c>
      <c r="ETD3">
        <f>'[12]Summary Report - 12 Months Endi'!ETC2</f>
        <v>0</v>
      </c>
      <c r="ETE3">
        <f>'[12]Summary Report - 12 Months Endi'!ETD2</f>
        <v>0</v>
      </c>
      <c r="ETF3">
        <f>'[12]Summary Report - 12 Months Endi'!ETE2</f>
        <v>0</v>
      </c>
      <c r="ETG3">
        <f>'[12]Summary Report - 12 Months Endi'!ETF2</f>
        <v>0</v>
      </c>
      <c r="ETH3">
        <f>'[12]Summary Report - 12 Months Endi'!ETG2</f>
        <v>0</v>
      </c>
      <c r="ETI3">
        <f>'[12]Summary Report - 12 Months Endi'!ETH2</f>
        <v>0</v>
      </c>
      <c r="ETJ3">
        <f>'[12]Summary Report - 12 Months Endi'!ETI2</f>
        <v>0</v>
      </c>
      <c r="ETK3">
        <f>'[12]Summary Report - 12 Months Endi'!ETJ2</f>
        <v>0</v>
      </c>
      <c r="ETL3">
        <f>'[12]Summary Report - 12 Months Endi'!ETK2</f>
        <v>0</v>
      </c>
      <c r="ETM3">
        <f>'[12]Summary Report - 12 Months Endi'!ETL2</f>
        <v>0</v>
      </c>
      <c r="ETN3">
        <f>'[12]Summary Report - 12 Months Endi'!ETM2</f>
        <v>0</v>
      </c>
      <c r="ETO3">
        <f>'[12]Summary Report - 12 Months Endi'!ETN2</f>
        <v>0</v>
      </c>
      <c r="ETP3">
        <f>'[12]Summary Report - 12 Months Endi'!ETO2</f>
        <v>0</v>
      </c>
      <c r="ETQ3">
        <f>'[12]Summary Report - 12 Months Endi'!ETP2</f>
        <v>0</v>
      </c>
      <c r="ETR3">
        <f>'[12]Summary Report - 12 Months Endi'!ETQ2</f>
        <v>0</v>
      </c>
      <c r="ETS3">
        <f>'[12]Summary Report - 12 Months Endi'!ETR2</f>
        <v>0</v>
      </c>
      <c r="ETT3">
        <f>'[12]Summary Report - 12 Months Endi'!ETS2</f>
        <v>0</v>
      </c>
      <c r="ETU3">
        <f>'[12]Summary Report - 12 Months Endi'!ETT2</f>
        <v>0</v>
      </c>
      <c r="ETV3">
        <f>'[12]Summary Report - 12 Months Endi'!ETU2</f>
        <v>0</v>
      </c>
      <c r="ETW3">
        <f>'[12]Summary Report - 12 Months Endi'!ETV2</f>
        <v>0</v>
      </c>
      <c r="ETX3">
        <f>'[12]Summary Report - 12 Months Endi'!ETW2</f>
        <v>0</v>
      </c>
      <c r="ETY3">
        <f>'[12]Summary Report - 12 Months Endi'!ETX2</f>
        <v>0</v>
      </c>
      <c r="ETZ3">
        <f>'[12]Summary Report - 12 Months Endi'!ETY2</f>
        <v>0</v>
      </c>
      <c r="EUA3">
        <f>'[12]Summary Report - 12 Months Endi'!ETZ2</f>
        <v>0</v>
      </c>
      <c r="EUB3">
        <f>'[12]Summary Report - 12 Months Endi'!EUA2</f>
        <v>0</v>
      </c>
      <c r="EUC3">
        <f>'[12]Summary Report - 12 Months Endi'!EUB2</f>
        <v>0</v>
      </c>
      <c r="EUD3">
        <f>'[12]Summary Report - 12 Months Endi'!EUC2</f>
        <v>0</v>
      </c>
      <c r="EUE3">
        <f>'[12]Summary Report - 12 Months Endi'!EUD2</f>
        <v>0</v>
      </c>
      <c r="EUF3">
        <f>'[12]Summary Report - 12 Months Endi'!EUE2</f>
        <v>0</v>
      </c>
      <c r="EUG3">
        <f>'[12]Summary Report - 12 Months Endi'!EUF2</f>
        <v>0</v>
      </c>
      <c r="EUH3">
        <f>'[12]Summary Report - 12 Months Endi'!EUG2</f>
        <v>0</v>
      </c>
      <c r="EUI3">
        <f>'[12]Summary Report - 12 Months Endi'!EUH2</f>
        <v>0</v>
      </c>
      <c r="EUJ3">
        <f>'[12]Summary Report - 12 Months Endi'!EUI2</f>
        <v>0</v>
      </c>
      <c r="EUK3">
        <f>'[12]Summary Report - 12 Months Endi'!EUJ2</f>
        <v>0</v>
      </c>
      <c r="EUL3">
        <f>'[12]Summary Report - 12 Months Endi'!EUK2</f>
        <v>0</v>
      </c>
      <c r="EUM3">
        <f>'[12]Summary Report - 12 Months Endi'!EUL2</f>
        <v>0</v>
      </c>
      <c r="EUN3">
        <f>'[12]Summary Report - 12 Months Endi'!EUM2</f>
        <v>0</v>
      </c>
      <c r="EUO3">
        <f>'[12]Summary Report - 12 Months Endi'!EUN2</f>
        <v>0</v>
      </c>
      <c r="EUP3">
        <f>'[12]Summary Report - 12 Months Endi'!EUO2</f>
        <v>0</v>
      </c>
      <c r="EUQ3">
        <f>'[12]Summary Report - 12 Months Endi'!EUP2</f>
        <v>0</v>
      </c>
      <c r="EUR3">
        <f>'[12]Summary Report - 12 Months Endi'!EUQ2</f>
        <v>0</v>
      </c>
      <c r="EUS3">
        <f>'[12]Summary Report - 12 Months Endi'!EUR2</f>
        <v>0</v>
      </c>
      <c r="EUT3">
        <f>'[12]Summary Report - 12 Months Endi'!EUS2</f>
        <v>0</v>
      </c>
      <c r="EUU3">
        <f>'[12]Summary Report - 12 Months Endi'!EUT2</f>
        <v>0</v>
      </c>
      <c r="EUV3">
        <f>'[12]Summary Report - 12 Months Endi'!EUU2</f>
        <v>0</v>
      </c>
      <c r="EUW3">
        <f>'[12]Summary Report - 12 Months Endi'!EUV2</f>
        <v>0</v>
      </c>
      <c r="EUX3">
        <f>'[12]Summary Report - 12 Months Endi'!EUW2</f>
        <v>0</v>
      </c>
      <c r="EUY3">
        <f>'[12]Summary Report - 12 Months Endi'!EUX2</f>
        <v>0</v>
      </c>
      <c r="EUZ3">
        <f>'[12]Summary Report - 12 Months Endi'!EUY2</f>
        <v>0</v>
      </c>
      <c r="EVA3">
        <f>'[12]Summary Report - 12 Months Endi'!EUZ2</f>
        <v>0</v>
      </c>
      <c r="EVB3">
        <f>'[12]Summary Report - 12 Months Endi'!EVA2</f>
        <v>0</v>
      </c>
      <c r="EVC3">
        <f>'[12]Summary Report - 12 Months Endi'!EVB2</f>
        <v>0</v>
      </c>
      <c r="EVD3">
        <f>'[12]Summary Report - 12 Months Endi'!EVC2</f>
        <v>0</v>
      </c>
      <c r="EVE3">
        <f>'[12]Summary Report - 12 Months Endi'!EVD2</f>
        <v>0</v>
      </c>
      <c r="EVF3">
        <f>'[12]Summary Report - 12 Months Endi'!EVE2</f>
        <v>0</v>
      </c>
      <c r="EVG3">
        <f>'[12]Summary Report - 12 Months Endi'!EVF2</f>
        <v>0</v>
      </c>
      <c r="EVH3">
        <f>'[12]Summary Report - 12 Months Endi'!EVG2</f>
        <v>0</v>
      </c>
      <c r="EVI3">
        <f>'[12]Summary Report - 12 Months Endi'!EVH2</f>
        <v>0</v>
      </c>
      <c r="EVJ3">
        <f>'[12]Summary Report - 12 Months Endi'!EVI2</f>
        <v>0</v>
      </c>
      <c r="EVK3">
        <f>'[12]Summary Report - 12 Months Endi'!EVJ2</f>
        <v>0</v>
      </c>
      <c r="EVL3">
        <f>'[12]Summary Report - 12 Months Endi'!EVK2</f>
        <v>0</v>
      </c>
      <c r="EVM3">
        <f>'[12]Summary Report - 12 Months Endi'!EVL2</f>
        <v>0</v>
      </c>
      <c r="EVN3">
        <f>'[12]Summary Report - 12 Months Endi'!EVM2</f>
        <v>0</v>
      </c>
      <c r="EVO3">
        <f>'[12]Summary Report - 12 Months Endi'!EVN2</f>
        <v>0</v>
      </c>
      <c r="EVP3">
        <f>'[12]Summary Report - 12 Months Endi'!EVO2</f>
        <v>0</v>
      </c>
      <c r="EVQ3">
        <f>'[12]Summary Report - 12 Months Endi'!EVP2</f>
        <v>0</v>
      </c>
      <c r="EVR3">
        <f>'[12]Summary Report - 12 Months Endi'!EVQ2</f>
        <v>0</v>
      </c>
      <c r="EVS3">
        <f>'[12]Summary Report - 12 Months Endi'!EVR2</f>
        <v>0</v>
      </c>
      <c r="EVT3">
        <f>'[12]Summary Report - 12 Months Endi'!EVS2</f>
        <v>0</v>
      </c>
      <c r="EVU3">
        <f>'[12]Summary Report - 12 Months Endi'!EVT2</f>
        <v>0</v>
      </c>
      <c r="EVV3">
        <f>'[12]Summary Report - 12 Months Endi'!EVU2</f>
        <v>0</v>
      </c>
      <c r="EVW3">
        <f>'[12]Summary Report - 12 Months Endi'!EVV2</f>
        <v>0</v>
      </c>
      <c r="EVX3">
        <f>'[12]Summary Report - 12 Months Endi'!EVW2</f>
        <v>0</v>
      </c>
      <c r="EVY3">
        <f>'[12]Summary Report - 12 Months Endi'!EVX2</f>
        <v>0</v>
      </c>
      <c r="EVZ3">
        <f>'[12]Summary Report - 12 Months Endi'!EVY2</f>
        <v>0</v>
      </c>
      <c r="EWA3">
        <f>'[12]Summary Report - 12 Months Endi'!EVZ2</f>
        <v>0</v>
      </c>
      <c r="EWB3">
        <f>'[12]Summary Report - 12 Months Endi'!EWA2</f>
        <v>0</v>
      </c>
      <c r="EWC3">
        <f>'[12]Summary Report - 12 Months Endi'!EWB2</f>
        <v>0</v>
      </c>
      <c r="EWD3">
        <f>'[12]Summary Report - 12 Months Endi'!EWC2</f>
        <v>0</v>
      </c>
      <c r="EWE3">
        <f>'[12]Summary Report - 12 Months Endi'!EWD2</f>
        <v>0</v>
      </c>
      <c r="EWF3">
        <f>'[12]Summary Report - 12 Months Endi'!EWE2</f>
        <v>0</v>
      </c>
      <c r="EWG3">
        <f>'[12]Summary Report - 12 Months Endi'!EWF2</f>
        <v>0</v>
      </c>
      <c r="EWH3">
        <f>'[12]Summary Report - 12 Months Endi'!EWG2</f>
        <v>0</v>
      </c>
      <c r="EWI3">
        <f>'[12]Summary Report - 12 Months Endi'!EWH2</f>
        <v>0</v>
      </c>
      <c r="EWJ3">
        <f>'[12]Summary Report - 12 Months Endi'!EWI2</f>
        <v>0</v>
      </c>
      <c r="EWK3">
        <f>'[12]Summary Report - 12 Months Endi'!EWJ2</f>
        <v>0</v>
      </c>
      <c r="EWL3">
        <f>'[12]Summary Report - 12 Months Endi'!EWK2</f>
        <v>0</v>
      </c>
      <c r="EWM3">
        <f>'[12]Summary Report - 12 Months Endi'!EWL2</f>
        <v>0</v>
      </c>
      <c r="EWN3">
        <f>'[12]Summary Report - 12 Months Endi'!EWM2</f>
        <v>0</v>
      </c>
      <c r="EWO3">
        <f>'[12]Summary Report - 12 Months Endi'!EWN2</f>
        <v>0</v>
      </c>
      <c r="EWP3">
        <f>'[12]Summary Report - 12 Months Endi'!EWO2</f>
        <v>0</v>
      </c>
      <c r="EWQ3">
        <f>'[12]Summary Report - 12 Months Endi'!EWP2</f>
        <v>0</v>
      </c>
      <c r="EWR3">
        <f>'[12]Summary Report - 12 Months Endi'!EWQ2</f>
        <v>0</v>
      </c>
      <c r="EWS3">
        <f>'[12]Summary Report - 12 Months Endi'!EWR2</f>
        <v>0</v>
      </c>
      <c r="EWT3">
        <f>'[12]Summary Report - 12 Months Endi'!EWS2</f>
        <v>0</v>
      </c>
      <c r="EWU3">
        <f>'[12]Summary Report - 12 Months Endi'!EWT2</f>
        <v>0</v>
      </c>
      <c r="EWV3">
        <f>'[12]Summary Report - 12 Months Endi'!EWU2</f>
        <v>0</v>
      </c>
      <c r="EWW3">
        <f>'[12]Summary Report - 12 Months Endi'!EWV2</f>
        <v>0</v>
      </c>
      <c r="EWX3">
        <f>'[12]Summary Report - 12 Months Endi'!EWW2</f>
        <v>0</v>
      </c>
      <c r="EWY3">
        <f>'[12]Summary Report - 12 Months Endi'!EWX2</f>
        <v>0</v>
      </c>
      <c r="EWZ3">
        <f>'[12]Summary Report - 12 Months Endi'!EWY2</f>
        <v>0</v>
      </c>
      <c r="EXA3">
        <f>'[12]Summary Report - 12 Months Endi'!EWZ2</f>
        <v>0</v>
      </c>
      <c r="EXB3">
        <f>'[12]Summary Report - 12 Months Endi'!EXA2</f>
        <v>0</v>
      </c>
      <c r="EXC3">
        <f>'[12]Summary Report - 12 Months Endi'!EXB2</f>
        <v>0</v>
      </c>
      <c r="EXD3">
        <f>'[12]Summary Report - 12 Months Endi'!EXC2</f>
        <v>0</v>
      </c>
      <c r="EXE3">
        <f>'[12]Summary Report - 12 Months Endi'!EXD2</f>
        <v>0</v>
      </c>
      <c r="EXF3">
        <f>'[12]Summary Report - 12 Months Endi'!EXE2</f>
        <v>0</v>
      </c>
      <c r="EXG3">
        <f>'[12]Summary Report - 12 Months Endi'!EXF2</f>
        <v>0</v>
      </c>
      <c r="EXH3">
        <f>'[12]Summary Report - 12 Months Endi'!EXG2</f>
        <v>0</v>
      </c>
      <c r="EXI3">
        <f>'[12]Summary Report - 12 Months Endi'!EXH2</f>
        <v>0</v>
      </c>
      <c r="EXJ3">
        <f>'[12]Summary Report - 12 Months Endi'!EXI2</f>
        <v>0</v>
      </c>
      <c r="EXK3">
        <f>'[12]Summary Report - 12 Months Endi'!EXJ2</f>
        <v>0</v>
      </c>
      <c r="EXL3">
        <f>'[12]Summary Report - 12 Months Endi'!EXK2</f>
        <v>0</v>
      </c>
      <c r="EXM3">
        <f>'[12]Summary Report - 12 Months Endi'!EXL2</f>
        <v>0</v>
      </c>
      <c r="EXN3">
        <f>'[12]Summary Report - 12 Months Endi'!EXM2</f>
        <v>0</v>
      </c>
      <c r="EXO3">
        <f>'[12]Summary Report - 12 Months Endi'!EXN2</f>
        <v>0</v>
      </c>
      <c r="EXP3">
        <f>'[12]Summary Report - 12 Months Endi'!EXO2</f>
        <v>0</v>
      </c>
      <c r="EXQ3">
        <f>'[12]Summary Report - 12 Months Endi'!EXP2</f>
        <v>0</v>
      </c>
      <c r="EXR3">
        <f>'[12]Summary Report - 12 Months Endi'!EXQ2</f>
        <v>0</v>
      </c>
      <c r="EXS3">
        <f>'[12]Summary Report - 12 Months Endi'!EXR2</f>
        <v>0</v>
      </c>
      <c r="EXT3">
        <f>'[12]Summary Report - 12 Months Endi'!EXS2</f>
        <v>0</v>
      </c>
      <c r="EXU3">
        <f>'[12]Summary Report - 12 Months Endi'!EXT2</f>
        <v>0</v>
      </c>
      <c r="EXV3">
        <f>'[12]Summary Report - 12 Months Endi'!EXU2</f>
        <v>0</v>
      </c>
      <c r="EXW3">
        <f>'[12]Summary Report - 12 Months Endi'!EXV2</f>
        <v>0</v>
      </c>
      <c r="EXX3">
        <f>'[12]Summary Report - 12 Months Endi'!EXW2</f>
        <v>0</v>
      </c>
      <c r="EXY3">
        <f>'[12]Summary Report - 12 Months Endi'!EXX2</f>
        <v>0</v>
      </c>
      <c r="EXZ3">
        <f>'[12]Summary Report - 12 Months Endi'!EXY2</f>
        <v>0</v>
      </c>
      <c r="EYA3">
        <f>'[12]Summary Report - 12 Months Endi'!EXZ2</f>
        <v>0</v>
      </c>
      <c r="EYB3">
        <f>'[12]Summary Report - 12 Months Endi'!EYA2</f>
        <v>0</v>
      </c>
      <c r="EYC3">
        <f>'[12]Summary Report - 12 Months Endi'!EYB2</f>
        <v>0</v>
      </c>
      <c r="EYD3">
        <f>'[12]Summary Report - 12 Months Endi'!EYC2</f>
        <v>0</v>
      </c>
      <c r="EYE3">
        <f>'[12]Summary Report - 12 Months Endi'!EYD2</f>
        <v>0</v>
      </c>
      <c r="EYF3">
        <f>'[12]Summary Report - 12 Months Endi'!EYE2</f>
        <v>0</v>
      </c>
      <c r="EYG3">
        <f>'[12]Summary Report - 12 Months Endi'!EYF2</f>
        <v>0</v>
      </c>
      <c r="EYH3">
        <f>'[12]Summary Report - 12 Months Endi'!EYG2</f>
        <v>0</v>
      </c>
      <c r="EYI3">
        <f>'[12]Summary Report - 12 Months Endi'!EYH2</f>
        <v>0</v>
      </c>
      <c r="EYJ3">
        <f>'[12]Summary Report - 12 Months Endi'!EYI2</f>
        <v>0</v>
      </c>
      <c r="EYK3">
        <f>'[12]Summary Report - 12 Months Endi'!EYJ2</f>
        <v>0</v>
      </c>
      <c r="EYL3">
        <f>'[12]Summary Report - 12 Months Endi'!EYK2</f>
        <v>0</v>
      </c>
      <c r="EYM3">
        <f>'[12]Summary Report - 12 Months Endi'!EYL2</f>
        <v>0</v>
      </c>
      <c r="EYN3">
        <f>'[12]Summary Report - 12 Months Endi'!EYM2</f>
        <v>0</v>
      </c>
      <c r="EYO3">
        <f>'[12]Summary Report - 12 Months Endi'!EYN2</f>
        <v>0</v>
      </c>
      <c r="EYP3">
        <f>'[12]Summary Report - 12 Months Endi'!EYO2</f>
        <v>0</v>
      </c>
      <c r="EYQ3">
        <f>'[12]Summary Report - 12 Months Endi'!EYP2</f>
        <v>0</v>
      </c>
      <c r="EYR3">
        <f>'[12]Summary Report - 12 Months Endi'!EYQ2</f>
        <v>0</v>
      </c>
      <c r="EYS3">
        <f>'[12]Summary Report - 12 Months Endi'!EYR2</f>
        <v>0</v>
      </c>
      <c r="EYT3">
        <f>'[12]Summary Report - 12 Months Endi'!EYS2</f>
        <v>0</v>
      </c>
      <c r="EYU3">
        <f>'[12]Summary Report - 12 Months Endi'!EYT2</f>
        <v>0</v>
      </c>
      <c r="EYV3">
        <f>'[12]Summary Report - 12 Months Endi'!EYU2</f>
        <v>0</v>
      </c>
      <c r="EYW3">
        <f>'[12]Summary Report - 12 Months Endi'!EYV2</f>
        <v>0</v>
      </c>
      <c r="EYX3">
        <f>'[12]Summary Report - 12 Months Endi'!EYW2</f>
        <v>0</v>
      </c>
      <c r="EYY3">
        <f>'[12]Summary Report - 12 Months Endi'!EYX2</f>
        <v>0</v>
      </c>
      <c r="EYZ3">
        <f>'[12]Summary Report - 12 Months Endi'!EYY2</f>
        <v>0</v>
      </c>
      <c r="EZA3">
        <f>'[12]Summary Report - 12 Months Endi'!EYZ2</f>
        <v>0</v>
      </c>
      <c r="EZB3">
        <f>'[12]Summary Report - 12 Months Endi'!EZA2</f>
        <v>0</v>
      </c>
      <c r="EZC3">
        <f>'[12]Summary Report - 12 Months Endi'!EZB2</f>
        <v>0</v>
      </c>
      <c r="EZD3">
        <f>'[12]Summary Report - 12 Months Endi'!EZC2</f>
        <v>0</v>
      </c>
      <c r="EZE3">
        <f>'[12]Summary Report - 12 Months Endi'!EZD2</f>
        <v>0</v>
      </c>
      <c r="EZF3">
        <f>'[12]Summary Report - 12 Months Endi'!EZE2</f>
        <v>0</v>
      </c>
      <c r="EZG3">
        <f>'[12]Summary Report - 12 Months Endi'!EZF2</f>
        <v>0</v>
      </c>
      <c r="EZH3">
        <f>'[12]Summary Report - 12 Months Endi'!EZG2</f>
        <v>0</v>
      </c>
      <c r="EZI3">
        <f>'[12]Summary Report - 12 Months Endi'!EZH2</f>
        <v>0</v>
      </c>
      <c r="EZJ3">
        <f>'[12]Summary Report - 12 Months Endi'!EZI2</f>
        <v>0</v>
      </c>
      <c r="EZK3">
        <f>'[12]Summary Report - 12 Months Endi'!EZJ2</f>
        <v>0</v>
      </c>
      <c r="EZL3">
        <f>'[12]Summary Report - 12 Months Endi'!EZK2</f>
        <v>0</v>
      </c>
      <c r="EZM3">
        <f>'[12]Summary Report - 12 Months Endi'!EZL2</f>
        <v>0</v>
      </c>
      <c r="EZN3">
        <f>'[12]Summary Report - 12 Months Endi'!EZM2</f>
        <v>0</v>
      </c>
      <c r="EZO3">
        <f>'[12]Summary Report - 12 Months Endi'!EZN2</f>
        <v>0</v>
      </c>
      <c r="EZP3">
        <f>'[12]Summary Report - 12 Months Endi'!EZO2</f>
        <v>0</v>
      </c>
      <c r="EZQ3">
        <f>'[12]Summary Report - 12 Months Endi'!EZP2</f>
        <v>0</v>
      </c>
      <c r="EZR3">
        <f>'[12]Summary Report - 12 Months Endi'!EZQ2</f>
        <v>0</v>
      </c>
      <c r="EZS3">
        <f>'[12]Summary Report - 12 Months Endi'!EZR2</f>
        <v>0</v>
      </c>
      <c r="EZT3">
        <f>'[12]Summary Report - 12 Months Endi'!EZS2</f>
        <v>0</v>
      </c>
      <c r="EZU3">
        <f>'[12]Summary Report - 12 Months Endi'!EZT2</f>
        <v>0</v>
      </c>
      <c r="EZV3">
        <f>'[12]Summary Report - 12 Months Endi'!EZU2</f>
        <v>0</v>
      </c>
      <c r="EZW3">
        <f>'[12]Summary Report - 12 Months Endi'!EZV2</f>
        <v>0</v>
      </c>
      <c r="EZX3">
        <f>'[12]Summary Report - 12 Months Endi'!EZW2</f>
        <v>0</v>
      </c>
      <c r="EZY3">
        <f>'[12]Summary Report - 12 Months Endi'!EZX2</f>
        <v>0</v>
      </c>
      <c r="EZZ3">
        <f>'[12]Summary Report - 12 Months Endi'!EZY2</f>
        <v>0</v>
      </c>
      <c r="FAA3">
        <f>'[12]Summary Report - 12 Months Endi'!EZZ2</f>
        <v>0</v>
      </c>
      <c r="FAB3">
        <f>'[12]Summary Report - 12 Months Endi'!FAA2</f>
        <v>0</v>
      </c>
      <c r="FAC3">
        <f>'[12]Summary Report - 12 Months Endi'!FAB2</f>
        <v>0</v>
      </c>
      <c r="FAD3">
        <f>'[12]Summary Report - 12 Months Endi'!FAC2</f>
        <v>0</v>
      </c>
      <c r="FAE3">
        <f>'[12]Summary Report - 12 Months Endi'!FAD2</f>
        <v>0</v>
      </c>
      <c r="FAF3">
        <f>'[12]Summary Report - 12 Months Endi'!FAE2</f>
        <v>0</v>
      </c>
      <c r="FAG3">
        <f>'[12]Summary Report - 12 Months Endi'!FAF2</f>
        <v>0</v>
      </c>
      <c r="FAH3">
        <f>'[12]Summary Report - 12 Months Endi'!FAG2</f>
        <v>0</v>
      </c>
      <c r="FAI3">
        <f>'[12]Summary Report - 12 Months Endi'!FAH2</f>
        <v>0</v>
      </c>
      <c r="FAJ3">
        <f>'[12]Summary Report - 12 Months Endi'!FAI2</f>
        <v>0</v>
      </c>
      <c r="FAK3">
        <f>'[12]Summary Report - 12 Months Endi'!FAJ2</f>
        <v>0</v>
      </c>
      <c r="FAL3">
        <f>'[12]Summary Report - 12 Months Endi'!FAK2</f>
        <v>0</v>
      </c>
      <c r="FAM3">
        <f>'[12]Summary Report - 12 Months Endi'!FAL2</f>
        <v>0</v>
      </c>
      <c r="FAN3">
        <f>'[12]Summary Report - 12 Months Endi'!FAM2</f>
        <v>0</v>
      </c>
      <c r="FAO3">
        <f>'[12]Summary Report - 12 Months Endi'!FAN2</f>
        <v>0</v>
      </c>
      <c r="FAP3">
        <f>'[12]Summary Report - 12 Months Endi'!FAO2</f>
        <v>0</v>
      </c>
      <c r="FAQ3">
        <f>'[12]Summary Report - 12 Months Endi'!FAP2</f>
        <v>0</v>
      </c>
      <c r="FAR3">
        <f>'[12]Summary Report - 12 Months Endi'!FAQ2</f>
        <v>0</v>
      </c>
      <c r="FAS3">
        <f>'[12]Summary Report - 12 Months Endi'!FAR2</f>
        <v>0</v>
      </c>
      <c r="FAT3">
        <f>'[12]Summary Report - 12 Months Endi'!FAS2</f>
        <v>0</v>
      </c>
      <c r="FAU3">
        <f>'[12]Summary Report - 12 Months Endi'!FAT2</f>
        <v>0</v>
      </c>
      <c r="FAV3">
        <f>'[12]Summary Report - 12 Months Endi'!FAU2</f>
        <v>0</v>
      </c>
      <c r="FAW3">
        <f>'[12]Summary Report - 12 Months Endi'!FAV2</f>
        <v>0</v>
      </c>
      <c r="FAX3">
        <f>'[12]Summary Report - 12 Months Endi'!FAW2</f>
        <v>0</v>
      </c>
      <c r="FAY3">
        <f>'[12]Summary Report - 12 Months Endi'!FAX2</f>
        <v>0</v>
      </c>
      <c r="FAZ3">
        <f>'[12]Summary Report - 12 Months Endi'!FAY2</f>
        <v>0</v>
      </c>
      <c r="FBA3">
        <f>'[12]Summary Report - 12 Months Endi'!FAZ2</f>
        <v>0</v>
      </c>
      <c r="FBB3">
        <f>'[12]Summary Report - 12 Months Endi'!FBA2</f>
        <v>0</v>
      </c>
      <c r="FBC3">
        <f>'[12]Summary Report - 12 Months Endi'!FBB2</f>
        <v>0</v>
      </c>
      <c r="FBD3">
        <f>'[12]Summary Report - 12 Months Endi'!FBC2</f>
        <v>0</v>
      </c>
      <c r="FBE3">
        <f>'[12]Summary Report - 12 Months Endi'!FBD2</f>
        <v>0</v>
      </c>
      <c r="FBF3">
        <f>'[12]Summary Report - 12 Months Endi'!FBE2</f>
        <v>0</v>
      </c>
      <c r="FBG3">
        <f>'[12]Summary Report - 12 Months Endi'!FBF2</f>
        <v>0</v>
      </c>
      <c r="FBH3">
        <f>'[12]Summary Report - 12 Months Endi'!FBG2</f>
        <v>0</v>
      </c>
      <c r="FBI3">
        <f>'[12]Summary Report - 12 Months Endi'!FBH2</f>
        <v>0</v>
      </c>
      <c r="FBJ3">
        <f>'[12]Summary Report - 12 Months Endi'!FBI2</f>
        <v>0</v>
      </c>
      <c r="FBK3">
        <f>'[12]Summary Report - 12 Months Endi'!FBJ2</f>
        <v>0</v>
      </c>
      <c r="FBL3">
        <f>'[12]Summary Report - 12 Months Endi'!FBK2</f>
        <v>0</v>
      </c>
      <c r="FBM3">
        <f>'[12]Summary Report - 12 Months Endi'!FBL2</f>
        <v>0</v>
      </c>
      <c r="FBN3">
        <f>'[12]Summary Report - 12 Months Endi'!FBM2</f>
        <v>0</v>
      </c>
      <c r="FBO3">
        <f>'[12]Summary Report - 12 Months Endi'!FBN2</f>
        <v>0</v>
      </c>
      <c r="FBP3">
        <f>'[12]Summary Report - 12 Months Endi'!FBO2</f>
        <v>0</v>
      </c>
      <c r="FBQ3">
        <f>'[12]Summary Report - 12 Months Endi'!FBP2</f>
        <v>0</v>
      </c>
      <c r="FBR3">
        <f>'[12]Summary Report - 12 Months Endi'!FBQ2</f>
        <v>0</v>
      </c>
      <c r="FBS3">
        <f>'[12]Summary Report - 12 Months Endi'!FBR2</f>
        <v>0</v>
      </c>
      <c r="FBT3">
        <f>'[12]Summary Report - 12 Months Endi'!FBS2</f>
        <v>0</v>
      </c>
      <c r="FBU3">
        <f>'[12]Summary Report - 12 Months Endi'!FBT2</f>
        <v>0</v>
      </c>
      <c r="FBV3">
        <f>'[12]Summary Report - 12 Months Endi'!FBU2</f>
        <v>0</v>
      </c>
      <c r="FBW3">
        <f>'[12]Summary Report - 12 Months Endi'!FBV2</f>
        <v>0</v>
      </c>
      <c r="FBX3">
        <f>'[12]Summary Report - 12 Months Endi'!FBW2</f>
        <v>0</v>
      </c>
      <c r="FBY3">
        <f>'[12]Summary Report - 12 Months Endi'!FBX2</f>
        <v>0</v>
      </c>
      <c r="FBZ3">
        <f>'[12]Summary Report - 12 Months Endi'!FBY2</f>
        <v>0</v>
      </c>
      <c r="FCA3">
        <f>'[12]Summary Report - 12 Months Endi'!FBZ2</f>
        <v>0</v>
      </c>
      <c r="FCB3">
        <f>'[12]Summary Report - 12 Months Endi'!FCA2</f>
        <v>0</v>
      </c>
      <c r="FCC3">
        <f>'[12]Summary Report - 12 Months Endi'!FCB2</f>
        <v>0</v>
      </c>
      <c r="FCD3">
        <f>'[12]Summary Report - 12 Months Endi'!FCC2</f>
        <v>0</v>
      </c>
      <c r="FCE3">
        <f>'[12]Summary Report - 12 Months Endi'!FCD2</f>
        <v>0</v>
      </c>
      <c r="FCF3">
        <f>'[12]Summary Report - 12 Months Endi'!FCE2</f>
        <v>0</v>
      </c>
      <c r="FCG3">
        <f>'[12]Summary Report - 12 Months Endi'!FCF2</f>
        <v>0</v>
      </c>
      <c r="FCH3">
        <f>'[12]Summary Report - 12 Months Endi'!FCG2</f>
        <v>0</v>
      </c>
      <c r="FCI3">
        <f>'[12]Summary Report - 12 Months Endi'!FCH2</f>
        <v>0</v>
      </c>
      <c r="FCJ3">
        <f>'[12]Summary Report - 12 Months Endi'!FCI2</f>
        <v>0</v>
      </c>
      <c r="FCK3">
        <f>'[12]Summary Report - 12 Months Endi'!FCJ2</f>
        <v>0</v>
      </c>
      <c r="FCL3">
        <f>'[12]Summary Report - 12 Months Endi'!FCK2</f>
        <v>0</v>
      </c>
      <c r="FCM3">
        <f>'[12]Summary Report - 12 Months Endi'!FCL2</f>
        <v>0</v>
      </c>
      <c r="FCN3">
        <f>'[12]Summary Report - 12 Months Endi'!FCM2</f>
        <v>0</v>
      </c>
      <c r="FCO3">
        <f>'[12]Summary Report - 12 Months Endi'!FCN2</f>
        <v>0</v>
      </c>
      <c r="FCP3">
        <f>'[12]Summary Report - 12 Months Endi'!FCO2</f>
        <v>0</v>
      </c>
      <c r="FCQ3">
        <f>'[12]Summary Report - 12 Months Endi'!FCP2</f>
        <v>0</v>
      </c>
      <c r="FCR3">
        <f>'[12]Summary Report - 12 Months Endi'!FCQ2</f>
        <v>0</v>
      </c>
      <c r="FCS3">
        <f>'[12]Summary Report - 12 Months Endi'!FCR2</f>
        <v>0</v>
      </c>
      <c r="FCT3">
        <f>'[12]Summary Report - 12 Months Endi'!FCS2</f>
        <v>0</v>
      </c>
      <c r="FCU3">
        <f>'[12]Summary Report - 12 Months Endi'!FCT2</f>
        <v>0</v>
      </c>
      <c r="FCV3">
        <f>'[12]Summary Report - 12 Months Endi'!FCU2</f>
        <v>0</v>
      </c>
      <c r="FCW3">
        <f>'[12]Summary Report - 12 Months Endi'!FCV2</f>
        <v>0</v>
      </c>
      <c r="FCX3">
        <f>'[12]Summary Report - 12 Months Endi'!FCW2</f>
        <v>0</v>
      </c>
      <c r="FCY3">
        <f>'[12]Summary Report - 12 Months Endi'!FCX2</f>
        <v>0</v>
      </c>
      <c r="FCZ3">
        <f>'[12]Summary Report - 12 Months Endi'!FCY2</f>
        <v>0</v>
      </c>
      <c r="FDA3">
        <f>'[12]Summary Report - 12 Months Endi'!FCZ2</f>
        <v>0</v>
      </c>
      <c r="FDB3">
        <f>'[12]Summary Report - 12 Months Endi'!FDA2</f>
        <v>0</v>
      </c>
      <c r="FDC3">
        <f>'[12]Summary Report - 12 Months Endi'!FDB2</f>
        <v>0</v>
      </c>
      <c r="FDD3">
        <f>'[12]Summary Report - 12 Months Endi'!FDC2</f>
        <v>0</v>
      </c>
      <c r="FDE3">
        <f>'[12]Summary Report - 12 Months Endi'!FDD2</f>
        <v>0</v>
      </c>
      <c r="FDF3">
        <f>'[12]Summary Report - 12 Months Endi'!FDE2</f>
        <v>0</v>
      </c>
      <c r="FDG3">
        <f>'[12]Summary Report - 12 Months Endi'!FDF2</f>
        <v>0</v>
      </c>
      <c r="FDH3">
        <f>'[12]Summary Report - 12 Months Endi'!FDG2</f>
        <v>0</v>
      </c>
      <c r="FDI3">
        <f>'[12]Summary Report - 12 Months Endi'!FDH2</f>
        <v>0</v>
      </c>
      <c r="FDJ3">
        <f>'[12]Summary Report - 12 Months Endi'!FDI2</f>
        <v>0</v>
      </c>
      <c r="FDK3">
        <f>'[12]Summary Report - 12 Months Endi'!FDJ2</f>
        <v>0</v>
      </c>
      <c r="FDL3">
        <f>'[12]Summary Report - 12 Months Endi'!FDK2</f>
        <v>0</v>
      </c>
      <c r="FDM3">
        <f>'[12]Summary Report - 12 Months Endi'!FDL2</f>
        <v>0</v>
      </c>
      <c r="FDN3">
        <f>'[12]Summary Report - 12 Months Endi'!FDM2</f>
        <v>0</v>
      </c>
      <c r="FDO3">
        <f>'[12]Summary Report - 12 Months Endi'!FDN2</f>
        <v>0</v>
      </c>
      <c r="FDP3">
        <f>'[12]Summary Report - 12 Months Endi'!FDO2</f>
        <v>0</v>
      </c>
      <c r="FDQ3">
        <f>'[12]Summary Report - 12 Months Endi'!FDP2</f>
        <v>0</v>
      </c>
      <c r="FDR3">
        <f>'[12]Summary Report - 12 Months Endi'!FDQ2</f>
        <v>0</v>
      </c>
      <c r="FDS3">
        <f>'[12]Summary Report - 12 Months Endi'!FDR2</f>
        <v>0</v>
      </c>
      <c r="FDT3">
        <f>'[12]Summary Report - 12 Months Endi'!FDS2</f>
        <v>0</v>
      </c>
      <c r="FDU3">
        <f>'[12]Summary Report - 12 Months Endi'!FDT2</f>
        <v>0</v>
      </c>
      <c r="FDV3">
        <f>'[12]Summary Report - 12 Months Endi'!FDU2</f>
        <v>0</v>
      </c>
      <c r="FDW3">
        <f>'[12]Summary Report - 12 Months Endi'!FDV2</f>
        <v>0</v>
      </c>
      <c r="FDX3">
        <f>'[12]Summary Report - 12 Months Endi'!FDW2</f>
        <v>0</v>
      </c>
      <c r="FDY3">
        <f>'[12]Summary Report - 12 Months Endi'!FDX2</f>
        <v>0</v>
      </c>
      <c r="FDZ3">
        <f>'[12]Summary Report - 12 Months Endi'!FDY2</f>
        <v>0</v>
      </c>
      <c r="FEA3">
        <f>'[12]Summary Report - 12 Months Endi'!FDZ2</f>
        <v>0</v>
      </c>
      <c r="FEB3">
        <f>'[12]Summary Report - 12 Months Endi'!FEA2</f>
        <v>0</v>
      </c>
      <c r="FEC3">
        <f>'[12]Summary Report - 12 Months Endi'!FEB2</f>
        <v>0</v>
      </c>
      <c r="FED3">
        <f>'[12]Summary Report - 12 Months Endi'!FEC2</f>
        <v>0</v>
      </c>
      <c r="FEE3">
        <f>'[12]Summary Report - 12 Months Endi'!FED2</f>
        <v>0</v>
      </c>
      <c r="FEF3">
        <f>'[12]Summary Report - 12 Months Endi'!FEE2</f>
        <v>0</v>
      </c>
      <c r="FEG3">
        <f>'[12]Summary Report - 12 Months Endi'!FEF2</f>
        <v>0</v>
      </c>
      <c r="FEH3">
        <f>'[12]Summary Report - 12 Months Endi'!FEG2</f>
        <v>0</v>
      </c>
      <c r="FEI3">
        <f>'[12]Summary Report - 12 Months Endi'!FEH2</f>
        <v>0</v>
      </c>
      <c r="FEJ3">
        <f>'[12]Summary Report - 12 Months Endi'!FEI2</f>
        <v>0</v>
      </c>
      <c r="FEK3">
        <f>'[12]Summary Report - 12 Months Endi'!FEJ2</f>
        <v>0</v>
      </c>
      <c r="FEL3">
        <f>'[12]Summary Report - 12 Months Endi'!FEK2</f>
        <v>0</v>
      </c>
      <c r="FEM3">
        <f>'[12]Summary Report - 12 Months Endi'!FEL2</f>
        <v>0</v>
      </c>
      <c r="FEN3">
        <f>'[12]Summary Report - 12 Months Endi'!FEM2</f>
        <v>0</v>
      </c>
      <c r="FEO3">
        <f>'[12]Summary Report - 12 Months Endi'!FEN2</f>
        <v>0</v>
      </c>
      <c r="FEP3">
        <f>'[12]Summary Report - 12 Months Endi'!FEO2</f>
        <v>0</v>
      </c>
      <c r="FEQ3">
        <f>'[12]Summary Report - 12 Months Endi'!FEP2</f>
        <v>0</v>
      </c>
      <c r="FER3">
        <f>'[12]Summary Report - 12 Months Endi'!FEQ2</f>
        <v>0</v>
      </c>
      <c r="FES3">
        <f>'[12]Summary Report - 12 Months Endi'!FER2</f>
        <v>0</v>
      </c>
      <c r="FET3">
        <f>'[12]Summary Report - 12 Months Endi'!FES2</f>
        <v>0</v>
      </c>
      <c r="FEU3">
        <f>'[12]Summary Report - 12 Months Endi'!FET2</f>
        <v>0</v>
      </c>
      <c r="FEV3">
        <f>'[12]Summary Report - 12 Months Endi'!FEU2</f>
        <v>0</v>
      </c>
      <c r="FEW3">
        <f>'[12]Summary Report - 12 Months Endi'!FEV2</f>
        <v>0</v>
      </c>
      <c r="FEX3">
        <f>'[12]Summary Report - 12 Months Endi'!FEW2</f>
        <v>0</v>
      </c>
      <c r="FEY3">
        <f>'[12]Summary Report - 12 Months Endi'!FEX2</f>
        <v>0</v>
      </c>
      <c r="FEZ3">
        <f>'[12]Summary Report - 12 Months Endi'!FEY2</f>
        <v>0</v>
      </c>
      <c r="FFA3">
        <f>'[12]Summary Report - 12 Months Endi'!FEZ2</f>
        <v>0</v>
      </c>
      <c r="FFB3">
        <f>'[12]Summary Report - 12 Months Endi'!FFA2</f>
        <v>0</v>
      </c>
      <c r="FFC3">
        <f>'[12]Summary Report - 12 Months Endi'!FFB2</f>
        <v>0</v>
      </c>
      <c r="FFD3">
        <f>'[12]Summary Report - 12 Months Endi'!FFC2</f>
        <v>0</v>
      </c>
      <c r="FFE3">
        <f>'[12]Summary Report - 12 Months Endi'!FFD2</f>
        <v>0</v>
      </c>
      <c r="FFF3">
        <f>'[12]Summary Report - 12 Months Endi'!FFE2</f>
        <v>0</v>
      </c>
      <c r="FFG3">
        <f>'[12]Summary Report - 12 Months Endi'!FFF2</f>
        <v>0</v>
      </c>
      <c r="FFH3">
        <f>'[12]Summary Report - 12 Months Endi'!FFG2</f>
        <v>0</v>
      </c>
      <c r="FFI3">
        <f>'[12]Summary Report - 12 Months Endi'!FFH2</f>
        <v>0</v>
      </c>
      <c r="FFJ3">
        <f>'[12]Summary Report - 12 Months Endi'!FFI2</f>
        <v>0</v>
      </c>
      <c r="FFK3">
        <f>'[12]Summary Report - 12 Months Endi'!FFJ2</f>
        <v>0</v>
      </c>
      <c r="FFL3">
        <f>'[12]Summary Report - 12 Months Endi'!FFK2</f>
        <v>0</v>
      </c>
      <c r="FFM3">
        <f>'[12]Summary Report - 12 Months Endi'!FFL2</f>
        <v>0</v>
      </c>
      <c r="FFN3">
        <f>'[12]Summary Report - 12 Months Endi'!FFM2</f>
        <v>0</v>
      </c>
      <c r="FFO3">
        <f>'[12]Summary Report - 12 Months Endi'!FFN2</f>
        <v>0</v>
      </c>
      <c r="FFP3">
        <f>'[12]Summary Report - 12 Months Endi'!FFO2</f>
        <v>0</v>
      </c>
      <c r="FFQ3">
        <f>'[12]Summary Report - 12 Months Endi'!FFP2</f>
        <v>0</v>
      </c>
      <c r="FFR3">
        <f>'[12]Summary Report - 12 Months Endi'!FFQ2</f>
        <v>0</v>
      </c>
      <c r="FFS3">
        <f>'[12]Summary Report - 12 Months Endi'!FFR2</f>
        <v>0</v>
      </c>
      <c r="FFT3">
        <f>'[12]Summary Report - 12 Months Endi'!FFS2</f>
        <v>0</v>
      </c>
      <c r="FFU3">
        <f>'[12]Summary Report - 12 Months Endi'!FFT2</f>
        <v>0</v>
      </c>
      <c r="FFV3">
        <f>'[12]Summary Report - 12 Months Endi'!FFU2</f>
        <v>0</v>
      </c>
      <c r="FFW3">
        <f>'[12]Summary Report - 12 Months Endi'!FFV2</f>
        <v>0</v>
      </c>
      <c r="FFX3">
        <f>'[12]Summary Report - 12 Months Endi'!FFW2</f>
        <v>0</v>
      </c>
      <c r="FFY3">
        <f>'[12]Summary Report - 12 Months Endi'!FFX2</f>
        <v>0</v>
      </c>
      <c r="FFZ3">
        <f>'[12]Summary Report - 12 Months Endi'!FFY2</f>
        <v>0</v>
      </c>
      <c r="FGA3">
        <f>'[12]Summary Report - 12 Months Endi'!FFZ2</f>
        <v>0</v>
      </c>
      <c r="FGB3">
        <f>'[12]Summary Report - 12 Months Endi'!FGA2</f>
        <v>0</v>
      </c>
      <c r="FGC3">
        <f>'[12]Summary Report - 12 Months Endi'!FGB2</f>
        <v>0</v>
      </c>
      <c r="FGD3">
        <f>'[12]Summary Report - 12 Months Endi'!FGC2</f>
        <v>0</v>
      </c>
      <c r="FGE3">
        <f>'[12]Summary Report - 12 Months Endi'!FGD2</f>
        <v>0</v>
      </c>
      <c r="FGF3">
        <f>'[12]Summary Report - 12 Months Endi'!FGE2</f>
        <v>0</v>
      </c>
      <c r="FGG3">
        <f>'[12]Summary Report - 12 Months Endi'!FGF2</f>
        <v>0</v>
      </c>
      <c r="FGH3">
        <f>'[12]Summary Report - 12 Months Endi'!FGG2</f>
        <v>0</v>
      </c>
      <c r="FGI3">
        <f>'[12]Summary Report - 12 Months Endi'!FGH2</f>
        <v>0</v>
      </c>
      <c r="FGJ3">
        <f>'[12]Summary Report - 12 Months Endi'!FGI2</f>
        <v>0</v>
      </c>
      <c r="FGK3">
        <f>'[12]Summary Report - 12 Months Endi'!FGJ2</f>
        <v>0</v>
      </c>
      <c r="FGL3">
        <f>'[12]Summary Report - 12 Months Endi'!FGK2</f>
        <v>0</v>
      </c>
      <c r="FGM3">
        <f>'[12]Summary Report - 12 Months Endi'!FGL2</f>
        <v>0</v>
      </c>
      <c r="FGN3">
        <f>'[12]Summary Report - 12 Months Endi'!FGM2</f>
        <v>0</v>
      </c>
      <c r="FGO3">
        <f>'[12]Summary Report - 12 Months Endi'!FGN2</f>
        <v>0</v>
      </c>
      <c r="FGP3">
        <f>'[12]Summary Report - 12 Months Endi'!FGO2</f>
        <v>0</v>
      </c>
      <c r="FGQ3">
        <f>'[12]Summary Report - 12 Months Endi'!FGP2</f>
        <v>0</v>
      </c>
      <c r="FGR3">
        <f>'[12]Summary Report - 12 Months Endi'!FGQ2</f>
        <v>0</v>
      </c>
      <c r="FGS3">
        <f>'[12]Summary Report - 12 Months Endi'!FGR2</f>
        <v>0</v>
      </c>
      <c r="FGT3">
        <f>'[12]Summary Report - 12 Months Endi'!FGS2</f>
        <v>0</v>
      </c>
      <c r="FGU3">
        <f>'[12]Summary Report - 12 Months Endi'!FGT2</f>
        <v>0</v>
      </c>
      <c r="FGV3">
        <f>'[12]Summary Report - 12 Months Endi'!FGU2</f>
        <v>0</v>
      </c>
      <c r="FGW3">
        <f>'[12]Summary Report - 12 Months Endi'!FGV2</f>
        <v>0</v>
      </c>
      <c r="FGX3">
        <f>'[12]Summary Report - 12 Months Endi'!FGW2</f>
        <v>0</v>
      </c>
      <c r="FGY3">
        <f>'[12]Summary Report - 12 Months Endi'!FGX2</f>
        <v>0</v>
      </c>
      <c r="FGZ3">
        <f>'[12]Summary Report - 12 Months Endi'!FGY2</f>
        <v>0</v>
      </c>
      <c r="FHA3">
        <f>'[12]Summary Report - 12 Months Endi'!FGZ2</f>
        <v>0</v>
      </c>
      <c r="FHB3">
        <f>'[12]Summary Report - 12 Months Endi'!FHA2</f>
        <v>0</v>
      </c>
      <c r="FHC3">
        <f>'[12]Summary Report - 12 Months Endi'!FHB2</f>
        <v>0</v>
      </c>
      <c r="FHD3">
        <f>'[12]Summary Report - 12 Months Endi'!FHC2</f>
        <v>0</v>
      </c>
      <c r="FHE3">
        <f>'[12]Summary Report - 12 Months Endi'!FHD2</f>
        <v>0</v>
      </c>
      <c r="FHF3">
        <f>'[12]Summary Report - 12 Months Endi'!FHE2</f>
        <v>0</v>
      </c>
      <c r="FHG3">
        <f>'[12]Summary Report - 12 Months Endi'!FHF2</f>
        <v>0</v>
      </c>
      <c r="FHH3">
        <f>'[12]Summary Report - 12 Months Endi'!FHG2</f>
        <v>0</v>
      </c>
      <c r="FHI3">
        <f>'[12]Summary Report - 12 Months Endi'!FHH2</f>
        <v>0</v>
      </c>
      <c r="FHJ3">
        <f>'[12]Summary Report - 12 Months Endi'!FHI2</f>
        <v>0</v>
      </c>
      <c r="FHK3">
        <f>'[12]Summary Report - 12 Months Endi'!FHJ2</f>
        <v>0</v>
      </c>
      <c r="FHL3">
        <f>'[12]Summary Report - 12 Months Endi'!FHK2</f>
        <v>0</v>
      </c>
      <c r="FHM3">
        <f>'[12]Summary Report - 12 Months Endi'!FHL2</f>
        <v>0</v>
      </c>
      <c r="FHN3">
        <f>'[12]Summary Report - 12 Months Endi'!FHM2</f>
        <v>0</v>
      </c>
      <c r="FHO3">
        <f>'[12]Summary Report - 12 Months Endi'!FHN2</f>
        <v>0</v>
      </c>
      <c r="FHP3">
        <f>'[12]Summary Report - 12 Months Endi'!FHO2</f>
        <v>0</v>
      </c>
      <c r="FHQ3">
        <f>'[12]Summary Report - 12 Months Endi'!FHP2</f>
        <v>0</v>
      </c>
      <c r="FHR3">
        <f>'[12]Summary Report - 12 Months Endi'!FHQ2</f>
        <v>0</v>
      </c>
      <c r="FHS3">
        <f>'[12]Summary Report - 12 Months Endi'!FHR2</f>
        <v>0</v>
      </c>
      <c r="FHT3">
        <f>'[12]Summary Report - 12 Months Endi'!FHS2</f>
        <v>0</v>
      </c>
      <c r="FHU3">
        <f>'[12]Summary Report - 12 Months Endi'!FHT2</f>
        <v>0</v>
      </c>
      <c r="FHV3">
        <f>'[12]Summary Report - 12 Months Endi'!FHU2</f>
        <v>0</v>
      </c>
      <c r="FHW3">
        <f>'[12]Summary Report - 12 Months Endi'!FHV2</f>
        <v>0</v>
      </c>
      <c r="FHX3">
        <f>'[12]Summary Report - 12 Months Endi'!FHW2</f>
        <v>0</v>
      </c>
      <c r="FHY3">
        <f>'[12]Summary Report - 12 Months Endi'!FHX2</f>
        <v>0</v>
      </c>
      <c r="FHZ3">
        <f>'[12]Summary Report - 12 Months Endi'!FHY2</f>
        <v>0</v>
      </c>
      <c r="FIA3">
        <f>'[12]Summary Report - 12 Months Endi'!FHZ2</f>
        <v>0</v>
      </c>
      <c r="FIB3">
        <f>'[12]Summary Report - 12 Months Endi'!FIA2</f>
        <v>0</v>
      </c>
      <c r="FIC3">
        <f>'[12]Summary Report - 12 Months Endi'!FIB2</f>
        <v>0</v>
      </c>
      <c r="FID3">
        <f>'[12]Summary Report - 12 Months Endi'!FIC2</f>
        <v>0</v>
      </c>
      <c r="FIE3">
        <f>'[12]Summary Report - 12 Months Endi'!FID2</f>
        <v>0</v>
      </c>
      <c r="FIF3">
        <f>'[12]Summary Report - 12 Months Endi'!FIE2</f>
        <v>0</v>
      </c>
      <c r="FIG3">
        <f>'[12]Summary Report - 12 Months Endi'!FIF2</f>
        <v>0</v>
      </c>
      <c r="FIH3">
        <f>'[12]Summary Report - 12 Months Endi'!FIG2</f>
        <v>0</v>
      </c>
      <c r="FII3">
        <f>'[12]Summary Report - 12 Months Endi'!FIH2</f>
        <v>0</v>
      </c>
      <c r="FIJ3">
        <f>'[12]Summary Report - 12 Months Endi'!FII2</f>
        <v>0</v>
      </c>
      <c r="FIK3">
        <f>'[12]Summary Report - 12 Months Endi'!FIJ2</f>
        <v>0</v>
      </c>
      <c r="FIL3">
        <f>'[12]Summary Report - 12 Months Endi'!FIK2</f>
        <v>0</v>
      </c>
      <c r="FIM3">
        <f>'[12]Summary Report - 12 Months Endi'!FIL2</f>
        <v>0</v>
      </c>
      <c r="FIN3">
        <f>'[12]Summary Report - 12 Months Endi'!FIM2</f>
        <v>0</v>
      </c>
      <c r="FIO3">
        <f>'[12]Summary Report - 12 Months Endi'!FIN2</f>
        <v>0</v>
      </c>
      <c r="FIP3">
        <f>'[12]Summary Report - 12 Months Endi'!FIO2</f>
        <v>0</v>
      </c>
      <c r="FIQ3">
        <f>'[12]Summary Report - 12 Months Endi'!FIP2</f>
        <v>0</v>
      </c>
      <c r="FIR3">
        <f>'[12]Summary Report - 12 Months Endi'!FIQ2</f>
        <v>0</v>
      </c>
      <c r="FIS3">
        <f>'[12]Summary Report - 12 Months Endi'!FIR2</f>
        <v>0</v>
      </c>
      <c r="FIT3">
        <f>'[12]Summary Report - 12 Months Endi'!FIS2</f>
        <v>0</v>
      </c>
      <c r="FIU3">
        <f>'[12]Summary Report - 12 Months Endi'!FIT2</f>
        <v>0</v>
      </c>
      <c r="FIV3">
        <f>'[12]Summary Report - 12 Months Endi'!FIU2</f>
        <v>0</v>
      </c>
      <c r="FIW3">
        <f>'[12]Summary Report - 12 Months Endi'!FIV2</f>
        <v>0</v>
      </c>
      <c r="FIX3">
        <f>'[12]Summary Report - 12 Months Endi'!FIW2</f>
        <v>0</v>
      </c>
      <c r="FIY3">
        <f>'[12]Summary Report - 12 Months Endi'!FIX2</f>
        <v>0</v>
      </c>
      <c r="FIZ3">
        <f>'[12]Summary Report - 12 Months Endi'!FIY2</f>
        <v>0</v>
      </c>
      <c r="FJA3">
        <f>'[12]Summary Report - 12 Months Endi'!FIZ2</f>
        <v>0</v>
      </c>
      <c r="FJB3">
        <f>'[12]Summary Report - 12 Months Endi'!FJA2</f>
        <v>0</v>
      </c>
      <c r="FJC3">
        <f>'[12]Summary Report - 12 Months Endi'!FJB2</f>
        <v>0</v>
      </c>
      <c r="FJD3">
        <f>'[12]Summary Report - 12 Months Endi'!FJC2</f>
        <v>0</v>
      </c>
      <c r="FJE3">
        <f>'[12]Summary Report - 12 Months Endi'!FJD2</f>
        <v>0</v>
      </c>
      <c r="FJF3">
        <f>'[12]Summary Report - 12 Months Endi'!FJE2</f>
        <v>0</v>
      </c>
      <c r="FJG3">
        <f>'[12]Summary Report - 12 Months Endi'!FJF2</f>
        <v>0</v>
      </c>
      <c r="FJH3">
        <f>'[12]Summary Report - 12 Months Endi'!FJG2</f>
        <v>0</v>
      </c>
      <c r="FJI3">
        <f>'[12]Summary Report - 12 Months Endi'!FJH2</f>
        <v>0</v>
      </c>
      <c r="FJJ3">
        <f>'[12]Summary Report - 12 Months Endi'!FJI2</f>
        <v>0</v>
      </c>
      <c r="FJK3">
        <f>'[12]Summary Report - 12 Months Endi'!FJJ2</f>
        <v>0</v>
      </c>
      <c r="FJL3">
        <f>'[12]Summary Report - 12 Months Endi'!FJK2</f>
        <v>0</v>
      </c>
      <c r="FJM3">
        <f>'[12]Summary Report - 12 Months Endi'!FJL2</f>
        <v>0</v>
      </c>
      <c r="FJN3">
        <f>'[12]Summary Report - 12 Months Endi'!FJM2</f>
        <v>0</v>
      </c>
      <c r="FJO3">
        <f>'[12]Summary Report - 12 Months Endi'!FJN2</f>
        <v>0</v>
      </c>
      <c r="FJP3">
        <f>'[12]Summary Report - 12 Months Endi'!FJO2</f>
        <v>0</v>
      </c>
      <c r="FJQ3">
        <f>'[12]Summary Report - 12 Months Endi'!FJP2</f>
        <v>0</v>
      </c>
      <c r="FJR3">
        <f>'[12]Summary Report - 12 Months Endi'!FJQ2</f>
        <v>0</v>
      </c>
      <c r="FJS3">
        <f>'[12]Summary Report - 12 Months Endi'!FJR2</f>
        <v>0</v>
      </c>
      <c r="FJT3">
        <f>'[12]Summary Report - 12 Months Endi'!FJS2</f>
        <v>0</v>
      </c>
      <c r="FJU3">
        <f>'[12]Summary Report - 12 Months Endi'!FJT2</f>
        <v>0</v>
      </c>
      <c r="FJV3">
        <f>'[12]Summary Report - 12 Months Endi'!FJU2</f>
        <v>0</v>
      </c>
      <c r="FJW3">
        <f>'[12]Summary Report - 12 Months Endi'!FJV2</f>
        <v>0</v>
      </c>
      <c r="FJX3">
        <f>'[12]Summary Report - 12 Months Endi'!FJW2</f>
        <v>0</v>
      </c>
      <c r="FJY3">
        <f>'[12]Summary Report - 12 Months Endi'!FJX2</f>
        <v>0</v>
      </c>
      <c r="FJZ3">
        <f>'[12]Summary Report - 12 Months Endi'!FJY2</f>
        <v>0</v>
      </c>
      <c r="FKA3">
        <f>'[12]Summary Report - 12 Months Endi'!FJZ2</f>
        <v>0</v>
      </c>
      <c r="FKB3">
        <f>'[12]Summary Report - 12 Months Endi'!FKA2</f>
        <v>0</v>
      </c>
      <c r="FKC3">
        <f>'[12]Summary Report - 12 Months Endi'!FKB2</f>
        <v>0</v>
      </c>
      <c r="FKD3">
        <f>'[12]Summary Report - 12 Months Endi'!FKC2</f>
        <v>0</v>
      </c>
      <c r="FKE3">
        <f>'[12]Summary Report - 12 Months Endi'!FKD2</f>
        <v>0</v>
      </c>
      <c r="FKF3">
        <f>'[12]Summary Report - 12 Months Endi'!FKE2</f>
        <v>0</v>
      </c>
      <c r="FKG3">
        <f>'[12]Summary Report - 12 Months Endi'!FKF2</f>
        <v>0</v>
      </c>
      <c r="FKH3">
        <f>'[12]Summary Report - 12 Months Endi'!FKG2</f>
        <v>0</v>
      </c>
      <c r="FKI3">
        <f>'[12]Summary Report - 12 Months Endi'!FKH2</f>
        <v>0</v>
      </c>
      <c r="FKJ3">
        <f>'[12]Summary Report - 12 Months Endi'!FKI2</f>
        <v>0</v>
      </c>
      <c r="FKK3">
        <f>'[12]Summary Report - 12 Months Endi'!FKJ2</f>
        <v>0</v>
      </c>
      <c r="FKL3">
        <f>'[12]Summary Report - 12 Months Endi'!FKK2</f>
        <v>0</v>
      </c>
      <c r="FKM3">
        <f>'[12]Summary Report - 12 Months Endi'!FKL2</f>
        <v>0</v>
      </c>
      <c r="FKN3">
        <f>'[12]Summary Report - 12 Months Endi'!FKM2</f>
        <v>0</v>
      </c>
      <c r="FKO3">
        <f>'[12]Summary Report - 12 Months Endi'!FKN2</f>
        <v>0</v>
      </c>
      <c r="FKP3">
        <f>'[12]Summary Report - 12 Months Endi'!FKO2</f>
        <v>0</v>
      </c>
      <c r="FKQ3">
        <f>'[12]Summary Report - 12 Months Endi'!FKP2</f>
        <v>0</v>
      </c>
      <c r="FKR3">
        <f>'[12]Summary Report - 12 Months Endi'!FKQ2</f>
        <v>0</v>
      </c>
      <c r="FKS3">
        <f>'[12]Summary Report - 12 Months Endi'!FKR2</f>
        <v>0</v>
      </c>
      <c r="FKT3">
        <f>'[12]Summary Report - 12 Months Endi'!FKS2</f>
        <v>0</v>
      </c>
      <c r="FKU3">
        <f>'[12]Summary Report - 12 Months Endi'!FKT2</f>
        <v>0</v>
      </c>
      <c r="FKV3">
        <f>'[12]Summary Report - 12 Months Endi'!FKU2</f>
        <v>0</v>
      </c>
      <c r="FKW3">
        <f>'[12]Summary Report - 12 Months Endi'!FKV2</f>
        <v>0</v>
      </c>
      <c r="FKX3">
        <f>'[12]Summary Report - 12 Months Endi'!FKW2</f>
        <v>0</v>
      </c>
      <c r="FKY3">
        <f>'[12]Summary Report - 12 Months Endi'!FKX2</f>
        <v>0</v>
      </c>
      <c r="FKZ3">
        <f>'[12]Summary Report - 12 Months Endi'!FKY2</f>
        <v>0</v>
      </c>
      <c r="FLA3">
        <f>'[12]Summary Report - 12 Months Endi'!FKZ2</f>
        <v>0</v>
      </c>
      <c r="FLB3">
        <f>'[12]Summary Report - 12 Months Endi'!FLA2</f>
        <v>0</v>
      </c>
      <c r="FLC3">
        <f>'[12]Summary Report - 12 Months Endi'!FLB2</f>
        <v>0</v>
      </c>
      <c r="FLD3">
        <f>'[12]Summary Report - 12 Months Endi'!FLC2</f>
        <v>0</v>
      </c>
      <c r="FLE3">
        <f>'[12]Summary Report - 12 Months Endi'!FLD2</f>
        <v>0</v>
      </c>
      <c r="FLF3">
        <f>'[12]Summary Report - 12 Months Endi'!FLE2</f>
        <v>0</v>
      </c>
      <c r="FLG3">
        <f>'[12]Summary Report - 12 Months Endi'!FLF2</f>
        <v>0</v>
      </c>
      <c r="FLH3">
        <f>'[12]Summary Report - 12 Months Endi'!FLG2</f>
        <v>0</v>
      </c>
      <c r="FLI3">
        <f>'[12]Summary Report - 12 Months Endi'!FLH2</f>
        <v>0</v>
      </c>
      <c r="FLJ3">
        <f>'[12]Summary Report - 12 Months Endi'!FLI2</f>
        <v>0</v>
      </c>
      <c r="FLK3">
        <f>'[12]Summary Report - 12 Months Endi'!FLJ2</f>
        <v>0</v>
      </c>
      <c r="FLL3">
        <f>'[12]Summary Report - 12 Months Endi'!FLK2</f>
        <v>0</v>
      </c>
      <c r="FLM3">
        <f>'[12]Summary Report - 12 Months Endi'!FLL2</f>
        <v>0</v>
      </c>
      <c r="FLN3">
        <f>'[12]Summary Report - 12 Months Endi'!FLM2</f>
        <v>0</v>
      </c>
      <c r="FLO3">
        <f>'[12]Summary Report - 12 Months Endi'!FLN2</f>
        <v>0</v>
      </c>
      <c r="FLP3">
        <f>'[12]Summary Report - 12 Months Endi'!FLO2</f>
        <v>0</v>
      </c>
      <c r="FLQ3">
        <f>'[12]Summary Report - 12 Months Endi'!FLP2</f>
        <v>0</v>
      </c>
      <c r="FLR3">
        <f>'[12]Summary Report - 12 Months Endi'!FLQ2</f>
        <v>0</v>
      </c>
      <c r="FLS3">
        <f>'[12]Summary Report - 12 Months Endi'!FLR2</f>
        <v>0</v>
      </c>
      <c r="FLT3">
        <f>'[12]Summary Report - 12 Months Endi'!FLS2</f>
        <v>0</v>
      </c>
      <c r="FLU3">
        <f>'[12]Summary Report - 12 Months Endi'!FLT2</f>
        <v>0</v>
      </c>
      <c r="FLV3">
        <f>'[12]Summary Report - 12 Months Endi'!FLU2</f>
        <v>0</v>
      </c>
      <c r="FLW3">
        <f>'[12]Summary Report - 12 Months Endi'!FLV2</f>
        <v>0</v>
      </c>
      <c r="FLX3">
        <f>'[12]Summary Report - 12 Months Endi'!FLW2</f>
        <v>0</v>
      </c>
      <c r="FLY3">
        <f>'[12]Summary Report - 12 Months Endi'!FLX2</f>
        <v>0</v>
      </c>
      <c r="FLZ3">
        <f>'[12]Summary Report - 12 Months Endi'!FLY2</f>
        <v>0</v>
      </c>
      <c r="FMA3">
        <f>'[12]Summary Report - 12 Months Endi'!FLZ2</f>
        <v>0</v>
      </c>
      <c r="FMB3">
        <f>'[12]Summary Report - 12 Months Endi'!FMA2</f>
        <v>0</v>
      </c>
      <c r="FMC3">
        <f>'[12]Summary Report - 12 Months Endi'!FMB2</f>
        <v>0</v>
      </c>
      <c r="FMD3">
        <f>'[12]Summary Report - 12 Months Endi'!FMC2</f>
        <v>0</v>
      </c>
      <c r="FME3">
        <f>'[12]Summary Report - 12 Months Endi'!FMD2</f>
        <v>0</v>
      </c>
      <c r="FMF3">
        <f>'[12]Summary Report - 12 Months Endi'!FME2</f>
        <v>0</v>
      </c>
      <c r="FMG3">
        <f>'[12]Summary Report - 12 Months Endi'!FMF2</f>
        <v>0</v>
      </c>
      <c r="FMH3">
        <f>'[12]Summary Report - 12 Months Endi'!FMG2</f>
        <v>0</v>
      </c>
      <c r="FMI3">
        <f>'[12]Summary Report - 12 Months Endi'!FMH2</f>
        <v>0</v>
      </c>
      <c r="FMJ3">
        <f>'[12]Summary Report - 12 Months Endi'!FMI2</f>
        <v>0</v>
      </c>
      <c r="FMK3">
        <f>'[12]Summary Report - 12 Months Endi'!FMJ2</f>
        <v>0</v>
      </c>
      <c r="FML3">
        <f>'[12]Summary Report - 12 Months Endi'!FMK2</f>
        <v>0</v>
      </c>
      <c r="FMM3">
        <f>'[12]Summary Report - 12 Months Endi'!FML2</f>
        <v>0</v>
      </c>
      <c r="FMN3">
        <f>'[12]Summary Report - 12 Months Endi'!FMM2</f>
        <v>0</v>
      </c>
      <c r="FMO3">
        <f>'[12]Summary Report - 12 Months Endi'!FMN2</f>
        <v>0</v>
      </c>
      <c r="FMP3">
        <f>'[12]Summary Report - 12 Months Endi'!FMO2</f>
        <v>0</v>
      </c>
      <c r="FMQ3">
        <f>'[12]Summary Report - 12 Months Endi'!FMP2</f>
        <v>0</v>
      </c>
      <c r="FMR3">
        <f>'[12]Summary Report - 12 Months Endi'!FMQ2</f>
        <v>0</v>
      </c>
      <c r="FMS3">
        <f>'[12]Summary Report - 12 Months Endi'!FMR2</f>
        <v>0</v>
      </c>
      <c r="FMT3">
        <f>'[12]Summary Report - 12 Months Endi'!FMS2</f>
        <v>0</v>
      </c>
      <c r="FMU3">
        <f>'[12]Summary Report - 12 Months Endi'!FMT2</f>
        <v>0</v>
      </c>
      <c r="FMV3">
        <f>'[12]Summary Report - 12 Months Endi'!FMU2</f>
        <v>0</v>
      </c>
      <c r="FMW3">
        <f>'[12]Summary Report - 12 Months Endi'!FMV2</f>
        <v>0</v>
      </c>
      <c r="FMX3">
        <f>'[12]Summary Report - 12 Months Endi'!FMW2</f>
        <v>0</v>
      </c>
      <c r="FMY3">
        <f>'[12]Summary Report - 12 Months Endi'!FMX2</f>
        <v>0</v>
      </c>
      <c r="FMZ3">
        <f>'[12]Summary Report - 12 Months Endi'!FMY2</f>
        <v>0</v>
      </c>
      <c r="FNA3">
        <f>'[12]Summary Report - 12 Months Endi'!FMZ2</f>
        <v>0</v>
      </c>
      <c r="FNB3">
        <f>'[12]Summary Report - 12 Months Endi'!FNA2</f>
        <v>0</v>
      </c>
      <c r="FNC3">
        <f>'[12]Summary Report - 12 Months Endi'!FNB2</f>
        <v>0</v>
      </c>
      <c r="FND3">
        <f>'[12]Summary Report - 12 Months Endi'!FNC2</f>
        <v>0</v>
      </c>
      <c r="FNE3">
        <f>'[12]Summary Report - 12 Months Endi'!FND2</f>
        <v>0</v>
      </c>
      <c r="FNF3">
        <f>'[12]Summary Report - 12 Months Endi'!FNE2</f>
        <v>0</v>
      </c>
      <c r="FNG3">
        <f>'[12]Summary Report - 12 Months Endi'!FNF2</f>
        <v>0</v>
      </c>
      <c r="FNH3">
        <f>'[12]Summary Report - 12 Months Endi'!FNG2</f>
        <v>0</v>
      </c>
      <c r="FNI3">
        <f>'[12]Summary Report - 12 Months Endi'!FNH2</f>
        <v>0</v>
      </c>
      <c r="FNJ3">
        <f>'[12]Summary Report - 12 Months Endi'!FNI2</f>
        <v>0</v>
      </c>
      <c r="FNK3">
        <f>'[12]Summary Report - 12 Months Endi'!FNJ2</f>
        <v>0</v>
      </c>
      <c r="FNL3">
        <f>'[12]Summary Report - 12 Months Endi'!FNK2</f>
        <v>0</v>
      </c>
      <c r="FNM3">
        <f>'[12]Summary Report - 12 Months Endi'!FNL2</f>
        <v>0</v>
      </c>
      <c r="FNN3">
        <f>'[12]Summary Report - 12 Months Endi'!FNM2</f>
        <v>0</v>
      </c>
      <c r="FNO3">
        <f>'[12]Summary Report - 12 Months Endi'!FNN2</f>
        <v>0</v>
      </c>
      <c r="FNP3">
        <f>'[12]Summary Report - 12 Months Endi'!FNO2</f>
        <v>0</v>
      </c>
      <c r="FNQ3">
        <f>'[12]Summary Report - 12 Months Endi'!FNP2</f>
        <v>0</v>
      </c>
      <c r="FNR3">
        <f>'[12]Summary Report - 12 Months Endi'!FNQ2</f>
        <v>0</v>
      </c>
      <c r="FNS3">
        <f>'[12]Summary Report - 12 Months Endi'!FNR2</f>
        <v>0</v>
      </c>
      <c r="FNT3">
        <f>'[12]Summary Report - 12 Months Endi'!FNS2</f>
        <v>0</v>
      </c>
      <c r="FNU3">
        <f>'[12]Summary Report - 12 Months Endi'!FNT2</f>
        <v>0</v>
      </c>
      <c r="FNV3">
        <f>'[12]Summary Report - 12 Months Endi'!FNU2</f>
        <v>0</v>
      </c>
      <c r="FNW3">
        <f>'[12]Summary Report - 12 Months Endi'!FNV2</f>
        <v>0</v>
      </c>
      <c r="FNX3">
        <f>'[12]Summary Report - 12 Months Endi'!FNW2</f>
        <v>0</v>
      </c>
      <c r="FNY3">
        <f>'[12]Summary Report - 12 Months Endi'!FNX2</f>
        <v>0</v>
      </c>
      <c r="FNZ3">
        <f>'[12]Summary Report - 12 Months Endi'!FNY2</f>
        <v>0</v>
      </c>
      <c r="FOA3">
        <f>'[12]Summary Report - 12 Months Endi'!FNZ2</f>
        <v>0</v>
      </c>
      <c r="FOB3">
        <f>'[12]Summary Report - 12 Months Endi'!FOA2</f>
        <v>0</v>
      </c>
      <c r="FOC3">
        <f>'[12]Summary Report - 12 Months Endi'!FOB2</f>
        <v>0</v>
      </c>
      <c r="FOD3">
        <f>'[12]Summary Report - 12 Months Endi'!FOC2</f>
        <v>0</v>
      </c>
      <c r="FOE3">
        <f>'[12]Summary Report - 12 Months Endi'!FOD2</f>
        <v>0</v>
      </c>
      <c r="FOF3">
        <f>'[12]Summary Report - 12 Months Endi'!FOE2</f>
        <v>0</v>
      </c>
      <c r="FOG3">
        <f>'[12]Summary Report - 12 Months Endi'!FOF2</f>
        <v>0</v>
      </c>
      <c r="FOH3">
        <f>'[12]Summary Report - 12 Months Endi'!FOG2</f>
        <v>0</v>
      </c>
      <c r="FOI3">
        <f>'[12]Summary Report - 12 Months Endi'!FOH2</f>
        <v>0</v>
      </c>
      <c r="FOJ3">
        <f>'[12]Summary Report - 12 Months Endi'!FOI2</f>
        <v>0</v>
      </c>
      <c r="FOK3">
        <f>'[12]Summary Report - 12 Months Endi'!FOJ2</f>
        <v>0</v>
      </c>
      <c r="FOL3">
        <f>'[12]Summary Report - 12 Months Endi'!FOK2</f>
        <v>0</v>
      </c>
      <c r="FOM3">
        <f>'[12]Summary Report - 12 Months Endi'!FOL2</f>
        <v>0</v>
      </c>
      <c r="FON3">
        <f>'[12]Summary Report - 12 Months Endi'!FOM2</f>
        <v>0</v>
      </c>
      <c r="FOO3">
        <f>'[12]Summary Report - 12 Months Endi'!FON2</f>
        <v>0</v>
      </c>
      <c r="FOP3">
        <f>'[12]Summary Report - 12 Months Endi'!FOO2</f>
        <v>0</v>
      </c>
      <c r="FOQ3">
        <f>'[12]Summary Report - 12 Months Endi'!FOP2</f>
        <v>0</v>
      </c>
      <c r="FOR3">
        <f>'[12]Summary Report - 12 Months Endi'!FOQ2</f>
        <v>0</v>
      </c>
      <c r="FOS3">
        <f>'[12]Summary Report - 12 Months Endi'!FOR2</f>
        <v>0</v>
      </c>
      <c r="FOT3">
        <f>'[12]Summary Report - 12 Months Endi'!FOS2</f>
        <v>0</v>
      </c>
      <c r="FOU3">
        <f>'[12]Summary Report - 12 Months Endi'!FOT2</f>
        <v>0</v>
      </c>
      <c r="FOV3">
        <f>'[12]Summary Report - 12 Months Endi'!FOU2</f>
        <v>0</v>
      </c>
      <c r="FOW3">
        <f>'[12]Summary Report - 12 Months Endi'!FOV2</f>
        <v>0</v>
      </c>
      <c r="FOX3">
        <f>'[12]Summary Report - 12 Months Endi'!FOW2</f>
        <v>0</v>
      </c>
      <c r="FOY3">
        <f>'[12]Summary Report - 12 Months Endi'!FOX2</f>
        <v>0</v>
      </c>
      <c r="FOZ3">
        <f>'[12]Summary Report - 12 Months Endi'!FOY2</f>
        <v>0</v>
      </c>
      <c r="FPA3">
        <f>'[12]Summary Report - 12 Months Endi'!FOZ2</f>
        <v>0</v>
      </c>
      <c r="FPB3">
        <f>'[12]Summary Report - 12 Months Endi'!FPA2</f>
        <v>0</v>
      </c>
      <c r="FPC3">
        <f>'[12]Summary Report - 12 Months Endi'!FPB2</f>
        <v>0</v>
      </c>
      <c r="FPD3">
        <f>'[12]Summary Report - 12 Months Endi'!FPC2</f>
        <v>0</v>
      </c>
      <c r="FPE3">
        <f>'[12]Summary Report - 12 Months Endi'!FPD2</f>
        <v>0</v>
      </c>
      <c r="FPF3">
        <f>'[12]Summary Report - 12 Months Endi'!FPE2</f>
        <v>0</v>
      </c>
      <c r="FPG3">
        <f>'[12]Summary Report - 12 Months Endi'!FPF2</f>
        <v>0</v>
      </c>
      <c r="FPH3">
        <f>'[12]Summary Report - 12 Months Endi'!FPG2</f>
        <v>0</v>
      </c>
      <c r="FPI3">
        <f>'[12]Summary Report - 12 Months Endi'!FPH2</f>
        <v>0</v>
      </c>
      <c r="FPJ3">
        <f>'[12]Summary Report - 12 Months Endi'!FPI2</f>
        <v>0</v>
      </c>
      <c r="FPK3">
        <f>'[12]Summary Report - 12 Months Endi'!FPJ2</f>
        <v>0</v>
      </c>
      <c r="FPL3">
        <f>'[12]Summary Report - 12 Months Endi'!FPK2</f>
        <v>0</v>
      </c>
      <c r="FPM3">
        <f>'[12]Summary Report - 12 Months Endi'!FPL2</f>
        <v>0</v>
      </c>
      <c r="FPN3">
        <f>'[12]Summary Report - 12 Months Endi'!FPM2</f>
        <v>0</v>
      </c>
      <c r="FPO3">
        <f>'[12]Summary Report - 12 Months Endi'!FPN2</f>
        <v>0</v>
      </c>
      <c r="FPP3">
        <f>'[12]Summary Report - 12 Months Endi'!FPO2</f>
        <v>0</v>
      </c>
      <c r="FPQ3">
        <f>'[12]Summary Report - 12 Months Endi'!FPP2</f>
        <v>0</v>
      </c>
      <c r="FPR3">
        <f>'[12]Summary Report - 12 Months Endi'!FPQ2</f>
        <v>0</v>
      </c>
      <c r="FPS3">
        <f>'[12]Summary Report - 12 Months Endi'!FPR2</f>
        <v>0</v>
      </c>
      <c r="FPT3">
        <f>'[12]Summary Report - 12 Months Endi'!FPS2</f>
        <v>0</v>
      </c>
      <c r="FPU3">
        <f>'[12]Summary Report - 12 Months Endi'!FPT2</f>
        <v>0</v>
      </c>
      <c r="FPV3">
        <f>'[12]Summary Report - 12 Months Endi'!FPU2</f>
        <v>0</v>
      </c>
      <c r="FPW3">
        <f>'[12]Summary Report - 12 Months Endi'!FPV2</f>
        <v>0</v>
      </c>
      <c r="FPX3">
        <f>'[12]Summary Report - 12 Months Endi'!FPW2</f>
        <v>0</v>
      </c>
      <c r="FPY3">
        <f>'[12]Summary Report - 12 Months Endi'!FPX2</f>
        <v>0</v>
      </c>
      <c r="FPZ3">
        <f>'[12]Summary Report - 12 Months Endi'!FPY2</f>
        <v>0</v>
      </c>
      <c r="FQA3">
        <f>'[12]Summary Report - 12 Months Endi'!FPZ2</f>
        <v>0</v>
      </c>
      <c r="FQB3">
        <f>'[12]Summary Report - 12 Months Endi'!FQA2</f>
        <v>0</v>
      </c>
      <c r="FQC3">
        <f>'[12]Summary Report - 12 Months Endi'!FQB2</f>
        <v>0</v>
      </c>
      <c r="FQD3">
        <f>'[12]Summary Report - 12 Months Endi'!FQC2</f>
        <v>0</v>
      </c>
      <c r="FQE3">
        <f>'[12]Summary Report - 12 Months Endi'!FQD2</f>
        <v>0</v>
      </c>
      <c r="FQF3">
        <f>'[12]Summary Report - 12 Months Endi'!FQE2</f>
        <v>0</v>
      </c>
      <c r="FQG3">
        <f>'[12]Summary Report - 12 Months Endi'!FQF2</f>
        <v>0</v>
      </c>
      <c r="FQH3">
        <f>'[12]Summary Report - 12 Months Endi'!FQG2</f>
        <v>0</v>
      </c>
      <c r="FQI3">
        <f>'[12]Summary Report - 12 Months Endi'!FQH2</f>
        <v>0</v>
      </c>
      <c r="FQJ3">
        <f>'[12]Summary Report - 12 Months Endi'!FQI2</f>
        <v>0</v>
      </c>
      <c r="FQK3">
        <f>'[12]Summary Report - 12 Months Endi'!FQJ2</f>
        <v>0</v>
      </c>
      <c r="FQL3">
        <f>'[12]Summary Report - 12 Months Endi'!FQK2</f>
        <v>0</v>
      </c>
      <c r="FQM3">
        <f>'[12]Summary Report - 12 Months Endi'!FQL2</f>
        <v>0</v>
      </c>
      <c r="FQN3">
        <f>'[12]Summary Report - 12 Months Endi'!FQM2</f>
        <v>0</v>
      </c>
      <c r="FQO3">
        <f>'[12]Summary Report - 12 Months Endi'!FQN2</f>
        <v>0</v>
      </c>
      <c r="FQP3">
        <f>'[12]Summary Report - 12 Months Endi'!FQO2</f>
        <v>0</v>
      </c>
      <c r="FQQ3">
        <f>'[12]Summary Report - 12 Months Endi'!FQP2</f>
        <v>0</v>
      </c>
      <c r="FQR3">
        <f>'[12]Summary Report - 12 Months Endi'!FQQ2</f>
        <v>0</v>
      </c>
      <c r="FQS3">
        <f>'[12]Summary Report - 12 Months Endi'!FQR2</f>
        <v>0</v>
      </c>
      <c r="FQT3">
        <f>'[12]Summary Report - 12 Months Endi'!FQS2</f>
        <v>0</v>
      </c>
      <c r="FQU3">
        <f>'[12]Summary Report - 12 Months Endi'!FQT2</f>
        <v>0</v>
      </c>
      <c r="FQV3">
        <f>'[12]Summary Report - 12 Months Endi'!FQU2</f>
        <v>0</v>
      </c>
      <c r="FQW3">
        <f>'[12]Summary Report - 12 Months Endi'!FQV2</f>
        <v>0</v>
      </c>
      <c r="FQX3">
        <f>'[12]Summary Report - 12 Months Endi'!FQW2</f>
        <v>0</v>
      </c>
      <c r="FQY3">
        <f>'[12]Summary Report - 12 Months Endi'!FQX2</f>
        <v>0</v>
      </c>
      <c r="FQZ3">
        <f>'[12]Summary Report - 12 Months Endi'!FQY2</f>
        <v>0</v>
      </c>
      <c r="FRA3">
        <f>'[12]Summary Report - 12 Months Endi'!FQZ2</f>
        <v>0</v>
      </c>
      <c r="FRB3">
        <f>'[12]Summary Report - 12 Months Endi'!FRA2</f>
        <v>0</v>
      </c>
      <c r="FRC3">
        <f>'[12]Summary Report - 12 Months Endi'!FRB2</f>
        <v>0</v>
      </c>
      <c r="FRD3">
        <f>'[12]Summary Report - 12 Months Endi'!FRC2</f>
        <v>0</v>
      </c>
      <c r="FRE3">
        <f>'[12]Summary Report - 12 Months Endi'!FRD2</f>
        <v>0</v>
      </c>
      <c r="FRF3">
        <f>'[12]Summary Report - 12 Months Endi'!FRE2</f>
        <v>0</v>
      </c>
      <c r="FRG3">
        <f>'[12]Summary Report - 12 Months Endi'!FRF2</f>
        <v>0</v>
      </c>
      <c r="FRH3">
        <f>'[12]Summary Report - 12 Months Endi'!FRG2</f>
        <v>0</v>
      </c>
      <c r="FRI3">
        <f>'[12]Summary Report - 12 Months Endi'!FRH2</f>
        <v>0</v>
      </c>
      <c r="FRJ3">
        <f>'[12]Summary Report - 12 Months Endi'!FRI2</f>
        <v>0</v>
      </c>
      <c r="FRK3">
        <f>'[12]Summary Report - 12 Months Endi'!FRJ2</f>
        <v>0</v>
      </c>
      <c r="FRL3">
        <f>'[12]Summary Report - 12 Months Endi'!FRK2</f>
        <v>0</v>
      </c>
      <c r="FRM3">
        <f>'[12]Summary Report - 12 Months Endi'!FRL2</f>
        <v>0</v>
      </c>
      <c r="FRN3">
        <f>'[12]Summary Report - 12 Months Endi'!FRM2</f>
        <v>0</v>
      </c>
      <c r="FRO3">
        <f>'[12]Summary Report - 12 Months Endi'!FRN2</f>
        <v>0</v>
      </c>
      <c r="FRP3">
        <f>'[12]Summary Report - 12 Months Endi'!FRO2</f>
        <v>0</v>
      </c>
      <c r="FRQ3">
        <f>'[12]Summary Report - 12 Months Endi'!FRP2</f>
        <v>0</v>
      </c>
      <c r="FRR3">
        <f>'[12]Summary Report - 12 Months Endi'!FRQ2</f>
        <v>0</v>
      </c>
      <c r="FRS3">
        <f>'[12]Summary Report - 12 Months Endi'!FRR2</f>
        <v>0</v>
      </c>
      <c r="FRT3">
        <f>'[12]Summary Report - 12 Months Endi'!FRS2</f>
        <v>0</v>
      </c>
      <c r="FRU3">
        <f>'[12]Summary Report - 12 Months Endi'!FRT2</f>
        <v>0</v>
      </c>
      <c r="FRV3">
        <f>'[12]Summary Report - 12 Months Endi'!FRU2</f>
        <v>0</v>
      </c>
      <c r="FRW3">
        <f>'[12]Summary Report - 12 Months Endi'!FRV2</f>
        <v>0</v>
      </c>
      <c r="FRX3">
        <f>'[12]Summary Report - 12 Months Endi'!FRW2</f>
        <v>0</v>
      </c>
      <c r="FRY3">
        <f>'[12]Summary Report - 12 Months Endi'!FRX2</f>
        <v>0</v>
      </c>
      <c r="FRZ3">
        <f>'[12]Summary Report - 12 Months Endi'!FRY2</f>
        <v>0</v>
      </c>
      <c r="FSA3">
        <f>'[12]Summary Report - 12 Months Endi'!FRZ2</f>
        <v>0</v>
      </c>
      <c r="FSB3">
        <f>'[12]Summary Report - 12 Months Endi'!FSA2</f>
        <v>0</v>
      </c>
      <c r="FSC3">
        <f>'[12]Summary Report - 12 Months Endi'!FSB2</f>
        <v>0</v>
      </c>
      <c r="FSD3">
        <f>'[12]Summary Report - 12 Months Endi'!FSC2</f>
        <v>0</v>
      </c>
      <c r="FSE3">
        <f>'[12]Summary Report - 12 Months Endi'!FSD2</f>
        <v>0</v>
      </c>
      <c r="FSF3">
        <f>'[12]Summary Report - 12 Months Endi'!FSE2</f>
        <v>0</v>
      </c>
      <c r="FSG3">
        <f>'[12]Summary Report - 12 Months Endi'!FSF2</f>
        <v>0</v>
      </c>
      <c r="FSH3">
        <f>'[12]Summary Report - 12 Months Endi'!FSG2</f>
        <v>0</v>
      </c>
      <c r="FSI3">
        <f>'[12]Summary Report - 12 Months Endi'!FSH2</f>
        <v>0</v>
      </c>
      <c r="FSJ3">
        <f>'[12]Summary Report - 12 Months Endi'!FSI2</f>
        <v>0</v>
      </c>
      <c r="FSK3">
        <f>'[12]Summary Report - 12 Months Endi'!FSJ2</f>
        <v>0</v>
      </c>
      <c r="FSL3">
        <f>'[12]Summary Report - 12 Months Endi'!FSK2</f>
        <v>0</v>
      </c>
      <c r="FSM3">
        <f>'[12]Summary Report - 12 Months Endi'!FSL2</f>
        <v>0</v>
      </c>
      <c r="FSN3">
        <f>'[12]Summary Report - 12 Months Endi'!FSM2</f>
        <v>0</v>
      </c>
      <c r="FSO3">
        <f>'[12]Summary Report - 12 Months Endi'!FSN2</f>
        <v>0</v>
      </c>
      <c r="FSP3">
        <f>'[12]Summary Report - 12 Months Endi'!FSO2</f>
        <v>0</v>
      </c>
      <c r="FSQ3">
        <f>'[12]Summary Report - 12 Months Endi'!FSP2</f>
        <v>0</v>
      </c>
      <c r="FSR3">
        <f>'[12]Summary Report - 12 Months Endi'!FSQ2</f>
        <v>0</v>
      </c>
      <c r="FSS3">
        <f>'[12]Summary Report - 12 Months Endi'!FSR2</f>
        <v>0</v>
      </c>
      <c r="FST3">
        <f>'[12]Summary Report - 12 Months Endi'!FSS2</f>
        <v>0</v>
      </c>
      <c r="FSU3">
        <f>'[12]Summary Report - 12 Months Endi'!FST2</f>
        <v>0</v>
      </c>
      <c r="FSV3">
        <f>'[12]Summary Report - 12 Months Endi'!FSU2</f>
        <v>0</v>
      </c>
      <c r="FSW3">
        <f>'[12]Summary Report - 12 Months Endi'!FSV2</f>
        <v>0</v>
      </c>
      <c r="FSX3">
        <f>'[12]Summary Report - 12 Months Endi'!FSW2</f>
        <v>0</v>
      </c>
      <c r="FSY3">
        <f>'[12]Summary Report - 12 Months Endi'!FSX2</f>
        <v>0</v>
      </c>
      <c r="FSZ3">
        <f>'[12]Summary Report - 12 Months Endi'!FSY2</f>
        <v>0</v>
      </c>
      <c r="FTA3">
        <f>'[12]Summary Report - 12 Months Endi'!FSZ2</f>
        <v>0</v>
      </c>
      <c r="FTB3">
        <f>'[12]Summary Report - 12 Months Endi'!FTA2</f>
        <v>0</v>
      </c>
      <c r="FTC3">
        <f>'[12]Summary Report - 12 Months Endi'!FTB2</f>
        <v>0</v>
      </c>
      <c r="FTD3">
        <f>'[12]Summary Report - 12 Months Endi'!FTC2</f>
        <v>0</v>
      </c>
      <c r="FTE3">
        <f>'[12]Summary Report - 12 Months Endi'!FTD2</f>
        <v>0</v>
      </c>
      <c r="FTF3">
        <f>'[12]Summary Report - 12 Months Endi'!FTE2</f>
        <v>0</v>
      </c>
      <c r="FTG3">
        <f>'[12]Summary Report - 12 Months Endi'!FTF2</f>
        <v>0</v>
      </c>
      <c r="FTH3">
        <f>'[12]Summary Report - 12 Months Endi'!FTG2</f>
        <v>0</v>
      </c>
      <c r="FTI3">
        <f>'[12]Summary Report - 12 Months Endi'!FTH2</f>
        <v>0</v>
      </c>
      <c r="FTJ3">
        <f>'[12]Summary Report - 12 Months Endi'!FTI2</f>
        <v>0</v>
      </c>
      <c r="FTK3">
        <f>'[12]Summary Report - 12 Months Endi'!FTJ2</f>
        <v>0</v>
      </c>
      <c r="FTL3">
        <f>'[12]Summary Report - 12 Months Endi'!FTK2</f>
        <v>0</v>
      </c>
      <c r="FTM3">
        <f>'[12]Summary Report - 12 Months Endi'!FTL2</f>
        <v>0</v>
      </c>
      <c r="FTN3">
        <f>'[12]Summary Report - 12 Months Endi'!FTM2</f>
        <v>0</v>
      </c>
      <c r="FTO3">
        <f>'[12]Summary Report - 12 Months Endi'!FTN2</f>
        <v>0</v>
      </c>
      <c r="FTP3">
        <f>'[12]Summary Report - 12 Months Endi'!FTO2</f>
        <v>0</v>
      </c>
      <c r="FTQ3">
        <f>'[12]Summary Report - 12 Months Endi'!FTP2</f>
        <v>0</v>
      </c>
      <c r="FTR3">
        <f>'[12]Summary Report - 12 Months Endi'!FTQ2</f>
        <v>0</v>
      </c>
      <c r="FTS3">
        <f>'[12]Summary Report - 12 Months Endi'!FTR2</f>
        <v>0</v>
      </c>
      <c r="FTT3">
        <f>'[12]Summary Report - 12 Months Endi'!FTS2</f>
        <v>0</v>
      </c>
      <c r="FTU3">
        <f>'[12]Summary Report - 12 Months Endi'!FTT2</f>
        <v>0</v>
      </c>
      <c r="FTV3">
        <f>'[12]Summary Report - 12 Months Endi'!FTU2</f>
        <v>0</v>
      </c>
      <c r="FTW3">
        <f>'[12]Summary Report - 12 Months Endi'!FTV2</f>
        <v>0</v>
      </c>
      <c r="FTX3">
        <f>'[12]Summary Report - 12 Months Endi'!FTW2</f>
        <v>0</v>
      </c>
      <c r="FTY3">
        <f>'[12]Summary Report - 12 Months Endi'!FTX2</f>
        <v>0</v>
      </c>
      <c r="FTZ3">
        <f>'[12]Summary Report - 12 Months Endi'!FTY2</f>
        <v>0</v>
      </c>
      <c r="FUA3">
        <f>'[12]Summary Report - 12 Months Endi'!FTZ2</f>
        <v>0</v>
      </c>
      <c r="FUB3">
        <f>'[12]Summary Report - 12 Months Endi'!FUA2</f>
        <v>0</v>
      </c>
      <c r="FUC3">
        <f>'[12]Summary Report - 12 Months Endi'!FUB2</f>
        <v>0</v>
      </c>
      <c r="FUD3">
        <f>'[12]Summary Report - 12 Months Endi'!FUC2</f>
        <v>0</v>
      </c>
      <c r="FUE3">
        <f>'[12]Summary Report - 12 Months Endi'!FUD2</f>
        <v>0</v>
      </c>
      <c r="FUF3">
        <f>'[12]Summary Report - 12 Months Endi'!FUE2</f>
        <v>0</v>
      </c>
      <c r="FUG3">
        <f>'[12]Summary Report - 12 Months Endi'!FUF2</f>
        <v>0</v>
      </c>
      <c r="FUH3">
        <f>'[12]Summary Report - 12 Months Endi'!FUG2</f>
        <v>0</v>
      </c>
      <c r="FUI3">
        <f>'[12]Summary Report - 12 Months Endi'!FUH2</f>
        <v>0</v>
      </c>
      <c r="FUJ3">
        <f>'[12]Summary Report - 12 Months Endi'!FUI2</f>
        <v>0</v>
      </c>
      <c r="FUK3">
        <f>'[12]Summary Report - 12 Months Endi'!FUJ2</f>
        <v>0</v>
      </c>
      <c r="FUL3">
        <f>'[12]Summary Report - 12 Months Endi'!FUK2</f>
        <v>0</v>
      </c>
      <c r="FUM3">
        <f>'[12]Summary Report - 12 Months Endi'!FUL2</f>
        <v>0</v>
      </c>
      <c r="FUN3">
        <f>'[12]Summary Report - 12 Months Endi'!FUM2</f>
        <v>0</v>
      </c>
      <c r="FUO3">
        <f>'[12]Summary Report - 12 Months Endi'!FUN2</f>
        <v>0</v>
      </c>
      <c r="FUP3">
        <f>'[12]Summary Report - 12 Months Endi'!FUO2</f>
        <v>0</v>
      </c>
      <c r="FUQ3">
        <f>'[12]Summary Report - 12 Months Endi'!FUP2</f>
        <v>0</v>
      </c>
      <c r="FUR3">
        <f>'[12]Summary Report - 12 Months Endi'!FUQ2</f>
        <v>0</v>
      </c>
      <c r="FUS3">
        <f>'[12]Summary Report - 12 Months Endi'!FUR2</f>
        <v>0</v>
      </c>
      <c r="FUT3">
        <f>'[12]Summary Report - 12 Months Endi'!FUS2</f>
        <v>0</v>
      </c>
      <c r="FUU3">
        <f>'[12]Summary Report - 12 Months Endi'!FUT2</f>
        <v>0</v>
      </c>
      <c r="FUV3">
        <f>'[12]Summary Report - 12 Months Endi'!FUU2</f>
        <v>0</v>
      </c>
      <c r="FUW3">
        <f>'[12]Summary Report - 12 Months Endi'!FUV2</f>
        <v>0</v>
      </c>
      <c r="FUX3">
        <f>'[12]Summary Report - 12 Months Endi'!FUW2</f>
        <v>0</v>
      </c>
      <c r="FUY3">
        <f>'[12]Summary Report - 12 Months Endi'!FUX2</f>
        <v>0</v>
      </c>
      <c r="FUZ3">
        <f>'[12]Summary Report - 12 Months Endi'!FUY2</f>
        <v>0</v>
      </c>
      <c r="FVA3">
        <f>'[12]Summary Report - 12 Months Endi'!FUZ2</f>
        <v>0</v>
      </c>
      <c r="FVB3">
        <f>'[12]Summary Report - 12 Months Endi'!FVA2</f>
        <v>0</v>
      </c>
      <c r="FVC3">
        <f>'[12]Summary Report - 12 Months Endi'!FVB2</f>
        <v>0</v>
      </c>
      <c r="FVD3">
        <f>'[12]Summary Report - 12 Months Endi'!FVC2</f>
        <v>0</v>
      </c>
      <c r="FVE3">
        <f>'[12]Summary Report - 12 Months Endi'!FVD2</f>
        <v>0</v>
      </c>
      <c r="FVF3">
        <f>'[12]Summary Report - 12 Months Endi'!FVE2</f>
        <v>0</v>
      </c>
      <c r="FVG3">
        <f>'[12]Summary Report - 12 Months Endi'!FVF2</f>
        <v>0</v>
      </c>
      <c r="FVH3">
        <f>'[12]Summary Report - 12 Months Endi'!FVG2</f>
        <v>0</v>
      </c>
      <c r="FVI3">
        <f>'[12]Summary Report - 12 Months Endi'!FVH2</f>
        <v>0</v>
      </c>
      <c r="FVJ3">
        <f>'[12]Summary Report - 12 Months Endi'!FVI2</f>
        <v>0</v>
      </c>
      <c r="FVK3">
        <f>'[12]Summary Report - 12 Months Endi'!FVJ2</f>
        <v>0</v>
      </c>
      <c r="FVL3">
        <f>'[12]Summary Report - 12 Months Endi'!FVK2</f>
        <v>0</v>
      </c>
      <c r="FVM3">
        <f>'[12]Summary Report - 12 Months Endi'!FVL2</f>
        <v>0</v>
      </c>
      <c r="FVN3">
        <f>'[12]Summary Report - 12 Months Endi'!FVM2</f>
        <v>0</v>
      </c>
      <c r="FVO3">
        <f>'[12]Summary Report - 12 Months Endi'!FVN2</f>
        <v>0</v>
      </c>
      <c r="FVP3">
        <f>'[12]Summary Report - 12 Months Endi'!FVO2</f>
        <v>0</v>
      </c>
      <c r="FVQ3">
        <f>'[12]Summary Report - 12 Months Endi'!FVP2</f>
        <v>0</v>
      </c>
      <c r="FVR3">
        <f>'[12]Summary Report - 12 Months Endi'!FVQ2</f>
        <v>0</v>
      </c>
      <c r="FVS3">
        <f>'[12]Summary Report - 12 Months Endi'!FVR2</f>
        <v>0</v>
      </c>
      <c r="FVT3">
        <f>'[12]Summary Report - 12 Months Endi'!FVS2</f>
        <v>0</v>
      </c>
      <c r="FVU3">
        <f>'[12]Summary Report - 12 Months Endi'!FVT2</f>
        <v>0</v>
      </c>
      <c r="FVV3">
        <f>'[12]Summary Report - 12 Months Endi'!FVU2</f>
        <v>0</v>
      </c>
      <c r="FVW3">
        <f>'[12]Summary Report - 12 Months Endi'!FVV2</f>
        <v>0</v>
      </c>
      <c r="FVX3">
        <f>'[12]Summary Report - 12 Months Endi'!FVW2</f>
        <v>0</v>
      </c>
      <c r="FVY3">
        <f>'[12]Summary Report - 12 Months Endi'!FVX2</f>
        <v>0</v>
      </c>
      <c r="FVZ3">
        <f>'[12]Summary Report - 12 Months Endi'!FVY2</f>
        <v>0</v>
      </c>
      <c r="FWA3">
        <f>'[12]Summary Report - 12 Months Endi'!FVZ2</f>
        <v>0</v>
      </c>
      <c r="FWB3">
        <f>'[12]Summary Report - 12 Months Endi'!FWA2</f>
        <v>0</v>
      </c>
      <c r="FWC3">
        <f>'[12]Summary Report - 12 Months Endi'!FWB2</f>
        <v>0</v>
      </c>
      <c r="FWD3">
        <f>'[12]Summary Report - 12 Months Endi'!FWC2</f>
        <v>0</v>
      </c>
      <c r="FWE3">
        <f>'[12]Summary Report - 12 Months Endi'!FWD2</f>
        <v>0</v>
      </c>
      <c r="FWF3">
        <f>'[12]Summary Report - 12 Months Endi'!FWE2</f>
        <v>0</v>
      </c>
      <c r="FWG3">
        <f>'[12]Summary Report - 12 Months Endi'!FWF2</f>
        <v>0</v>
      </c>
      <c r="FWH3">
        <f>'[12]Summary Report - 12 Months Endi'!FWG2</f>
        <v>0</v>
      </c>
      <c r="FWI3">
        <f>'[12]Summary Report - 12 Months Endi'!FWH2</f>
        <v>0</v>
      </c>
      <c r="FWJ3">
        <f>'[12]Summary Report - 12 Months Endi'!FWI2</f>
        <v>0</v>
      </c>
      <c r="FWK3">
        <f>'[12]Summary Report - 12 Months Endi'!FWJ2</f>
        <v>0</v>
      </c>
      <c r="FWL3">
        <f>'[12]Summary Report - 12 Months Endi'!FWK2</f>
        <v>0</v>
      </c>
      <c r="FWM3">
        <f>'[12]Summary Report - 12 Months Endi'!FWL2</f>
        <v>0</v>
      </c>
      <c r="FWN3">
        <f>'[12]Summary Report - 12 Months Endi'!FWM2</f>
        <v>0</v>
      </c>
      <c r="FWO3">
        <f>'[12]Summary Report - 12 Months Endi'!FWN2</f>
        <v>0</v>
      </c>
      <c r="FWP3">
        <f>'[12]Summary Report - 12 Months Endi'!FWO2</f>
        <v>0</v>
      </c>
      <c r="FWQ3">
        <f>'[12]Summary Report - 12 Months Endi'!FWP2</f>
        <v>0</v>
      </c>
      <c r="FWR3">
        <f>'[12]Summary Report - 12 Months Endi'!FWQ2</f>
        <v>0</v>
      </c>
      <c r="FWS3">
        <f>'[12]Summary Report - 12 Months Endi'!FWR2</f>
        <v>0</v>
      </c>
      <c r="FWT3">
        <f>'[12]Summary Report - 12 Months Endi'!FWS2</f>
        <v>0</v>
      </c>
      <c r="FWU3">
        <f>'[12]Summary Report - 12 Months Endi'!FWT2</f>
        <v>0</v>
      </c>
      <c r="FWV3">
        <f>'[12]Summary Report - 12 Months Endi'!FWU2</f>
        <v>0</v>
      </c>
      <c r="FWW3">
        <f>'[12]Summary Report - 12 Months Endi'!FWV2</f>
        <v>0</v>
      </c>
      <c r="FWX3">
        <f>'[12]Summary Report - 12 Months Endi'!FWW2</f>
        <v>0</v>
      </c>
      <c r="FWY3">
        <f>'[12]Summary Report - 12 Months Endi'!FWX2</f>
        <v>0</v>
      </c>
      <c r="FWZ3">
        <f>'[12]Summary Report - 12 Months Endi'!FWY2</f>
        <v>0</v>
      </c>
      <c r="FXA3">
        <f>'[12]Summary Report - 12 Months Endi'!FWZ2</f>
        <v>0</v>
      </c>
      <c r="FXB3">
        <f>'[12]Summary Report - 12 Months Endi'!FXA2</f>
        <v>0</v>
      </c>
      <c r="FXC3">
        <f>'[12]Summary Report - 12 Months Endi'!FXB2</f>
        <v>0</v>
      </c>
      <c r="FXD3">
        <f>'[12]Summary Report - 12 Months Endi'!FXC2</f>
        <v>0</v>
      </c>
      <c r="FXE3">
        <f>'[12]Summary Report - 12 Months Endi'!FXD2</f>
        <v>0</v>
      </c>
      <c r="FXF3">
        <f>'[12]Summary Report - 12 Months Endi'!FXE2</f>
        <v>0</v>
      </c>
      <c r="FXG3">
        <f>'[12]Summary Report - 12 Months Endi'!FXF2</f>
        <v>0</v>
      </c>
      <c r="FXH3">
        <f>'[12]Summary Report - 12 Months Endi'!FXG2</f>
        <v>0</v>
      </c>
      <c r="FXI3">
        <f>'[12]Summary Report - 12 Months Endi'!FXH2</f>
        <v>0</v>
      </c>
      <c r="FXJ3">
        <f>'[12]Summary Report - 12 Months Endi'!FXI2</f>
        <v>0</v>
      </c>
      <c r="FXK3">
        <f>'[12]Summary Report - 12 Months Endi'!FXJ2</f>
        <v>0</v>
      </c>
      <c r="FXL3">
        <f>'[12]Summary Report - 12 Months Endi'!FXK2</f>
        <v>0</v>
      </c>
      <c r="FXM3">
        <f>'[12]Summary Report - 12 Months Endi'!FXL2</f>
        <v>0</v>
      </c>
      <c r="FXN3">
        <f>'[12]Summary Report - 12 Months Endi'!FXM2</f>
        <v>0</v>
      </c>
      <c r="FXO3">
        <f>'[12]Summary Report - 12 Months Endi'!FXN2</f>
        <v>0</v>
      </c>
      <c r="FXP3">
        <f>'[12]Summary Report - 12 Months Endi'!FXO2</f>
        <v>0</v>
      </c>
      <c r="FXQ3">
        <f>'[12]Summary Report - 12 Months Endi'!FXP2</f>
        <v>0</v>
      </c>
      <c r="FXR3">
        <f>'[12]Summary Report - 12 Months Endi'!FXQ2</f>
        <v>0</v>
      </c>
      <c r="FXS3">
        <f>'[12]Summary Report - 12 Months Endi'!FXR2</f>
        <v>0</v>
      </c>
      <c r="FXT3">
        <f>'[12]Summary Report - 12 Months Endi'!FXS2</f>
        <v>0</v>
      </c>
      <c r="FXU3">
        <f>'[12]Summary Report - 12 Months Endi'!FXT2</f>
        <v>0</v>
      </c>
      <c r="FXV3">
        <f>'[12]Summary Report - 12 Months Endi'!FXU2</f>
        <v>0</v>
      </c>
      <c r="FXW3">
        <f>'[12]Summary Report - 12 Months Endi'!FXV2</f>
        <v>0</v>
      </c>
      <c r="FXX3">
        <f>'[12]Summary Report - 12 Months Endi'!FXW2</f>
        <v>0</v>
      </c>
      <c r="FXY3">
        <f>'[12]Summary Report - 12 Months Endi'!FXX2</f>
        <v>0</v>
      </c>
      <c r="FXZ3">
        <f>'[12]Summary Report - 12 Months Endi'!FXY2</f>
        <v>0</v>
      </c>
      <c r="FYA3">
        <f>'[12]Summary Report - 12 Months Endi'!FXZ2</f>
        <v>0</v>
      </c>
      <c r="FYB3">
        <f>'[12]Summary Report - 12 Months Endi'!FYA2</f>
        <v>0</v>
      </c>
      <c r="FYC3">
        <f>'[12]Summary Report - 12 Months Endi'!FYB2</f>
        <v>0</v>
      </c>
      <c r="FYD3">
        <f>'[12]Summary Report - 12 Months Endi'!FYC2</f>
        <v>0</v>
      </c>
      <c r="FYE3">
        <f>'[12]Summary Report - 12 Months Endi'!FYD2</f>
        <v>0</v>
      </c>
      <c r="FYF3">
        <f>'[12]Summary Report - 12 Months Endi'!FYE2</f>
        <v>0</v>
      </c>
      <c r="FYG3">
        <f>'[12]Summary Report - 12 Months Endi'!FYF2</f>
        <v>0</v>
      </c>
      <c r="FYH3">
        <f>'[12]Summary Report - 12 Months Endi'!FYG2</f>
        <v>0</v>
      </c>
      <c r="FYI3">
        <f>'[12]Summary Report - 12 Months Endi'!FYH2</f>
        <v>0</v>
      </c>
      <c r="FYJ3">
        <f>'[12]Summary Report - 12 Months Endi'!FYI2</f>
        <v>0</v>
      </c>
      <c r="FYK3">
        <f>'[12]Summary Report - 12 Months Endi'!FYJ2</f>
        <v>0</v>
      </c>
      <c r="FYL3">
        <f>'[12]Summary Report - 12 Months Endi'!FYK2</f>
        <v>0</v>
      </c>
      <c r="FYM3">
        <f>'[12]Summary Report - 12 Months Endi'!FYL2</f>
        <v>0</v>
      </c>
      <c r="FYN3">
        <f>'[12]Summary Report - 12 Months Endi'!FYM2</f>
        <v>0</v>
      </c>
      <c r="FYO3">
        <f>'[12]Summary Report - 12 Months Endi'!FYN2</f>
        <v>0</v>
      </c>
      <c r="FYP3">
        <f>'[12]Summary Report - 12 Months Endi'!FYO2</f>
        <v>0</v>
      </c>
      <c r="FYQ3">
        <f>'[12]Summary Report - 12 Months Endi'!FYP2</f>
        <v>0</v>
      </c>
      <c r="FYR3">
        <f>'[12]Summary Report - 12 Months Endi'!FYQ2</f>
        <v>0</v>
      </c>
      <c r="FYS3">
        <f>'[12]Summary Report - 12 Months Endi'!FYR2</f>
        <v>0</v>
      </c>
      <c r="FYT3">
        <f>'[12]Summary Report - 12 Months Endi'!FYS2</f>
        <v>0</v>
      </c>
      <c r="FYU3">
        <f>'[12]Summary Report - 12 Months Endi'!FYT2</f>
        <v>0</v>
      </c>
      <c r="FYV3">
        <f>'[12]Summary Report - 12 Months Endi'!FYU2</f>
        <v>0</v>
      </c>
      <c r="FYW3">
        <f>'[12]Summary Report - 12 Months Endi'!FYV2</f>
        <v>0</v>
      </c>
      <c r="FYX3">
        <f>'[12]Summary Report - 12 Months Endi'!FYW2</f>
        <v>0</v>
      </c>
      <c r="FYY3">
        <f>'[12]Summary Report - 12 Months Endi'!FYX2</f>
        <v>0</v>
      </c>
      <c r="FYZ3">
        <f>'[12]Summary Report - 12 Months Endi'!FYY2</f>
        <v>0</v>
      </c>
      <c r="FZA3">
        <f>'[12]Summary Report - 12 Months Endi'!FYZ2</f>
        <v>0</v>
      </c>
      <c r="FZB3">
        <f>'[12]Summary Report - 12 Months Endi'!FZA2</f>
        <v>0</v>
      </c>
      <c r="FZC3">
        <f>'[12]Summary Report - 12 Months Endi'!FZB2</f>
        <v>0</v>
      </c>
      <c r="FZD3">
        <f>'[12]Summary Report - 12 Months Endi'!FZC2</f>
        <v>0</v>
      </c>
      <c r="FZE3">
        <f>'[12]Summary Report - 12 Months Endi'!FZD2</f>
        <v>0</v>
      </c>
      <c r="FZF3">
        <f>'[12]Summary Report - 12 Months Endi'!FZE2</f>
        <v>0</v>
      </c>
      <c r="FZG3">
        <f>'[12]Summary Report - 12 Months Endi'!FZF2</f>
        <v>0</v>
      </c>
      <c r="FZH3">
        <f>'[12]Summary Report - 12 Months Endi'!FZG2</f>
        <v>0</v>
      </c>
      <c r="FZI3">
        <f>'[12]Summary Report - 12 Months Endi'!FZH2</f>
        <v>0</v>
      </c>
      <c r="FZJ3">
        <f>'[12]Summary Report - 12 Months Endi'!FZI2</f>
        <v>0</v>
      </c>
      <c r="FZK3">
        <f>'[12]Summary Report - 12 Months Endi'!FZJ2</f>
        <v>0</v>
      </c>
      <c r="FZL3">
        <f>'[12]Summary Report - 12 Months Endi'!FZK2</f>
        <v>0</v>
      </c>
      <c r="FZM3">
        <f>'[12]Summary Report - 12 Months Endi'!FZL2</f>
        <v>0</v>
      </c>
      <c r="FZN3">
        <f>'[12]Summary Report - 12 Months Endi'!FZM2</f>
        <v>0</v>
      </c>
      <c r="FZO3">
        <f>'[12]Summary Report - 12 Months Endi'!FZN2</f>
        <v>0</v>
      </c>
      <c r="FZP3">
        <f>'[12]Summary Report - 12 Months Endi'!FZO2</f>
        <v>0</v>
      </c>
      <c r="FZQ3">
        <f>'[12]Summary Report - 12 Months Endi'!FZP2</f>
        <v>0</v>
      </c>
      <c r="FZR3">
        <f>'[12]Summary Report - 12 Months Endi'!FZQ2</f>
        <v>0</v>
      </c>
      <c r="FZS3">
        <f>'[12]Summary Report - 12 Months Endi'!FZR2</f>
        <v>0</v>
      </c>
      <c r="FZT3">
        <f>'[12]Summary Report - 12 Months Endi'!FZS2</f>
        <v>0</v>
      </c>
      <c r="FZU3">
        <f>'[12]Summary Report - 12 Months Endi'!FZT2</f>
        <v>0</v>
      </c>
      <c r="FZV3">
        <f>'[12]Summary Report - 12 Months Endi'!FZU2</f>
        <v>0</v>
      </c>
      <c r="FZW3">
        <f>'[12]Summary Report - 12 Months Endi'!FZV2</f>
        <v>0</v>
      </c>
      <c r="FZX3">
        <f>'[12]Summary Report - 12 Months Endi'!FZW2</f>
        <v>0</v>
      </c>
      <c r="FZY3">
        <f>'[12]Summary Report - 12 Months Endi'!FZX2</f>
        <v>0</v>
      </c>
      <c r="FZZ3">
        <f>'[12]Summary Report - 12 Months Endi'!FZY2</f>
        <v>0</v>
      </c>
      <c r="GAA3">
        <f>'[12]Summary Report - 12 Months Endi'!FZZ2</f>
        <v>0</v>
      </c>
      <c r="GAB3">
        <f>'[12]Summary Report - 12 Months Endi'!GAA2</f>
        <v>0</v>
      </c>
      <c r="GAC3">
        <f>'[12]Summary Report - 12 Months Endi'!GAB2</f>
        <v>0</v>
      </c>
      <c r="GAD3">
        <f>'[12]Summary Report - 12 Months Endi'!GAC2</f>
        <v>0</v>
      </c>
      <c r="GAE3">
        <f>'[12]Summary Report - 12 Months Endi'!GAD2</f>
        <v>0</v>
      </c>
      <c r="GAF3">
        <f>'[12]Summary Report - 12 Months Endi'!GAE2</f>
        <v>0</v>
      </c>
      <c r="GAG3">
        <f>'[12]Summary Report - 12 Months Endi'!GAF2</f>
        <v>0</v>
      </c>
      <c r="GAH3">
        <f>'[12]Summary Report - 12 Months Endi'!GAG2</f>
        <v>0</v>
      </c>
      <c r="GAI3">
        <f>'[12]Summary Report - 12 Months Endi'!GAH2</f>
        <v>0</v>
      </c>
      <c r="GAJ3">
        <f>'[12]Summary Report - 12 Months Endi'!GAI2</f>
        <v>0</v>
      </c>
      <c r="GAK3">
        <f>'[12]Summary Report - 12 Months Endi'!GAJ2</f>
        <v>0</v>
      </c>
      <c r="GAL3">
        <f>'[12]Summary Report - 12 Months Endi'!GAK2</f>
        <v>0</v>
      </c>
      <c r="GAM3">
        <f>'[12]Summary Report - 12 Months Endi'!GAL2</f>
        <v>0</v>
      </c>
      <c r="GAN3">
        <f>'[12]Summary Report - 12 Months Endi'!GAM2</f>
        <v>0</v>
      </c>
      <c r="GAO3">
        <f>'[12]Summary Report - 12 Months Endi'!GAN2</f>
        <v>0</v>
      </c>
      <c r="GAP3">
        <f>'[12]Summary Report - 12 Months Endi'!GAO2</f>
        <v>0</v>
      </c>
      <c r="GAQ3">
        <f>'[12]Summary Report - 12 Months Endi'!GAP2</f>
        <v>0</v>
      </c>
      <c r="GAR3">
        <f>'[12]Summary Report - 12 Months Endi'!GAQ2</f>
        <v>0</v>
      </c>
      <c r="GAS3">
        <f>'[12]Summary Report - 12 Months Endi'!GAR2</f>
        <v>0</v>
      </c>
      <c r="GAT3">
        <f>'[12]Summary Report - 12 Months Endi'!GAS2</f>
        <v>0</v>
      </c>
      <c r="GAU3">
        <f>'[12]Summary Report - 12 Months Endi'!GAT2</f>
        <v>0</v>
      </c>
      <c r="GAV3">
        <f>'[12]Summary Report - 12 Months Endi'!GAU2</f>
        <v>0</v>
      </c>
      <c r="GAW3">
        <f>'[12]Summary Report - 12 Months Endi'!GAV2</f>
        <v>0</v>
      </c>
      <c r="GAX3">
        <f>'[12]Summary Report - 12 Months Endi'!GAW2</f>
        <v>0</v>
      </c>
      <c r="GAY3">
        <f>'[12]Summary Report - 12 Months Endi'!GAX2</f>
        <v>0</v>
      </c>
      <c r="GAZ3">
        <f>'[12]Summary Report - 12 Months Endi'!GAY2</f>
        <v>0</v>
      </c>
      <c r="GBA3">
        <f>'[12]Summary Report - 12 Months Endi'!GAZ2</f>
        <v>0</v>
      </c>
      <c r="GBB3">
        <f>'[12]Summary Report - 12 Months Endi'!GBA2</f>
        <v>0</v>
      </c>
      <c r="GBC3">
        <f>'[12]Summary Report - 12 Months Endi'!GBB2</f>
        <v>0</v>
      </c>
      <c r="GBD3">
        <f>'[12]Summary Report - 12 Months Endi'!GBC2</f>
        <v>0</v>
      </c>
      <c r="GBE3">
        <f>'[12]Summary Report - 12 Months Endi'!GBD2</f>
        <v>0</v>
      </c>
      <c r="GBF3">
        <f>'[12]Summary Report - 12 Months Endi'!GBE2</f>
        <v>0</v>
      </c>
      <c r="GBG3">
        <f>'[12]Summary Report - 12 Months Endi'!GBF2</f>
        <v>0</v>
      </c>
      <c r="GBH3">
        <f>'[12]Summary Report - 12 Months Endi'!GBG2</f>
        <v>0</v>
      </c>
      <c r="GBI3">
        <f>'[12]Summary Report - 12 Months Endi'!GBH2</f>
        <v>0</v>
      </c>
      <c r="GBJ3">
        <f>'[12]Summary Report - 12 Months Endi'!GBI2</f>
        <v>0</v>
      </c>
      <c r="GBK3">
        <f>'[12]Summary Report - 12 Months Endi'!GBJ2</f>
        <v>0</v>
      </c>
      <c r="GBL3">
        <f>'[12]Summary Report - 12 Months Endi'!GBK2</f>
        <v>0</v>
      </c>
      <c r="GBM3">
        <f>'[12]Summary Report - 12 Months Endi'!GBL2</f>
        <v>0</v>
      </c>
      <c r="GBN3">
        <f>'[12]Summary Report - 12 Months Endi'!GBM2</f>
        <v>0</v>
      </c>
      <c r="GBO3">
        <f>'[12]Summary Report - 12 Months Endi'!GBN2</f>
        <v>0</v>
      </c>
      <c r="GBP3">
        <f>'[12]Summary Report - 12 Months Endi'!GBO2</f>
        <v>0</v>
      </c>
      <c r="GBQ3">
        <f>'[12]Summary Report - 12 Months Endi'!GBP2</f>
        <v>0</v>
      </c>
      <c r="GBR3">
        <f>'[12]Summary Report - 12 Months Endi'!GBQ2</f>
        <v>0</v>
      </c>
      <c r="GBS3">
        <f>'[12]Summary Report - 12 Months Endi'!GBR2</f>
        <v>0</v>
      </c>
      <c r="GBT3">
        <f>'[12]Summary Report - 12 Months Endi'!GBS2</f>
        <v>0</v>
      </c>
      <c r="GBU3">
        <f>'[12]Summary Report - 12 Months Endi'!GBT2</f>
        <v>0</v>
      </c>
      <c r="GBV3">
        <f>'[12]Summary Report - 12 Months Endi'!GBU2</f>
        <v>0</v>
      </c>
      <c r="GBW3">
        <f>'[12]Summary Report - 12 Months Endi'!GBV2</f>
        <v>0</v>
      </c>
      <c r="GBX3">
        <f>'[12]Summary Report - 12 Months Endi'!GBW2</f>
        <v>0</v>
      </c>
      <c r="GBY3">
        <f>'[12]Summary Report - 12 Months Endi'!GBX2</f>
        <v>0</v>
      </c>
      <c r="GBZ3">
        <f>'[12]Summary Report - 12 Months Endi'!GBY2</f>
        <v>0</v>
      </c>
      <c r="GCA3">
        <f>'[12]Summary Report - 12 Months Endi'!GBZ2</f>
        <v>0</v>
      </c>
      <c r="GCB3">
        <f>'[12]Summary Report - 12 Months Endi'!GCA2</f>
        <v>0</v>
      </c>
      <c r="GCC3">
        <f>'[12]Summary Report - 12 Months Endi'!GCB2</f>
        <v>0</v>
      </c>
      <c r="GCD3">
        <f>'[12]Summary Report - 12 Months Endi'!GCC2</f>
        <v>0</v>
      </c>
      <c r="GCE3">
        <f>'[12]Summary Report - 12 Months Endi'!GCD2</f>
        <v>0</v>
      </c>
      <c r="GCF3">
        <f>'[12]Summary Report - 12 Months Endi'!GCE2</f>
        <v>0</v>
      </c>
      <c r="GCG3">
        <f>'[12]Summary Report - 12 Months Endi'!GCF2</f>
        <v>0</v>
      </c>
      <c r="GCH3">
        <f>'[12]Summary Report - 12 Months Endi'!GCG2</f>
        <v>0</v>
      </c>
      <c r="GCI3">
        <f>'[12]Summary Report - 12 Months Endi'!GCH2</f>
        <v>0</v>
      </c>
      <c r="GCJ3">
        <f>'[12]Summary Report - 12 Months Endi'!GCI2</f>
        <v>0</v>
      </c>
      <c r="GCK3">
        <f>'[12]Summary Report - 12 Months Endi'!GCJ2</f>
        <v>0</v>
      </c>
      <c r="GCL3">
        <f>'[12]Summary Report - 12 Months Endi'!GCK2</f>
        <v>0</v>
      </c>
      <c r="GCM3">
        <f>'[12]Summary Report - 12 Months Endi'!GCL2</f>
        <v>0</v>
      </c>
      <c r="GCN3">
        <f>'[12]Summary Report - 12 Months Endi'!GCM2</f>
        <v>0</v>
      </c>
      <c r="GCO3">
        <f>'[12]Summary Report - 12 Months Endi'!GCN2</f>
        <v>0</v>
      </c>
      <c r="GCP3">
        <f>'[12]Summary Report - 12 Months Endi'!GCO2</f>
        <v>0</v>
      </c>
      <c r="GCQ3">
        <f>'[12]Summary Report - 12 Months Endi'!GCP2</f>
        <v>0</v>
      </c>
      <c r="GCR3">
        <f>'[12]Summary Report - 12 Months Endi'!GCQ2</f>
        <v>0</v>
      </c>
      <c r="GCS3">
        <f>'[12]Summary Report - 12 Months Endi'!GCR2</f>
        <v>0</v>
      </c>
      <c r="GCT3">
        <f>'[12]Summary Report - 12 Months Endi'!GCS2</f>
        <v>0</v>
      </c>
      <c r="GCU3">
        <f>'[12]Summary Report - 12 Months Endi'!GCT2</f>
        <v>0</v>
      </c>
      <c r="GCV3">
        <f>'[12]Summary Report - 12 Months Endi'!GCU2</f>
        <v>0</v>
      </c>
      <c r="GCW3">
        <f>'[12]Summary Report - 12 Months Endi'!GCV2</f>
        <v>0</v>
      </c>
      <c r="GCX3">
        <f>'[12]Summary Report - 12 Months Endi'!GCW2</f>
        <v>0</v>
      </c>
      <c r="GCY3">
        <f>'[12]Summary Report - 12 Months Endi'!GCX2</f>
        <v>0</v>
      </c>
      <c r="GCZ3">
        <f>'[12]Summary Report - 12 Months Endi'!GCY2</f>
        <v>0</v>
      </c>
      <c r="GDA3">
        <f>'[12]Summary Report - 12 Months Endi'!GCZ2</f>
        <v>0</v>
      </c>
      <c r="GDB3">
        <f>'[12]Summary Report - 12 Months Endi'!GDA2</f>
        <v>0</v>
      </c>
      <c r="GDC3">
        <f>'[12]Summary Report - 12 Months Endi'!GDB2</f>
        <v>0</v>
      </c>
      <c r="GDD3">
        <f>'[12]Summary Report - 12 Months Endi'!GDC2</f>
        <v>0</v>
      </c>
      <c r="GDE3">
        <f>'[12]Summary Report - 12 Months Endi'!GDD2</f>
        <v>0</v>
      </c>
      <c r="GDF3">
        <f>'[12]Summary Report - 12 Months Endi'!GDE2</f>
        <v>0</v>
      </c>
      <c r="GDG3">
        <f>'[12]Summary Report - 12 Months Endi'!GDF2</f>
        <v>0</v>
      </c>
      <c r="GDH3">
        <f>'[12]Summary Report - 12 Months Endi'!GDG2</f>
        <v>0</v>
      </c>
      <c r="GDI3">
        <f>'[12]Summary Report - 12 Months Endi'!GDH2</f>
        <v>0</v>
      </c>
      <c r="GDJ3">
        <f>'[12]Summary Report - 12 Months Endi'!GDI2</f>
        <v>0</v>
      </c>
      <c r="GDK3">
        <f>'[12]Summary Report - 12 Months Endi'!GDJ2</f>
        <v>0</v>
      </c>
      <c r="GDL3">
        <f>'[12]Summary Report - 12 Months Endi'!GDK2</f>
        <v>0</v>
      </c>
      <c r="GDM3">
        <f>'[12]Summary Report - 12 Months Endi'!GDL2</f>
        <v>0</v>
      </c>
      <c r="GDN3">
        <f>'[12]Summary Report - 12 Months Endi'!GDM2</f>
        <v>0</v>
      </c>
      <c r="GDO3">
        <f>'[12]Summary Report - 12 Months Endi'!GDN2</f>
        <v>0</v>
      </c>
      <c r="GDP3">
        <f>'[12]Summary Report - 12 Months Endi'!GDO2</f>
        <v>0</v>
      </c>
      <c r="GDQ3">
        <f>'[12]Summary Report - 12 Months Endi'!GDP2</f>
        <v>0</v>
      </c>
      <c r="GDR3">
        <f>'[12]Summary Report - 12 Months Endi'!GDQ2</f>
        <v>0</v>
      </c>
      <c r="GDS3">
        <f>'[12]Summary Report - 12 Months Endi'!GDR2</f>
        <v>0</v>
      </c>
      <c r="GDT3">
        <f>'[12]Summary Report - 12 Months Endi'!GDS2</f>
        <v>0</v>
      </c>
      <c r="GDU3">
        <f>'[12]Summary Report - 12 Months Endi'!GDT2</f>
        <v>0</v>
      </c>
      <c r="GDV3">
        <f>'[12]Summary Report - 12 Months Endi'!GDU2</f>
        <v>0</v>
      </c>
      <c r="GDW3">
        <f>'[12]Summary Report - 12 Months Endi'!GDV2</f>
        <v>0</v>
      </c>
      <c r="GDX3">
        <f>'[12]Summary Report - 12 Months Endi'!GDW2</f>
        <v>0</v>
      </c>
      <c r="GDY3">
        <f>'[12]Summary Report - 12 Months Endi'!GDX2</f>
        <v>0</v>
      </c>
      <c r="GDZ3">
        <f>'[12]Summary Report - 12 Months Endi'!GDY2</f>
        <v>0</v>
      </c>
      <c r="GEA3">
        <f>'[12]Summary Report - 12 Months Endi'!GDZ2</f>
        <v>0</v>
      </c>
      <c r="GEB3">
        <f>'[12]Summary Report - 12 Months Endi'!GEA2</f>
        <v>0</v>
      </c>
      <c r="GEC3">
        <f>'[12]Summary Report - 12 Months Endi'!GEB2</f>
        <v>0</v>
      </c>
      <c r="GED3">
        <f>'[12]Summary Report - 12 Months Endi'!GEC2</f>
        <v>0</v>
      </c>
      <c r="GEE3">
        <f>'[12]Summary Report - 12 Months Endi'!GED2</f>
        <v>0</v>
      </c>
      <c r="GEF3">
        <f>'[12]Summary Report - 12 Months Endi'!GEE2</f>
        <v>0</v>
      </c>
      <c r="GEG3">
        <f>'[12]Summary Report - 12 Months Endi'!GEF2</f>
        <v>0</v>
      </c>
      <c r="GEH3">
        <f>'[12]Summary Report - 12 Months Endi'!GEG2</f>
        <v>0</v>
      </c>
      <c r="GEI3">
        <f>'[12]Summary Report - 12 Months Endi'!GEH2</f>
        <v>0</v>
      </c>
      <c r="GEJ3">
        <f>'[12]Summary Report - 12 Months Endi'!GEI2</f>
        <v>0</v>
      </c>
      <c r="GEK3">
        <f>'[12]Summary Report - 12 Months Endi'!GEJ2</f>
        <v>0</v>
      </c>
      <c r="GEL3">
        <f>'[12]Summary Report - 12 Months Endi'!GEK2</f>
        <v>0</v>
      </c>
      <c r="GEM3">
        <f>'[12]Summary Report - 12 Months Endi'!GEL2</f>
        <v>0</v>
      </c>
      <c r="GEN3">
        <f>'[12]Summary Report - 12 Months Endi'!GEM2</f>
        <v>0</v>
      </c>
      <c r="GEO3">
        <f>'[12]Summary Report - 12 Months Endi'!GEN2</f>
        <v>0</v>
      </c>
      <c r="GEP3">
        <f>'[12]Summary Report - 12 Months Endi'!GEO2</f>
        <v>0</v>
      </c>
      <c r="GEQ3">
        <f>'[12]Summary Report - 12 Months Endi'!GEP2</f>
        <v>0</v>
      </c>
      <c r="GER3">
        <f>'[12]Summary Report - 12 Months Endi'!GEQ2</f>
        <v>0</v>
      </c>
      <c r="GES3">
        <f>'[12]Summary Report - 12 Months Endi'!GER2</f>
        <v>0</v>
      </c>
      <c r="GET3">
        <f>'[12]Summary Report - 12 Months Endi'!GES2</f>
        <v>0</v>
      </c>
      <c r="GEU3">
        <f>'[12]Summary Report - 12 Months Endi'!GET2</f>
        <v>0</v>
      </c>
      <c r="GEV3">
        <f>'[12]Summary Report - 12 Months Endi'!GEU2</f>
        <v>0</v>
      </c>
      <c r="GEW3">
        <f>'[12]Summary Report - 12 Months Endi'!GEV2</f>
        <v>0</v>
      </c>
      <c r="GEX3">
        <f>'[12]Summary Report - 12 Months Endi'!GEW2</f>
        <v>0</v>
      </c>
      <c r="GEY3">
        <f>'[12]Summary Report - 12 Months Endi'!GEX2</f>
        <v>0</v>
      </c>
      <c r="GEZ3">
        <f>'[12]Summary Report - 12 Months Endi'!GEY2</f>
        <v>0</v>
      </c>
      <c r="GFA3">
        <f>'[12]Summary Report - 12 Months Endi'!GEZ2</f>
        <v>0</v>
      </c>
      <c r="GFB3">
        <f>'[12]Summary Report - 12 Months Endi'!GFA2</f>
        <v>0</v>
      </c>
      <c r="GFC3">
        <f>'[12]Summary Report - 12 Months Endi'!GFB2</f>
        <v>0</v>
      </c>
      <c r="GFD3">
        <f>'[12]Summary Report - 12 Months Endi'!GFC2</f>
        <v>0</v>
      </c>
      <c r="GFE3">
        <f>'[12]Summary Report - 12 Months Endi'!GFD2</f>
        <v>0</v>
      </c>
      <c r="GFF3">
        <f>'[12]Summary Report - 12 Months Endi'!GFE2</f>
        <v>0</v>
      </c>
      <c r="GFG3">
        <f>'[12]Summary Report - 12 Months Endi'!GFF2</f>
        <v>0</v>
      </c>
      <c r="GFH3">
        <f>'[12]Summary Report - 12 Months Endi'!GFG2</f>
        <v>0</v>
      </c>
      <c r="GFI3">
        <f>'[12]Summary Report - 12 Months Endi'!GFH2</f>
        <v>0</v>
      </c>
      <c r="GFJ3">
        <f>'[12]Summary Report - 12 Months Endi'!GFI2</f>
        <v>0</v>
      </c>
      <c r="GFK3">
        <f>'[12]Summary Report - 12 Months Endi'!GFJ2</f>
        <v>0</v>
      </c>
      <c r="GFL3">
        <f>'[12]Summary Report - 12 Months Endi'!GFK2</f>
        <v>0</v>
      </c>
      <c r="GFM3">
        <f>'[12]Summary Report - 12 Months Endi'!GFL2</f>
        <v>0</v>
      </c>
      <c r="GFN3">
        <f>'[12]Summary Report - 12 Months Endi'!GFM2</f>
        <v>0</v>
      </c>
      <c r="GFO3">
        <f>'[12]Summary Report - 12 Months Endi'!GFN2</f>
        <v>0</v>
      </c>
      <c r="GFP3">
        <f>'[12]Summary Report - 12 Months Endi'!GFO2</f>
        <v>0</v>
      </c>
      <c r="GFQ3">
        <f>'[12]Summary Report - 12 Months Endi'!GFP2</f>
        <v>0</v>
      </c>
      <c r="GFR3">
        <f>'[12]Summary Report - 12 Months Endi'!GFQ2</f>
        <v>0</v>
      </c>
      <c r="GFS3">
        <f>'[12]Summary Report - 12 Months Endi'!GFR2</f>
        <v>0</v>
      </c>
      <c r="GFT3">
        <f>'[12]Summary Report - 12 Months Endi'!GFS2</f>
        <v>0</v>
      </c>
      <c r="GFU3">
        <f>'[12]Summary Report - 12 Months Endi'!GFT2</f>
        <v>0</v>
      </c>
      <c r="GFV3">
        <f>'[12]Summary Report - 12 Months Endi'!GFU2</f>
        <v>0</v>
      </c>
      <c r="GFW3">
        <f>'[12]Summary Report - 12 Months Endi'!GFV2</f>
        <v>0</v>
      </c>
      <c r="GFX3">
        <f>'[12]Summary Report - 12 Months Endi'!GFW2</f>
        <v>0</v>
      </c>
      <c r="GFY3">
        <f>'[12]Summary Report - 12 Months Endi'!GFX2</f>
        <v>0</v>
      </c>
      <c r="GFZ3">
        <f>'[12]Summary Report - 12 Months Endi'!GFY2</f>
        <v>0</v>
      </c>
      <c r="GGA3">
        <f>'[12]Summary Report - 12 Months Endi'!GFZ2</f>
        <v>0</v>
      </c>
      <c r="GGB3">
        <f>'[12]Summary Report - 12 Months Endi'!GGA2</f>
        <v>0</v>
      </c>
      <c r="GGC3">
        <f>'[12]Summary Report - 12 Months Endi'!GGB2</f>
        <v>0</v>
      </c>
      <c r="GGD3">
        <f>'[12]Summary Report - 12 Months Endi'!GGC2</f>
        <v>0</v>
      </c>
      <c r="GGE3">
        <f>'[12]Summary Report - 12 Months Endi'!GGD2</f>
        <v>0</v>
      </c>
      <c r="GGF3">
        <f>'[12]Summary Report - 12 Months Endi'!GGE2</f>
        <v>0</v>
      </c>
      <c r="GGG3">
        <f>'[12]Summary Report - 12 Months Endi'!GGF2</f>
        <v>0</v>
      </c>
      <c r="GGH3">
        <f>'[12]Summary Report - 12 Months Endi'!GGG2</f>
        <v>0</v>
      </c>
      <c r="GGI3">
        <f>'[12]Summary Report - 12 Months Endi'!GGH2</f>
        <v>0</v>
      </c>
      <c r="GGJ3">
        <f>'[12]Summary Report - 12 Months Endi'!GGI2</f>
        <v>0</v>
      </c>
      <c r="GGK3">
        <f>'[12]Summary Report - 12 Months Endi'!GGJ2</f>
        <v>0</v>
      </c>
      <c r="GGL3">
        <f>'[12]Summary Report - 12 Months Endi'!GGK2</f>
        <v>0</v>
      </c>
      <c r="GGM3">
        <f>'[12]Summary Report - 12 Months Endi'!GGL2</f>
        <v>0</v>
      </c>
      <c r="GGN3">
        <f>'[12]Summary Report - 12 Months Endi'!GGM2</f>
        <v>0</v>
      </c>
      <c r="GGO3">
        <f>'[12]Summary Report - 12 Months Endi'!GGN2</f>
        <v>0</v>
      </c>
      <c r="GGP3">
        <f>'[12]Summary Report - 12 Months Endi'!GGO2</f>
        <v>0</v>
      </c>
      <c r="GGQ3">
        <f>'[12]Summary Report - 12 Months Endi'!GGP2</f>
        <v>0</v>
      </c>
      <c r="GGR3">
        <f>'[12]Summary Report - 12 Months Endi'!GGQ2</f>
        <v>0</v>
      </c>
      <c r="GGS3">
        <f>'[12]Summary Report - 12 Months Endi'!GGR2</f>
        <v>0</v>
      </c>
      <c r="GGT3">
        <f>'[12]Summary Report - 12 Months Endi'!GGS2</f>
        <v>0</v>
      </c>
      <c r="GGU3">
        <f>'[12]Summary Report - 12 Months Endi'!GGT2</f>
        <v>0</v>
      </c>
      <c r="GGV3">
        <f>'[12]Summary Report - 12 Months Endi'!GGU2</f>
        <v>0</v>
      </c>
      <c r="GGW3">
        <f>'[12]Summary Report - 12 Months Endi'!GGV2</f>
        <v>0</v>
      </c>
      <c r="GGX3">
        <f>'[12]Summary Report - 12 Months Endi'!GGW2</f>
        <v>0</v>
      </c>
      <c r="GGY3">
        <f>'[12]Summary Report - 12 Months Endi'!GGX2</f>
        <v>0</v>
      </c>
      <c r="GGZ3">
        <f>'[12]Summary Report - 12 Months Endi'!GGY2</f>
        <v>0</v>
      </c>
      <c r="GHA3">
        <f>'[12]Summary Report - 12 Months Endi'!GGZ2</f>
        <v>0</v>
      </c>
      <c r="GHB3">
        <f>'[12]Summary Report - 12 Months Endi'!GHA2</f>
        <v>0</v>
      </c>
      <c r="GHC3">
        <f>'[12]Summary Report - 12 Months Endi'!GHB2</f>
        <v>0</v>
      </c>
      <c r="GHD3">
        <f>'[12]Summary Report - 12 Months Endi'!GHC2</f>
        <v>0</v>
      </c>
      <c r="GHE3">
        <f>'[12]Summary Report - 12 Months Endi'!GHD2</f>
        <v>0</v>
      </c>
      <c r="GHF3">
        <f>'[12]Summary Report - 12 Months Endi'!GHE2</f>
        <v>0</v>
      </c>
      <c r="GHG3">
        <f>'[12]Summary Report - 12 Months Endi'!GHF2</f>
        <v>0</v>
      </c>
      <c r="GHH3">
        <f>'[12]Summary Report - 12 Months Endi'!GHG2</f>
        <v>0</v>
      </c>
      <c r="GHI3">
        <f>'[12]Summary Report - 12 Months Endi'!GHH2</f>
        <v>0</v>
      </c>
      <c r="GHJ3">
        <f>'[12]Summary Report - 12 Months Endi'!GHI2</f>
        <v>0</v>
      </c>
      <c r="GHK3">
        <f>'[12]Summary Report - 12 Months Endi'!GHJ2</f>
        <v>0</v>
      </c>
      <c r="GHL3">
        <f>'[12]Summary Report - 12 Months Endi'!GHK2</f>
        <v>0</v>
      </c>
      <c r="GHM3">
        <f>'[12]Summary Report - 12 Months Endi'!GHL2</f>
        <v>0</v>
      </c>
      <c r="GHN3">
        <f>'[12]Summary Report - 12 Months Endi'!GHM2</f>
        <v>0</v>
      </c>
      <c r="GHO3">
        <f>'[12]Summary Report - 12 Months Endi'!GHN2</f>
        <v>0</v>
      </c>
      <c r="GHP3">
        <f>'[12]Summary Report - 12 Months Endi'!GHO2</f>
        <v>0</v>
      </c>
      <c r="GHQ3">
        <f>'[12]Summary Report - 12 Months Endi'!GHP2</f>
        <v>0</v>
      </c>
      <c r="GHR3">
        <f>'[12]Summary Report - 12 Months Endi'!GHQ2</f>
        <v>0</v>
      </c>
      <c r="GHS3">
        <f>'[12]Summary Report - 12 Months Endi'!GHR2</f>
        <v>0</v>
      </c>
      <c r="GHT3">
        <f>'[12]Summary Report - 12 Months Endi'!GHS2</f>
        <v>0</v>
      </c>
      <c r="GHU3">
        <f>'[12]Summary Report - 12 Months Endi'!GHT2</f>
        <v>0</v>
      </c>
      <c r="GHV3">
        <f>'[12]Summary Report - 12 Months Endi'!GHU2</f>
        <v>0</v>
      </c>
      <c r="GHW3">
        <f>'[12]Summary Report - 12 Months Endi'!GHV2</f>
        <v>0</v>
      </c>
      <c r="GHX3">
        <f>'[12]Summary Report - 12 Months Endi'!GHW2</f>
        <v>0</v>
      </c>
      <c r="GHY3">
        <f>'[12]Summary Report - 12 Months Endi'!GHX2</f>
        <v>0</v>
      </c>
      <c r="GHZ3">
        <f>'[12]Summary Report - 12 Months Endi'!GHY2</f>
        <v>0</v>
      </c>
      <c r="GIA3">
        <f>'[12]Summary Report - 12 Months Endi'!GHZ2</f>
        <v>0</v>
      </c>
      <c r="GIB3">
        <f>'[12]Summary Report - 12 Months Endi'!GIA2</f>
        <v>0</v>
      </c>
      <c r="GIC3">
        <f>'[12]Summary Report - 12 Months Endi'!GIB2</f>
        <v>0</v>
      </c>
      <c r="GID3">
        <f>'[12]Summary Report - 12 Months Endi'!GIC2</f>
        <v>0</v>
      </c>
      <c r="GIE3">
        <f>'[12]Summary Report - 12 Months Endi'!GID2</f>
        <v>0</v>
      </c>
      <c r="GIF3">
        <f>'[12]Summary Report - 12 Months Endi'!GIE2</f>
        <v>0</v>
      </c>
      <c r="GIG3">
        <f>'[12]Summary Report - 12 Months Endi'!GIF2</f>
        <v>0</v>
      </c>
      <c r="GIH3">
        <f>'[12]Summary Report - 12 Months Endi'!GIG2</f>
        <v>0</v>
      </c>
      <c r="GII3">
        <f>'[12]Summary Report - 12 Months Endi'!GIH2</f>
        <v>0</v>
      </c>
      <c r="GIJ3">
        <f>'[12]Summary Report - 12 Months Endi'!GII2</f>
        <v>0</v>
      </c>
      <c r="GIK3">
        <f>'[12]Summary Report - 12 Months Endi'!GIJ2</f>
        <v>0</v>
      </c>
      <c r="GIL3">
        <f>'[12]Summary Report - 12 Months Endi'!GIK2</f>
        <v>0</v>
      </c>
      <c r="GIM3">
        <f>'[12]Summary Report - 12 Months Endi'!GIL2</f>
        <v>0</v>
      </c>
      <c r="GIN3">
        <f>'[12]Summary Report - 12 Months Endi'!GIM2</f>
        <v>0</v>
      </c>
      <c r="GIO3">
        <f>'[12]Summary Report - 12 Months Endi'!GIN2</f>
        <v>0</v>
      </c>
      <c r="GIP3">
        <f>'[12]Summary Report - 12 Months Endi'!GIO2</f>
        <v>0</v>
      </c>
      <c r="GIQ3">
        <f>'[12]Summary Report - 12 Months Endi'!GIP2</f>
        <v>0</v>
      </c>
      <c r="GIR3">
        <f>'[12]Summary Report - 12 Months Endi'!GIQ2</f>
        <v>0</v>
      </c>
      <c r="GIS3">
        <f>'[12]Summary Report - 12 Months Endi'!GIR2</f>
        <v>0</v>
      </c>
      <c r="GIT3">
        <f>'[12]Summary Report - 12 Months Endi'!GIS2</f>
        <v>0</v>
      </c>
      <c r="GIU3">
        <f>'[12]Summary Report - 12 Months Endi'!GIT2</f>
        <v>0</v>
      </c>
      <c r="GIV3">
        <f>'[12]Summary Report - 12 Months Endi'!GIU2</f>
        <v>0</v>
      </c>
      <c r="GIW3">
        <f>'[12]Summary Report - 12 Months Endi'!GIV2</f>
        <v>0</v>
      </c>
      <c r="GIX3">
        <f>'[12]Summary Report - 12 Months Endi'!GIW2</f>
        <v>0</v>
      </c>
      <c r="GIY3">
        <f>'[12]Summary Report - 12 Months Endi'!GIX2</f>
        <v>0</v>
      </c>
      <c r="GIZ3">
        <f>'[12]Summary Report - 12 Months Endi'!GIY2</f>
        <v>0</v>
      </c>
      <c r="GJA3">
        <f>'[12]Summary Report - 12 Months Endi'!GIZ2</f>
        <v>0</v>
      </c>
      <c r="GJB3">
        <f>'[12]Summary Report - 12 Months Endi'!GJA2</f>
        <v>0</v>
      </c>
      <c r="GJC3">
        <f>'[12]Summary Report - 12 Months Endi'!GJB2</f>
        <v>0</v>
      </c>
      <c r="GJD3">
        <f>'[12]Summary Report - 12 Months Endi'!GJC2</f>
        <v>0</v>
      </c>
      <c r="GJE3">
        <f>'[12]Summary Report - 12 Months Endi'!GJD2</f>
        <v>0</v>
      </c>
      <c r="GJF3">
        <f>'[12]Summary Report - 12 Months Endi'!GJE2</f>
        <v>0</v>
      </c>
      <c r="GJG3">
        <f>'[12]Summary Report - 12 Months Endi'!GJF2</f>
        <v>0</v>
      </c>
      <c r="GJH3">
        <f>'[12]Summary Report - 12 Months Endi'!GJG2</f>
        <v>0</v>
      </c>
      <c r="GJI3">
        <f>'[12]Summary Report - 12 Months Endi'!GJH2</f>
        <v>0</v>
      </c>
      <c r="GJJ3">
        <f>'[12]Summary Report - 12 Months Endi'!GJI2</f>
        <v>0</v>
      </c>
      <c r="GJK3">
        <f>'[12]Summary Report - 12 Months Endi'!GJJ2</f>
        <v>0</v>
      </c>
      <c r="GJL3">
        <f>'[12]Summary Report - 12 Months Endi'!GJK2</f>
        <v>0</v>
      </c>
      <c r="GJM3">
        <f>'[12]Summary Report - 12 Months Endi'!GJL2</f>
        <v>0</v>
      </c>
      <c r="GJN3">
        <f>'[12]Summary Report - 12 Months Endi'!GJM2</f>
        <v>0</v>
      </c>
      <c r="GJO3">
        <f>'[12]Summary Report - 12 Months Endi'!GJN2</f>
        <v>0</v>
      </c>
      <c r="GJP3">
        <f>'[12]Summary Report - 12 Months Endi'!GJO2</f>
        <v>0</v>
      </c>
      <c r="GJQ3">
        <f>'[12]Summary Report - 12 Months Endi'!GJP2</f>
        <v>0</v>
      </c>
      <c r="GJR3">
        <f>'[12]Summary Report - 12 Months Endi'!GJQ2</f>
        <v>0</v>
      </c>
      <c r="GJS3">
        <f>'[12]Summary Report - 12 Months Endi'!GJR2</f>
        <v>0</v>
      </c>
      <c r="GJT3">
        <f>'[12]Summary Report - 12 Months Endi'!GJS2</f>
        <v>0</v>
      </c>
      <c r="GJU3">
        <f>'[12]Summary Report - 12 Months Endi'!GJT2</f>
        <v>0</v>
      </c>
      <c r="GJV3">
        <f>'[12]Summary Report - 12 Months Endi'!GJU2</f>
        <v>0</v>
      </c>
      <c r="GJW3">
        <f>'[12]Summary Report - 12 Months Endi'!GJV2</f>
        <v>0</v>
      </c>
      <c r="GJX3">
        <f>'[12]Summary Report - 12 Months Endi'!GJW2</f>
        <v>0</v>
      </c>
      <c r="GJY3">
        <f>'[12]Summary Report - 12 Months Endi'!GJX2</f>
        <v>0</v>
      </c>
      <c r="GJZ3">
        <f>'[12]Summary Report - 12 Months Endi'!GJY2</f>
        <v>0</v>
      </c>
      <c r="GKA3">
        <f>'[12]Summary Report - 12 Months Endi'!GJZ2</f>
        <v>0</v>
      </c>
      <c r="GKB3">
        <f>'[12]Summary Report - 12 Months Endi'!GKA2</f>
        <v>0</v>
      </c>
      <c r="GKC3">
        <f>'[12]Summary Report - 12 Months Endi'!GKB2</f>
        <v>0</v>
      </c>
      <c r="GKD3">
        <f>'[12]Summary Report - 12 Months Endi'!GKC2</f>
        <v>0</v>
      </c>
      <c r="GKE3">
        <f>'[12]Summary Report - 12 Months Endi'!GKD2</f>
        <v>0</v>
      </c>
      <c r="GKF3">
        <f>'[12]Summary Report - 12 Months Endi'!GKE2</f>
        <v>0</v>
      </c>
      <c r="GKG3">
        <f>'[12]Summary Report - 12 Months Endi'!GKF2</f>
        <v>0</v>
      </c>
      <c r="GKH3">
        <f>'[12]Summary Report - 12 Months Endi'!GKG2</f>
        <v>0</v>
      </c>
      <c r="GKI3">
        <f>'[12]Summary Report - 12 Months Endi'!GKH2</f>
        <v>0</v>
      </c>
      <c r="GKJ3">
        <f>'[12]Summary Report - 12 Months Endi'!GKI2</f>
        <v>0</v>
      </c>
      <c r="GKK3">
        <f>'[12]Summary Report - 12 Months Endi'!GKJ2</f>
        <v>0</v>
      </c>
      <c r="GKL3">
        <f>'[12]Summary Report - 12 Months Endi'!GKK2</f>
        <v>0</v>
      </c>
      <c r="GKM3">
        <f>'[12]Summary Report - 12 Months Endi'!GKL2</f>
        <v>0</v>
      </c>
      <c r="GKN3">
        <f>'[12]Summary Report - 12 Months Endi'!GKM2</f>
        <v>0</v>
      </c>
      <c r="GKO3">
        <f>'[12]Summary Report - 12 Months Endi'!GKN2</f>
        <v>0</v>
      </c>
      <c r="GKP3">
        <f>'[12]Summary Report - 12 Months Endi'!GKO2</f>
        <v>0</v>
      </c>
      <c r="GKQ3">
        <f>'[12]Summary Report - 12 Months Endi'!GKP2</f>
        <v>0</v>
      </c>
      <c r="GKR3">
        <f>'[12]Summary Report - 12 Months Endi'!GKQ2</f>
        <v>0</v>
      </c>
      <c r="GKS3">
        <f>'[12]Summary Report - 12 Months Endi'!GKR2</f>
        <v>0</v>
      </c>
      <c r="GKT3">
        <f>'[12]Summary Report - 12 Months Endi'!GKS2</f>
        <v>0</v>
      </c>
      <c r="GKU3">
        <f>'[12]Summary Report - 12 Months Endi'!GKT2</f>
        <v>0</v>
      </c>
      <c r="GKV3">
        <f>'[12]Summary Report - 12 Months Endi'!GKU2</f>
        <v>0</v>
      </c>
      <c r="GKW3">
        <f>'[12]Summary Report - 12 Months Endi'!GKV2</f>
        <v>0</v>
      </c>
      <c r="GKX3">
        <f>'[12]Summary Report - 12 Months Endi'!GKW2</f>
        <v>0</v>
      </c>
      <c r="GKY3">
        <f>'[12]Summary Report - 12 Months Endi'!GKX2</f>
        <v>0</v>
      </c>
      <c r="GKZ3">
        <f>'[12]Summary Report - 12 Months Endi'!GKY2</f>
        <v>0</v>
      </c>
      <c r="GLA3">
        <f>'[12]Summary Report - 12 Months Endi'!GKZ2</f>
        <v>0</v>
      </c>
      <c r="GLB3">
        <f>'[12]Summary Report - 12 Months Endi'!GLA2</f>
        <v>0</v>
      </c>
      <c r="GLC3">
        <f>'[12]Summary Report - 12 Months Endi'!GLB2</f>
        <v>0</v>
      </c>
      <c r="GLD3">
        <f>'[12]Summary Report - 12 Months Endi'!GLC2</f>
        <v>0</v>
      </c>
      <c r="GLE3">
        <f>'[12]Summary Report - 12 Months Endi'!GLD2</f>
        <v>0</v>
      </c>
      <c r="GLF3">
        <f>'[12]Summary Report - 12 Months Endi'!GLE2</f>
        <v>0</v>
      </c>
      <c r="GLG3">
        <f>'[12]Summary Report - 12 Months Endi'!GLF2</f>
        <v>0</v>
      </c>
      <c r="GLH3">
        <f>'[12]Summary Report - 12 Months Endi'!GLG2</f>
        <v>0</v>
      </c>
      <c r="GLI3">
        <f>'[12]Summary Report - 12 Months Endi'!GLH2</f>
        <v>0</v>
      </c>
      <c r="GLJ3">
        <f>'[12]Summary Report - 12 Months Endi'!GLI2</f>
        <v>0</v>
      </c>
      <c r="GLK3">
        <f>'[12]Summary Report - 12 Months Endi'!GLJ2</f>
        <v>0</v>
      </c>
      <c r="GLL3">
        <f>'[12]Summary Report - 12 Months Endi'!GLK2</f>
        <v>0</v>
      </c>
      <c r="GLM3">
        <f>'[12]Summary Report - 12 Months Endi'!GLL2</f>
        <v>0</v>
      </c>
      <c r="GLN3">
        <f>'[12]Summary Report - 12 Months Endi'!GLM2</f>
        <v>0</v>
      </c>
      <c r="GLO3">
        <f>'[12]Summary Report - 12 Months Endi'!GLN2</f>
        <v>0</v>
      </c>
      <c r="GLP3">
        <f>'[12]Summary Report - 12 Months Endi'!GLO2</f>
        <v>0</v>
      </c>
      <c r="GLQ3">
        <f>'[12]Summary Report - 12 Months Endi'!GLP2</f>
        <v>0</v>
      </c>
      <c r="GLR3">
        <f>'[12]Summary Report - 12 Months Endi'!GLQ2</f>
        <v>0</v>
      </c>
      <c r="GLS3">
        <f>'[12]Summary Report - 12 Months Endi'!GLR2</f>
        <v>0</v>
      </c>
      <c r="GLT3">
        <f>'[12]Summary Report - 12 Months Endi'!GLS2</f>
        <v>0</v>
      </c>
      <c r="GLU3">
        <f>'[12]Summary Report - 12 Months Endi'!GLT2</f>
        <v>0</v>
      </c>
      <c r="GLV3">
        <f>'[12]Summary Report - 12 Months Endi'!GLU2</f>
        <v>0</v>
      </c>
      <c r="GLW3">
        <f>'[12]Summary Report - 12 Months Endi'!GLV2</f>
        <v>0</v>
      </c>
      <c r="GLX3">
        <f>'[12]Summary Report - 12 Months Endi'!GLW2</f>
        <v>0</v>
      </c>
      <c r="GLY3">
        <f>'[12]Summary Report - 12 Months Endi'!GLX2</f>
        <v>0</v>
      </c>
      <c r="GLZ3">
        <f>'[12]Summary Report - 12 Months Endi'!GLY2</f>
        <v>0</v>
      </c>
      <c r="GMA3">
        <f>'[12]Summary Report - 12 Months Endi'!GLZ2</f>
        <v>0</v>
      </c>
      <c r="GMB3">
        <f>'[12]Summary Report - 12 Months Endi'!GMA2</f>
        <v>0</v>
      </c>
      <c r="GMC3">
        <f>'[12]Summary Report - 12 Months Endi'!GMB2</f>
        <v>0</v>
      </c>
      <c r="GMD3">
        <f>'[12]Summary Report - 12 Months Endi'!GMC2</f>
        <v>0</v>
      </c>
      <c r="GME3">
        <f>'[12]Summary Report - 12 Months Endi'!GMD2</f>
        <v>0</v>
      </c>
      <c r="GMF3">
        <f>'[12]Summary Report - 12 Months Endi'!GME2</f>
        <v>0</v>
      </c>
      <c r="GMG3">
        <f>'[12]Summary Report - 12 Months Endi'!GMF2</f>
        <v>0</v>
      </c>
      <c r="GMH3">
        <f>'[12]Summary Report - 12 Months Endi'!GMG2</f>
        <v>0</v>
      </c>
      <c r="GMI3">
        <f>'[12]Summary Report - 12 Months Endi'!GMH2</f>
        <v>0</v>
      </c>
      <c r="GMJ3">
        <f>'[12]Summary Report - 12 Months Endi'!GMI2</f>
        <v>0</v>
      </c>
      <c r="GMK3">
        <f>'[12]Summary Report - 12 Months Endi'!GMJ2</f>
        <v>0</v>
      </c>
      <c r="GML3">
        <f>'[12]Summary Report - 12 Months Endi'!GMK2</f>
        <v>0</v>
      </c>
      <c r="GMM3">
        <f>'[12]Summary Report - 12 Months Endi'!GML2</f>
        <v>0</v>
      </c>
      <c r="GMN3">
        <f>'[12]Summary Report - 12 Months Endi'!GMM2</f>
        <v>0</v>
      </c>
      <c r="GMO3">
        <f>'[12]Summary Report - 12 Months Endi'!GMN2</f>
        <v>0</v>
      </c>
      <c r="GMP3">
        <f>'[12]Summary Report - 12 Months Endi'!GMO2</f>
        <v>0</v>
      </c>
      <c r="GMQ3">
        <f>'[12]Summary Report - 12 Months Endi'!GMP2</f>
        <v>0</v>
      </c>
      <c r="GMR3">
        <f>'[12]Summary Report - 12 Months Endi'!GMQ2</f>
        <v>0</v>
      </c>
      <c r="GMS3">
        <f>'[12]Summary Report - 12 Months Endi'!GMR2</f>
        <v>0</v>
      </c>
      <c r="GMT3">
        <f>'[12]Summary Report - 12 Months Endi'!GMS2</f>
        <v>0</v>
      </c>
      <c r="GMU3">
        <f>'[12]Summary Report - 12 Months Endi'!GMT2</f>
        <v>0</v>
      </c>
      <c r="GMV3">
        <f>'[12]Summary Report - 12 Months Endi'!GMU2</f>
        <v>0</v>
      </c>
      <c r="GMW3">
        <f>'[12]Summary Report - 12 Months Endi'!GMV2</f>
        <v>0</v>
      </c>
      <c r="GMX3">
        <f>'[12]Summary Report - 12 Months Endi'!GMW2</f>
        <v>0</v>
      </c>
      <c r="GMY3">
        <f>'[12]Summary Report - 12 Months Endi'!GMX2</f>
        <v>0</v>
      </c>
      <c r="GMZ3">
        <f>'[12]Summary Report - 12 Months Endi'!GMY2</f>
        <v>0</v>
      </c>
      <c r="GNA3">
        <f>'[12]Summary Report - 12 Months Endi'!GMZ2</f>
        <v>0</v>
      </c>
      <c r="GNB3">
        <f>'[12]Summary Report - 12 Months Endi'!GNA2</f>
        <v>0</v>
      </c>
      <c r="GNC3">
        <f>'[12]Summary Report - 12 Months Endi'!GNB2</f>
        <v>0</v>
      </c>
      <c r="GND3">
        <f>'[12]Summary Report - 12 Months Endi'!GNC2</f>
        <v>0</v>
      </c>
      <c r="GNE3">
        <f>'[12]Summary Report - 12 Months Endi'!GND2</f>
        <v>0</v>
      </c>
      <c r="GNF3">
        <f>'[12]Summary Report - 12 Months Endi'!GNE2</f>
        <v>0</v>
      </c>
      <c r="GNG3">
        <f>'[12]Summary Report - 12 Months Endi'!GNF2</f>
        <v>0</v>
      </c>
      <c r="GNH3">
        <f>'[12]Summary Report - 12 Months Endi'!GNG2</f>
        <v>0</v>
      </c>
      <c r="GNI3">
        <f>'[12]Summary Report - 12 Months Endi'!GNH2</f>
        <v>0</v>
      </c>
      <c r="GNJ3">
        <f>'[12]Summary Report - 12 Months Endi'!GNI2</f>
        <v>0</v>
      </c>
      <c r="GNK3">
        <f>'[12]Summary Report - 12 Months Endi'!GNJ2</f>
        <v>0</v>
      </c>
      <c r="GNL3">
        <f>'[12]Summary Report - 12 Months Endi'!GNK2</f>
        <v>0</v>
      </c>
      <c r="GNM3">
        <f>'[12]Summary Report - 12 Months Endi'!GNL2</f>
        <v>0</v>
      </c>
      <c r="GNN3">
        <f>'[12]Summary Report - 12 Months Endi'!GNM2</f>
        <v>0</v>
      </c>
      <c r="GNO3">
        <f>'[12]Summary Report - 12 Months Endi'!GNN2</f>
        <v>0</v>
      </c>
      <c r="GNP3">
        <f>'[12]Summary Report - 12 Months Endi'!GNO2</f>
        <v>0</v>
      </c>
      <c r="GNQ3">
        <f>'[12]Summary Report - 12 Months Endi'!GNP2</f>
        <v>0</v>
      </c>
      <c r="GNR3">
        <f>'[12]Summary Report - 12 Months Endi'!GNQ2</f>
        <v>0</v>
      </c>
      <c r="GNS3">
        <f>'[12]Summary Report - 12 Months Endi'!GNR2</f>
        <v>0</v>
      </c>
      <c r="GNT3">
        <f>'[12]Summary Report - 12 Months Endi'!GNS2</f>
        <v>0</v>
      </c>
      <c r="GNU3">
        <f>'[12]Summary Report - 12 Months Endi'!GNT2</f>
        <v>0</v>
      </c>
      <c r="GNV3">
        <f>'[12]Summary Report - 12 Months Endi'!GNU2</f>
        <v>0</v>
      </c>
      <c r="GNW3">
        <f>'[12]Summary Report - 12 Months Endi'!GNV2</f>
        <v>0</v>
      </c>
      <c r="GNX3">
        <f>'[12]Summary Report - 12 Months Endi'!GNW2</f>
        <v>0</v>
      </c>
      <c r="GNY3">
        <f>'[12]Summary Report - 12 Months Endi'!GNX2</f>
        <v>0</v>
      </c>
      <c r="GNZ3">
        <f>'[12]Summary Report - 12 Months Endi'!GNY2</f>
        <v>0</v>
      </c>
      <c r="GOA3">
        <f>'[12]Summary Report - 12 Months Endi'!GNZ2</f>
        <v>0</v>
      </c>
      <c r="GOB3">
        <f>'[12]Summary Report - 12 Months Endi'!GOA2</f>
        <v>0</v>
      </c>
      <c r="GOC3">
        <f>'[12]Summary Report - 12 Months Endi'!GOB2</f>
        <v>0</v>
      </c>
      <c r="GOD3">
        <f>'[12]Summary Report - 12 Months Endi'!GOC2</f>
        <v>0</v>
      </c>
      <c r="GOE3">
        <f>'[12]Summary Report - 12 Months Endi'!GOD2</f>
        <v>0</v>
      </c>
      <c r="GOF3">
        <f>'[12]Summary Report - 12 Months Endi'!GOE2</f>
        <v>0</v>
      </c>
      <c r="GOG3">
        <f>'[12]Summary Report - 12 Months Endi'!GOF2</f>
        <v>0</v>
      </c>
      <c r="GOH3">
        <f>'[12]Summary Report - 12 Months Endi'!GOG2</f>
        <v>0</v>
      </c>
      <c r="GOI3">
        <f>'[12]Summary Report - 12 Months Endi'!GOH2</f>
        <v>0</v>
      </c>
      <c r="GOJ3">
        <f>'[12]Summary Report - 12 Months Endi'!GOI2</f>
        <v>0</v>
      </c>
      <c r="GOK3">
        <f>'[12]Summary Report - 12 Months Endi'!GOJ2</f>
        <v>0</v>
      </c>
      <c r="GOL3">
        <f>'[12]Summary Report - 12 Months Endi'!GOK2</f>
        <v>0</v>
      </c>
      <c r="GOM3">
        <f>'[12]Summary Report - 12 Months Endi'!GOL2</f>
        <v>0</v>
      </c>
      <c r="GON3">
        <f>'[12]Summary Report - 12 Months Endi'!GOM2</f>
        <v>0</v>
      </c>
      <c r="GOO3">
        <f>'[12]Summary Report - 12 Months Endi'!GON2</f>
        <v>0</v>
      </c>
      <c r="GOP3">
        <f>'[12]Summary Report - 12 Months Endi'!GOO2</f>
        <v>0</v>
      </c>
      <c r="GOQ3">
        <f>'[12]Summary Report - 12 Months Endi'!GOP2</f>
        <v>0</v>
      </c>
      <c r="GOR3">
        <f>'[12]Summary Report - 12 Months Endi'!GOQ2</f>
        <v>0</v>
      </c>
      <c r="GOS3">
        <f>'[12]Summary Report - 12 Months Endi'!GOR2</f>
        <v>0</v>
      </c>
      <c r="GOT3">
        <f>'[12]Summary Report - 12 Months Endi'!GOS2</f>
        <v>0</v>
      </c>
      <c r="GOU3">
        <f>'[12]Summary Report - 12 Months Endi'!GOT2</f>
        <v>0</v>
      </c>
      <c r="GOV3">
        <f>'[12]Summary Report - 12 Months Endi'!GOU2</f>
        <v>0</v>
      </c>
      <c r="GOW3">
        <f>'[12]Summary Report - 12 Months Endi'!GOV2</f>
        <v>0</v>
      </c>
      <c r="GOX3">
        <f>'[12]Summary Report - 12 Months Endi'!GOW2</f>
        <v>0</v>
      </c>
      <c r="GOY3">
        <f>'[12]Summary Report - 12 Months Endi'!GOX2</f>
        <v>0</v>
      </c>
      <c r="GOZ3">
        <f>'[12]Summary Report - 12 Months Endi'!GOY2</f>
        <v>0</v>
      </c>
      <c r="GPA3">
        <f>'[12]Summary Report - 12 Months Endi'!GOZ2</f>
        <v>0</v>
      </c>
      <c r="GPB3">
        <f>'[12]Summary Report - 12 Months Endi'!GPA2</f>
        <v>0</v>
      </c>
      <c r="GPC3">
        <f>'[12]Summary Report - 12 Months Endi'!GPB2</f>
        <v>0</v>
      </c>
      <c r="GPD3">
        <f>'[12]Summary Report - 12 Months Endi'!GPC2</f>
        <v>0</v>
      </c>
      <c r="GPE3">
        <f>'[12]Summary Report - 12 Months Endi'!GPD2</f>
        <v>0</v>
      </c>
      <c r="GPF3">
        <f>'[12]Summary Report - 12 Months Endi'!GPE2</f>
        <v>0</v>
      </c>
      <c r="GPG3">
        <f>'[12]Summary Report - 12 Months Endi'!GPF2</f>
        <v>0</v>
      </c>
      <c r="GPH3">
        <f>'[12]Summary Report - 12 Months Endi'!GPG2</f>
        <v>0</v>
      </c>
      <c r="GPI3">
        <f>'[12]Summary Report - 12 Months Endi'!GPH2</f>
        <v>0</v>
      </c>
      <c r="GPJ3">
        <f>'[12]Summary Report - 12 Months Endi'!GPI2</f>
        <v>0</v>
      </c>
      <c r="GPK3">
        <f>'[12]Summary Report - 12 Months Endi'!GPJ2</f>
        <v>0</v>
      </c>
      <c r="GPL3">
        <f>'[12]Summary Report - 12 Months Endi'!GPK2</f>
        <v>0</v>
      </c>
      <c r="GPM3">
        <f>'[12]Summary Report - 12 Months Endi'!GPL2</f>
        <v>0</v>
      </c>
      <c r="GPN3">
        <f>'[12]Summary Report - 12 Months Endi'!GPM2</f>
        <v>0</v>
      </c>
      <c r="GPO3">
        <f>'[12]Summary Report - 12 Months Endi'!GPN2</f>
        <v>0</v>
      </c>
      <c r="GPP3">
        <f>'[12]Summary Report - 12 Months Endi'!GPO2</f>
        <v>0</v>
      </c>
      <c r="GPQ3">
        <f>'[12]Summary Report - 12 Months Endi'!GPP2</f>
        <v>0</v>
      </c>
      <c r="GPR3">
        <f>'[12]Summary Report - 12 Months Endi'!GPQ2</f>
        <v>0</v>
      </c>
      <c r="GPS3">
        <f>'[12]Summary Report - 12 Months Endi'!GPR2</f>
        <v>0</v>
      </c>
      <c r="GPT3">
        <f>'[12]Summary Report - 12 Months Endi'!GPS2</f>
        <v>0</v>
      </c>
      <c r="GPU3">
        <f>'[12]Summary Report - 12 Months Endi'!GPT2</f>
        <v>0</v>
      </c>
      <c r="GPV3">
        <f>'[12]Summary Report - 12 Months Endi'!GPU2</f>
        <v>0</v>
      </c>
      <c r="GPW3">
        <f>'[12]Summary Report - 12 Months Endi'!GPV2</f>
        <v>0</v>
      </c>
      <c r="GPX3">
        <f>'[12]Summary Report - 12 Months Endi'!GPW2</f>
        <v>0</v>
      </c>
      <c r="GPY3">
        <f>'[12]Summary Report - 12 Months Endi'!GPX2</f>
        <v>0</v>
      </c>
      <c r="GPZ3">
        <f>'[12]Summary Report - 12 Months Endi'!GPY2</f>
        <v>0</v>
      </c>
      <c r="GQA3">
        <f>'[12]Summary Report - 12 Months Endi'!GPZ2</f>
        <v>0</v>
      </c>
      <c r="GQB3">
        <f>'[12]Summary Report - 12 Months Endi'!GQA2</f>
        <v>0</v>
      </c>
      <c r="GQC3">
        <f>'[12]Summary Report - 12 Months Endi'!GQB2</f>
        <v>0</v>
      </c>
      <c r="GQD3">
        <f>'[12]Summary Report - 12 Months Endi'!GQC2</f>
        <v>0</v>
      </c>
      <c r="GQE3">
        <f>'[12]Summary Report - 12 Months Endi'!GQD2</f>
        <v>0</v>
      </c>
      <c r="GQF3">
        <f>'[12]Summary Report - 12 Months Endi'!GQE2</f>
        <v>0</v>
      </c>
      <c r="GQG3">
        <f>'[12]Summary Report - 12 Months Endi'!GQF2</f>
        <v>0</v>
      </c>
      <c r="GQH3">
        <f>'[12]Summary Report - 12 Months Endi'!GQG2</f>
        <v>0</v>
      </c>
      <c r="GQI3">
        <f>'[12]Summary Report - 12 Months Endi'!GQH2</f>
        <v>0</v>
      </c>
      <c r="GQJ3">
        <f>'[12]Summary Report - 12 Months Endi'!GQI2</f>
        <v>0</v>
      </c>
      <c r="GQK3">
        <f>'[12]Summary Report - 12 Months Endi'!GQJ2</f>
        <v>0</v>
      </c>
      <c r="GQL3">
        <f>'[12]Summary Report - 12 Months Endi'!GQK2</f>
        <v>0</v>
      </c>
      <c r="GQM3">
        <f>'[12]Summary Report - 12 Months Endi'!GQL2</f>
        <v>0</v>
      </c>
      <c r="GQN3">
        <f>'[12]Summary Report - 12 Months Endi'!GQM2</f>
        <v>0</v>
      </c>
      <c r="GQO3">
        <f>'[12]Summary Report - 12 Months Endi'!GQN2</f>
        <v>0</v>
      </c>
      <c r="GQP3">
        <f>'[12]Summary Report - 12 Months Endi'!GQO2</f>
        <v>0</v>
      </c>
      <c r="GQQ3">
        <f>'[12]Summary Report - 12 Months Endi'!GQP2</f>
        <v>0</v>
      </c>
      <c r="GQR3">
        <f>'[12]Summary Report - 12 Months Endi'!GQQ2</f>
        <v>0</v>
      </c>
      <c r="GQS3">
        <f>'[12]Summary Report - 12 Months Endi'!GQR2</f>
        <v>0</v>
      </c>
      <c r="GQT3">
        <f>'[12]Summary Report - 12 Months Endi'!GQS2</f>
        <v>0</v>
      </c>
      <c r="GQU3">
        <f>'[12]Summary Report - 12 Months Endi'!GQT2</f>
        <v>0</v>
      </c>
      <c r="GQV3">
        <f>'[12]Summary Report - 12 Months Endi'!GQU2</f>
        <v>0</v>
      </c>
      <c r="GQW3">
        <f>'[12]Summary Report - 12 Months Endi'!GQV2</f>
        <v>0</v>
      </c>
      <c r="GQX3">
        <f>'[12]Summary Report - 12 Months Endi'!GQW2</f>
        <v>0</v>
      </c>
      <c r="GQY3">
        <f>'[12]Summary Report - 12 Months Endi'!GQX2</f>
        <v>0</v>
      </c>
      <c r="GQZ3">
        <f>'[12]Summary Report - 12 Months Endi'!GQY2</f>
        <v>0</v>
      </c>
      <c r="GRA3">
        <f>'[12]Summary Report - 12 Months Endi'!GQZ2</f>
        <v>0</v>
      </c>
      <c r="GRB3">
        <f>'[12]Summary Report - 12 Months Endi'!GRA2</f>
        <v>0</v>
      </c>
      <c r="GRC3">
        <f>'[12]Summary Report - 12 Months Endi'!GRB2</f>
        <v>0</v>
      </c>
      <c r="GRD3">
        <f>'[12]Summary Report - 12 Months Endi'!GRC2</f>
        <v>0</v>
      </c>
      <c r="GRE3">
        <f>'[12]Summary Report - 12 Months Endi'!GRD2</f>
        <v>0</v>
      </c>
      <c r="GRF3">
        <f>'[12]Summary Report - 12 Months Endi'!GRE2</f>
        <v>0</v>
      </c>
      <c r="GRG3">
        <f>'[12]Summary Report - 12 Months Endi'!GRF2</f>
        <v>0</v>
      </c>
      <c r="GRH3">
        <f>'[12]Summary Report - 12 Months Endi'!GRG2</f>
        <v>0</v>
      </c>
      <c r="GRI3">
        <f>'[12]Summary Report - 12 Months Endi'!GRH2</f>
        <v>0</v>
      </c>
      <c r="GRJ3">
        <f>'[12]Summary Report - 12 Months Endi'!GRI2</f>
        <v>0</v>
      </c>
      <c r="GRK3">
        <f>'[12]Summary Report - 12 Months Endi'!GRJ2</f>
        <v>0</v>
      </c>
      <c r="GRL3">
        <f>'[12]Summary Report - 12 Months Endi'!GRK2</f>
        <v>0</v>
      </c>
      <c r="GRM3">
        <f>'[12]Summary Report - 12 Months Endi'!GRL2</f>
        <v>0</v>
      </c>
      <c r="GRN3">
        <f>'[12]Summary Report - 12 Months Endi'!GRM2</f>
        <v>0</v>
      </c>
      <c r="GRO3">
        <f>'[12]Summary Report - 12 Months Endi'!GRN2</f>
        <v>0</v>
      </c>
      <c r="GRP3">
        <f>'[12]Summary Report - 12 Months Endi'!GRO2</f>
        <v>0</v>
      </c>
      <c r="GRQ3">
        <f>'[12]Summary Report - 12 Months Endi'!GRP2</f>
        <v>0</v>
      </c>
      <c r="GRR3">
        <f>'[12]Summary Report - 12 Months Endi'!GRQ2</f>
        <v>0</v>
      </c>
      <c r="GRS3">
        <f>'[12]Summary Report - 12 Months Endi'!GRR2</f>
        <v>0</v>
      </c>
      <c r="GRT3">
        <f>'[12]Summary Report - 12 Months Endi'!GRS2</f>
        <v>0</v>
      </c>
      <c r="GRU3">
        <f>'[12]Summary Report - 12 Months Endi'!GRT2</f>
        <v>0</v>
      </c>
      <c r="GRV3">
        <f>'[12]Summary Report - 12 Months Endi'!GRU2</f>
        <v>0</v>
      </c>
      <c r="GRW3">
        <f>'[12]Summary Report - 12 Months Endi'!GRV2</f>
        <v>0</v>
      </c>
      <c r="GRX3">
        <f>'[12]Summary Report - 12 Months Endi'!GRW2</f>
        <v>0</v>
      </c>
      <c r="GRY3">
        <f>'[12]Summary Report - 12 Months Endi'!GRX2</f>
        <v>0</v>
      </c>
      <c r="GRZ3">
        <f>'[12]Summary Report - 12 Months Endi'!GRY2</f>
        <v>0</v>
      </c>
      <c r="GSA3">
        <f>'[12]Summary Report - 12 Months Endi'!GRZ2</f>
        <v>0</v>
      </c>
      <c r="GSB3">
        <f>'[12]Summary Report - 12 Months Endi'!GSA2</f>
        <v>0</v>
      </c>
      <c r="GSC3">
        <f>'[12]Summary Report - 12 Months Endi'!GSB2</f>
        <v>0</v>
      </c>
      <c r="GSD3">
        <f>'[12]Summary Report - 12 Months Endi'!GSC2</f>
        <v>0</v>
      </c>
      <c r="GSE3">
        <f>'[12]Summary Report - 12 Months Endi'!GSD2</f>
        <v>0</v>
      </c>
      <c r="GSF3">
        <f>'[12]Summary Report - 12 Months Endi'!GSE2</f>
        <v>0</v>
      </c>
      <c r="GSG3">
        <f>'[12]Summary Report - 12 Months Endi'!GSF2</f>
        <v>0</v>
      </c>
      <c r="GSH3">
        <f>'[12]Summary Report - 12 Months Endi'!GSG2</f>
        <v>0</v>
      </c>
      <c r="GSI3">
        <f>'[12]Summary Report - 12 Months Endi'!GSH2</f>
        <v>0</v>
      </c>
      <c r="GSJ3">
        <f>'[12]Summary Report - 12 Months Endi'!GSI2</f>
        <v>0</v>
      </c>
      <c r="GSK3">
        <f>'[12]Summary Report - 12 Months Endi'!GSJ2</f>
        <v>0</v>
      </c>
      <c r="GSL3">
        <f>'[12]Summary Report - 12 Months Endi'!GSK2</f>
        <v>0</v>
      </c>
      <c r="GSM3">
        <f>'[12]Summary Report - 12 Months Endi'!GSL2</f>
        <v>0</v>
      </c>
      <c r="GSN3">
        <f>'[12]Summary Report - 12 Months Endi'!GSM2</f>
        <v>0</v>
      </c>
      <c r="GSO3">
        <f>'[12]Summary Report - 12 Months Endi'!GSN2</f>
        <v>0</v>
      </c>
      <c r="GSP3">
        <f>'[12]Summary Report - 12 Months Endi'!GSO2</f>
        <v>0</v>
      </c>
      <c r="GSQ3">
        <f>'[12]Summary Report - 12 Months Endi'!GSP2</f>
        <v>0</v>
      </c>
      <c r="GSR3">
        <f>'[12]Summary Report - 12 Months Endi'!GSQ2</f>
        <v>0</v>
      </c>
      <c r="GSS3">
        <f>'[12]Summary Report - 12 Months Endi'!GSR2</f>
        <v>0</v>
      </c>
      <c r="GST3">
        <f>'[12]Summary Report - 12 Months Endi'!GSS2</f>
        <v>0</v>
      </c>
      <c r="GSU3">
        <f>'[12]Summary Report - 12 Months Endi'!GST2</f>
        <v>0</v>
      </c>
      <c r="GSV3">
        <f>'[12]Summary Report - 12 Months Endi'!GSU2</f>
        <v>0</v>
      </c>
      <c r="GSW3">
        <f>'[12]Summary Report - 12 Months Endi'!GSV2</f>
        <v>0</v>
      </c>
      <c r="GSX3">
        <f>'[12]Summary Report - 12 Months Endi'!GSW2</f>
        <v>0</v>
      </c>
      <c r="GSY3">
        <f>'[12]Summary Report - 12 Months Endi'!GSX2</f>
        <v>0</v>
      </c>
      <c r="GSZ3">
        <f>'[12]Summary Report - 12 Months Endi'!GSY2</f>
        <v>0</v>
      </c>
      <c r="GTA3">
        <f>'[12]Summary Report - 12 Months Endi'!GSZ2</f>
        <v>0</v>
      </c>
      <c r="GTB3">
        <f>'[12]Summary Report - 12 Months Endi'!GTA2</f>
        <v>0</v>
      </c>
      <c r="GTC3">
        <f>'[12]Summary Report - 12 Months Endi'!GTB2</f>
        <v>0</v>
      </c>
      <c r="GTD3">
        <f>'[12]Summary Report - 12 Months Endi'!GTC2</f>
        <v>0</v>
      </c>
      <c r="GTE3">
        <f>'[12]Summary Report - 12 Months Endi'!GTD2</f>
        <v>0</v>
      </c>
      <c r="GTF3">
        <f>'[12]Summary Report - 12 Months Endi'!GTE2</f>
        <v>0</v>
      </c>
      <c r="GTG3">
        <f>'[12]Summary Report - 12 Months Endi'!GTF2</f>
        <v>0</v>
      </c>
      <c r="GTH3">
        <f>'[12]Summary Report - 12 Months Endi'!GTG2</f>
        <v>0</v>
      </c>
      <c r="GTI3">
        <f>'[12]Summary Report - 12 Months Endi'!GTH2</f>
        <v>0</v>
      </c>
      <c r="GTJ3">
        <f>'[12]Summary Report - 12 Months Endi'!GTI2</f>
        <v>0</v>
      </c>
      <c r="GTK3">
        <f>'[12]Summary Report - 12 Months Endi'!GTJ2</f>
        <v>0</v>
      </c>
      <c r="GTL3">
        <f>'[12]Summary Report - 12 Months Endi'!GTK2</f>
        <v>0</v>
      </c>
      <c r="GTM3">
        <f>'[12]Summary Report - 12 Months Endi'!GTL2</f>
        <v>0</v>
      </c>
      <c r="GTN3">
        <f>'[12]Summary Report - 12 Months Endi'!GTM2</f>
        <v>0</v>
      </c>
      <c r="GTO3">
        <f>'[12]Summary Report - 12 Months Endi'!GTN2</f>
        <v>0</v>
      </c>
      <c r="GTP3">
        <f>'[12]Summary Report - 12 Months Endi'!GTO2</f>
        <v>0</v>
      </c>
      <c r="GTQ3">
        <f>'[12]Summary Report - 12 Months Endi'!GTP2</f>
        <v>0</v>
      </c>
      <c r="GTR3">
        <f>'[12]Summary Report - 12 Months Endi'!GTQ2</f>
        <v>0</v>
      </c>
      <c r="GTS3">
        <f>'[12]Summary Report - 12 Months Endi'!GTR2</f>
        <v>0</v>
      </c>
      <c r="GTT3">
        <f>'[12]Summary Report - 12 Months Endi'!GTS2</f>
        <v>0</v>
      </c>
      <c r="GTU3">
        <f>'[12]Summary Report - 12 Months Endi'!GTT2</f>
        <v>0</v>
      </c>
      <c r="GTV3">
        <f>'[12]Summary Report - 12 Months Endi'!GTU2</f>
        <v>0</v>
      </c>
      <c r="GTW3">
        <f>'[12]Summary Report - 12 Months Endi'!GTV2</f>
        <v>0</v>
      </c>
      <c r="GTX3">
        <f>'[12]Summary Report - 12 Months Endi'!GTW2</f>
        <v>0</v>
      </c>
      <c r="GTY3">
        <f>'[12]Summary Report - 12 Months Endi'!GTX2</f>
        <v>0</v>
      </c>
      <c r="GTZ3">
        <f>'[12]Summary Report - 12 Months Endi'!GTY2</f>
        <v>0</v>
      </c>
      <c r="GUA3">
        <f>'[12]Summary Report - 12 Months Endi'!GTZ2</f>
        <v>0</v>
      </c>
      <c r="GUB3">
        <f>'[12]Summary Report - 12 Months Endi'!GUA2</f>
        <v>0</v>
      </c>
      <c r="GUC3">
        <f>'[12]Summary Report - 12 Months Endi'!GUB2</f>
        <v>0</v>
      </c>
      <c r="GUD3">
        <f>'[12]Summary Report - 12 Months Endi'!GUC2</f>
        <v>0</v>
      </c>
      <c r="GUE3">
        <f>'[12]Summary Report - 12 Months Endi'!GUD2</f>
        <v>0</v>
      </c>
      <c r="GUF3">
        <f>'[12]Summary Report - 12 Months Endi'!GUE2</f>
        <v>0</v>
      </c>
      <c r="GUG3">
        <f>'[12]Summary Report - 12 Months Endi'!GUF2</f>
        <v>0</v>
      </c>
      <c r="GUH3">
        <f>'[12]Summary Report - 12 Months Endi'!GUG2</f>
        <v>0</v>
      </c>
      <c r="GUI3">
        <f>'[12]Summary Report - 12 Months Endi'!GUH2</f>
        <v>0</v>
      </c>
      <c r="GUJ3">
        <f>'[12]Summary Report - 12 Months Endi'!GUI2</f>
        <v>0</v>
      </c>
      <c r="GUK3">
        <f>'[12]Summary Report - 12 Months Endi'!GUJ2</f>
        <v>0</v>
      </c>
      <c r="GUL3">
        <f>'[12]Summary Report - 12 Months Endi'!GUK2</f>
        <v>0</v>
      </c>
      <c r="GUM3">
        <f>'[12]Summary Report - 12 Months Endi'!GUL2</f>
        <v>0</v>
      </c>
      <c r="GUN3">
        <f>'[12]Summary Report - 12 Months Endi'!GUM2</f>
        <v>0</v>
      </c>
      <c r="GUO3">
        <f>'[12]Summary Report - 12 Months Endi'!GUN2</f>
        <v>0</v>
      </c>
      <c r="GUP3">
        <f>'[12]Summary Report - 12 Months Endi'!GUO2</f>
        <v>0</v>
      </c>
      <c r="GUQ3">
        <f>'[12]Summary Report - 12 Months Endi'!GUP2</f>
        <v>0</v>
      </c>
      <c r="GUR3">
        <f>'[12]Summary Report - 12 Months Endi'!GUQ2</f>
        <v>0</v>
      </c>
      <c r="GUS3">
        <f>'[12]Summary Report - 12 Months Endi'!GUR2</f>
        <v>0</v>
      </c>
      <c r="GUT3">
        <f>'[12]Summary Report - 12 Months Endi'!GUS2</f>
        <v>0</v>
      </c>
      <c r="GUU3">
        <f>'[12]Summary Report - 12 Months Endi'!GUT2</f>
        <v>0</v>
      </c>
      <c r="GUV3">
        <f>'[12]Summary Report - 12 Months Endi'!GUU2</f>
        <v>0</v>
      </c>
      <c r="GUW3">
        <f>'[12]Summary Report - 12 Months Endi'!GUV2</f>
        <v>0</v>
      </c>
      <c r="GUX3">
        <f>'[12]Summary Report - 12 Months Endi'!GUW2</f>
        <v>0</v>
      </c>
      <c r="GUY3">
        <f>'[12]Summary Report - 12 Months Endi'!GUX2</f>
        <v>0</v>
      </c>
      <c r="GUZ3">
        <f>'[12]Summary Report - 12 Months Endi'!GUY2</f>
        <v>0</v>
      </c>
      <c r="GVA3">
        <f>'[12]Summary Report - 12 Months Endi'!GUZ2</f>
        <v>0</v>
      </c>
      <c r="GVB3">
        <f>'[12]Summary Report - 12 Months Endi'!GVA2</f>
        <v>0</v>
      </c>
      <c r="GVC3">
        <f>'[12]Summary Report - 12 Months Endi'!GVB2</f>
        <v>0</v>
      </c>
      <c r="GVD3">
        <f>'[12]Summary Report - 12 Months Endi'!GVC2</f>
        <v>0</v>
      </c>
      <c r="GVE3">
        <f>'[12]Summary Report - 12 Months Endi'!GVD2</f>
        <v>0</v>
      </c>
      <c r="GVF3">
        <f>'[12]Summary Report - 12 Months Endi'!GVE2</f>
        <v>0</v>
      </c>
      <c r="GVG3">
        <f>'[12]Summary Report - 12 Months Endi'!GVF2</f>
        <v>0</v>
      </c>
      <c r="GVH3">
        <f>'[12]Summary Report - 12 Months Endi'!GVG2</f>
        <v>0</v>
      </c>
      <c r="GVI3">
        <f>'[12]Summary Report - 12 Months Endi'!GVH2</f>
        <v>0</v>
      </c>
      <c r="GVJ3">
        <f>'[12]Summary Report - 12 Months Endi'!GVI2</f>
        <v>0</v>
      </c>
      <c r="GVK3">
        <f>'[12]Summary Report - 12 Months Endi'!GVJ2</f>
        <v>0</v>
      </c>
      <c r="GVL3">
        <f>'[12]Summary Report - 12 Months Endi'!GVK2</f>
        <v>0</v>
      </c>
      <c r="GVM3">
        <f>'[12]Summary Report - 12 Months Endi'!GVL2</f>
        <v>0</v>
      </c>
      <c r="GVN3">
        <f>'[12]Summary Report - 12 Months Endi'!GVM2</f>
        <v>0</v>
      </c>
      <c r="GVO3">
        <f>'[12]Summary Report - 12 Months Endi'!GVN2</f>
        <v>0</v>
      </c>
      <c r="GVP3">
        <f>'[12]Summary Report - 12 Months Endi'!GVO2</f>
        <v>0</v>
      </c>
      <c r="GVQ3">
        <f>'[12]Summary Report - 12 Months Endi'!GVP2</f>
        <v>0</v>
      </c>
      <c r="GVR3">
        <f>'[12]Summary Report - 12 Months Endi'!GVQ2</f>
        <v>0</v>
      </c>
      <c r="GVS3">
        <f>'[12]Summary Report - 12 Months Endi'!GVR2</f>
        <v>0</v>
      </c>
      <c r="GVT3">
        <f>'[12]Summary Report - 12 Months Endi'!GVS2</f>
        <v>0</v>
      </c>
      <c r="GVU3">
        <f>'[12]Summary Report - 12 Months Endi'!GVT2</f>
        <v>0</v>
      </c>
      <c r="GVV3">
        <f>'[12]Summary Report - 12 Months Endi'!GVU2</f>
        <v>0</v>
      </c>
      <c r="GVW3">
        <f>'[12]Summary Report - 12 Months Endi'!GVV2</f>
        <v>0</v>
      </c>
      <c r="GVX3">
        <f>'[12]Summary Report - 12 Months Endi'!GVW2</f>
        <v>0</v>
      </c>
      <c r="GVY3">
        <f>'[12]Summary Report - 12 Months Endi'!GVX2</f>
        <v>0</v>
      </c>
      <c r="GVZ3">
        <f>'[12]Summary Report - 12 Months Endi'!GVY2</f>
        <v>0</v>
      </c>
      <c r="GWA3">
        <f>'[12]Summary Report - 12 Months Endi'!GVZ2</f>
        <v>0</v>
      </c>
      <c r="GWB3">
        <f>'[12]Summary Report - 12 Months Endi'!GWA2</f>
        <v>0</v>
      </c>
      <c r="GWC3">
        <f>'[12]Summary Report - 12 Months Endi'!GWB2</f>
        <v>0</v>
      </c>
      <c r="GWD3">
        <f>'[12]Summary Report - 12 Months Endi'!GWC2</f>
        <v>0</v>
      </c>
      <c r="GWE3">
        <f>'[12]Summary Report - 12 Months Endi'!GWD2</f>
        <v>0</v>
      </c>
      <c r="GWF3">
        <f>'[12]Summary Report - 12 Months Endi'!GWE2</f>
        <v>0</v>
      </c>
      <c r="GWG3">
        <f>'[12]Summary Report - 12 Months Endi'!GWF2</f>
        <v>0</v>
      </c>
      <c r="GWH3">
        <f>'[12]Summary Report - 12 Months Endi'!GWG2</f>
        <v>0</v>
      </c>
      <c r="GWI3">
        <f>'[12]Summary Report - 12 Months Endi'!GWH2</f>
        <v>0</v>
      </c>
      <c r="GWJ3">
        <f>'[12]Summary Report - 12 Months Endi'!GWI2</f>
        <v>0</v>
      </c>
      <c r="GWK3">
        <f>'[12]Summary Report - 12 Months Endi'!GWJ2</f>
        <v>0</v>
      </c>
      <c r="GWL3">
        <f>'[12]Summary Report - 12 Months Endi'!GWK2</f>
        <v>0</v>
      </c>
      <c r="GWM3">
        <f>'[12]Summary Report - 12 Months Endi'!GWL2</f>
        <v>0</v>
      </c>
      <c r="GWN3">
        <f>'[12]Summary Report - 12 Months Endi'!GWM2</f>
        <v>0</v>
      </c>
      <c r="GWO3">
        <f>'[12]Summary Report - 12 Months Endi'!GWN2</f>
        <v>0</v>
      </c>
      <c r="GWP3">
        <f>'[12]Summary Report - 12 Months Endi'!GWO2</f>
        <v>0</v>
      </c>
      <c r="GWQ3">
        <f>'[12]Summary Report - 12 Months Endi'!GWP2</f>
        <v>0</v>
      </c>
      <c r="GWR3">
        <f>'[12]Summary Report - 12 Months Endi'!GWQ2</f>
        <v>0</v>
      </c>
      <c r="GWS3">
        <f>'[12]Summary Report - 12 Months Endi'!GWR2</f>
        <v>0</v>
      </c>
      <c r="GWT3">
        <f>'[12]Summary Report - 12 Months Endi'!GWS2</f>
        <v>0</v>
      </c>
      <c r="GWU3">
        <f>'[12]Summary Report - 12 Months Endi'!GWT2</f>
        <v>0</v>
      </c>
      <c r="GWV3">
        <f>'[12]Summary Report - 12 Months Endi'!GWU2</f>
        <v>0</v>
      </c>
      <c r="GWW3">
        <f>'[12]Summary Report - 12 Months Endi'!GWV2</f>
        <v>0</v>
      </c>
      <c r="GWX3">
        <f>'[12]Summary Report - 12 Months Endi'!GWW2</f>
        <v>0</v>
      </c>
      <c r="GWY3">
        <f>'[12]Summary Report - 12 Months Endi'!GWX2</f>
        <v>0</v>
      </c>
      <c r="GWZ3">
        <f>'[12]Summary Report - 12 Months Endi'!GWY2</f>
        <v>0</v>
      </c>
      <c r="GXA3">
        <f>'[12]Summary Report - 12 Months Endi'!GWZ2</f>
        <v>0</v>
      </c>
      <c r="GXB3">
        <f>'[12]Summary Report - 12 Months Endi'!GXA2</f>
        <v>0</v>
      </c>
      <c r="GXC3">
        <f>'[12]Summary Report - 12 Months Endi'!GXB2</f>
        <v>0</v>
      </c>
      <c r="GXD3">
        <f>'[12]Summary Report - 12 Months Endi'!GXC2</f>
        <v>0</v>
      </c>
      <c r="GXE3">
        <f>'[12]Summary Report - 12 Months Endi'!GXD2</f>
        <v>0</v>
      </c>
      <c r="GXF3">
        <f>'[12]Summary Report - 12 Months Endi'!GXE2</f>
        <v>0</v>
      </c>
      <c r="GXG3">
        <f>'[12]Summary Report - 12 Months Endi'!GXF2</f>
        <v>0</v>
      </c>
      <c r="GXH3">
        <f>'[12]Summary Report - 12 Months Endi'!GXG2</f>
        <v>0</v>
      </c>
      <c r="GXI3">
        <f>'[12]Summary Report - 12 Months Endi'!GXH2</f>
        <v>0</v>
      </c>
      <c r="GXJ3">
        <f>'[12]Summary Report - 12 Months Endi'!GXI2</f>
        <v>0</v>
      </c>
      <c r="GXK3">
        <f>'[12]Summary Report - 12 Months Endi'!GXJ2</f>
        <v>0</v>
      </c>
      <c r="GXL3">
        <f>'[12]Summary Report - 12 Months Endi'!GXK2</f>
        <v>0</v>
      </c>
      <c r="GXM3">
        <f>'[12]Summary Report - 12 Months Endi'!GXL2</f>
        <v>0</v>
      </c>
      <c r="GXN3">
        <f>'[12]Summary Report - 12 Months Endi'!GXM2</f>
        <v>0</v>
      </c>
      <c r="GXO3">
        <f>'[12]Summary Report - 12 Months Endi'!GXN2</f>
        <v>0</v>
      </c>
      <c r="GXP3">
        <f>'[12]Summary Report - 12 Months Endi'!GXO2</f>
        <v>0</v>
      </c>
      <c r="GXQ3">
        <f>'[12]Summary Report - 12 Months Endi'!GXP2</f>
        <v>0</v>
      </c>
      <c r="GXR3">
        <f>'[12]Summary Report - 12 Months Endi'!GXQ2</f>
        <v>0</v>
      </c>
      <c r="GXS3">
        <f>'[12]Summary Report - 12 Months Endi'!GXR2</f>
        <v>0</v>
      </c>
      <c r="GXT3">
        <f>'[12]Summary Report - 12 Months Endi'!GXS2</f>
        <v>0</v>
      </c>
      <c r="GXU3">
        <f>'[12]Summary Report - 12 Months Endi'!GXT2</f>
        <v>0</v>
      </c>
      <c r="GXV3">
        <f>'[12]Summary Report - 12 Months Endi'!GXU2</f>
        <v>0</v>
      </c>
      <c r="GXW3">
        <f>'[12]Summary Report - 12 Months Endi'!GXV2</f>
        <v>0</v>
      </c>
      <c r="GXX3">
        <f>'[12]Summary Report - 12 Months Endi'!GXW2</f>
        <v>0</v>
      </c>
      <c r="GXY3">
        <f>'[12]Summary Report - 12 Months Endi'!GXX2</f>
        <v>0</v>
      </c>
      <c r="GXZ3">
        <f>'[12]Summary Report - 12 Months Endi'!GXY2</f>
        <v>0</v>
      </c>
      <c r="GYA3">
        <f>'[12]Summary Report - 12 Months Endi'!GXZ2</f>
        <v>0</v>
      </c>
      <c r="GYB3">
        <f>'[12]Summary Report - 12 Months Endi'!GYA2</f>
        <v>0</v>
      </c>
      <c r="GYC3">
        <f>'[12]Summary Report - 12 Months Endi'!GYB2</f>
        <v>0</v>
      </c>
      <c r="GYD3">
        <f>'[12]Summary Report - 12 Months Endi'!GYC2</f>
        <v>0</v>
      </c>
      <c r="GYE3">
        <f>'[12]Summary Report - 12 Months Endi'!GYD2</f>
        <v>0</v>
      </c>
      <c r="GYF3">
        <f>'[12]Summary Report - 12 Months Endi'!GYE2</f>
        <v>0</v>
      </c>
      <c r="GYG3">
        <f>'[12]Summary Report - 12 Months Endi'!GYF2</f>
        <v>0</v>
      </c>
      <c r="GYH3">
        <f>'[12]Summary Report - 12 Months Endi'!GYG2</f>
        <v>0</v>
      </c>
      <c r="GYI3">
        <f>'[12]Summary Report - 12 Months Endi'!GYH2</f>
        <v>0</v>
      </c>
      <c r="GYJ3">
        <f>'[12]Summary Report - 12 Months Endi'!GYI2</f>
        <v>0</v>
      </c>
      <c r="GYK3">
        <f>'[12]Summary Report - 12 Months Endi'!GYJ2</f>
        <v>0</v>
      </c>
      <c r="GYL3">
        <f>'[12]Summary Report - 12 Months Endi'!GYK2</f>
        <v>0</v>
      </c>
      <c r="GYM3">
        <f>'[12]Summary Report - 12 Months Endi'!GYL2</f>
        <v>0</v>
      </c>
      <c r="GYN3">
        <f>'[12]Summary Report - 12 Months Endi'!GYM2</f>
        <v>0</v>
      </c>
      <c r="GYO3">
        <f>'[12]Summary Report - 12 Months Endi'!GYN2</f>
        <v>0</v>
      </c>
      <c r="GYP3">
        <f>'[12]Summary Report - 12 Months Endi'!GYO2</f>
        <v>0</v>
      </c>
      <c r="GYQ3">
        <f>'[12]Summary Report - 12 Months Endi'!GYP2</f>
        <v>0</v>
      </c>
      <c r="GYR3">
        <f>'[12]Summary Report - 12 Months Endi'!GYQ2</f>
        <v>0</v>
      </c>
      <c r="GYS3">
        <f>'[12]Summary Report - 12 Months Endi'!GYR2</f>
        <v>0</v>
      </c>
      <c r="GYT3">
        <f>'[12]Summary Report - 12 Months Endi'!GYS2</f>
        <v>0</v>
      </c>
      <c r="GYU3">
        <f>'[12]Summary Report - 12 Months Endi'!GYT2</f>
        <v>0</v>
      </c>
      <c r="GYV3">
        <f>'[12]Summary Report - 12 Months Endi'!GYU2</f>
        <v>0</v>
      </c>
      <c r="GYW3">
        <f>'[12]Summary Report - 12 Months Endi'!GYV2</f>
        <v>0</v>
      </c>
      <c r="GYX3">
        <f>'[12]Summary Report - 12 Months Endi'!GYW2</f>
        <v>0</v>
      </c>
      <c r="GYY3">
        <f>'[12]Summary Report - 12 Months Endi'!GYX2</f>
        <v>0</v>
      </c>
      <c r="GYZ3">
        <f>'[12]Summary Report - 12 Months Endi'!GYY2</f>
        <v>0</v>
      </c>
      <c r="GZA3">
        <f>'[12]Summary Report - 12 Months Endi'!GYZ2</f>
        <v>0</v>
      </c>
      <c r="GZB3">
        <f>'[12]Summary Report - 12 Months Endi'!GZA2</f>
        <v>0</v>
      </c>
      <c r="GZC3">
        <f>'[12]Summary Report - 12 Months Endi'!GZB2</f>
        <v>0</v>
      </c>
      <c r="GZD3">
        <f>'[12]Summary Report - 12 Months Endi'!GZC2</f>
        <v>0</v>
      </c>
      <c r="GZE3">
        <f>'[12]Summary Report - 12 Months Endi'!GZD2</f>
        <v>0</v>
      </c>
      <c r="GZF3">
        <f>'[12]Summary Report - 12 Months Endi'!GZE2</f>
        <v>0</v>
      </c>
      <c r="GZG3">
        <f>'[12]Summary Report - 12 Months Endi'!GZF2</f>
        <v>0</v>
      </c>
      <c r="GZH3">
        <f>'[12]Summary Report - 12 Months Endi'!GZG2</f>
        <v>0</v>
      </c>
      <c r="GZI3">
        <f>'[12]Summary Report - 12 Months Endi'!GZH2</f>
        <v>0</v>
      </c>
      <c r="GZJ3">
        <f>'[12]Summary Report - 12 Months Endi'!GZI2</f>
        <v>0</v>
      </c>
      <c r="GZK3">
        <f>'[12]Summary Report - 12 Months Endi'!GZJ2</f>
        <v>0</v>
      </c>
      <c r="GZL3">
        <f>'[12]Summary Report - 12 Months Endi'!GZK2</f>
        <v>0</v>
      </c>
      <c r="GZM3">
        <f>'[12]Summary Report - 12 Months Endi'!GZL2</f>
        <v>0</v>
      </c>
      <c r="GZN3">
        <f>'[12]Summary Report - 12 Months Endi'!GZM2</f>
        <v>0</v>
      </c>
      <c r="GZO3">
        <f>'[12]Summary Report - 12 Months Endi'!GZN2</f>
        <v>0</v>
      </c>
      <c r="GZP3">
        <f>'[12]Summary Report - 12 Months Endi'!GZO2</f>
        <v>0</v>
      </c>
      <c r="GZQ3">
        <f>'[12]Summary Report - 12 Months Endi'!GZP2</f>
        <v>0</v>
      </c>
      <c r="GZR3">
        <f>'[12]Summary Report - 12 Months Endi'!GZQ2</f>
        <v>0</v>
      </c>
      <c r="GZS3">
        <f>'[12]Summary Report - 12 Months Endi'!GZR2</f>
        <v>0</v>
      </c>
      <c r="GZT3">
        <f>'[12]Summary Report - 12 Months Endi'!GZS2</f>
        <v>0</v>
      </c>
      <c r="GZU3">
        <f>'[12]Summary Report - 12 Months Endi'!GZT2</f>
        <v>0</v>
      </c>
      <c r="GZV3">
        <f>'[12]Summary Report - 12 Months Endi'!GZU2</f>
        <v>0</v>
      </c>
      <c r="GZW3">
        <f>'[12]Summary Report - 12 Months Endi'!GZV2</f>
        <v>0</v>
      </c>
      <c r="GZX3">
        <f>'[12]Summary Report - 12 Months Endi'!GZW2</f>
        <v>0</v>
      </c>
      <c r="GZY3">
        <f>'[12]Summary Report - 12 Months Endi'!GZX2</f>
        <v>0</v>
      </c>
      <c r="GZZ3">
        <f>'[12]Summary Report - 12 Months Endi'!GZY2</f>
        <v>0</v>
      </c>
      <c r="HAA3">
        <f>'[12]Summary Report - 12 Months Endi'!GZZ2</f>
        <v>0</v>
      </c>
      <c r="HAB3">
        <f>'[12]Summary Report - 12 Months Endi'!HAA2</f>
        <v>0</v>
      </c>
      <c r="HAC3">
        <f>'[12]Summary Report - 12 Months Endi'!HAB2</f>
        <v>0</v>
      </c>
      <c r="HAD3">
        <f>'[12]Summary Report - 12 Months Endi'!HAC2</f>
        <v>0</v>
      </c>
      <c r="HAE3">
        <f>'[12]Summary Report - 12 Months Endi'!HAD2</f>
        <v>0</v>
      </c>
      <c r="HAF3">
        <f>'[12]Summary Report - 12 Months Endi'!HAE2</f>
        <v>0</v>
      </c>
      <c r="HAG3">
        <f>'[12]Summary Report - 12 Months Endi'!HAF2</f>
        <v>0</v>
      </c>
      <c r="HAH3">
        <f>'[12]Summary Report - 12 Months Endi'!HAG2</f>
        <v>0</v>
      </c>
      <c r="HAI3">
        <f>'[12]Summary Report - 12 Months Endi'!HAH2</f>
        <v>0</v>
      </c>
      <c r="HAJ3">
        <f>'[12]Summary Report - 12 Months Endi'!HAI2</f>
        <v>0</v>
      </c>
      <c r="HAK3">
        <f>'[12]Summary Report - 12 Months Endi'!HAJ2</f>
        <v>0</v>
      </c>
      <c r="HAL3">
        <f>'[12]Summary Report - 12 Months Endi'!HAK2</f>
        <v>0</v>
      </c>
      <c r="HAM3">
        <f>'[12]Summary Report - 12 Months Endi'!HAL2</f>
        <v>0</v>
      </c>
      <c r="HAN3">
        <f>'[12]Summary Report - 12 Months Endi'!HAM2</f>
        <v>0</v>
      </c>
      <c r="HAO3">
        <f>'[12]Summary Report - 12 Months Endi'!HAN2</f>
        <v>0</v>
      </c>
      <c r="HAP3">
        <f>'[12]Summary Report - 12 Months Endi'!HAO2</f>
        <v>0</v>
      </c>
      <c r="HAQ3">
        <f>'[12]Summary Report - 12 Months Endi'!HAP2</f>
        <v>0</v>
      </c>
      <c r="HAR3">
        <f>'[12]Summary Report - 12 Months Endi'!HAQ2</f>
        <v>0</v>
      </c>
      <c r="HAS3">
        <f>'[12]Summary Report - 12 Months Endi'!HAR2</f>
        <v>0</v>
      </c>
      <c r="HAT3">
        <f>'[12]Summary Report - 12 Months Endi'!HAS2</f>
        <v>0</v>
      </c>
      <c r="HAU3">
        <f>'[12]Summary Report - 12 Months Endi'!HAT2</f>
        <v>0</v>
      </c>
      <c r="HAV3">
        <f>'[12]Summary Report - 12 Months Endi'!HAU2</f>
        <v>0</v>
      </c>
      <c r="HAW3">
        <f>'[12]Summary Report - 12 Months Endi'!HAV2</f>
        <v>0</v>
      </c>
      <c r="HAX3">
        <f>'[12]Summary Report - 12 Months Endi'!HAW2</f>
        <v>0</v>
      </c>
      <c r="HAY3">
        <f>'[12]Summary Report - 12 Months Endi'!HAX2</f>
        <v>0</v>
      </c>
      <c r="HAZ3">
        <f>'[12]Summary Report - 12 Months Endi'!HAY2</f>
        <v>0</v>
      </c>
      <c r="HBA3">
        <f>'[12]Summary Report - 12 Months Endi'!HAZ2</f>
        <v>0</v>
      </c>
      <c r="HBB3">
        <f>'[12]Summary Report - 12 Months Endi'!HBA2</f>
        <v>0</v>
      </c>
      <c r="HBC3">
        <f>'[12]Summary Report - 12 Months Endi'!HBB2</f>
        <v>0</v>
      </c>
      <c r="HBD3">
        <f>'[12]Summary Report - 12 Months Endi'!HBC2</f>
        <v>0</v>
      </c>
      <c r="HBE3">
        <f>'[12]Summary Report - 12 Months Endi'!HBD2</f>
        <v>0</v>
      </c>
      <c r="HBF3">
        <f>'[12]Summary Report - 12 Months Endi'!HBE2</f>
        <v>0</v>
      </c>
      <c r="HBG3">
        <f>'[12]Summary Report - 12 Months Endi'!HBF2</f>
        <v>0</v>
      </c>
      <c r="HBH3">
        <f>'[12]Summary Report - 12 Months Endi'!HBG2</f>
        <v>0</v>
      </c>
      <c r="HBI3">
        <f>'[12]Summary Report - 12 Months Endi'!HBH2</f>
        <v>0</v>
      </c>
      <c r="HBJ3">
        <f>'[12]Summary Report - 12 Months Endi'!HBI2</f>
        <v>0</v>
      </c>
      <c r="HBK3">
        <f>'[12]Summary Report - 12 Months Endi'!HBJ2</f>
        <v>0</v>
      </c>
      <c r="HBL3">
        <f>'[12]Summary Report - 12 Months Endi'!HBK2</f>
        <v>0</v>
      </c>
      <c r="HBM3">
        <f>'[12]Summary Report - 12 Months Endi'!HBL2</f>
        <v>0</v>
      </c>
      <c r="HBN3">
        <f>'[12]Summary Report - 12 Months Endi'!HBM2</f>
        <v>0</v>
      </c>
      <c r="HBO3">
        <f>'[12]Summary Report - 12 Months Endi'!HBN2</f>
        <v>0</v>
      </c>
      <c r="HBP3">
        <f>'[12]Summary Report - 12 Months Endi'!HBO2</f>
        <v>0</v>
      </c>
      <c r="HBQ3">
        <f>'[12]Summary Report - 12 Months Endi'!HBP2</f>
        <v>0</v>
      </c>
      <c r="HBR3">
        <f>'[12]Summary Report - 12 Months Endi'!HBQ2</f>
        <v>0</v>
      </c>
      <c r="HBS3">
        <f>'[12]Summary Report - 12 Months Endi'!HBR2</f>
        <v>0</v>
      </c>
      <c r="HBT3">
        <f>'[12]Summary Report - 12 Months Endi'!HBS2</f>
        <v>0</v>
      </c>
      <c r="HBU3">
        <f>'[12]Summary Report - 12 Months Endi'!HBT2</f>
        <v>0</v>
      </c>
      <c r="HBV3">
        <f>'[12]Summary Report - 12 Months Endi'!HBU2</f>
        <v>0</v>
      </c>
      <c r="HBW3">
        <f>'[12]Summary Report - 12 Months Endi'!HBV2</f>
        <v>0</v>
      </c>
      <c r="HBX3">
        <f>'[12]Summary Report - 12 Months Endi'!HBW2</f>
        <v>0</v>
      </c>
      <c r="HBY3">
        <f>'[12]Summary Report - 12 Months Endi'!HBX2</f>
        <v>0</v>
      </c>
      <c r="HBZ3">
        <f>'[12]Summary Report - 12 Months Endi'!HBY2</f>
        <v>0</v>
      </c>
      <c r="HCA3">
        <f>'[12]Summary Report - 12 Months Endi'!HBZ2</f>
        <v>0</v>
      </c>
      <c r="HCB3">
        <f>'[12]Summary Report - 12 Months Endi'!HCA2</f>
        <v>0</v>
      </c>
      <c r="HCC3">
        <f>'[12]Summary Report - 12 Months Endi'!HCB2</f>
        <v>0</v>
      </c>
      <c r="HCD3">
        <f>'[12]Summary Report - 12 Months Endi'!HCC2</f>
        <v>0</v>
      </c>
      <c r="HCE3">
        <f>'[12]Summary Report - 12 Months Endi'!HCD2</f>
        <v>0</v>
      </c>
      <c r="HCF3">
        <f>'[12]Summary Report - 12 Months Endi'!HCE2</f>
        <v>0</v>
      </c>
      <c r="HCG3">
        <f>'[12]Summary Report - 12 Months Endi'!HCF2</f>
        <v>0</v>
      </c>
      <c r="HCH3">
        <f>'[12]Summary Report - 12 Months Endi'!HCG2</f>
        <v>0</v>
      </c>
      <c r="HCI3">
        <f>'[12]Summary Report - 12 Months Endi'!HCH2</f>
        <v>0</v>
      </c>
      <c r="HCJ3">
        <f>'[12]Summary Report - 12 Months Endi'!HCI2</f>
        <v>0</v>
      </c>
      <c r="HCK3">
        <f>'[12]Summary Report - 12 Months Endi'!HCJ2</f>
        <v>0</v>
      </c>
      <c r="HCL3">
        <f>'[12]Summary Report - 12 Months Endi'!HCK2</f>
        <v>0</v>
      </c>
      <c r="HCM3">
        <f>'[12]Summary Report - 12 Months Endi'!HCL2</f>
        <v>0</v>
      </c>
      <c r="HCN3">
        <f>'[12]Summary Report - 12 Months Endi'!HCM2</f>
        <v>0</v>
      </c>
      <c r="HCO3">
        <f>'[12]Summary Report - 12 Months Endi'!HCN2</f>
        <v>0</v>
      </c>
      <c r="HCP3">
        <f>'[12]Summary Report - 12 Months Endi'!HCO2</f>
        <v>0</v>
      </c>
      <c r="HCQ3">
        <f>'[12]Summary Report - 12 Months Endi'!HCP2</f>
        <v>0</v>
      </c>
      <c r="HCR3">
        <f>'[12]Summary Report - 12 Months Endi'!HCQ2</f>
        <v>0</v>
      </c>
      <c r="HCS3">
        <f>'[12]Summary Report - 12 Months Endi'!HCR2</f>
        <v>0</v>
      </c>
      <c r="HCT3">
        <f>'[12]Summary Report - 12 Months Endi'!HCS2</f>
        <v>0</v>
      </c>
      <c r="HCU3">
        <f>'[12]Summary Report - 12 Months Endi'!HCT2</f>
        <v>0</v>
      </c>
      <c r="HCV3">
        <f>'[12]Summary Report - 12 Months Endi'!HCU2</f>
        <v>0</v>
      </c>
      <c r="HCW3">
        <f>'[12]Summary Report - 12 Months Endi'!HCV2</f>
        <v>0</v>
      </c>
      <c r="HCX3">
        <f>'[12]Summary Report - 12 Months Endi'!HCW2</f>
        <v>0</v>
      </c>
      <c r="HCY3">
        <f>'[12]Summary Report - 12 Months Endi'!HCX2</f>
        <v>0</v>
      </c>
      <c r="HCZ3">
        <f>'[12]Summary Report - 12 Months Endi'!HCY2</f>
        <v>0</v>
      </c>
      <c r="HDA3">
        <f>'[12]Summary Report - 12 Months Endi'!HCZ2</f>
        <v>0</v>
      </c>
      <c r="HDB3">
        <f>'[12]Summary Report - 12 Months Endi'!HDA2</f>
        <v>0</v>
      </c>
      <c r="HDC3">
        <f>'[12]Summary Report - 12 Months Endi'!HDB2</f>
        <v>0</v>
      </c>
      <c r="HDD3">
        <f>'[12]Summary Report - 12 Months Endi'!HDC2</f>
        <v>0</v>
      </c>
      <c r="HDE3">
        <f>'[12]Summary Report - 12 Months Endi'!HDD2</f>
        <v>0</v>
      </c>
      <c r="HDF3">
        <f>'[12]Summary Report - 12 Months Endi'!HDE2</f>
        <v>0</v>
      </c>
      <c r="HDG3">
        <f>'[12]Summary Report - 12 Months Endi'!HDF2</f>
        <v>0</v>
      </c>
      <c r="HDH3">
        <f>'[12]Summary Report - 12 Months Endi'!HDG2</f>
        <v>0</v>
      </c>
      <c r="HDI3">
        <f>'[12]Summary Report - 12 Months Endi'!HDH2</f>
        <v>0</v>
      </c>
      <c r="HDJ3">
        <f>'[12]Summary Report - 12 Months Endi'!HDI2</f>
        <v>0</v>
      </c>
      <c r="HDK3">
        <f>'[12]Summary Report - 12 Months Endi'!HDJ2</f>
        <v>0</v>
      </c>
      <c r="HDL3">
        <f>'[12]Summary Report - 12 Months Endi'!HDK2</f>
        <v>0</v>
      </c>
      <c r="HDM3">
        <f>'[12]Summary Report - 12 Months Endi'!HDL2</f>
        <v>0</v>
      </c>
      <c r="HDN3">
        <f>'[12]Summary Report - 12 Months Endi'!HDM2</f>
        <v>0</v>
      </c>
      <c r="HDO3">
        <f>'[12]Summary Report - 12 Months Endi'!HDN2</f>
        <v>0</v>
      </c>
      <c r="HDP3">
        <f>'[12]Summary Report - 12 Months Endi'!HDO2</f>
        <v>0</v>
      </c>
      <c r="HDQ3">
        <f>'[12]Summary Report - 12 Months Endi'!HDP2</f>
        <v>0</v>
      </c>
      <c r="HDR3">
        <f>'[12]Summary Report - 12 Months Endi'!HDQ2</f>
        <v>0</v>
      </c>
      <c r="HDS3">
        <f>'[12]Summary Report - 12 Months Endi'!HDR2</f>
        <v>0</v>
      </c>
      <c r="HDT3">
        <f>'[12]Summary Report - 12 Months Endi'!HDS2</f>
        <v>0</v>
      </c>
      <c r="HDU3">
        <f>'[12]Summary Report - 12 Months Endi'!HDT2</f>
        <v>0</v>
      </c>
      <c r="HDV3">
        <f>'[12]Summary Report - 12 Months Endi'!HDU2</f>
        <v>0</v>
      </c>
      <c r="HDW3">
        <f>'[12]Summary Report - 12 Months Endi'!HDV2</f>
        <v>0</v>
      </c>
      <c r="HDX3">
        <f>'[12]Summary Report - 12 Months Endi'!HDW2</f>
        <v>0</v>
      </c>
      <c r="HDY3">
        <f>'[12]Summary Report - 12 Months Endi'!HDX2</f>
        <v>0</v>
      </c>
      <c r="HDZ3">
        <f>'[12]Summary Report - 12 Months Endi'!HDY2</f>
        <v>0</v>
      </c>
      <c r="HEA3">
        <f>'[12]Summary Report - 12 Months Endi'!HDZ2</f>
        <v>0</v>
      </c>
      <c r="HEB3">
        <f>'[12]Summary Report - 12 Months Endi'!HEA2</f>
        <v>0</v>
      </c>
      <c r="HEC3">
        <f>'[12]Summary Report - 12 Months Endi'!HEB2</f>
        <v>0</v>
      </c>
      <c r="HED3">
        <f>'[12]Summary Report - 12 Months Endi'!HEC2</f>
        <v>0</v>
      </c>
      <c r="HEE3">
        <f>'[12]Summary Report - 12 Months Endi'!HED2</f>
        <v>0</v>
      </c>
      <c r="HEF3">
        <f>'[12]Summary Report - 12 Months Endi'!HEE2</f>
        <v>0</v>
      </c>
      <c r="HEG3">
        <f>'[12]Summary Report - 12 Months Endi'!HEF2</f>
        <v>0</v>
      </c>
      <c r="HEH3">
        <f>'[12]Summary Report - 12 Months Endi'!HEG2</f>
        <v>0</v>
      </c>
      <c r="HEI3">
        <f>'[12]Summary Report - 12 Months Endi'!HEH2</f>
        <v>0</v>
      </c>
      <c r="HEJ3">
        <f>'[12]Summary Report - 12 Months Endi'!HEI2</f>
        <v>0</v>
      </c>
      <c r="HEK3">
        <f>'[12]Summary Report - 12 Months Endi'!HEJ2</f>
        <v>0</v>
      </c>
      <c r="HEL3">
        <f>'[12]Summary Report - 12 Months Endi'!HEK2</f>
        <v>0</v>
      </c>
      <c r="HEM3">
        <f>'[12]Summary Report - 12 Months Endi'!HEL2</f>
        <v>0</v>
      </c>
      <c r="HEN3">
        <f>'[12]Summary Report - 12 Months Endi'!HEM2</f>
        <v>0</v>
      </c>
      <c r="HEO3">
        <f>'[12]Summary Report - 12 Months Endi'!HEN2</f>
        <v>0</v>
      </c>
      <c r="HEP3">
        <f>'[12]Summary Report - 12 Months Endi'!HEO2</f>
        <v>0</v>
      </c>
      <c r="HEQ3">
        <f>'[12]Summary Report - 12 Months Endi'!HEP2</f>
        <v>0</v>
      </c>
      <c r="HER3">
        <f>'[12]Summary Report - 12 Months Endi'!HEQ2</f>
        <v>0</v>
      </c>
      <c r="HES3">
        <f>'[12]Summary Report - 12 Months Endi'!HER2</f>
        <v>0</v>
      </c>
      <c r="HET3">
        <f>'[12]Summary Report - 12 Months Endi'!HES2</f>
        <v>0</v>
      </c>
      <c r="HEU3">
        <f>'[12]Summary Report - 12 Months Endi'!HET2</f>
        <v>0</v>
      </c>
      <c r="HEV3">
        <f>'[12]Summary Report - 12 Months Endi'!HEU2</f>
        <v>0</v>
      </c>
      <c r="HEW3">
        <f>'[12]Summary Report - 12 Months Endi'!HEV2</f>
        <v>0</v>
      </c>
      <c r="HEX3">
        <f>'[12]Summary Report - 12 Months Endi'!HEW2</f>
        <v>0</v>
      </c>
      <c r="HEY3">
        <f>'[12]Summary Report - 12 Months Endi'!HEX2</f>
        <v>0</v>
      </c>
      <c r="HEZ3">
        <f>'[12]Summary Report - 12 Months Endi'!HEY2</f>
        <v>0</v>
      </c>
      <c r="HFA3">
        <f>'[12]Summary Report - 12 Months Endi'!HEZ2</f>
        <v>0</v>
      </c>
      <c r="HFB3">
        <f>'[12]Summary Report - 12 Months Endi'!HFA2</f>
        <v>0</v>
      </c>
      <c r="HFC3">
        <f>'[12]Summary Report - 12 Months Endi'!HFB2</f>
        <v>0</v>
      </c>
      <c r="HFD3">
        <f>'[12]Summary Report - 12 Months Endi'!HFC2</f>
        <v>0</v>
      </c>
      <c r="HFE3">
        <f>'[12]Summary Report - 12 Months Endi'!HFD2</f>
        <v>0</v>
      </c>
      <c r="HFF3">
        <f>'[12]Summary Report - 12 Months Endi'!HFE2</f>
        <v>0</v>
      </c>
      <c r="HFG3">
        <f>'[12]Summary Report - 12 Months Endi'!HFF2</f>
        <v>0</v>
      </c>
      <c r="HFH3">
        <f>'[12]Summary Report - 12 Months Endi'!HFG2</f>
        <v>0</v>
      </c>
      <c r="HFI3">
        <f>'[12]Summary Report - 12 Months Endi'!HFH2</f>
        <v>0</v>
      </c>
      <c r="HFJ3">
        <f>'[12]Summary Report - 12 Months Endi'!HFI2</f>
        <v>0</v>
      </c>
      <c r="HFK3">
        <f>'[12]Summary Report - 12 Months Endi'!HFJ2</f>
        <v>0</v>
      </c>
      <c r="HFL3">
        <f>'[12]Summary Report - 12 Months Endi'!HFK2</f>
        <v>0</v>
      </c>
      <c r="HFM3">
        <f>'[12]Summary Report - 12 Months Endi'!HFL2</f>
        <v>0</v>
      </c>
      <c r="HFN3">
        <f>'[12]Summary Report - 12 Months Endi'!HFM2</f>
        <v>0</v>
      </c>
      <c r="HFO3">
        <f>'[12]Summary Report - 12 Months Endi'!HFN2</f>
        <v>0</v>
      </c>
      <c r="HFP3">
        <f>'[12]Summary Report - 12 Months Endi'!HFO2</f>
        <v>0</v>
      </c>
      <c r="HFQ3">
        <f>'[12]Summary Report - 12 Months Endi'!HFP2</f>
        <v>0</v>
      </c>
      <c r="HFR3">
        <f>'[12]Summary Report - 12 Months Endi'!HFQ2</f>
        <v>0</v>
      </c>
      <c r="HFS3">
        <f>'[12]Summary Report - 12 Months Endi'!HFR2</f>
        <v>0</v>
      </c>
      <c r="HFT3">
        <f>'[12]Summary Report - 12 Months Endi'!HFS2</f>
        <v>0</v>
      </c>
      <c r="HFU3">
        <f>'[12]Summary Report - 12 Months Endi'!HFT2</f>
        <v>0</v>
      </c>
      <c r="HFV3">
        <f>'[12]Summary Report - 12 Months Endi'!HFU2</f>
        <v>0</v>
      </c>
      <c r="HFW3">
        <f>'[12]Summary Report - 12 Months Endi'!HFV2</f>
        <v>0</v>
      </c>
      <c r="HFX3">
        <f>'[12]Summary Report - 12 Months Endi'!HFW2</f>
        <v>0</v>
      </c>
      <c r="HFY3">
        <f>'[12]Summary Report - 12 Months Endi'!HFX2</f>
        <v>0</v>
      </c>
      <c r="HFZ3">
        <f>'[12]Summary Report - 12 Months Endi'!HFY2</f>
        <v>0</v>
      </c>
      <c r="HGA3">
        <f>'[12]Summary Report - 12 Months Endi'!HFZ2</f>
        <v>0</v>
      </c>
      <c r="HGB3">
        <f>'[12]Summary Report - 12 Months Endi'!HGA2</f>
        <v>0</v>
      </c>
      <c r="HGC3">
        <f>'[12]Summary Report - 12 Months Endi'!HGB2</f>
        <v>0</v>
      </c>
      <c r="HGD3">
        <f>'[12]Summary Report - 12 Months Endi'!HGC2</f>
        <v>0</v>
      </c>
      <c r="HGE3">
        <f>'[12]Summary Report - 12 Months Endi'!HGD2</f>
        <v>0</v>
      </c>
      <c r="HGF3">
        <f>'[12]Summary Report - 12 Months Endi'!HGE2</f>
        <v>0</v>
      </c>
      <c r="HGG3">
        <f>'[12]Summary Report - 12 Months Endi'!HGF2</f>
        <v>0</v>
      </c>
      <c r="HGH3">
        <f>'[12]Summary Report - 12 Months Endi'!HGG2</f>
        <v>0</v>
      </c>
      <c r="HGI3">
        <f>'[12]Summary Report - 12 Months Endi'!HGH2</f>
        <v>0</v>
      </c>
      <c r="HGJ3">
        <f>'[12]Summary Report - 12 Months Endi'!HGI2</f>
        <v>0</v>
      </c>
      <c r="HGK3">
        <f>'[12]Summary Report - 12 Months Endi'!HGJ2</f>
        <v>0</v>
      </c>
      <c r="HGL3">
        <f>'[12]Summary Report - 12 Months Endi'!HGK2</f>
        <v>0</v>
      </c>
      <c r="HGM3">
        <f>'[12]Summary Report - 12 Months Endi'!HGL2</f>
        <v>0</v>
      </c>
      <c r="HGN3">
        <f>'[12]Summary Report - 12 Months Endi'!HGM2</f>
        <v>0</v>
      </c>
      <c r="HGO3">
        <f>'[12]Summary Report - 12 Months Endi'!HGN2</f>
        <v>0</v>
      </c>
      <c r="HGP3">
        <f>'[12]Summary Report - 12 Months Endi'!HGO2</f>
        <v>0</v>
      </c>
      <c r="HGQ3">
        <f>'[12]Summary Report - 12 Months Endi'!HGP2</f>
        <v>0</v>
      </c>
      <c r="HGR3">
        <f>'[12]Summary Report - 12 Months Endi'!HGQ2</f>
        <v>0</v>
      </c>
      <c r="HGS3">
        <f>'[12]Summary Report - 12 Months Endi'!HGR2</f>
        <v>0</v>
      </c>
      <c r="HGT3">
        <f>'[12]Summary Report - 12 Months Endi'!HGS2</f>
        <v>0</v>
      </c>
      <c r="HGU3">
        <f>'[12]Summary Report - 12 Months Endi'!HGT2</f>
        <v>0</v>
      </c>
      <c r="HGV3">
        <f>'[12]Summary Report - 12 Months Endi'!HGU2</f>
        <v>0</v>
      </c>
      <c r="HGW3">
        <f>'[12]Summary Report - 12 Months Endi'!HGV2</f>
        <v>0</v>
      </c>
      <c r="HGX3">
        <f>'[12]Summary Report - 12 Months Endi'!HGW2</f>
        <v>0</v>
      </c>
      <c r="HGY3">
        <f>'[12]Summary Report - 12 Months Endi'!HGX2</f>
        <v>0</v>
      </c>
      <c r="HGZ3">
        <f>'[12]Summary Report - 12 Months Endi'!HGY2</f>
        <v>0</v>
      </c>
      <c r="HHA3">
        <f>'[12]Summary Report - 12 Months Endi'!HGZ2</f>
        <v>0</v>
      </c>
      <c r="HHB3">
        <f>'[12]Summary Report - 12 Months Endi'!HHA2</f>
        <v>0</v>
      </c>
      <c r="HHC3">
        <f>'[12]Summary Report - 12 Months Endi'!HHB2</f>
        <v>0</v>
      </c>
      <c r="HHD3">
        <f>'[12]Summary Report - 12 Months Endi'!HHC2</f>
        <v>0</v>
      </c>
      <c r="HHE3">
        <f>'[12]Summary Report - 12 Months Endi'!HHD2</f>
        <v>0</v>
      </c>
      <c r="HHF3">
        <f>'[12]Summary Report - 12 Months Endi'!HHE2</f>
        <v>0</v>
      </c>
      <c r="HHG3">
        <f>'[12]Summary Report - 12 Months Endi'!HHF2</f>
        <v>0</v>
      </c>
      <c r="HHH3">
        <f>'[12]Summary Report - 12 Months Endi'!HHG2</f>
        <v>0</v>
      </c>
      <c r="HHI3">
        <f>'[12]Summary Report - 12 Months Endi'!HHH2</f>
        <v>0</v>
      </c>
      <c r="HHJ3">
        <f>'[12]Summary Report - 12 Months Endi'!HHI2</f>
        <v>0</v>
      </c>
      <c r="HHK3">
        <f>'[12]Summary Report - 12 Months Endi'!HHJ2</f>
        <v>0</v>
      </c>
      <c r="HHL3">
        <f>'[12]Summary Report - 12 Months Endi'!HHK2</f>
        <v>0</v>
      </c>
      <c r="HHM3">
        <f>'[12]Summary Report - 12 Months Endi'!HHL2</f>
        <v>0</v>
      </c>
      <c r="HHN3">
        <f>'[12]Summary Report - 12 Months Endi'!HHM2</f>
        <v>0</v>
      </c>
      <c r="HHO3">
        <f>'[12]Summary Report - 12 Months Endi'!HHN2</f>
        <v>0</v>
      </c>
      <c r="HHP3">
        <f>'[12]Summary Report - 12 Months Endi'!HHO2</f>
        <v>0</v>
      </c>
      <c r="HHQ3">
        <f>'[12]Summary Report - 12 Months Endi'!HHP2</f>
        <v>0</v>
      </c>
      <c r="HHR3">
        <f>'[12]Summary Report - 12 Months Endi'!HHQ2</f>
        <v>0</v>
      </c>
      <c r="HHS3">
        <f>'[12]Summary Report - 12 Months Endi'!HHR2</f>
        <v>0</v>
      </c>
      <c r="HHT3">
        <f>'[12]Summary Report - 12 Months Endi'!HHS2</f>
        <v>0</v>
      </c>
      <c r="HHU3">
        <f>'[12]Summary Report - 12 Months Endi'!HHT2</f>
        <v>0</v>
      </c>
      <c r="HHV3">
        <f>'[12]Summary Report - 12 Months Endi'!HHU2</f>
        <v>0</v>
      </c>
      <c r="HHW3">
        <f>'[12]Summary Report - 12 Months Endi'!HHV2</f>
        <v>0</v>
      </c>
      <c r="HHX3">
        <f>'[12]Summary Report - 12 Months Endi'!HHW2</f>
        <v>0</v>
      </c>
      <c r="HHY3">
        <f>'[12]Summary Report - 12 Months Endi'!HHX2</f>
        <v>0</v>
      </c>
      <c r="HHZ3">
        <f>'[12]Summary Report - 12 Months Endi'!HHY2</f>
        <v>0</v>
      </c>
      <c r="HIA3">
        <f>'[12]Summary Report - 12 Months Endi'!HHZ2</f>
        <v>0</v>
      </c>
      <c r="HIB3">
        <f>'[12]Summary Report - 12 Months Endi'!HIA2</f>
        <v>0</v>
      </c>
      <c r="HIC3">
        <f>'[12]Summary Report - 12 Months Endi'!HIB2</f>
        <v>0</v>
      </c>
      <c r="HID3">
        <f>'[12]Summary Report - 12 Months Endi'!HIC2</f>
        <v>0</v>
      </c>
      <c r="HIE3">
        <f>'[12]Summary Report - 12 Months Endi'!HID2</f>
        <v>0</v>
      </c>
      <c r="HIF3">
        <f>'[12]Summary Report - 12 Months Endi'!HIE2</f>
        <v>0</v>
      </c>
      <c r="HIG3">
        <f>'[12]Summary Report - 12 Months Endi'!HIF2</f>
        <v>0</v>
      </c>
      <c r="HIH3">
        <f>'[12]Summary Report - 12 Months Endi'!HIG2</f>
        <v>0</v>
      </c>
      <c r="HII3">
        <f>'[12]Summary Report - 12 Months Endi'!HIH2</f>
        <v>0</v>
      </c>
      <c r="HIJ3">
        <f>'[12]Summary Report - 12 Months Endi'!HII2</f>
        <v>0</v>
      </c>
      <c r="HIK3">
        <f>'[12]Summary Report - 12 Months Endi'!HIJ2</f>
        <v>0</v>
      </c>
      <c r="HIL3">
        <f>'[12]Summary Report - 12 Months Endi'!HIK2</f>
        <v>0</v>
      </c>
      <c r="HIM3">
        <f>'[12]Summary Report - 12 Months Endi'!HIL2</f>
        <v>0</v>
      </c>
      <c r="HIN3">
        <f>'[12]Summary Report - 12 Months Endi'!HIM2</f>
        <v>0</v>
      </c>
      <c r="HIO3">
        <f>'[12]Summary Report - 12 Months Endi'!HIN2</f>
        <v>0</v>
      </c>
      <c r="HIP3">
        <f>'[12]Summary Report - 12 Months Endi'!HIO2</f>
        <v>0</v>
      </c>
      <c r="HIQ3">
        <f>'[12]Summary Report - 12 Months Endi'!HIP2</f>
        <v>0</v>
      </c>
      <c r="HIR3">
        <f>'[12]Summary Report - 12 Months Endi'!HIQ2</f>
        <v>0</v>
      </c>
      <c r="HIS3">
        <f>'[12]Summary Report - 12 Months Endi'!HIR2</f>
        <v>0</v>
      </c>
      <c r="HIT3">
        <f>'[12]Summary Report - 12 Months Endi'!HIS2</f>
        <v>0</v>
      </c>
      <c r="HIU3">
        <f>'[12]Summary Report - 12 Months Endi'!HIT2</f>
        <v>0</v>
      </c>
      <c r="HIV3">
        <f>'[12]Summary Report - 12 Months Endi'!HIU2</f>
        <v>0</v>
      </c>
      <c r="HIW3">
        <f>'[12]Summary Report - 12 Months Endi'!HIV2</f>
        <v>0</v>
      </c>
      <c r="HIX3">
        <f>'[12]Summary Report - 12 Months Endi'!HIW2</f>
        <v>0</v>
      </c>
      <c r="HIY3">
        <f>'[12]Summary Report - 12 Months Endi'!HIX2</f>
        <v>0</v>
      </c>
      <c r="HIZ3">
        <f>'[12]Summary Report - 12 Months Endi'!HIY2</f>
        <v>0</v>
      </c>
      <c r="HJA3">
        <f>'[12]Summary Report - 12 Months Endi'!HIZ2</f>
        <v>0</v>
      </c>
      <c r="HJB3">
        <f>'[12]Summary Report - 12 Months Endi'!HJA2</f>
        <v>0</v>
      </c>
      <c r="HJC3">
        <f>'[12]Summary Report - 12 Months Endi'!HJB2</f>
        <v>0</v>
      </c>
      <c r="HJD3">
        <f>'[12]Summary Report - 12 Months Endi'!HJC2</f>
        <v>0</v>
      </c>
      <c r="HJE3">
        <f>'[12]Summary Report - 12 Months Endi'!HJD2</f>
        <v>0</v>
      </c>
      <c r="HJF3">
        <f>'[12]Summary Report - 12 Months Endi'!HJE2</f>
        <v>0</v>
      </c>
      <c r="HJG3">
        <f>'[12]Summary Report - 12 Months Endi'!HJF2</f>
        <v>0</v>
      </c>
      <c r="HJH3">
        <f>'[12]Summary Report - 12 Months Endi'!HJG2</f>
        <v>0</v>
      </c>
      <c r="HJI3">
        <f>'[12]Summary Report - 12 Months Endi'!HJH2</f>
        <v>0</v>
      </c>
      <c r="HJJ3">
        <f>'[12]Summary Report - 12 Months Endi'!HJI2</f>
        <v>0</v>
      </c>
      <c r="HJK3">
        <f>'[12]Summary Report - 12 Months Endi'!HJJ2</f>
        <v>0</v>
      </c>
      <c r="HJL3">
        <f>'[12]Summary Report - 12 Months Endi'!HJK2</f>
        <v>0</v>
      </c>
      <c r="HJM3">
        <f>'[12]Summary Report - 12 Months Endi'!HJL2</f>
        <v>0</v>
      </c>
      <c r="HJN3">
        <f>'[12]Summary Report - 12 Months Endi'!HJM2</f>
        <v>0</v>
      </c>
      <c r="HJO3">
        <f>'[12]Summary Report - 12 Months Endi'!HJN2</f>
        <v>0</v>
      </c>
      <c r="HJP3">
        <f>'[12]Summary Report - 12 Months Endi'!HJO2</f>
        <v>0</v>
      </c>
      <c r="HJQ3">
        <f>'[12]Summary Report - 12 Months Endi'!HJP2</f>
        <v>0</v>
      </c>
      <c r="HJR3">
        <f>'[12]Summary Report - 12 Months Endi'!HJQ2</f>
        <v>0</v>
      </c>
      <c r="HJS3">
        <f>'[12]Summary Report - 12 Months Endi'!HJR2</f>
        <v>0</v>
      </c>
      <c r="HJT3">
        <f>'[12]Summary Report - 12 Months Endi'!HJS2</f>
        <v>0</v>
      </c>
      <c r="HJU3">
        <f>'[12]Summary Report - 12 Months Endi'!HJT2</f>
        <v>0</v>
      </c>
      <c r="HJV3">
        <f>'[12]Summary Report - 12 Months Endi'!HJU2</f>
        <v>0</v>
      </c>
      <c r="HJW3">
        <f>'[12]Summary Report - 12 Months Endi'!HJV2</f>
        <v>0</v>
      </c>
      <c r="HJX3">
        <f>'[12]Summary Report - 12 Months Endi'!HJW2</f>
        <v>0</v>
      </c>
      <c r="HJY3">
        <f>'[12]Summary Report - 12 Months Endi'!HJX2</f>
        <v>0</v>
      </c>
      <c r="HJZ3">
        <f>'[12]Summary Report - 12 Months Endi'!HJY2</f>
        <v>0</v>
      </c>
      <c r="HKA3">
        <f>'[12]Summary Report - 12 Months Endi'!HJZ2</f>
        <v>0</v>
      </c>
      <c r="HKB3">
        <f>'[12]Summary Report - 12 Months Endi'!HKA2</f>
        <v>0</v>
      </c>
      <c r="HKC3">
        <f>'[12]Summary Report - 12 Months Endi'!HKB2</f>
        <v>0</v>
      </c>
      <c r="HKD3">
        <f>'[12]Summary Report - 12 Months Endi'!HKC2</f>
        <v>0</v>
      </c>
      <c r="HKE3">
        <f>'[12]Summary Report - 12 Months Endi'!HKD2</f>
        <v>0</v>
      </c>
      <c r="HKF3">
        <f>'[12]Summary Report - 12 Months Endi'!HKE2</f>
        <v>0</v>
      </c>
      <c r="HKG3">
        <f>'[12]Summary Report - 12 Months Endi'!HKF2</f>
        <v>0</v>
      </c>
      <c r="HKH3">
        <f>'[12]Summary Report - 12 Months Endi'!HKG2</f>
        <v>0</v>
      </c>
      <c r="HKI3">
        <f>'[12]Summary Report - 12 Months Endi'!HKH2</f>
        <v>0</v>
      </c>
      <c r="HKJ3">
        <f>'[12]Summary Report - 12 Months Endi'!HKI2</f>
        <v>0</v>
      </c>
      <c r="HKK3">
        <f>'[12]Summary Report - 12 Months Endi'!HKJ2</f>
        <v>0</v>
      </c>
      <c r="HKL3">
        <f>'[12]Summary Report - 12 Months Endi'!HKK2</f>
        <v>0</v>
      </c>
      <c r="HKM3">
        <f>'[12]Summary Report - 12 Months Endi'!HKL2</f>
        <v>0</v>
      </c>
      <c r="HKN3">
        <f>'[12]Summary Report - 12 Months Endi'!HKM2</f>
        <v>0</v>
      </c>
      <c r="HKO3">
        <f>'[12]Summary Report - 12 Months Endi'!HKN2</f>
        <v>0</v>
      </c>
      <c r="HKP3">
        <f>'[12]Summary Report - 12 Months Endi'!HKO2</f>
        <v>0</v>
      </c>
      <c r="HKQ3">
        <f>'[12]Summary Report - 12 Months Endi'!HKP2</f>
        <v>0</v>
      </c>
      <c r="HKR3">
        <f>'[12]Summary Report - 12 Months Endi'!HKQ2</f>
        <v>0</v>
      </c>
      <c r="HKS3">
        <f>'[12]Summary Report - 12 Months Endi'!HKR2</f>
        <v>0</v>
      </c>
      <c r="HKT3">
        <f>'[12]Summary Report - 12 Months Endi'!HKS2</f>
        <v>0</v>
      </c>
      <c r="HKU3">
        <f>'[12]Summary Report - 12 Months Endi'!HKT2</f>
        <v>0</v>
      </c>
      <c r="HKV3">
        <f>'[12]Summary Report - 12 Months Endi'!HKU2</f>
        <v>0</v>
      </c>
      <c r="HKW3">
        <f>'[12]Summary Report - 12 Months Endi'!HKV2</f>
        <v>0</v>
      </c>
      <c r="HKX3">
        <f>'[12]Summary Report - 12 Months Endi'!HKW2</f>
        <v>0</v>
      </c>
      <c r="HKY3">
        <f>'[12]Summary Report - 12 Months Endi'!HKX2</f>
        <v>0</v>
      </c>
      <c r="HKZ3">
        <f>'[12]Summary Report - 12 Months Endi'!HKY2</f>
        <v>0</v>
      </c>
      <c r="HLA3">
        <f>'[12]Summary Report - 12 Months Endi'!HKZ2</f>
        <v>0</v>
      </c>
      <c r="HLB3">
        <f>'[12]Summary Report - 12 Months Endi'!HLA2</f>
        <v>0</v>
      </c>
      <c r="HLC3">
        <f>'[12]Summary Report - 12 Months Endi'!HLB2</f>
        <v>0</v>
      </c>
      <c r="HLD3">
        <f>'[12]Summary Report - 12 Months Endi'!HLC2</f>
        <v>0</v>
      </c>
      <c r="HLE3">
        <f>'[12]Summary Report - 12 Months Endi'!HLD2</f>
        <v>0</v>
      </c>
      <c r="HLF3">
        <f>'[12]Summary Report - 12 Months Endi'!HLE2</f>
        <v>0</v>
      </c>
      <c r="HLG3">
        <f>'[12]Summary Report - 12 Months Endi'!HLF2</f>
        <v>0</v>
      </c>
      <c r="HLH3">
        <f>'[12]Summary Report - 12 Months Endi'!HLG2</f>
        <v>0</v>
      </c>
      <c r="HLI3">
        <f>'[12]Summary Report - 12 Months Endi'!HLH2</f>
        <v>0</v>
      </c>
      <c r="HLJ3">
        <f>'[12]Summary Report - 12 Months Endi'!HLI2</f>
        <v>0</v>
      </c>
      <c r="HLK3">
        <f>'[12]Summary Report - 12 Months Endi'!HLJ2</f>
        <v>0</v>
      </c>
      <c r="HLL3">
        <f>'[12]Summary Report - 12 Months Endi'!HLK2</f>
        <v>0</v>
      </c>
      <c r="HLM3">
        <f>'[12]Summary Report - 12 Months Endi'!HLL2</f>
        <v>0</v>
      </c>
      <c r="HLN3">
        <f>'[12]Summary Report - 12 Months Endi'!HLM2</f>
        <v>0</v>
      </c>
      <c r="HLO3">
        <f>'[12]Summary Report - 12 Months Endi'!HLN2</f>
        <v>0</v>
      </c>
      <c r="HLP3">
        <f>'[12]Summary Report - 12 Months Endi'!HLO2</f>
        <v>0</v>
      </c>
      <c r="HLQ3">
        <f>'[12]Summary Report - 12 Months Endi'!HLP2</f>
        <v>0</v>
      </c>
      <c r="HLR3">
        <f>'[12]Summary Report - 12 Months Endi'!HLQ2</f>
        <v>0</v>
      </c>
      <c r="HLS3">
        <f>'[12]Summary Report - 12 Months Endi'!HLR2</f>
        <v>0</v>
      </c>
      <c r="HLT3">
        <f>'[12]Summary Report - 12 Months Endi'!HLS2</f>
        <v>0</v>
      </c>
      <c r="HLU3">
        <f>'[12]Summary Report - 12 Months Endi'!HLT2</f>
        <v>0</v>
      </c>
      <c r="HLV3">
        <f>'[12]Summary Report - 12 Months Endi'!HLU2</f>
        <v>0</v>
      </c>
      <c r="HLW3">
        <f>'[12]Summary Report - 12 Months Endi'!HLV2</f>
        <v>0</v>
      </c>
      <c r="HLX3">
        <f>'[12]Summary Report - 12 Months Endi'!HLW2</f>
        <v>0</v>
      </c>
      <c r="HLY3">
        <f>'[12]Summary Report - 12 Months Endi'!HLX2</f>
        <v>0</v>
      </c>
      <c r="HLZ3">
        <f>'[12]Summary Report - 12 Months Endi'!HLY2</f>
        <v>0</v>
      </c>
      <c r="HMA3">
        <f>'[12]Summary Report - 12 Months Endi'!HLZ2</f>
        <v>0</v>
      </c>
      <c r="HMB3">
        <f>'[12]Summary Report - 12 Months Endi'!HMA2</f>
        <v>0</v>
      </c>
      <c r="HMC3">
        <f>'[12]Summary Report - 12 Months Endi'!HMB2</f>
        <v>0</v>
      </c>
      <c r="HMD3">
        <f>'[12]Summary Report - 12 Months Endi'!HMC2</f>
        <v>0</v>
      </c>
      <c r="HME3">
        <f>'[12]Summary Report - 12 Months Endi'!HMD2</f>
        <v>0</v>
      </c>
      <c r="HMF3">
        <f>'[12]Summary Report - 12 Months Endi'!HME2</f>
        <v>0</v>
      </c>
      <c r="HMG3">
        <f>'[12]Summary Report - 12 Months Endi'!HMF2</f>
        <v>0</v>
      </c>
      <c r="HMH3">
        <f>'[12]Summary Report - 12 Months Endi'!HMG2</f>
        <v>0</v>
      </c>
      <c r="HMI3">
        <f>'[12]Summary Report - 12 Months Endi'!HMH2</f>
        <v>0</v>
      </c>
      <c r="HMJ3">
        <f>'[12]Summary Report - 12 Months Endi'!HMI2</f>
        <v>0</v>
      </c>
      <c r="HMK3">
        <f>'[12]Summary Report - 12 Months Endi'!HMJ2</f>
        <v>0</v>
      </c>
      <c r="HML3">
        <f>'[12]Summary Report - 12 Months Endi'!HMK2</f>
        <v>0</v>
      </c>
      <c r="HMM3">
        <f>'[12]Summary Report - 12 Months Endi'!HML2</f>
        <v>0</v>
      </c>
      <c r="HMN3">
        <f>'[12]Summary Report - 12 Months Endi'!HMM2</f>
        <v>0</v>
      </c>
      <c r="HMO3">
        <f>'[12]Summary Report - 12 Months Endi'!HMN2</f>
        <v>0</v>
      </c>
      <c r="HMP3">
        <f>'[12]Summary Report - 12 Months Endi'!HMO2</f>
        <v>0</v>
      </c>
      <c r="HMQ3">
        <f>'[12]Summary Report - 12 Months Endi'!HMP2</f>
        <v>0</v>
      </c>
      <c r="HMR3">
        <f>'[12]Summary Report - 12 Months Endi'!HMQ2</f>
        <v>0</v>
      </c>
      <c r="HMS3">
        <f>'[12]Summary Report - 12 Months Endi'!HMR2</f>
        <v>0</v>
      </c>
      <c r="HMT3">
        <f>'[12]Summary Report - 12 Months Endi'!HMS2</f>
        <v>0</v>
      </c>
      <c r="HMU3">
        <f>'[12]Summary Report - 12 Months Endi'!HMT2</f>
        <v>0</v>
      </c>
      <c r="HMV3">
        <f>'[12]Summary Report - 12 Months Endi'!HMU2</f>
        <v>0</v>
      </c>
      <c r="HMW3">
        <f>'[12]Summary Report - 12 Months Endi'!HMV2</f>
        <v>0</v>
      </c>
      <c r="HMX3">
        <f>'[12]Summary Report - 12 Months Endi'!HMW2</f>
        <v>0</v>
      </c>
      <c r="HMY3">
        <f>'[12]Summary Report - 12 Months Endi'!HMX2</f>
        <v>0</v>
      </c>
      <c r="HMZ3">
        <f>'[12]Summary Report - 12 Months Endi'!HMY2</f>
        <v>0</v>
      </c>
      <c r="HNA3">
        <f>'[12]Summary Report - 12 Months Endi'!HMZ2</f>
        <v>0</v>
      </c>
      <c r="HNB3">
        <f>'[12]Summary Report - 12 Months Endi'!HNA2</f>
        <v>0</v>
      </c>
      <c r="HNC3">
        <f>'[12]Summary Report - 12 Months Endi'!HNB2</f>
        <v>0</v>
      </c>
      <c r="HND3">
        <f>'[12]Summary Report - 12 Months Endi'!HNC2</f>
        <v>0</v>
      </c>
      <c r="HNE3">
        <f>'[12]Summary Report - 12 Months Endi'!HND2</f>
        <v>0</v>
      </c>
      <c r="HNF3">
        <f>'[12]Summary Report - 12 Months Endi'!HNE2</f>
        <v>0</v>
      </c>
      <c r="HNG3">
        <f>'[12]Summary Report - 12 Months Endi'!HNF2</f>
        <v>0</v>
      </c>
      <c r="HNH3">
        <f>'[12]Summary Report - 12 Months Endi'!HNG2</f>
        <v>0</v>
      </c>
      <c r="HNI3">
        <f>'[12]Summary Report - 12 Months Endi'!HNH2</f>
        <v>0</v>
      </c>
      <c r="HNJ3">
        <f>'[12]Summary Report - 12 Months Endi'!HNI2</f>
        <v>0</v>
      </c>
      <c r="HNK3">
        <f>'[12]Summary Report - 12 Months Endi'!HNJ2</f>
        <v>0</v>
      </c>
      <c r="HNL3">
        <f>'[12]Summary Report - 12 Months Endi'!HNK2</f>
        <v>0</v>
      </c>
      <c r="HNM3">
        <f>'[12]Summary Report - 12 Months Endi'!HNL2</f>
        <v>0</v>
      </c>
      <c r="HNN3">
        <f>'[12]Summary Report - 12 Months Endi'!HNM2</f>
        <v>0</v>
      </c>
      <c r="HNO3">
        <f>'[12]Summary Report - 12 Months Endi'!HNN2</f>
        <v>0</v>
      </c>
      <c r="HNP3">
        <f>'[12]Summary Report - 12 Months Endi'!HNO2</f>
        <v>0</v>
      </c>
      <c r="HNQ3">
        <f>'[12]Summary Report - 12 Months Endi'!HNP2</f>
        <v>0</v>
      </c>
      <c r="HNR3">
        <f>'[12]Summary Report - 12 Months Endi'!HNQ2</f>
        <v>0</v>
      </c>
      <c r="HNS3">
        <f>'[12]Summary Report - 12 Months Endi'!HNR2</f>
        <v>0</v>
      </c>
      <c r="HNT3">
        <f>'[12]Summary Report - 12 Months Endi'!HNS2</f>
        <v>0</v>
      </c>
      <c r="HNU3">
        <f>'[12]Summary Report - 12 Months Endi'!HNT2</f>
        <v>0</v>
      </c>
      <c r="HNV3">
        <f>'[12]Summary Report - 12 Months Endi'!HNU2</f>
        <v>0</v>
      </c>
      <c r="HNW3">
        <f>'[12]Summary Report - 12 Months Endi'!HNV2</f>
        <v>0</v>
      </c>
      <c r="HNX3">
        <f>'[12]Summary Report - 12 Months Endi'!HNW2</f>
        <v>0</v>
      </c>
      <c r="HNY3">
        <f>'[12]Summary Report - 12 Months Endi'!HNX2</f>
        <v>0</v>
      </c>
      <c r="HNZ3">
        <f>'[12]Summary Report - 12 Months Endi'!HNY2</f>
        <v>0</v>
      </c>
      <c r="HOA3">
        <f>'[12]Summary Report - 12 Months Endi'!HNZ2</f>
        <v>0</v>
      </c>
      <c r="HOB3">
        <f>'[12]Summary Report - 12 Months Endi'!HOA2</f>
        <v>0</v>
      </c>
      <c r="HOC3">
        <f>'[12]Summary Report - 12 Months Endi'!HOB2</f>
        <v>0</v>
      </c>
      <c r="HOD3">
        <f>'[12]Summary Report - 12 Months Endi'!HOC2</f>
        <v>0</v>
      </c>
      <c r="HOE3">
        <f>'[12]Summary Report - 12 Months Endi'!HOD2</f>
        <v>0</v>
      </c>
      <c r="HOF3">
        <f>'[12]Summary Report - 12 Months Endi'!HOE2</f>
        <v>0</v>
      </c>
      <c r="HOG3">
        <f>'[12]Summary Report - 12 Months Endi'!HOF2</f>
        <v>0</v>
      </c>
      <c r="HOH3">
        <f>'[12]Summary Report - 12 Months Endi'!HOG2</f>
        <v>0</v>
      </c>
      <c r="HOI3">
        <f>'[12]Summary Report - 12 Months Endi'!HOH2</f>
        <v>0</v>
      </c>
      <c r="HOJ3">
        <f>'[12]Summary Report - 12 Months Endi'!HOI2</f>
        <v>0</v>
      </c>
      <c r="HOK3">
        <f>'[12]Summary Report - 12 Months Endi'!HOJ2</f>
        <v>0</v>
      </c>
      <c r="HOL3">
        <f>'[12]Summary Report - 12 Months Endi'!HOK2</f>
        <v>0</v>
      </c>
      <c r="HOM3">
        <f>'[12]Summary Report - 12 Months Endi'!HOL2</f>
        <v>0</v>
      </c>
      <c r="HON3">
        <f>'[12]Summary Report - 12 Months Endi'!HOM2</f>
        <v>0</v>
      </c>
      <c r="HOO3">
        <f>'[12]Summary Report - 12 Months Endi'!HON2</f>
        <v>0</v>
      </c>
      <c r="HOP3">
        <f>'[12]Summary Report - 12 Months Endi'!HOO2</f>
        <v>0</v>
      </c>
      <c r="HOQ3">
        <f>'[12]Summary Report - 12 Months Endi'!HOP2</f>
        <v>0</v>
      </c>
      <c r="HOR3">
        <f>'[12]Summary Report - 12 Months Endi'!HOQ2</f>
        <v>0</v>
      </c>
      <c r="HOS3">
        <f>'[12]Summary Report - 12 Months Endi'!HOR2</f>
        <v>0</v>
      </c>
      <c r="HOT3">
        <f>'[12]Summary Report - 12 Months Endi'!HOS2</f>
        <v>0</v>
      </c>
      <c r="HOU3">
        <f>'[12]Summary Report - 12 Months Endi'!HOT2</f>
        <v>0</v>
      </c>
      <c r="HOV3">
        <f>'[12]Summary Report - 12 Months Endi'!HOU2</f>
        <v>0</v>
      </c>
      <c r="HOW3">
        <f>'[12]Summary Report - 12 Months Endi'!HOV2</f>
        <v>0</v>
      </c>
      <c r="HOX3">
        <f>'[12]Summary Report - 12 Months Endi'!HOW2</f>
        <v>0</v>
      </c>
      <c r="HOY3">
        <f>'[12]Summary Report - 12 Months Endi'!HOX2</f>
        <v>0</v>
      </c>
      <c r="HOZ3">
        <f>'[12]Summary Report - 12 Months Endi'!HOY2</f>
        <v>0</v>
      </c>
      <c r="HPA3">
        <f>'[12]Summary Report - 12 Months Endi'!HOZ2</f>
        <v>0</v>
      </c>
      <c r="HPB3">
        <f>'[12]Summary Report - 12 Months Endi'!HPA2</f>
        <v>0</v>
      </c>
      <c r="HPC3">
        <f>'[12]Summary Report - 12 Months Endi'!HPB2</f>
        <v>0</v>
      </c>
      <c r="HPD3">
        <f>'[12]Summary Report - 12 Months Endi'!HPC2</f>
        <v>0</v>
      </c>
      <c r="HPE3">
        <f>'[12]Summary Report - 12 Months Endi'!HPD2</f>
        <v>0</v>
      </c>
      <c r="HPF3">
        <f>'[12]Summary Report - 12 Months Endi'!HPE2</f>
        <v>0</v>
      </c>
      <c r="HPG3">
        <f>'[12]Summary Report - 12 Months Endi'!HPF2</f>
        <v>0</v>
      </c>
      <c r="HPH3">
        <f>'[12]Summary Report - 12 Months Endi'!HPG2</f>
        <v>0</v>
      </c>
      <c r="HPI3">
        <f>'[12]Summary Report - 12 Months Endi'!HPH2</f>
        <v>0</v>
      </c>
      <c r="HPJ3">
        <f>'[12]Summary Report - 12 Months Endi'!HPI2</f>
        <v>0</v>
      </c>
      <c r="HPK3">
        <f>'[12]Summary Report - 12 Months Endi'!HPJ2</f>
        <v>0</v>
      </c>
      <c r="HPL3">
        <f>'[12]Summary Report - 12 Months Endi'!HPK2</f>
        <v>0</v>
      </c>
      <c r="HPM3">
        <f>'[12]Summary Report - 12 Months Endi'!HPL2</f>
        <v>0</v>
      </c>
      <c r="HPN3">
        <f>'[12]Summary Report - 12 Months Endi'!HPM2</f>
        <v>0</v>
      </c>
      <c r="HPO3">
        <f>'[12]Summary Report - 12 Months Endi'!HPN2</f>
        <v>0</v>
      </c>
      <c r="HPP3">
        <f>'[12]Summary Report - 12 Months Endi'!HPO2</f>
        <v>0</v>
      </c>
      <c r="HPQ3">
        <f>'[12]Summary Report - 12 Months Endi'!HPP2</f>
        <v>0</v>
      </c>
      <c r="HPR3">
        <f>'[12]Summary Report - 12 Months Endi'!HPQ2</f>
        <v>0</v>
      </c>
      <c r="HPS3">
        <f>'[12]Summary Report - 12 Months Endi'!HPR2</f>
        <v>0</v>
      </c>
      <c r="HPT3">
        <f>'[12]Summary Report - 12 Months Endi'!HPS2</f>
        <v>0</v>
      </c>
      <c r="HPU3">
        <f>'[12]Summary Report - 12 Months Endi'!HPT2</f>
        <v>0</v>
      </c>
      <c r="HPV3">
        <f>'[12]Summary Report - 12 Months Endi'!HPU2</f>
        <v>0</v>
      </c>
      <c r="HPW3">
        <f>'[12]Summary Report - 12 Months Endi'!HPV2</f>
        <v>0</v>
      </c>
      <c r="HPX3">
        <f>'[12]Summary Report - 12 Months Endi'!HPW2</f>
        <v>0</v>
      </c>
      <c r="HPY3">
        <f>'[12]Summary Report - 12 Months Endi'!HPX2</f>
        <v>0</v>
      </c>
      <c r="HPZ3">
        <f>'[12]Summary Report - 12 Months Endi'!HPY2</f>
        <v>0</v>
      </c>
      <c r="HQA3">
        <f>'[12]Summary Report - 12 Months Endi'!HPZ2</f>
        <v>0</v>
      </c>
      <c r="HQB3">
        <f>'[12]Summary Report - 12 Months Endi'!HQA2</f>
        <v>0</v>
      </c>
      <c r="HQC3">
        <f>'[12]Summary Report - 12 Months Endi'!HQB2</f>
        <v>0</v>
      </c>
      <c r="HQD3">
        <f>'[12]Summary Report - 12 Months Endi'!HQC2</f>
        <v>0</v>
      </c>
      <c r="HQE3">
        <f>'[12]Summary Report - 12 Months Endi'!HQD2</f>
        <v>0</v>
      </c>
      <c r="HQF3">
        <f>'[12]Summary Report - 12 Months Endi'!HQE2</f>
        <v>0</v>
      </c>
      <c r="HQG3">
        <f>'[12]Summary Report - 12 Months Endi'!HQF2</f>
        <v>0</v>
      </c>
      <c r="HQH3">
        <f>'[12]Summary Report - 12 Months Endi'!HQG2</f>
        <v>0</v>
      </c>
      <c r="HQI3">
        <f>'[12]Summary Report - 12 Months Endi'!HQH2</f>
        <v>0</v>
      </c>
      <c r="HQJ3">
        <f>'[12]Summary Report - 12 Months Endi'!HQI2</f>
        <v>0</v>
      </c>
      <c r="HQK3">
        <f>'[12]Summary Report - 12 Months Endi'!HQJ2</f>
        <v>0</v>
      </c>
      <c r="HQL3">
        <f>'[12]Summary Report - 12 Months Endi'!HQK2</f>
        <v>0</v>
      </c>
      <c r="HQM3">
        <f>'[12]Summary Report - 12 Months Endi'!HQL2</f>
        <v>0</v>
      </c>
      <c r="HQN3">
        <f>'[12]Summary Report - 12 Months Endi'!HQM2</f>
        <v>0</v>
      </c>
      <c r="HQO3">
        <f>'[12]Summary Report - 12 Months Endi'!HQN2</f>
        <v>0</v>
      </c>
      <c r="HQP3">
        <f>'[12]Summary Report - 12 Months Endi'!HQO2</f>
        <v>0</v>
      </c>
      <c r="HQQ3">
        <f>'[12]Summary Report - 12 Months Endi'!HQP2</f>
        <v>0</v>
      </c>
      <c r="HQR3">
        <f>'[12]Summary Report - 12 Months Endi'!HQQ2</f>
        <v>0</v>
      </c>
      <c r="HQS3">
        <f>'[12]Summary Report - 12 Months Endi'!HQR2</f>
        <v>0</v>
      </c>
      <c r="HQT3">
        <f>'[12]Summary Report - 12 Months Endi'!HQS2</f>
        <v>0</v>
      </c>
      <c r="HQU3">
        <f>'[12]Summary Report - 12 Months Endi'!HQT2</f>
        <v>0</v>
      </c>
      <c r="HQV3">
        <f>'[12]Summary Report - 12 Months Endi'!HQU2</f>
        <v>0</v>
      </c>
      <c r="HQW3">
        <f>'[12]Summary Report - 12 Months Endi'!HQV2</f>
        <v>0</v>
      </c>
      <c r="HQX3">
        <f>'[12]Summary Report - 12 Months Endi'!HQW2</f>
        <v>0</v>
      </c>
      <c r="HQY3">
        <f>'[12]Summary Report - 12 Months Endi'!HQX2</f>
        <v>0</v>
      </c>
      <c r="HQZ3">
        <f>'[12]Summary Report - 12 Months Endi'!HQY2</f>
        <v>0</v>
      </c>
      <c r="HRA3">
        <f>'[12]Summary Report - 12 Months Endi'!HQZ2</f>
        <v>0</v>
      </c>
      <c r="HRB3">
        <f>'[12]Summary Report - 12 Months Endi'!HRA2</f>
        <v>0</v>
      </c>
      <c r="HRC3">
        <f>'[12]Summary Report - 12 Months Endi'!HRB2</f>
        <v>0</v>
      </c>
      <c r="HRD3">
        <f>'[12]Summary Report - 12 Months Endi'!HRC2</f>
        <v>0</v>
      </c>
      <c r="HRE3">
        <f>'[12]Summary Report - 12 Months Endi'!HRD2</f>
        <v>0</v>
      </c>
      <c r="HRF3">
        <f>'[12]Summary Report - 12 Months Endi'!HRE2</f>
        <v>0</v>
      </c>
      <c r="HRG3">
        <f>'[12]Summary Report - 12 Months Endi'!HRF2</f>
        <v>0</v>
      </c>
      <c r="HRH3">
        <f>'[12]Summary Report - 12 Months Endi'!HRG2</f>
        <v>0</v>
      </c>
      <c r="HRI3">
        <f>'[12]Summary Report - 12 Months Endi'!HRH2</f>
        <v>0</v>
      </c>
      <c r="HRJ3">
        <f>'[12]Summary Report - 12 Months Endi'!HRI2</f>
        <v>0</v>
      </c>
      <c r="HRK3">
        <f>'[12]Summary Report - 12 Months Endi'!HRJ2</f>
        <v>0</v>
      </c>
      <c r="HRL3">
        <f>'[12]Summary Report - 12 Months Endi'!HRK2</f>
        <v>0</v>
      </c>
      <c r="HRM3">
        <f>'[12]Summary Report - 12 Months Endi'!HRL2</f>
        <v>0</v>
      </c>
      <c r="HRN3">
        <f>'[12]Summary Report - 12 Months Endi'!HRM2</f>
        <v>0</v>
      </c>
      <c r="HRO3">
        <f>'[12]Summary Report - 12 Months Endi'!HRN2</f>
        <v>0</v>
      </c>
      <c r="HRP3">
        <f>'[12]Summary Report - 12 Months Endi'!HRO2</f>
        <v>0</v>
      </c>
      <c r="HRQ3">
        <f>'[12]Summary Report - 12 Months Endi'!HRP2</f>
        <v>0</v>
      </c>
      <c r="HRR3">
        <f>'[12]Summary Report - 12 Months Endi'!HRQ2</f>
        <v>0</v>
      </c>
      <c r="HRS3">
        <f>'[12]Summary Report - 12 Months Endi'!HRR2</f>
        <v>0</v>
      </c>
      <c r="HRT3">
        <f>'[12]Summary Report - 12 Months Endi'!HRS2</f>
        <v>0</v>
      </c>
      <c r="HRU3">
        <f>'[12]Summary Report - 12 Months Endi'!HRT2</f>
        <v>0</v>
      </c>
      <c r="HRV3">
        <f>'[12]Summary Report - 12 Months Endi'!HRU2</f>
        <v>0</v>
      </c>
      <c r="HRW3">
        <f>'[12]Summary Report - 12 Months Endi'!HRV2</f>
        <v>0</v>
      </c>
      <c r="HRX3">
        <f>'[12]Summary Report - 12 Months Endi'!HRW2</f>
        <v>0</v>
      </c>
      <c r="HRY3">
        <f>'[12]Summary Report - 12 Months Endi'!HRX2</f>
        <v>0</v>
      </c>
      <c r="HRZ3">
        <f>'[12]Summary Report - 12 Months Endi'!HRY2</f>
        <v>0</v>
      </c>
      <c r="HSA3">
        <f>'[12]Summary Report - 12 Months Endi'!HRZ2</f>
        <v>0</v>
      </c>
      <c r="HSB3">
        <f>'[12]Summary Report - 12 Months Endi'!HSA2</f>
        <v>0</v>
      </c>
      <c r="HSC3">
        <f>'[12]Summary Report - 12 Months Endi'!HSB2</f>
        <v>0</v>
      </c>
      <c r="HSD3">
        <f>'[12]Summary Report - 12 Months Endi'!HSC2</f>
        <v>0</v>
      </c>
      <c r="HSE3">
        <f>'[12]Summary Report - 12 Months Endi'!HSD2</f>
        <v>0</v>
      </c>
      <c r="HSF3">
        <f>'[12]Summary Report - 12 Months Endi'!HSE2</f>
        <v>0</v>
      </c>
      <c r="HSG3">
        <f>'[12]Summary Report - 12 Months Endi'!HSF2</f>
        <v>0</v>
      </c>
      <c r="HSH3">
        <f>'[12]Summary Report - 12 Months Endi'!HSG2</f>
        <v>0</v>
      </c>
      <c r="HSI3">
        <f>'[12]Summary Report - 12 Months Endi'!HSH2</f>
        <v>0</v>
      </c>
      <c r="HSJ3">
        <f>'[12]Summary Report - 12 Months Endi'!HSI2</f>
        <v>0</v>
      </c>
      <c r="HSK3">
        <f>'[12]Summary Report - 12 Months Endi'!HSJ2</f>
        <v>0</v>
      </c>
      <c r="HSL3">
        <f>'[12]Summary Report - 12 Months Endi'!HSK2</f>
        <v>0</v>
      </c>
      <c r="HSM3">
        <f>'[12]Summary Report - 12 Months Endi'!HSL2</f>
        <v>0</v>
      </c>
      <c r="HSN3">
        <f>'[12]Summary Report - 12 Months Endi'!HSM2</f>
        <v>0</v>
      </c>
      <c r="HSO3">
        <f>'[12]Summary Report - 12 Months Endi'!HSN2</f>
        <v>0</v>
      </c>
      <c r="HSP3">
        <f>'[12]Summary Report - 12 Months Endi'!HSO2</f>
        <v>0</v>
      </c>
      <c r="HSQ3">
        <f>'[12]Summary Report - 12 Months Endi'!HSP2</f>
        <v>0</v>
      </c>
      <c r="HSR3">
        <f>'[12]Summary Report - 12 Months Endi'!HSQ2</f>
        <v>0</v>
      </c>
      <c r="HSS3">
        <f>'[12]Summary Report - 12 Months Endi'!HSR2</f>
        <v>0</v>
      </c>
      <c r="HST3">
        <f>'[12]Summary Report - 12 Months Endi'!HSS2</f>
        <v>0</v>
      </c>
      <c r="HSU3">
        <f>'[12]Summary Report - 12 Months Endi'!HST2</f>
        <v>0</v>
      </c>
      <c r="HSV3">
        <f>'[12]Summary Report - 12 Months Endi'!HSU2</f>
        <v>0</v>
      </c>
      <c r="HSW3">
        <f>'[12]Summary Report - 12 Months Endi'!HSV2</f>
        <v>0</v>
      </c>
      <c r="HSX3">
        <f>'[12]Summary Report - 12 Months Endi'!HSW2</f>
        <v>0</v>
      </c>
      <c r="HSY3">
        <f>'[12]Summary Report - 12 Months Endi'!HSX2</f>
        <v>0</v>
      </c>
      <c r="HSZ3">
        <f>'[12]Summary Report - 12 Months Endi'!HSY2</f>
        <v>0</v>
      </c>
      <c r="HTA3">
        <f>'[12]Summary Report - 12 Months Endi'!HSZ2</f>
        <v>0</v>
      </c>
      <c r="HTB3">
        <f>'[12]Summary Report - 12 Months Endi'!HTA2</f>
        <v>0</v>
      </c>
      <c r="HTC3">
        <f>'[12]Summary Report - 12 Months Endi'!HTB2</f>
        <v>0</v>
      </c>
      <c r="HTD3">
        <f>'[12]Summary Report - 12 Months Endi'!HTC2</f>
        <v>0</v>
      </c>
      <c r="HTE3">
        <f>'[12]Summary Report - 12 Months Endi'!HTD2</f>
        <v>0</v>
      </c>
      <c r="HTF3">
        <f>'[12]Summary Report - 12 Months Endi'!HTE2</f>
        <v>0</v>
      </c>
      <c r="HTG3">
        <f>'[12]Summary Report - 12 Months Endi'!HTF2</f>
        <v>0</v>
      </c>
      <c r="HTH3">
        <f>'[12]Summary Report - 12 Months Endi'!HTG2</f>
        <v>0</v>
      </c>
      <c r="HTI3">
        <f>'[12]Summary Report - 12 Months Endi'!HTH2</f>
        <v>0</v>
      </c>
      <c r="HTJ3">
        <f>'[12]Summary Report - 12 Months Endi'!HTI2</f>
        <v>0</v>
      </c>
      <c r="HTK3">
        <f>'[12]Summary Report - 12 Months Endi'!HTJ2</f>
        <v>0</v>
      </c>
      <c r="HTL3">
        <f>'[12]Summary Report - 12 Months Endi'!HTK2</f>
        <v>0</v>
      </c>
      <c r="HTM3">
        <f>'[12]Summary Report - 12 Months Endi'!HTL2</f>
        <v>0</v>
      </c>
      <c r="HTN3">
        <f>'[12]Summary Report - 12 Months Endi'!HTM2</f>
        <v>0</v>
      </c>
      <c r="HTO3">
        <f>'[12]Summary Report - 12 Months Endi'!HTN2</f>
        <v>0</v>
      </c>
      <c r="HTP3">
        <f>'[12]Summary Report - 12 Months Endi'!HTO2</f>
        <v>0</v>
      </c>
      <c r="HTQ3">
        <f>'[12]Summary Report - 12 Months Endi'!HTP2</f>
        <v>0</v>
      </c>
      <c r="HTR3">
        <f>'[12]Summary Report - 12 Months Endi'!HTQ2</f>
        <v>0</v>
      </c>
      <c r="HTS3">
        <f>'[12]Summary Report - 12 Months Endi'!HTR2</f>
        <v>0</v>
      </c>
      <c r="HTT3">
        <f>'[12]Summary Report - 12 Months Endi'!HTS2</f>
        <v>0</v>
      </c>
      <c r="HTU3">
        <f>'[12]Summary Report - 12 Months Endi'!HTT2</f>
        <v>0</v>
      </c>
      <c r="HTV3">
        <f>'[12]Summary Report - 12 Months Endi'!HTU2</f>
        <v>0</v>
      </c>
      <c r="HTW3">
        <f>'[12]Summary Report - 12 Months Endi'!HTV2</f>
        <v>0</v>
      </c>
      <c r="HTX3">
        <f>'[12]Summary Report - 12 Months Endi'!HTW2</f>
        <v>0</v>
      </c>
      <c r="HTY3">
        <f>'[12]Summary Report - 12 Months Endi'!HTX2</f>
        <v>0</v>
      </c>
      <c r="HTZ3">
        <f>'[12]Summary Report - 12 Months Endi'!HTY2</f>
        <v>0</v>
      </c>
      <c r="HUA3">
        <f>'[12]Summary Report - 12 Months Endi'!HTZ2</f>
        <v>0</v>
      </c>
      <c r="HUB3">
        <f>'[12]Summary Report - 12 Months Endi'!HUA2</f>
        <v>0</v>
      </c>
      <c r="HUC3">
        <f>'[12]Summary Report - 12 Months Endi'!HUB2</f>
        <v>0</v>
      </c>
      <c r="HUD3">
        <f>'[12]Summary Report - 12 Months Endi'!HUC2</f>
        <v>0</v>
      </c>
      <c r="HUE3">
        <f>'[12]Summary Report - 12 Months Endi'!HUD2</f>
        <v>0</v>
      </c>
      <c r="HUF3">
        <f>'[12]Summary Report - 12 Months Endi'!HUE2</f>
        <v>0</v>
      </c>
      <c r="HUG3">
        <f>'[12]Summary Report - 12 Months Endi'!HUF2</f>
        <v>0</v>
      </c>
      <c r="HUH3">
        <f>'[12]Summary Report - 12 Months Endi'!HUG2</f>
        <v>0</v>
      </c>
      <c r="HUI3">
        <f>'[12]Summary Report - 12 Months Endi'!HUH2</f>
        <v>0</v>
      </c>
      <c r="HUJ3">
        <f>'[12]Summary Report - 12 Months Endi'!HUI2</f>
        <v>0</v>
      </c>
      <c r="HUK3">
        <f>'[12]Summary Report - 12 Months Endi'!HUJ2</f>
        <v>0</v>
      </c>
      <c r="HUL3">
        <f>'[12]Summary Report - 12 Months Endi'!HUK2</f>
        <v>0</v>
      </c>
      <c r="HUM3">
        <f>'[12]Summary Report - 12 Months Endi'!HUL2</f>
        <v>0</v>
      </c>
      <c r="HUN3">
        <f>'[12]Summary Report - 12 Months Endi'!HUM2</f>
        <v>0</v>
      </c>
      <c r="HUO3">
        <f>'[12]Summary Report - 12 Months Endi'!HUN2</f>
        <v>0</v>
      </c>
      <c r="HUP3">
        <f>'[12]Summary Report - 12 Months Endi'!HUO2</f>
        <v>0</v>
      </c>
      <c r="HUQ3">
        <f>'[12]Summary Report - 12 Months Endi'!HUP2</f>
        <v>0</v>
      </c>
      <c r="HUR3">
        <f>'[12]Summary Report - 12 Months Endi'!HUQ2</f>
        <v>0</v>
      </c>
      <c r="HUS3">
        <f>'[12]Summary Report - 12 Months Endi'!HUR2</f>
        <v>0</v>
      </c>
      <c r="HUT3">
        <f>'[12]Summary Report - 12 Months Endi'!HUS2</f>
        <v>0</v>
      </c>
      <c r="HUU3">
        <f>'[12]Summary Report - 12 Months Endi'!HUT2</f>
        <v>0</v>
      </c>
      <c r="HUV3">
        <f>'[12]Summary Report - 12 Months Endi'!HUU2</f>
        <v>0</v>
      </c>
      <c r="HUW3">
        <f>'[12]Summary Report - 12 Months Endi'!HUV2</f>
        <v>0</v>
      </c>
      <c r="HUX3">
        <f>'[12]Summary Report - 12 Months Endi'!HUW2</f>
        <v>0</v>
      </c>
      <c r="HUY3">
        <f>'[12]Summary Report - 12 Months Endi'!HUX2</f>
        <v>0</v>
      </c>
      <c r="HUZ3">
        <f>'[12]Summary Report - 12 Months Endi'!HUY2</f>
        <v>0</v>
      </c>
      <c r="HVA3">
        <f>'[12]Summary Report - 12 Months Endi'!HUZ2</f>
        <v>0</v>
      </c>
      <c r="HVB3">
        <f>'[12]Summary Report - 12 Months Endi'!HVA2</f>
        <v>0</v>
      </c>
      <c r="HVC3">
        <f>'[12]Summary Report - 12 Months Endi'!HVB2</f>
        <v>0</v>
      </c>
      <c r="HVD3">
        <f>'[12]Summary Report - 12 Months Endi'!HVC2</f>
        <v>0</v>
      </c>
      <c r="HVE3">
        <f>'[12]Summary Report - 12 Months Endi'!HVD2</f>
        <v>0</v>
      </c>
      <c r="HVF3">
        <f>'[12]Summary Report - 12 Months Endi'!HVE2</f>
        <v>0</v>
      </c>
      <c r="HVG3">
        <f>'[12]Summary Report - 12 Months Endi'!HVF2</f>
        <v>0</v>
      </c>
      <c r="HVH3">
        <f>'[12]Summary Report - 12 Months Endi'!HVG2</f>
        <v>0</v>
      </c>
      <c r="HVI3">
        <f>'[12]Summary Report - 12 Months Endi'!HVH2</f>
        <v>0</v>
      </c>
      <c r="HVJ3">
        <f>'[12]Summary Report - 12 Months Endi'!HVI2</f>
        <v>0</v>
      </c>
      <c r="HVK3">
        <f>'[12]Summary Report - 12 Months Endi'!HVJ2</f>
        <v>0</v>
      </c>
      <c r="HVL3">
        <f>'[12]Summary Report - 12 Months Endi'!HVK2</f>
        <v>0</v>
      </c>
      <c r="HVM3">
        <f>'[12]Summary Report - 12 Months Endi'!HVL2</f>
        <v>0</v>
      </c>
      <c r="HVN3">
        <f>'[12]Summary Report - 12 Months Endi'!HVM2</f>
        <v>0</v>
      </c>
      <c r="HVO3">
        <f>'[12]Summary Report - 12 Months Endi'!HVN2</f>
        <v>0</v>
      </c>
      <c r="HVP3">
        <f>'[12]Summary Report - 12 Months Endi'!HVO2</f>
        <v>0</v>
      </c>
      <c r="HVQ3">
        <f>'[12]Summary Report - 12 Months Endi'!HVP2</f>
        <v>0</v>
      </c>
      <c r="HVR3">
        <f>'[12]Summary Report - 12 Months Endi'!HVQ2</f>
        <v>0</v>
      </c>
      <c r="HVS3">
        <f>'[12]Summary Report - 12 Months Endi'!HVR2</f>
        <v>0</v>
      </c>
      <c r="HVT3">
        <f>'[12]Summary Report - 12 Months Endi'!HVS2</f>
        <v>0</v>
      </c>
      <c r="HVU3">
        <f>'[12]Summary Report - 12 Months Endi'!HVT2</f>
        <v>0</v>
      </c>
      <c r="HVV3">
        <f>'[12]Summary Report - 12 Months Endi'!HVU2</f>
        <v>0</v>
      </c>
      <c r="HVW3">
        <f>'[12]Summary Report - 12 Months Endi'!HVV2</f>
        <v>0</v>
      </c>
      <c r="HVX3">
        <f>'[12]Summary Report - 12 Months Endi'!HVW2</f>
        <v>0</v>
      </c>
      <c r="HVY3">
        <f>'[12]Summary Report - 12 Months Endi'!HVX2</f>
        <v>0</v>
      </c>
      <c r="HVZ3">
        <f>'[12]Summary Report - 12 Months Endi'!HVY2</f>
        <v>0</v>
      </c>
      <c r="HWA3">
        <f>'[12]Summary Report - 12 Months Endi'!HVZ2</f>
        <v>0</v>
      </c>
      <c r="HWB3">
        <f>'[12]Summary Report - 12 Months Endi'!HWA2</f>
        <v>0</v>
      </c>
      <c r="HWC3">
        <f>'[12]Summary Report - 12 Months Endi'!HWB2</f>
        <v>0</v>
      </c>
      <c r="HWD3">
        <f>'[12]Summary Report - 12 Months Endi'!HWC2</f>
        <v>0</v>
      </c>
      <c r="HWE3">
        <f>'[12]Summary Report - 12 Months Endi'!HWD2</f>
        <v>0</v>
      </c>
      <c r="HWF3">
        <f>'[12]Summary Report - 12 Months Endi'!HWE2</f>
        <v>0</v>
      </c>
      <c r="HWG3">
        <f>'[12]Summary Report - 12 Months Endi'!HWF2</f>
        <v>0</v>
      </c>
      <c r="HWH3">
        <f>'[12]Summary Report - 12 Months Endi'!HWG2</f>
        <v>0</v>
      </c>
      <c r="HWI3">
        <f>'[12]Summary Report - 12 Months Endi'!HWH2</f>
        <v>0</v>
      </c>
      <c r="HWJ3">
        <f>'[12]Summary Report - 12 Months Endi'!HWI2</f>
        <v>0</v>
      </c>
      <c r="HWK3">
        <f>'[12]Summary Report - 12 Months Endi'!HWJ2</f>
        <v>0</v>
      </c>
      <c r="HWL3">
        <f>'[12]Summary Report - 12 Months Endi'!HWK2</f>
        <v>0</v>
      </c>
      <c r="HWM3">
        <f>'[12]Summary Report - 12 Months Endi'!HWL2</f>
        <v>0</v>
      </c>
      <c r="HWN3">
        <f>'[12]Summary Report - 12 Months Endi'!HWM2</f>
        <v>0</v>
      </c>
      <c r="HWO3">
        <f>'[12]Summary Report - 12 Months Endi'!HWN2</f>
        <v>0</v>
      </c>
      <c r="HWP3">
        <f>'[12]Summary Report - 12 Months Endi'!HWO2</f>
        <v>0</v>
      </c>
      <c r="HWQ3">
        <f>'[12]Summary Report - 12 Months Endi'!HWP2</f>
        <v>0</v>
      </c>
      <c r="HWR3">
        <f>'[12]Summary Report - 12 Months Endi'!HWQ2</f>
        <v>0</v>
      </c>
      <c r="HWS3">
        <f>'[12]Summary Report - 12 Months Endi'!HWR2</f>
        <v>0</v>
      </c>
      <c r="HWT3">
        <f>'[12]Summary Report - 12 Months Endi'!HWS2</f>
        <v>0</v>
      </c>
      <c r="HWU3">
        <f>'[12]Summary Report - 12 Months Endi'!HWT2</f>
        <v>0</v>
      </c>
      <c r="HWV3">
        <f>'[12]Summary Report - 12 Months Endi'!HWU2</f>
        <v>0</v>
      </c>
      <c r="HWW3">
        <f>'[12]Summary Report - 12 Months Endi'!HWV2</f>
        <v>0</v>
      </c>
      <c r="HWX3">
        <f>'[12]Summary Report - 12 Months Endi'!HWW2</f>
        <v>0</v>
      </c>
      <c r="HWY3">
        <f>'[12]Summary Report - 12 Months Endi'!HWX2</f>
        <v>0</v>
      </c>
      <c r="HWZ3">
        <f>'[12]Summary Report - 12 Months Endi'!HWY2</f>
        <v>0</v>
      </c>
      <c r="HXA3">
        <f>'[12]Summary Report - 12 Months Endi'!HWZ2</f>
        <v>0</v>
      </c>
      <c r="HXB3">
        <f>'[12]Summary Report - 12 Months Endi'!HXA2</f>
        <v>0</v>
      </c>
      <c r="HXC3">
        <f>'[12]Summary Report - 12 Months Endi'!HXB2</f>
        <v>0</v>
      </c>
      <c r="HXD3">
        <f>'[12]Summary Report - 12 Months Endi'!HXC2</f>
        <v>0</v>
      </c>
      <c r="HXE3">
        <f>'[12]Summary Report - 12 Months Endi'!HXD2</f>
        <v>0</v>
      </c>
      <c r="HXF3">
        <f>'[12]Summary Report - 12 Months Endi'!HXE2</f>
        <v>0</v>
      </c>
      <c r="HXG3">
        <f>'[12]Summary Report - 12 Months Endi'!HXF2</f>
        <v>0</v>
      </c>
      <c r="HXH3">
        <f>'[12]Summary Report - 12 Months Endi'!HXG2</f>
        <v>0</v>
      </c>
      <c r="HXI3">
        <f>'[12]Summary Report - 12 Months Endi'!HXH2</f>
        <v>0</v>
      </c>
      <c r="HXJ3">
        <f>'[12]Summary Report - 12 Months Endi'!HXI2</f>
        <v>0</v>
      </c>
      <c r="HXK3">
        <f>'[12]Summary Report - 12 Months Endi'!HXJ2</f>
        <v>0</v>
      </c>
      <c r="HXL3">
        <f>'[12]Summary Report - 12 Months Endi'!HXK2</f>
        <v>0</v>
      </c>
      <c r="HXM3">
        <f>'[12]Summary Report - 12 Months Endi'!HXL2</f>
        <v>0</v>
      </c>
      <c r="HXN3">
        <f>'[12]Summary Report - 12 Months Endi'!HXM2</f>
        <v>0</v>
      </c>
      <c r="HXO3">
        <f>'[12]Summary Report - 12 Months Endi'!HXN2</f>
        <v>0</v>
      </c>
      <c r="HXP3">
        <f>'[12]Summary Report - 12 Months Endi'!HXO2</f>
        <v>0</v>
      </c>
      <c r="HXQ3">
        <f>'[12]Summary Report - 12 Months Endi'!HXP2</f>
        <v>0</v>
      </c>
      <c r="HXR3">
        <f>'[12]Summary Report - 12 Months Endi'!HXQ2</f>
        <v>0</v>
      </c>
      <c r="HXS3">
        <f>'[12]Summary Report - 12 Months Endi'!HXR2</f>
        <v>0</v>
      </c>
      <c r="HXT3">
        <f>'[12]Summary Report - 12 Months Endi'!HXS2</f>
        <v>0</v>
      </c>
      <c r="HXU3">
        <f>'[12]Summary Report - 12 Months Endi'!HXT2</f>
        <v>0</v>
      </c>
      <c r="HXV3">
        <f>'[12]Summary Report - 12 Months Endi'!HXU2</f>
        <v>0</v>
      </c>
      <c r="HXW3">
        <f>'[12]Summary Report - 12 Months Endi'!HXV2</f>
        <v>0</v>
      </c>
      <c r="HXX3">
        <f>'[12]Summary Report - 12 Months Endi'!HXW2</f>
        <v>0</v>
      </c>
      <c r="HXY3">
        <f>'[12]Summary Report - 12 Months Endi'!HXX2</f>
        <v>0</v>
      </c>
      <c r="HXZ3">
        <f>'[12]Summary Report - 12 Months Endi'!HXY2</f>
        <v>0</v>
      </c>
      <c r="HYA3">
        <f>'[12]Summary Report - 12 Months Endi'!HXZ2</f>
        <v>0</v>
      </c>
      <c r="HYB3">
        <f>'[12]Summary Report - 12 Months Endi'!HYA2</f>
        <v>0</v>
      </c>
      <c r="HYC3">
        <f>'[12]Summary Report - 12 Months Endi'!HYB2</f>
        <v>0</v>
      </c>
      <c r="HYD3">
        <f>'[12]Summary Report - 12 Months Endi'!HYC2</f>
        <v>0</v>
      </c>
      <c r="HYE3">
        <f>'[12]Summary Report - 12 Months Endi'!HYD2</f>
        <v>0</v>
      </c>
      <c r="HYF3">
        <f>'[12]Summary Report - 12 Months Endi'!HYE2</f>
        <v>0</v>
      </c>
      <c r="HYG3">
        <f>'[12]Summary Report - 12 Months Endi'!HYF2</f>
        <v>0</v>
      </c>
      <c r="HYH3">
        <f>'[12]Summary Report - 12 Months Endi'!HYG2</f>
        <v>0</v>
      </c>
      <c r="HYI3">
        <f>'[12]Summary Report - 12 Months Endi'!HYH2</f>
        <v>0</v>
      </c>
      <c r="HYJ3">
        <f>'[12]Summary Report - 12 Months Endi'!HYI2</f>
        <v>0</v>
      </c>
      <c r="HYK3">
        <f>'[12]Summary Report - 12 Months Endi'!HYJ2</f>
        <v>0</v>
      </c>
      <c r="HYL3">
        <f>'[12]Summary Report - 12 Months Endi'!HYK2</f>
        <v>0</v>
      </c>
      <c r="HYM3">
        <f>'[12]Summary Report - 12 Months Endi'!HYL2</f>
        <v>0</v>
      </c>
      <c r="HYN3">
        <f>'[12]Summary Report - 12 Months Endi'!HYM2</f>
        <v>0</v>
      </c>
      <c r="HYO3">
        <f>'[12]Summary Report - 12 Months Endi'!HYN2</f>
        <v>0</v>
      </c>
      <c r="HYP3">
        <f>'[12]Summary Report - 12 Months Endi'!HYO2</f>
        <v>0</v>
      </c>
      <c r="HYQ3">
        <f>'[12]Summary Report - 12 Months Endi'!HYP2</f>
        <v>0</v>
      </c>
      <c r="HYR3">
        <f>'[12]Summary Report - 12 Months Endi'!HYQ2</f>
        <v>0</v>
      </c>
      <c r="HYS3">
        <f>'[12]Summary Report - 12 Months Endi'!HYR2</f>
        <v>0</v>
      </c>
      <c r="HYT3">
        <f>'[12]Summary Report - 12 Months Endi'!HYS2</f>
        <v>0</v>
      </c>
      <c r="HYU3">
        <f>'[12]Summary Report - 12 Months Endi'!HYT2</f>
        <v>0</v>
      </c>
      <c r="HYV3">
        <f>'[12]Summary Report - 12 Months Endi'!HYU2</f>
        <v>0</v>
      </c>
      <c r="HYW3">
        <f>'[12]Summary Report - 12 Months Endi'!HYV2</f>
        <v>0</v>
      </c>
      <c r="HYX3">
        <f>'[12]Summary Report - 12 Months Endi'!HYW2</f>
        <v>0</v>
      </c>
      <c r="HYY3">
        <f>'[12]Summary Report - 12 Months Endi'!HYX2</f>
        <v>0</v>
      </c>
      <c r="HYZ3">
        <f>'[12]Summary Report - 12 Months Endi'!HYY2</f>
        <v>0</v>
      </c>
      <c r="HZA3">
        <f>'[12]Summary Report - 12 Months Endi'!HYZ2</f>
        <v>0</v>
      </c>
      <c r="HZB3">
        <f>'[12]Summary Report - 12 Months Endi'!HZA2</f>
        <v>0</v>
      </c>
      <c r="HZC3">
        <f>'[12]Summary Report - 12 Months Endi'!HZB2</f>
        <v>0</v>
      </c>
      <c r="HZD3">
        <f>'[12]Summary Report - 12 Months Endi'!HZC2</f>
        <v>0</v>
      </c>
      <c r="HZE3">
        <f>'[12]Summary Report - 12 Months Endi'!HZD2</f>
        <v>0</v>
      </c>
      <c r="HZF3">
        <f>'[12]Summary Report - 12 Months Endi'!HZE2</f>
        <v>0</v>
      </c>
      <c r="HZG3">
        <f>'[12]Summary Report - 12 Months Endi'!HZF2</f>
        <v>0</v>
      </c>
      <c r="HZH3">
        <f>'[12]Summary Report - 12 Months Endi'!HZG2</f>
        <v>0</v>
      </c>
      <c r="HZI3">
        <f>'[12]Summary Report - 12 Months Endi'!HZH2</f>
        <v>0</v>
      </c>
      <c r="HZJ3">
        <f>'[12]Summary Report - 12 Months Endi'!HZI2</f>
        <v>0</v>
      </c>
      <c r="HZK3">
        <f>'[12]Summary Report - 12 Months Endi'!HZJ2</f>
        <v>0</v>
      </c>
      <c r="HZL3">
        <f>'[12]Summary Report - 12 Months Endi'!HZK2</f>
        <v>0</v>
      </c>
      <c r="HZM3">
        <f>'[12]Summary Report - 12 Months Endi'!HZL2</f>
        <v>0</v>
      </c>
      <c r="HZN3">
        <f>'[12]Summary Report - 12 Months Endi'!HZM2</f>
        <v>0</v>
      </c>
      <c r="HZO3">
        <f>'[12]Summary Report - 12 Months Endi'!HZN2</f>
        <v>0</v>
      </c>
      <c r="HZP3">
        <f>'[12]Summary Report - 12 Months Endi'!HZO2</f>
        <v>0</v>
      </c>
      <c r="HZQ3">
        <f>'[12]Summary Report - 12 Months Endi'!HZP2</f>
        <v>0</v>
      </c>
      <c r="HZR3">
        <f>'[12]Summary Report - 12 Months Endi'!HZQ2</f>
        <v>0</v>
      </c>
      <c r="HZS3">
        <f>'[12]Summary Report - 12 Months Endi'!HZR2</f>
        <v>0</v>
      </c>
      <c r="HZT3">
        <f>'[12]Summary Report - 12 Months Endi'!HZS2</f>
        <v>0</v>
      </c>
      <c r="HZU3">
        <f>'[12]Summary Report - 12 Months Endi'!HZT2</f>
        <v>0</v>
      </c>
      <c r="HZV3">
        <f>'[12]Summary Report - 12 Months Endi'!HZU2</f>
        <v>0</v>
      </c>
      <c r="HZW3">
        <f>'[12]Summary Report - 12 Months Endi'!HZV2</f>
        <v>0</v>
      </c>
      <c r="HZX3">
        <f>'[12]Summary Report - 12 Months Endi'!HZW2</f>
        <v>0</v>
      </c>
      <c r="HZY3">
        <f>'[12]Summary Report - 12 Months Endi'!HZX2</f>
        <v>0</v>
      </c>
      <c r="HZZ3">
        <f>'[12]Summary Report - 12 Months Endi'!HZY2</f>
        <v>0</v>
      </c>
      <c r="IAA3">
        <f>'[12]Summary Report - 12 Months Endi'!HZZ2</f>
        <v>0</v>
      </c>
      <c r="IAB3">
        <f>'[12]Summary Report - 12 Months Endi'!IAA2</f>
        <v>0</v>
      </c>
      <c r="IAC3">
        <f>'[12]Summary Report - 12 Months Endi'!IAB2</f>
        <v>0</v>
      </c>
      <c r="IAD3">
        <f>'[12]Summary Report - 12 Months Endi'!IAC2</f>
        <v>0</v>
      </c>
      <c r="IAE3">
        <f>'[12]Summary Report - 12 Months Endi'!IAD2</f>
        <v>0</v>
      </c>
      <c r="IAF3">
        <f>'[12]Summary Report - 12 Months Endi'!IAE2</f>
        <v>0</v>
      </c>
      <c r="IAG3">
        <f>'[12]Summary Report - 12 Months Endi'!IAF2</f>
        <v>0</v>
      </c>
      <c r="IAH3">
        <f>'[12]Summary Report - 12 Months Endi'!IAG2</f>
        <v>0</v>
      </c>
      <c r="IAI3">
        <f>'[12]Summary Report - 12 Months Endi'!IAH2</f>
        <v>0</v>
      </c>
      <c r="IAJ3">
        <f>'[12]Summary Report - 12 Months Endi'!IAI2</f>
        <v>0</v>
      </c>
      <c r="IAK3">
        <f>'[12]Summary Report - 12 Months Endi'!IAJ2</f>
        <v>0</v>
      </c>
      <c r="IAL3">
        <f>'[12]Summary Report - 12 Months Endi'!IAK2</f>
        <v>0</v>
      </c>
      <c r="IAM3">
        <f>'[12]Summary Report - 12 Months Endi'!IAL2</f>
        <v>0</v>
      </c>
      <c r="IAN3">
        <f>'[12]Summary Report - 12 Months Endi'!IAM2</f>
        <v>0</v>
      </c>
      <c r="IAO3">
        <f>'[12]Summary Report - 12 Months Endi'!IAN2</f>
        <v>0</v>
      </c>
      <c r="IAP3">
        <f>'[12]Summary Report - 12 Months Endi'!IAO2</f>
        <v>0</v>
      </c>
      <c r="IAQ3">
        <f>'[12]Summary Report - 12 Months Endi'!IAP2</f>
        <v>0</v>
      </c>
      <c r="IAR3">
        <f>'[12]Summary Report - 12 Months Endi'!IAQ2</f>
        <v>0</v>
      </c>
      <c r="IAS3">
        <f>'[12]Summary Report - 12 Months Endi'!IAR2</f>
        <v>0</v>
      </c>
      <c r="IAT3">
        <f>'[12]Summary Report - 12 Months Endi'!IAS2</f>
        <v>0</v>
      </c>
      <c r="IAU3">
        <f>'[12]Summary Report - 12 Months Endi'!IAT2</f>
        <v>0</v>
      </c>
      <c r="IAV3">
        <f>'[12]Summary Report - 12 Months Endi'!IAU2</f>
        <v>0</v>
      </c>
      <c r="IAW3">
        <f>'[12]Summary Report - 12 Months Endi'!IAV2</f>
        <v>0</v>
      </c>
      <c r="IAX3">
        <f>'[12]Summary Report - 12 Months Endi'!IAW2</f>
        <v>0</v>
      </c>
      <c r="IAY3">
        <f>'[12]Summary Report - 12 Months Endi'!IAX2</f>
        <v>0</v>
      </c>
      <c r="IAZ3">
        <f>'[12]Summary Report - 12 Months Endi'!IAY2</f>
        <v>0</v>
      </c>
      <c r="IBA3">
        <f>'[12]Summary Report - 12 Months Endi'!IAZ2</f>
        <v>0</v>
      </c>
      <c r="IBB3">
        <f>'[12]Summary Report - 12 Months Endi'!IBA2</f>
        <v>0</v>
      </c>
      <c r="IBC3">
        <f>'[12]Summary Report - 12 Months Endi'!IBB2</f>
        <v>0</v>
      </c>
      <c r="IBD3">
        <f>'[12]Summary Report - 12 Months Endi'!IBC2</f>
        <v>0</v>
      </c>
      <c r="IBE3">
        <f>'[12]Summary Report - 12 Months Endi'!IBD2</f>
        <v>0</v>
      </c>
      <c r="IBF3">
        <f>'[12]Summary Report - 12 Months Endi'!IBE2</f>
        <v>0</v>
      </c>
      <c r="IBG3">
        <f>'[12]Summary Report - 12 Months Endi'!IBF2</f>
        <v>0</v>
      </c>
      <c r="IBH3">
        <f>'[12]Summary Report - 12 Months Endi'!IBG2</f>
        <v>0</v>
      </c>
      <c r="IBI3">
        <f>'[12]Summary Report - 12 Months Endi'!IBH2</f>
        <v>0</v>
      </c>
      <c r="IBJ3">
        <f>'[12]Summary Report - 12 Months Endi'!IBI2</f>
        <v>0</v>
      </c>
      <c r="IBK3">
        <f>'[12]Summary Report - 12 Months Endi'!IBJ2</f>
        <v>0</v>
      </c>
      <c r="IBL3">
        <f>'[12]Summary Report - 12 Months Endi'!IBK2</f>
        <v>0</v>
      </c>
      <c r="IBM3">
        <f>'[12]Summary Report - 12 Months Endi'!IBL2</f>
        <v>0</v>
      </c>
      <c r="IBN3">
        <f>'[12]Summary Report - 12 Months Endi'!IBM2</f>
        <v>0</v>
      </c>
      <c r="IBO3">
        <f>'[12]Summary Report - 12 Months Endi'!IBN2</f>
        <v>0</v>
      </c>
      <c r="IBP3">
        <f>'[12]Summary Report - 12 Months Endi'!IBO2</f>
        <v>0</v>
      </c>
      <c r="IBQ3">
        <f>'[12]Summary Report - 12 Months Endi'!IBP2</f>
        <v>0</v>
      </c>
      <c r="IBR3">
        <f>'[12]Summary Report - 12 Months Endi'!IBQ2</f>
        <v>0</v>
      </c>
      <c r="IBS3">
        <f>'[12]Summary Report - 12 Months Endi'!IBR2</f>
        <v>0</v>
      </c>
      <c r="IBT3">
        <f>'[12]Summary Report - 12 Months Endi'!IBS2</f>
        <v>0</v>
      </c>
      <c r="IBU3">
        <f>'[12]Summary Report - 12 Months Endi'!IBT2</f>
        <v>0</v>
      </c>
      <c r="IBV3">
        <f>'[12]Summary Report - 12 Months Endi'!IBU2</f>
        <v>0</v>
      </c>
      <c r="IBW3">
        <f>'[12]Summary Report - 12 Months Endi'!IBV2</f>
        <v>0</v>
      </c>
      <c r="IBX3">
        <f>'[12]Summary Report - 12 Months Endi'!IBW2</f>
        <v>0</v>
      </c>
      <c r="IBY3">
        <f>'[12]Summary Report - 12 Months Endi'!IBX2</f>
        <v>0</v>
      </c>
      <c r="IBZ3">
        <f>'[12]Summary Report - 12 Months Endi'!IBY2</f>
        <v>0</v>
      </c>
      <c r="ICA3">
        <f>'[12]Summary Report - 12 Months Endi'!IBZ2</f>
        <v>0</v>
      </c>
      <c r="ICB3">
        <f>'[12]Summary Report - 12 Months Endi'!ICA2</f>
        <v>0</v>
      </c>
      <c r="ICC3">
        <f>'[12]Summary Report - 12 Months Endi'!ICB2</f>
        <v>0</v>
      </c>
      <c r="ICD3">
        <f>'[12]Summary Report - 12 Months Endi'!ICC2</f>
        <v>0</v>
      </c>
      <c r="ICE3">
        <f>'[12]Summary Report - 12 Months Endi'!ICD2</f>
        <v>0</v>
      </c>
      <c r="ICF3">
        <f>'[12]Summary Report - 12 Months Endi'!ICE2</f>
        <v>0</v>
      </c>
      <c r="ICG3">
        <f>'[12]Summary Report - 12 Months Endi'!ICF2</f>
        <v>0</v>
      </c>
      <c r="ICH3">
        <f>'[12]Summary Report - 12 Months Endi'!ICG2</f>
        <v>0</v>
      </c>
      <c r="ICI3">
        <f>'[12]Summary Report - 12 Months Endi'!ICH2</f>
        <v>0</v>
      </c>
      <c r="ICJ3">
        <f>'[12]Summary Report - 12 Months Endi'!ICI2</f>
        <v>0</v>
      </c>
      <c r="ICK3">
        <f>'[12]Summary Report - 12 Months Endi'!ICJ2</f>
        <v>0</v>
      </c>
      <c r="ICL3">
        <f>'[12]Summary Report - 12 Months Endi'!ICK2</f>
        <v>0</v>
      </c>
      <c r="ICM3">
        <f>'[12]Summary Report - 12 Months Endi'!ICL2</f>
        <v>0</v>
      </c>
      <c r="ICN3">
        <f>'[12]Summary Report - 12 Months Endi'!ICM2</f>
        <v>0</v>
      </c>
      <c r="ICO3">
        <f>'[12]Summary Report - 12 Months Endi'!ICN2</f>
        <v>0</v>
      </c>
      <c r="ICP3">
        <f>'[12]Summary Report - 12 Months Endi'!ICO2</f>
        <v>0</v>
      </c>
      <c r="ICQ3">
        <f>'[12]Summary Report - 12 Months Endi'!ICP2</f>
        <v>0</v>
      </c>
      <c r="ICR3">
        <f>'[12]Summary Report - 12 Months Endi'!ICQ2</f>
        <v>0</v>
      </c>
      <c r="ICS3">
        <f>'[12]Summary Report - 12 Months Endi'!ICR2</f>
        <v>0</v>
      </c>
      <c r="ICT3">
        <f>'[12]Summary Report - 12 Months Endi'!ICS2</f>
        <v>0</v>
      </c>
      <c r="ICU3">
        <f>'[12]Summary Report - 12 Months Endi'!ICT2</f>
        <v>0</v>
      </c>
      <c r="ICV3">
        <f>'[12]Summary Report - 12 Months Endi'!ICU2</f>
        <v>0</v>
      </c>
      <c r="ICW3">
        <f>'[12]Summary Report - 12 Months Endi'!ICV2</f>
        <v>0</v>
      </c>
      <c r="ICX3">
        <f>'[12]Summary Report - 12 Months Endi'!ICW2</f>
        <v>0</v>
      </c>
      <c r="ICY3">
        <f>'[12]Summary Report - 12 Months Endi'!ICX2</f>
        <v>0</v>
      </c>
      <c r="ICZ3">
        <f>'[12]Summary Report - 12 Months Endi'!ICY2</f>
        <v>0</v>
      </c>
      <c r="IDA3">
        <f>'[12]Summary Report - 12 Months Endi'!ICZ2</f>
        <v>0</v>
      </c>
      <c r="IDB3">
        <f>'[12]Summary Report - 12 Months Endi'!IDA2</f>
        <v>0</v>
      </c>
      <c r="IDC3">
        <f>'[12]Summary Report - 12 Months Endi'!IDB2</f>
        <v>0</v>
      </c>
      <c r="IDD3">
        <f>'[12]Summary Report - 12 Months Endi'!IDC2</f>
        <v>0</v>
      </c>
      <c r="IDE3">
        <f>'[12]Summary Report - 12 Months Endi'!IDD2</f>
        <v>0</v>
      </c>
      <c r="IDF3">
        <f>'[12]Summary Report - 12 Months Endi'!IDE2</f>
        <v>0</v>
      </c>
      <c r="IDG3">
        <f>'[12]Summary Report - 12 Months Endi'!IDF2</f>
        <v>0</v>
      </c>
      <c r="IDH3">
        <f>'[12]Summary Report - 12 Months Endi'!IDG2</f>
        <v>0</v>
      </c>
      <c r="IDI3">
        <f>'[12]Summary Report - 12 Months Endi'!IDH2</f>
        <v>0</v>
      </c>
      <c r="IDJ3">
        <f>'[12]Summary Report - 12 Months Endi'!IDI2</f>
        <v>0</v>
      </c>
      <c r="IDK3">
        <f>'[12]Summary Report - 12 Months Endi'!IDJ2</f>
        <v>0</v>
      </c>
      <c r="IDL3">
        <f>'[12]Summary Report - 12 Months Endi'!IDK2</f>
        <v>0</v>
      </c>
      <c r="IDM3">
        <f>'[12]Summary Report - 12 Months Endi'!IDL2</f>
        <v>0</v>
      </c>
      <c r="IDN3">
        <f>'[12]Summary Report - 12 Months Endi'!IDM2</f>
        <v>0</v>
      </c>
      <c r="IDO3">
        <f>'[12]Summary Report - 12 Months Endi'!IDN2</f>
        <v>0</v>
      </c>
      <c r="IDP3">
        <f>'[12]Summary Report - 12 Months Endi'!IDO2</f>
        <v>0</v>
      </c>
      <c r="IDQ3">
        <f>'[12]Summary Report - 12 Months Endi'!IDP2</f>
        <v>0</v>
      </c>
      <c r="IDR3">
        <f>'[12]Summary Report - 12 Months Endi'!IDQ2</f>
        <v>0</v>
      </c>
      <c r="IDS3">
        <f>'[12]Summary Report - 12 Months Endi'!IDR2</f>
        <v>0</v>
      </c>
      <c r="IDT3">
        <f>'[12]Summary Report - 12 Months Endi'!IDS2</f>
        <v>0</v>
      </c>
      <c r="IDU3">
        <f>'[12]Summary Report - 12 Months Endi'!IDT2</f>
        <v>0</v>
      </c>
      <c r="IDV3">
        <f>'[12]Summary Report - 12 Months Endi'!IDU2</f>
        <v>0</v>
      </c>
      <c r="IDW3">
        <f>'[12]Summary Report - 12 Months Endi'!IDV2</f>
        <v>0</v>
      </c>
      <c r="IDX3">
        <f>'[12]Summary Report - 12 Months Endi'!IDW2</f>
        <v>0</v>
      </c>
      <c r="IDY3">
        <f>'[12]Summary Report - 12 Months Endi'!IDX2</f>
        <v>0</v>
      </c>
      <c r="IDZ3">
        <f>'[12]Summary Report - 12 Months Endi'!IDY2</f>
        <v>0</v>
      </c>
      <c r="IEA3">
        <f>'[12]Summary Report - 12 Months Endi'!IDZ2</f>
        <v>0</v>
      </c>
      <c r="IEB3">
        <f>'[12]Summary Report - 12 Months Endi'!IEA2</f>
        <v>0</v>
      </c>
      <c r="IEC3">
        <f>'[12]Summary Report - 12 Months Endi'!IEB2</f>
        <v>0</v>
      </c>
      <c r="IED3">
        <f>'[12]Summary Report - 12 Months Endi'!IEC2</f>
        <v>0</v>
      </c>
      <c r="IEE3">
        <f>'[12]Summary Report - 12 Months Endi'!IED2</f>
        <v>0</v>
      </c>
      <c r="IEF3">
        <f>'[12]Summary Report - 12 Months Endi'!IEE2</f>
        <v>0</v>
      </c>
      <c r="IEG3">
        <f>'[12]Summary Report - 12 Months Endi'!IEF2</f>
        <v>0</v>
      </c>
      <c r="IEH3">
        <f>'[12]Summary Report - 12 Months Endi'!IEG2</f>
        <v>0</v>
      </c>
      <c r="IEI3">
        <f>'[12]Summary Report - 12 Months Endi'!IEH2</f>
        <v>0</v>
      </c>
      <c r="IEJ3">
        <f>'[12]Summary Report - 12 Months Endi'!IEI2</f>
        <v>0</v>
      </c>
      <c r="IEK3">
        <f>'[12]Summary Report - 12 Months Endi'!IEJ2</f>
        <v>0</v>
      </c>
      <c r="IEL3">
        <f>'[12]Summary Report - 12 Months Endi'!IEK2</f>
        <v>0</v>
      </c>
      <c r="IEM3">
        <f>'[12]Summary Report - 12 Months Endi'!IEL2</f>
        <v>0</v>
      </c>
      <c r="IEN3">
        <f>'[12]Summary Report - 12 Months Endi'!IEM2</f>
        <v>0</v>
      </c>
      <c r="IEO3">
        <f>'[12]Summary Report - 12 Months Endi'!IEN2</f>
        <v>0</v>
      </c>
      <c r="IEP3">
        <f>'[12]Summary Report - 12 Months Endi'!IEO2</f>
        <v>0</v>
      </c>
      <c r="IEQ3">
        <f>'[12]Summary Report - 12 Months Endi'!IEP2</f>
        <v>0</v>
      </c>
      <c r="IER3">
        <f>'[12]Summary Report - 12 Months Endi'!IEQ2</f>
        <v>0</v>
      </c>
      <c r="IES3">
        <f>'[12]Summary Report - 12 Months Endi'!IER2</f>
        <v>0</v>
      </c>
      <c r="IET3">
        <f>'[12]Summary Report - 12 Months Endi'!IES2</f>
        <v>0</v>
      </c>
      <c r="IEU3">
        <f>'[12]Summary Report - 12 Months Endi'!IET2</f>
        <v>0</v>
      </c>
      <c r="IEV3">
        <f>'[12]Summary Report - 12 Months Endi'!IEU2</f>
        <v>0</v>
      </c>
      <c r="IEW3">
        <f>'[12]Summary Report - 12 Months Endi'!IEV2</f>
        <v>0</v>
      </c>
      <c r="IEX3">
        <f>'[12]Summary Report - 12 Months Endi'!IEW2</f>
        <v>0</v>
      </c>
      <c r="IEY3">
        <f>'[12]Summary Report - 12 Months Endi'!IEX2</f>
        <v>0</v>
      </c>
      <c r="IEZ3">
        <f>'[12]Summary Report - 12 Months Endi'!IEY2</f>
        <v>0</v>
      </c>
      <c r="IFA3">
        <f>'[12]Summary Report - 12 Months Endi'!IEZ2</f>
        <v>0</v>
      </c>
      <c r="IFB3">
        <f>'[12]Summary Report - 12 Months Endi'!IFA2</f>
        <v>0</v>
      </c>
      <c r="IFC3">
        <f>'[12]Summary Report - 12 Months Endi'!IFB2</f>
        <v>0</v>
      </c>
      <c r="IFD3">
        <f>'[12]Summary Report - 12 Months Endi'!IFC2</f>
        <v>0</v>
      </c>
      <c r="IFE3">
        <f>'[12]Summary Report - 12 Months Endi'!IFD2</f>
        <v>0</v>
      </c>
      <c r="IFF3">
        <f>'[12]Summary Report - 12 Months Endi'!IFE2</f>
        <v>0</v>
      </c>
      <c r="IFG3">
        <f>'[12]Summary Report - 12 Months Endi'!IFF2</f>
        <v>0</v>
      </c>
      <c r="IFH3">
        <f>'[12]Summary Report - 12 Months Endi'!IFG2</f>
        <v>0</v>
      </c>
      <c r="IFI3">
        <f>'[12]Summary Report - 12 Months Endi'!IFH2</f>
        <v>0</v>
      </c>
      <c r="IFJ3">
        <f>'[12]Summary Report - 12 Months Endi'!IFI2</f>
        <v>0</v>
      </c>
      <c r="IFK3">
        <f>'[12]Summary Report - 12 Months Endi'!IFJ2</f>
        <v>0</v>
      </c>
      <c r="IFL3">
        <f>'[12]Summary Report - 12 Months Endi'!IFK2</f>
        <v>0</v>
      </c>
      <c r="IFM3">
        <f>'[12]Summary Report - 12 Months Endi'!IFL2</f>
        <v>0</v>
      </c>
      <c r="IFN3">
        <f>'[12]Summary Report - 12 Months Endi'!IFM2</f>
        <v>0</v>
      </c>
      <c r="IFO3">
        <f>'[12]Summary Report - 12 Months Endi'!IFN2</f>
        <v>0</v>
      </c>
      <c r="IFP3">
        <f>'[12]Summary Report - 12 Months Endi'!IFO2</f>
        <v>0</v>
      </c>
      <c r="IFQ3">
        <f>'[12]Summary Report - 12 Months Endi'!IFP2</f>
        <v>0</v>
      </c>
      <c r="IFR3">
        <f>'[12]Summary Report - 12 Months Endi'!IFQ2</f>
        <v>0</v>
      </c>
      <c r="IFS3">
        <f>'[12]Summary Report - 12 Months Endi'!IFR2</f>
        <v>0</v>
      </c>
      <c r="IFT3">
        <f>'[12]Summary Report - 12 Months Endi'!IFS2</f>
        <v>0</v>
      </c>
      <c r="IFU3">
        <f>'[12]Summary Report - 12 Months Endi'!IFT2</f>
        <v>0</v>
      </c>
      <c r="IFV3">
        <f>'[12]Summary Report - 12 Months Endi'!IFU2</f>
        <v>0</v>
      </c>
      <c r="IFW3">
        <f>'[12]Summary Report - 12 Months Endi'!IFV2</f>
        <v>0</v>
      </c>
      <c r="IFX3">
        <f>'[12]Summary Report - 12 Months Endi'!IFW2</f>
        <v>0</v>
      </c>
      <c r="IFY3">
        <f>'[12]Summary Report - 12 Months Endi'!IFX2</f>
        <v>0</v>
      </c>
      <c r="IFZ3">
        <f>'[12]Summary Report - 12 Months Endi'!IFY2</f>
        <v>0</v>
      </c>
      <c r="IGA3">
        <f>'[12]Summary Report - 12 Months Endi'!IFZ2</f>
        <v>0</v>
      </c>
      <c r="IGB3">
        <f>'[12]Summary Report - 12 Months Endi'!IGA2</f>
        <v>0</v>
      </c>
      <c r="IGC3">
        <f>'[12]Summary Report - 12 Months Endi'!IGB2</f>
        <v>0</v>
      </c>
      <c r="IGD3">
        <f>'[12]Summary Report - 12 Months Endi'!IGC2</f>
        <v>0</v>
      </c>
      <c r="IGE3">
        <f>'[12]Summary Report - 12 Months Endi'!IGD2</f>
        <v>0</v>
      </c>
      <c r="IGF3">
        <f>'[12]Summary Report - 12 Months Endi'!IGE2</f>
        <v>0</v>
      </c>
      <c r="IGG3">
        <f>'[12]Summary Report - 12 Months Endi'!IGF2</f>
        <v>0</v>
      </c>
      <c r="IGH3">
        <f>'[12]Summary Report - 12 Months Endi'!IGG2</f>
        <v>0</v>
      </c>
      <c r="IGI3">
        <f>'[12]Summary Report - 12 Months Endi'!IGH2</f>
        <v>0</v>
      </c>
      <c r="IGJ3">
        <f>'[12]Summary Report - 12 Months Endi'!IGI2</f>
        <v>0</v>
      </c>
      <c r="IGK3">
        <f>'[12]Summary Report - 12 Months Endi'!IGJ2</f>
        <v>0</v>
      </c>
      <c r="IGL3">
        <f>'[12]Summary Report - 12 Months Endi'!IGK2</f>
        <v>0</v>
      </c>
      <c r="IGM3">
        <f>'[12]Summary Report - 12 Months Endi'!IGL2</f>
        <v>0</v>
      </c>
      <c r="IGN3">
        <f>'[12]Summary Report - 12 Months Endi'!IGM2</f>
        <v>0</v>
      </c>
      <c r="IGO3">
        <f>'[12]Summary Report - 12 Months Endi'!IGN2</f>
        <v>0</v>
      </c>
      <c r="IGP3">
        <f>'[12]Summary Report - 12 Months Endi'!IGO2</f>
        <v>0</v>
      </c>
      <c r="IGQ3">
        <f>'[12]Summary Report - 12 Months Endi'!IGP2</f>
        <v>0</v>
      </c>
      <c r="IGR3">
        <f>'[12]Summary Report - 12 Months Endi'!IGQ2</f>
        <v>0</v>
      </c>
      <c r="IGS3">
        <f>'[12]Summary Report - 12 Months Endi'!IGR2</f>
        <v>0</v>
      </c>
      <c r="IGT3">
        <f>'[12]Summary Report - 12 Months Endi'!IGS2</f>
        <v>0</v>
      </c>
      <c r="IGU3">
        <f>'[12]Summary Report - 12 Months Endi'!IGT2</f>
        <v>0</v>
      </c>
      <c r="IGV3">
        <f>'[12]Summary Report - 12 Months Endi'!IGU2</f>
        <v>0</v>
      </c>
      <c r="IGW3">
        <f>'[12]Summary Report - 12 Months Endi'!IGV2</f>
        <v>0</v>
      </c>
      <c r="IGX3">
        <f>'[12]Summary Report - 12 Months Endi'!IGW2</f>
        <v>0</v>
      </c>
      <c r="IGY3">
        <f>'[12]Summary Report - 12 Months Endi'!IGX2</f>
        <v>0</v>
      </c>
      <c r="IGZ3">
        <f>'[12]Summary Report - 12 Months Endi'!IGY2</f>
        <v>0</v>
      </c>
      <c r="IHA3">
        <f>'[12]Summary Report - 12 Months Endi'!IGZ2</f>
        <v>0</v>
      </c>
      <c r="IHB3">
        <f>'[12]Summary Report - 12 Months Endi'!IHA2</f>
        <v>0</v>
      </c>
      <c r="IHC3">
        <f>'[12]Summary Report - 12 Months Endi'!IHB2</f>
        <v>0</v>
      </c>
      <c r="IHD3">
        <f>'[12]Summary Report - 12 Months Endi'!IHC2</f>
        <v>0</v>
      </c>
      <c r="IHE3">
        <f>'[12]Summary Report - 12 Months Endi'!IHD2</f>
        <v>0</v>
      </c>
      <c r="IHF3">
        <f>'[12]Summary Report - 12 Months Endi'!IHE2</f>
        <v>0</v>
      </c>
      <c r="IHG3">
        <f>'[12]Summary Report - 12 Months Endi'!IHF2</f>
        <v>0</v>
      </c>
      <c r="IHH3">
        <f>'[12]Summary Report - 12 Months Endi'!IHG2</f>
        <v>0</v>
      </c>
      <c r="IHI3">
        <f>'[12]Summary Report - 12 Months Endi'!IHH2</f>
        <v>0</v>
      </c>
      <c r="IHJ3">
        <f>'[12]Summary Report - 12 Months Endi'!IHI2</f>
        <v>0</v>
      </c>
      <c r="IHK3">
        <f>'[12]Summary Report - 12 Months Endi'!IHJ2</f>
        <v>0</v>
      </c>
      <c r="IHL3">
        <f>'[12]Summary Report - 12 Months Endi'!IHK2</f>
        <v>0</v>
      </c>
      <c r="IHM3">
        <f>'[12]Summary Report - 12 Months Endi'!IHL2</f>
        <v>0</v>
      </c>
      <c r="IHN3">
        <f>'[12]Summary Report - 12 Months Endi'!IHM2</f>
        <v>0</v>
      </c>
      <c r="IHO3">
        <f>'[12]Summary Report - 12 Months Endi'!IHN2</f>
        <v>0</v>
      </c>
      <c r="IHP3">
        <f>'[12]Summary Report - 12 Months Endi'!IHO2</f>
        <v>0</v>
      </c>
      <c r="IHQ3">
        <f>'[12]Summary Report - 12 Months Endi'!IHP2</f>
        <v>0</v>
      </c>
      <c r="IHR3">
        <f>'[12]Summary Report - 12 Months Endi'!IHQ2</f>
        <v>0</v>
      </c>
      <c r="IHS3">
        <f>'[12]Summary Report - 12 Months Endi'!IHR2</f>
        <v>0</v>
      </c>
      <c r="IHT3">
        <f>'[12]Summary Report - 12 Months Endi'!IHS2</f>
        <v>0</v>
      </c>
      <c r="IHU3">
        <f>'[12]Summary Report - 12 Months Endi'!IHT2</f>
        <v>0</v>
      </c>
      <c r="IHV3">
        <f>'[12]Summary Report - 12 Months Endi'!IHU2</f>
        <v>0</v>
      </c>
      <c r="IHW3">
        <f>'[12]Summary Report - 12 Months Endi'!IHV2</f>
        <v>0</v>
      </c>
      <c r="IHX3">
        <f>'[12]Summary Report - 12 Months Endi'!IHW2</f>
        <v>0</v>
      </c>
      <c r="IHY3">
        <f>'[12]Summary Report - 12 Months Endi'!IHX2</f>
        <v>0</v>
      </c>
      <c r="IHZ3">
        <f>'[12]Summary Report - 12 Months Endi'!IHY2</f>
        <v>0</v>
      </c>
      <c r="IIA3">
        <f>'[12]Summary Report - 12 Months Endi'!IHZ2</f>
        <v>0</v>
      </c>
      <c r="IIB3">
        <f>'[12]Summary Report - 12 Months Endi'!IIA2</f>
        <v>0</v>
      </c>
      <c r="IIC3">
        <f>'[12]Summary Report - 12 Months Endi'!IIB2</f>
        <v>0</v>
      </c>
      <c r="IID3">
        <f>'[12]Summary Report - 12 Months Endi'!IIC2</f>
        <v>0</v>
      </c>
      <c r="IIE3">
        <f>'[12]Summary Report - 12 Months Endi'!IID2</f>
        <v>0</v>
      </c>
      <c r="IIF3">
        <f>'[12]Summary Report - 12 Months Endi'!IIE2</f>
        <v>0</v>
      </c>
      <c r="IIG3">
        <f>'[12]Summary Report - 12 Months Endi'!IIF2</f>
        <v>0</v>
      </c>
      <c r="IIH3">
        <f>'[12]Summary Report - 12 Months Endi'!IIG2</f>
        <v>0</v>
      </c>
      <c r="III3">
        <f>'[12]Summary Report - 12 Months Endi'!IIH2</f>
        <v>0</v>
      </c>
      <c r="IIJ3">
        <f>'[12]Summary Report - 12 Months Endi'!III2</f>
        <v>0</v>
      </c>
      <c r="IIK3">
        <f>'[12]Summary Report - 12 Months Endi'!IIJ2</f>
        <v>0</v>
      </c>
      <c r="IIL3">
        <f>'[12]Summary Report - 12 Months Endi'!IIK2</f>
        <v>0</v>
      </c>
      <c r="IIM3">
        <f>'[12]Summary Report - 12 Months Endi'!IIL2</f>
        <v>0</v>
      </c>
      <c r="IIN3">
        <f>'[12]Summary Report - 12 Months Endi'!IIM2</f>
        <v>0</v>
      </c>
      <c r="IIO3">
        <f>'[12]Summary Report - 12 Months Endi'!IIN2</f>
        <v>0</v>
      </c>
      <c r="IIP3">
        <f>'[12]Summary Report - 12 Months Endi'!IIO2</f>
        <v>0</v>
      </c>
      <c r="IIQ3">
        <f>'[12]Summary Report - 12 Months Endi'!IIP2</f>
        <v>0</v>
      </c>
      <c r="IIR3">
        <f>'[12]Summary Report - 12 Months Endi'!IIQ2</f>
        <v>0</v>
      </c>
      <c r="IIS3">
        <f>'[12]Summary Report - 12 Months Endi'!IIR2</f>
        <v>0</v>
      </c>
      <c r="IIT3">
        <f>'[12]Summary Report - 12 Months Endi'!IIS2</f>
        <v>0</v>
      </c>
      <c r="IIU3">
        <f>'[12]Summary Report - 12 Months Endi'!IIT2</f>
        <v>0</v>
      </c>
      <c r="IIV3">
        <f>'[12]Summary Report - 12 Months Endi'!IIU2</f>
        <v>0</v>
      </c>
      <c r="IIW3">
        <f>'[12]Summary Report - 12 Months Endi'!IIV2</f>
        <v>0</v>
      </c>
      <c r="IIX3">
        <f>'[12]Summary Report - 12 Months Endi'!IIW2</f>
        <v>0</v>
      </c>
      <c r="IIY3">
        <f>'[12]Summary Report - 12 Months Endi'!IIX2</f>
        <v>0</v>
      </c>
      <c r="IIZ3">
        <f>'[12]Summary Report - 12 Months Endi'!IIY2</f>
        <v>0</v>
      </c>
      <c r="IJA3">
        <f>'[12]Summary Report - 12 Months Endi'!IIZ2</f>
        <v>0</v>
      </c>
      <c r="IJB3">
        <f>'[12]Summary Report - 12 Months Endi'!IJA2</f>
        <v>0</v>
      </c>
      <c r="IJC3">
        <f>'[12]Summary Report - 12 Months Endi'!IJB2</f>
        <v>0</v>
      </c>
      <c r="IJD3">
        <f>'[12]Summary Report - 12 Months Endi'!IJC2</f>
        <v>0</v>
      </c>
      <c r="IJE3">
        <f>'[12]Summary Report - 12 Months Endi'!IJD2</f>
        <v>0</v>
      </c>
      <c r="IJF3">
        <f>'[12]Summary Report - 12 Months Endi'!IJE2</f>
        <v>0</v>
      </c>
      <c r="IJG3">
        <f>'[12]Summary Report - 12 Months Endi'!IJF2</f>
        <v>0</v>
      </c>
      <c r="IJH3">
        <f>'[12]Summary Report - 12 Months Endi'!IJG2</f>
        <v>0</v>
      </c>
      <c r="IJI3">
        <f>'[12]Summary Report - 12 Months Endi'!IJH2</f>
        <v>0</v>
      </c>
      <c r="IJJ3">
        <f>'[12]Summary Report - 12 Months Endi'!IJI2</f>
        <v>0</v>
      </c>
      <c r="IJK3">
        <f>'[12]Summary Report - 12 Months Endi'!IJJ2</f>
        <v>0</v>
      </c>
      <c r="IJL3">
        <f>'[12]Summary Report - 12 Months Endi'!IJK2</f>
        <v>0</v>
      </c>
      <c r="IJM3">
        <f>'[12]Summary Report - 12 Months Endi'!IJL2</f>
        <v>0</v>
      </c>
      <c r="IJN3">
        <f>'[12]Summary Report - 12 Months Endi'!IJM2</f>
        <v>0</v>
      </c>
      <c r="IJO3">
        <f>'[12]Summary Report - 12 Months Endi'!IJN2</f>
        <v>0</v>
      </c>
      <c r="IJP3">
        <f>'[12]Summary Report - 12 Months Endi'!IJO2</f>
        <v>0</v>
      </c>
      <c r="IJQ3">
        <f>'[12]Summary Report - 12 Months Endi'!IJP2</f>
        <v>0</v>
      </c>
      <c r="IJR3">
        <f>'[12]Summary Report - 12 Months Endi'!IJQ2</f>
        <v>0</v>
      </c>
      <c r="IJS3">
        <f>'[12]Summary Report - 12 Months Endi'!IJR2</f>
        <v>0</v>
      </c>
      <c r="IJT3">
        <f>'[12]Summary Report - 12 Months Endi'!IJS2</f>
        <v>0</v>
      </c>
      <c r="IJU3">
        <f>'[12]Summary Report - 12 Months Endi'!IJT2</f>
        <v>0</v>
      </c>
      <c r="IJV3">
        <f>'[12]Summary Report - 12 Months Endi'!IJU2</f>
        <v>0</v>
      </c>
      <c r="IJW3">
        <f>'[12]Summary Report - 12 Months Endi'!IJV2</f>
        <v>0</v>
      </c>
      <c r="IJX3">
        <f>'[12]Summary Report - 12 Months Endi'!IJW2</f>
        <v>0</v>
      </c>
      <c r="IJY3">
        <f>'[12]Summary Report - 12 Months Endi'!IJX2</f>
        <v>0</v>
      </c>
      <c r="IJZ3">
        <f>'[12]Summary Report - 12 Months Endi'!IJY2</f>
        <v>0</v>
      </c>
      <c r="IKA3">
        <f>'[12]Summary Report - 12 Months Endi'!IJZ2</f>
        <v>0</v>
      </c>
      <c r="IKB3">
        <f>'[12]Summary Report - 12 Months Endi'!IKA2</f>
        <v>0</v>
      </c>
      <c r="IKC3">
        <f>'[12]Summary Report - 12 Months Endi'!IKB2</f>
        <v>0</v>
      </c>
      <c r="IKD3">
        <f>'[12]Summary Report - 12 Months Endi'!IKC2</f>
        <v>0</v>
      </c>
      <c r="IKE3">
        <f>'[12]Summary Report - 12 Months Endi'!IKD2</f>
        <v>0</v>
      </c>
      <c r="IKF3">
        <f>'[12]Summary Report - 12 Months Endi'!IKE2</f>
        <v>0</v>
      </c>
      <c r="IKG3">
        <f>'[12]Summary Report - 12 Months Endi'!IKF2</f>
        <v>0</v>
      </c>
      <c r="IKH3">
        <f>'[12]Summary Report - 12 Months Endi'!IKG2</f>
        <v>0</v>
      </c>
      <c r="IKI3">
        <f>'[12]Summary Report - 12 Months Endi'!IKH2</f>
        <v>0</v>
      </c>
      <c r="IKJ3">
        <f>'[12]Summary Report - 12 Months Endi'!IKI2</f>
        <v>0</v>
      </c>
      <c r="IKK3">
        <f>'[12]Summary Report - 12 Months Endi'!IKJ2</f>
        <v>0</v>
      </c>
      <c r="IKL3">
        <f>'[12]Summary Report - 12 Months Endi'!IKK2</f>
        <v>0</v>
      </c>
      <c r="IKM3">
        <f>'[12]Summary Report - 12 Months Endi'!IKL2</f>
        <v>0</v>
      </c>
      <c r="IKN3">
        <f>'[12]Summary Report - 12 Months Endi'!IKM2</f>
        <v>0</v>
      </c>
      <c r="IKO3">
        <f>'[12]Summary Report - 12 Months Endi'!IKN2</f>
        <v>0</v>
      </c>
      <c r="IKP3">
        <f>'[12]Summary Report - 12 Months Endi'!IKO2</f>
        <v>0</v>
      </c>
      <c r="IKQ3">
        <f>'[12]Summary Report - 12 Months Endi'!IKP2</f>
        <v>0</v>
      </c>
      <c r="IKR3">
        <f>'[12]Summary Report - 12 Months Endi'!IKQ2</f>
        <v>0</v>
      </c>
      <c r="IKS3">
        <f>'[12]Summary Report - 12 Months Endi'!IKR2</f>
        <v>0</v>
      </c>
      <c r="IKT3">
        <f>'[12]Summary Report - 12 Months Endi'!IKS2</f>
        <v>0</v>
      </c>
      <c r="IKU3">
        <f>'[12]Summary Report - 12 Months Endi'!IKT2</f>
        <v>0</v>
      </c>
      <c r="IKV3">
        <f>'[12]Summary Report - 12 Months Endi'!IKU2</f>
        <v>0</v>
      </c>
      <c r="IKW3">
        <f>'[12]Summary Report - 12 Months Endi'!IKV2</f>
        <v>0</v>
      </c>
      <c r="IKX3">
        <f>'[12]Summary Report - 12 Months Endi'!IKW2</f>
        <v>0</v>
      </c>
      <c r="IKY3">
        <f>'[12]Summary Report - 12 Months Endi'!IKX2</f>
        <v>0</v>
      </c>
      <c r="IKZ3">
        <f>'[12]Summary Report - 12 Months Endi'!IKY2</f>
        <v>0</v>
      </c>
      <c r="ILA3">
        <f>'[12]Summary Report - 12 Months Endi'!IKZ2</f>
        <v>0</v>
      </c>
      <c r="ILB3">
        <f>'[12]Summary Report - 12 Months Endi'!ILA2</f>
        <v>0</v>
      </c>
      <c r="ILC3">
        <f>'[12]Summary Report - 12 Months Endi'!ILB2</f>
        <v>0</v>
      </c>
      <c r="ILD3">
        <f>'[12]Summary Report - 12 Months Endi'!ILC2</f>
        <v>0</v>
      </c>
      <c r="ILE3">
        <f>'[12]Summary Report - 12 Months Endi'!ILD2</f>
        <v>0</v>
      </c>
      <c r="ILF3">
        <f>'[12]Summary Report - 12 Months Endi'!ILE2</f>
        <v>0</v>
      </c>
      <c r="ILG3">
        <f>'[12]Summary Report - 12 Months Endi'!ILF2</f>
        <v>0</v>
      </c>
      <c r="ILH3">
        <f>'[12]Summary Report - 12 Months Endi'!ILG2</f>
        <v>0</v>
      </c>
      <c r="ILI3">
        <f>'[12]Summary Report - 12 Months Endi'!ILH2</f>
        <v>0</v>
      </c>
      <c r="ILJ3">
        <f>'[12]Summary Report - 12 Months Endi'!ILI2</f>
        <v>0</v>
      </c>
      <c r="ILK3">
        <f>'[12]Summary Report - 12 Months Endi'!ILJ2</f>
        <v>0</v>
      </c>
      <c r="ILL3">
        <f>'[12]Summary Report - 12 Months Endi'!ILK2</f>
        <v>0</v>
      </c>
      <c r="ILM3">
        <f>'[12]Summary Report - 12 Months Endi'!ILL2</f>
        <v>0</v>
      </c>
      <c r="ILN3">
        <f>'[12]Summary Report - 12 Months Endi'!ILM2</f>
        <v>0</v>
      </c>
      <c r="ILO3">
        <f>'[12]Summary Report - 12 Months Endi'!ILN2</f>
        <v>0</v>
      </c>
      <c r="ILP3">
        <f>'[12]Summary Report - 12 Months Endi'!ILO2</f>
        <v>0</v>
      </c>
      <c r="ILQ3">
        <f>'[12]Summary Report - 12 Months Endi'!ILP2</f>
        <v>0</v>
      </c>
      <c r="ILR3">
        <f>'[12]Summary Report - 12 Months Endi'!ILQ2</f>
        <v>0</v>
      </c>
      <c r="ILS3">
        <f>'[12]Summary Report - 12 Months Endi'!ILR2</f>
        <v>0</v>
      </c>
      <c r="ILT3">
        <f>'[12]Summary Report - 12 Months Endi'!ILS2</f>
        <v>0</v>
      </c>
      <c r="ILU3">
        <f>'[12]Summary Report - 12 Months Endi'!ILT2</f>
        <v>0</v>
      </c>
      <c r="ILV3">
        <f>'[12]Summary Report - 12 Months Endi'!ILU2</f>
        <v>0</v>
      </c>
      <c r="ILW3">
        <f>'[12]Summary Report - 12 Months Endi'!ILV2</f>
        <v>0</v>
      </c>
      <c r="ILX3">
        <f>'[12]Summary Report - 12 Months Endi'!ILW2</f>
        <v>0</v>
      </c>
      <c r="ILY3">
        <f>'[12]Summary Report - 12 Months Endi'!ILX2</f>
        <v>0</v>
      </c>
      <c r="ILZ3">
        <f>'[12]Summary Report - 12 Months Endi'!ILY2</f>
        <v>0</v>
      </c>
      <c r="IMA3">
        <f>'[12]Summary Report - 12 Months Endi'!ILZ2</f>
        <v>0</v>
      </c>
      <c r="IMB3">
        <f>'[12]Summary Report - 12 Months Endi'!IMA2</f>
        <v>0</v>
      </c>
      <c r="IMC3">
        <f>'[12]Summary Report - 12 Months Endi'!IMB2</f>
        <v>0</v>
      </c>
      <c r="IMD3">
        <f>'[12]Summary Report - 12 Months Endi'!IMC2</f>
        <v>0</v>
      </c>
      <c r="IME3">
        <f>'[12]Summary Report - 12 Months Endi'!IMD2</f>
        <v>0</v>
      </c>
      <c r="IMF3">
        <f>'[12]Summary Report - 12 Months Endi'!IME2</f>
        <v>0</v>
      </c>
      <c r="IMG3">
        <f>'[12]Summary Report - 12 Months Endi'!IMF2</f>
        <v>0</v>
      </c>
      <c r="IMH3">
        <f>'[12]Summary Report - 12 Months Endi'!IMG2</f>
        <v>0</v>
      </c>
      <c r="IMI3">
        <f>'[12]Summary Report - 12 Months Endi'!IMH2</f>
        <v>0</v>
      </c>
      <c r="IMJ3">
        <f>'[12]Summary Report - 12 Months Endi'!IMI2</f>
        <v>0</v>
      </c>
      <c r="IMK3">
        <f>'[12]Summary Report - 12 Months Endi'!IMJ2</f>
        <v>0</v>
      </c>
      <c r="IML3">
        <f>'[12]Summary Report - 12 Months Endi'!IMK2</f>
        <v>0</v>
      </c>
      <c r="IMM3">
        <f>'[12]Summary Report - 12 Months Endi'!IML2</f>
        <v>0</v>
      </c>
      <c r="IMN3">
        <f>'[12]Summary Report - 12 Months Endi'!IMM2</f>
        <v>0</v>
      </c>
      <c r="IMO3">
        <f>'[12]Summary Report - 12 Months Endi'!IMN2</f>
        <v>0</v>
      </c>
      <c r="IMP3">
        <f>'[12]Summary Report - 12 Months Endi'!IMO2</f>
        <v>0</v>
      </c>
      <c r="IMQ3">
        <f>'[12]Summary Report - 12 Months Endi'!IMP2</f>
        <v>0</v>
      </c>
      <c r="IMR3">
        <f>'[12]Summary Report - 12 Months Endi'!IMQ2</f>
        <v>0</v>
      </c>
      <c r="IMS3">
        <f>'[12]Summary Report - 12 Months Endi'!IMR2</f>
        <v>0</v>
      </c>
      <c r="IMT3">
        <f>'[12]Summary Report - 12 Months Endi'!IMS2</f>
        <v>0</v>
      </c>
      <c r="IMU3">
        <f>'[12]Summary Report - 12 Months Endi'!IMT2</f>
        <v>0</v>
      </c>
      <c r="IMV3">
        <f>'[12]Summary Report - 12 Months Endi'!IMU2</f>
        <v>0</v>
      </c>
      <c r="IMW3">
        <f>'[12]Summary Report - 12 Months Endi'!IMV2</f>
        <v>0</v>
      </c>
      <c r="IMX3">
        <f>'[12]Summary Report - 12 Months Endi'!IMW2</f>
        <v>0</v>
      </c>
      <c r="IMY3">
        <f>'[12]Summary Report - 12 Months Endi'!IMX2</f>
        <v>0</v>
      </c>
      <c r="IMZ3">
        <f>'[12]Summary Report - 12 Months Endi'!IMY2</f>
        <v>0</v>
      </c>
      <c r="INA3">
        <f>'[12]Summary Report - 12 Months Endi'!IMZ2</f>
        <v>0</v>
      </c>
      <c r="INB3">
        <f>'[12]Summary Report - 12 Months Endi'!INA2</f>
        <v>0</v>
      </c>
      <c r="INC3">
        <f>'[12]Summary Report - 12 Months Endi'!INB2</f>
        <v>0</v>
      </c>
      <c r="IND3">
        <f>'[12]Summary Report - 12 Months Endi'!INC2</f>
        <v>0</v>
      </c>
      <c r="INE3">
        <f>'[12]Summary Report - 12 Months Endi'!IND2</f>
        <v>0</v>
      </c>
      <c r="INF3">
        <f>'[12]Summary Report - 12 Months Endi'!INE2</f>
        <v>0</v>
      </c>
      <c r="ING3">
        <f>'[12]Summary Report - 12 Months Endi'!INF2</f>
        <v>0</v>
      </c>
      <c r="INH3">
        <f>'[12]Summary Report - 12 Months Endi'!ING2</f>
        <v>0</v>
      </c>
      <c r="INI3">
        <f>'[12]Summary Report - 12 Months Endi'!INH2</f>
        <v>0</v>
      </c>
      <c r="INJ3">
        <f>'[12]Summary Report - 12 Months Endi'!INI2</f>
        <v>0</v>
      </c>
      <c r="INK3">
        <f>'[12]Summary Report - 12 Months Endi'!INJ2</f>
        <v>0</v>
      </c>
      <c r="INL3">
        <f>'[12]Summary Report - 12 Months Endi'!INK2</f>
        <v>0</v>
      </c>
      <c r="INM3">
        <f>'[12]Summary Report - 12 Months Endi'!INL2</f>
        <v>0</v>
      </c>
      <c r="INN3">
        <f>'[12]Summary Report - 12 Months Endi'!INM2</f>
        <v>0</v>
      </c>
      <c r="INO3">
        <f>'[12]Summary Report - 12 Months Endi'!INN2</f>
        <v>0</v>
      </c>
      <c r="INP3">
        <f>'[12]Summary Report - 12 Months Endi'!INO2</f>
        <v>0</v>
      </c>
      <c r="INQ3">
        <f>'[12]Summary Report - 12 Months Endi'!INP2</f>
        <v>0</v>
      </c>
      <c r="INR3">
        <f>'[12]Summary Report - 12 Months Endi'!INQ2</f>
        <v>0</v>
      </c>
      <c r="INS3">
        <f>'[12]Summary Report - 12 Months Endi'!INR2</f>
        <v>0</v>
      </c>
      <c r="INT3">
        <f>'[12]Summary Report - 12 Months Endi'!INS2</f>
        <v>0</v>
      </c>
      <c r="INU3">
        <f>'[12]Summary Report - 12 Months Endi'!INT2</f>
        <v>0</v>
      </c>
      <c r="INV3">
        <f>'[12]Summary Report - 12 Months Endi'!INU2</f>
        <v>0</v>
      </c>
      <c r="INW3">
        <f>'[12]Summary Report - 12 Months Endi'!INV2</f>
        <v>0</v>
      </c>
      <c r="INX3">
        <f>'[12]Summary Report - 12 Months Endi'!INW2</f>
        <v>0</v>
      </c>
      <c r="INY3">
        <f>'[12]Summary Report - 12 Months Endi'!INX2</f>
        <v>0</v>
      </c>
      <c r="INZ3">
        <f>'[12]Summary Report - 12 Months Endi'!INY2</f>
        <v>0</v>
      </c>
      <c r="IOA3">
        <f>'[12]Summary Report - 12 Months Endi'!INZ2</f>
        <v>0</v>
      </c>
      <c r="IOB3">
        <f>'[12]Summary Report - 12 Months Endi'!IOA2</f>
        <v>0</v>
      </c>
      <c r="IOC3">
        <f>'[12]Summary Report - 12 Months Endi'!IOB2</f>
        <v>0</v>
      </c>
      <c r="IOD3">
        <f>'[12]Summary Report - 12 Months Endi'!IOC2</f>
        <v>0</v>
      </c>
      <c r="IOE3">
        <f>'[12]Summary Report - 12 Months Endi'!IOD2</f>
        <v>0</v>
      </c>
      <c r="IOF3">
        <f>'[12]Summary Report - 12 Months Endi'!IOE2</f>
        <v>0</v>
      </c>
      <c r="IOG3">
        <f>'[12]Summary Report - 12 Months Endi'!IOF2</f>
        <v>0</v>
      </c>
      <c r="IOH3">
        <f>'[12]Summary Report - 12 Months Endi'!IOG2</f>
        <v>0</v>
      </c>
      <c r="IOI3">
        <f>'[12]Summary Report - 12 Months Endi'!IOH2</f>
        <v>0</v>
      </c>
      <c r="IOJ3">
        <f>'[12]Summary Report - 12 Months Endi'!IOI2</f>
        <v>0</v>
      </c>
      <c r="IOK3">
        <f>'[12]Summary Report - 12 Months Endi'!IOJ2</f>
        <v>0</v>
      </c>
      <c r="IOL3">
        <f>'[12]Summary Report - 12 Months Endi'!IOK2</f>
        <v>0</v>
      </c>
      <c r="IOM3">
        <f>'[12]Summary Report - 12 Months Endi'!IOL2</f>
        <v>0</v>
      </c>
      <c r="ION3">
        <f>'[12]Summary Report - 12 Months Endi'!IOM2</f>
        <v>0</v>
      </c>
      <c r="IOO3">
        <f>'[12]Summary Report - 12 Months Endi'!ION2</f>
        <v>0</v>
      </c>
      <c r="IOP3">
        <f>'[12]Summary Report - 12 Months Endi'!IOO2</f>
        <v>0</v>
      </c>
      <c r="IOQ3">
        <f>'[12]Summary Report - 12 Months Endi'!IOP2</f>
        <v>0</v>
      </c>
      <c r="IOR3">
        <f>'[12]Summary Report - 12 Months Endi'!IOQ2</f>
        <v>0</v>
      </c>
      <c r="IOS3">
        <f>'[12]Summary Report - 12 Months Endi'!IOR2</f>
        <v>0</v>
      </c>
      <c r="IOT3">
        <f>'[12]Summary Report - 12 Months Endi'!IOS2</f>
        <v>0</v>
      </c>
      <c r="IOU3">
        <f>'[12]Summary Report - 12 Months Endi'!IOT2</f>
        <v>0</v>
      </c>
      <c r="IOV3">
        <f>'[12]Summary Report - 12 Months Endi'!IOU2</f>
        <v>0</v>
      </c>
      <c r="IOW3">
        <f>'[12]Summary Report - 12 Months Endi'!IOV2</f>
        <v>0</v>
      </c>
      <c r="IOX3">
        <f>'[12]Summary Report - 12 Months Endi'!IOW2</f>
        <v>0</v>
      </c>
      <c r="IOY3">
        <f>'[12]Summary Report - 12 Months Endi'!IOX2</f>
        <v>0</v>
      </c>
      <c r="IOZ3">
        <f>'[12]Summary Report - 12 Months Endi'!IOY2</f>
        <v>0</v>
      </c>
      <c r="IPA3">
        <f>'[12]Summary Report - 12 Months Endi'!IOZ2</f>
        <v>0</v>
      </c>
      <c r="IPB3">
        <f>'[12]Summary Report - 12 Months Endi'!IPA2</f>
        <v>0</v>
      </c>
      <c r="IPC3">
        <f>'[12]Summary Report - 12 Months Endi'!IPB2</f>
        <v>0</v>
      </c>
      <c r="IPD3">
        <f>'[12]Summary Report - 12 Months Endi'!IPC2</f>
        <v>0</v>
      </c>
      <c r="IPE3">
        <f>'[12]Summary Report - 12 Months Endi'!IPD2</f>
        <v>0</v>
      </c>
      <c r="IPF3">
        <f>'[12]Summary Report - 12 Months Endi'!IPE2</f>
        <v>0</v>
      </c>
      <c r="IPG3">
        <f>'[12]Summary Report - 12 Months Endi'!IPF2</f>
        <v>0</v>
      </c>
      <c r="IPH3">
        <f>'[12]Summary Report - 12 Months Endi'!IPG2</f>
        <v>0</v>
      </c>
      <c r="IPI3">
        <f>'[12]Summary Report - 12 Months Endi'!IPH2</f>
        <v>0</v>
      </c>
      <c r="IPJ3">
        <f>'[12]Summary Report - 12 Months Endi'!IPI2</f>
        <v>0</v>
      </c>
      <c r="IPK3">
        <f>'[12]Summary Report - 12 Months Endi'!IPJ2</f>
        <v>0</v>
      </c>
      <c r="IPL3">
        <f>'[12]Summary Report - 12 Months Endi'!IPK2</f>
        <v>0</v>
      </c>
      <c r="IPM3">
        <f>'[12]Summary Report - 12 Months Endi'!IPL2</f>
        <v>0</v>
      </c>
      <c r="IPN3">
        <f>'[12]Summary Report - 12 Months Endi'!IPM2</f>
        <v>0</v>
      </c>
      <c r="IPO3">
        <f>'[12]Summary Report - 12 Months Endi'!IPN2</f>
        <v>0</v>
      </c>
      <c r="IPP3">
        <f>'[12]Summary Report - 12 Months Endi'!IPO2</f>
        <v>0</v>
      </c>
      <c r="IPQ3">
        <f>'[12]Summary Report - 12 Months Endi'!IPP2</f>
        <v>0</v>
      </c>
      <c r="IPR3">
        <f>'[12]Summary Report - 12 Months Endi'!IPQ2</f>
        <v>0</v>
      </c>
      <c r="IPS3">
        <f>'[12]Summary Report - 12 Months Endi'!IPR2</f>
        <v>0</v>
      </c>
      <c r="IPT3">
        <f>'[12]Summary Report - 12 Months Endi'!IPS2</f>
        <v>0</v>
      </c>
      <c r="IPU3">
        <f>'[12]Summary Report - 12 Months Endi'!IPT2</f>
        <v>0</v>
      </c>
      <c r="IPV3">
        <f>'[12]Summary Report - 12 Months Endi'!IPU2</f>
        <v>0</v>
      </c>
      <c r="IPW3">
        <f>'[12]Summary Report - 12 Months Endi'!IPV2</f>
        <v>0</v>
      </c>
      <c r="IPX3">
        <f>'[12]Summary Report - 12 Months Endi'!IPW2</f>
        <v>0</v>
      </c>
      <c r="IPY3">
        <f>'[12]Summary Report - 12 Months Endi'!IPX2</f>
        <v>0</v>
      </c>
      <c r="IPZ3">
        <f>'[12]Summary Report - 12 Months Endi'!IPY2</f>
        <v>0</v>
      </c>
      <c r="IQA3">
        <f>'[12]Summary Report - 12 Months Endi'!IPZ2</f>
        <v>0</v>
      </c>
      <c r="IQB3">
        <f>'[12]Summary Report - 12 Months Endi'!IQA2</f>
        <v>0</v>
      </c>
      <c r="IQC3">
        <f>'[12]Summary Report - 12 Months Endi'!IQB2</f>
        <v>0</v>
      </c>
      <c r="IQD3">
        <f>'[12]Summary Report - 12 Months Endi'!IQC2</f>
        <v>0</v>
      </c>
      <c r="IQE3">
        <f>'[12]Summary Report - 12 Months Endi'!IQD2</f>
        <v>0</v>
      </c>
      <c r="IQF3">
        <f>'[12]Summary Report - 12 Months Endi'!IQE2</f>
        <v>0</v>
      </c>
      <c r="IQG3">
        <f>'[12]Summary Report - 12 Months Endi'!IQF2</f>
        <v>0</v>
      </c>
      <c r="IQH3">
        <f>'[12]Summary Report - 12 Months Endi'!IQG2</f>
        <v>0</v>
      </c>
      <c r="IQI3">
        <f>'[12]Summary Report - 12 Months Endi'!IQH2</f>
        <v>0</v>
      </c>
      <c r="IQJ3">
        <f>'[12]Summary Report - 12 Months Endi'!IQI2</f>
        <v>0</v>
      </c>
      <c r="IQK3">
        <f>'[12]Summary Report - 12 Months Endi'!IQJ2</f>
        <v>0</v>
      </c>
      <c r="IQL3">
        <f>'[12]Summary Report - 12 Months Endi'!IQK2</f>
        <v>0</v>
      </c>
      <c r="IQM3">
        <f>'[12]Summary Report - 12 Months Endi'!IQL2</f>
        <v>0</v>
      </c>
      <c r="IQN3">
        <f>'[12]Summary Report - 12 Months Endi'!IQM2</f>
        <v>0</v>
      </c>
      <c r="IQO3">
        <f>'[12]Summary Report - 12 Months Endi'!IQN2</f>
        <v>0</v>
      </c>
      <c r="IQP3">
        <f>'[12]Summary Report - 12 Months Endi'!IQO2</f>
        <v>0</v>
      </c>
      <c r="IQQ3">
        <f>'[12]Summary Report - 12 Months Endi'!IQP2</f>
        <v>0</v>
      </c>
      <c r="IQR3">
        <f>'[12]Summary Report - 12 Months Endi'!IQQ2</f>
        <v>0</v>
      </c>
      <c r="IQS3">
        <f>'[12]Summary Report - 12 Months Endi'!IQR2</f>
        <v>0</v>
      </c>
      <c r="IQT3">
        <f>'[12]Summary Report - 12 Months Endi'!IQS2</f>
        <v>0</v>
      </c>
      <c r="IQU3">
        <f>'[12]Summary Report - 12 Months Endi'!IQT2</f>
        <v>0</v>
      </c>
      <c r="IQV3">
        <f>'[12]Summary Report - 12 Months Endi'!IQU2</f>
        <v>0</v>
      </c>
      <c r="IQW3">
        <f>'[12]Summary Report - 12 Months Endi'!IQV2</f>
        <v>0</v>
      </c>
      <c r="IQX3">
        <f>'[12]Summary Report - 12 Months Endi'!IQW2</f>
        <v>0</v>
      </c>
      <c r="IQY3">
        <f>'[12]Summary Report - 12 Months Endi'!IQX2</f>
        <v>0</v>
      </c>
      <c r="IQZ3">
        <f>'[12]Summary Report - 12 Months Endi'!IQY2</f>
        <v>0</v>
      </c>
      <c r="IRA3">
        <f>'[12]Summary Report - 12 Months Endi'!IQZ2</f>
        <v>0</v>
      </c>
      <c r="IRB3">
        <f>'[12]Summary Report - 12 Months Endi'!IRA2</f>
        <v>0</v>
      </c>
      <c r="IRC3">
        <f>'[12]Summary Report - 12 Months Endi'!IRB2</f>
        <v>0</v>
      </c>
      <c r="IRD3">
        <f>'[12]Summary Report - 12 Months Endi'!IRC2</f>
        <v>0</v>
      </c>
      <c r="IRE3">
        <f>'[12]Summary Report - 12 Months Endi'!IRD2</f>
        <v>0</v>
      </c>
      <c r="IRF3">
        <f>'[12]Summary Report - 12 Months Endi'!IRE2</f>
        <v>0</v>
      </c>
      <c r="IRG3">
        <f>'[12]Summary Report - 12 Months Endi'!IRF2</f>
        <v>0</v>
      </c>
      <c r="IRH3">
        <f>'[12]Summary Report - 12 Months Endi'!IRG2</f>
        <v>0</v>
      </c>
      <c r="IRI3">
        <f>'[12]Summary Report - 12 Months Endi'!IRH2</f>
        <v>0</v>
      </c>
      <c r="IRJ3">
        <f>'[12]Summary Report - 12 Months Endi'!IRI2</f>
        <v>0</v>
      </c>
      <c r="IRK3">
        <f>'[12]Summary Report - 12 Months Endi'!IRJ2</f>
        <v>0</v>
      </c>
      <c r="IRL3">
        <f>'[12]Summary Report - 12 Months Endi'!IRK2</f>
        <v>0</v>
      </c>
      <c r="IRM3">
        <f>'[12]Summary Report - 12 Months Endi'!IRL2</f>
        <v>0</v>
      </c>
      <c r="IRN3">
        <f>'[12]Summary Report - 12 Months Endi'!IRM2</f>
        <v>0</v>
      </c>
      <c r="IRO3">
        <f>'[12]Summary Report - 12 Months Endi'!IRN2</f>
        <v>0</v>
      </c>
      <c r="IRP3">
        <f>'[12]Summary Report - 12 Months Endi'!IRO2</f>
        <v>0</v>
      </c>
      <c r="IRQ3">
        <f>'[12]Summary Report - 12 Months Endi'!IRP2</f>
        <v>0</v>
      </c>
      <c r="IRR3">
        <f>'[12]Summary Report - 12 Months Endi'!IRQ2</f>
        <v>0</v>
      </c>
      <c r="IRS3">
        <f>'[12]Summary Report - 12 Months Endi'!IRR2</f>
        <v>0</v>
      </c>
      <c r="IRT3">
        <f>'[12]Summary Report - 12 Months Endi'!IRS2</f>
        <v>0</v>
      </c>
      <c r="IRU3">
        <f>'[12]Summary Report - 12 Months Endi'!IRT2</f>
        <v>0</v>
      </c>
      <c r="IRV3">
        <f>'[12]Summary Report - 12 Months Endi'!IRU2</f>
        <v>0</v>
      </c>
      <c r="IRW3">
        <f>'[12]Summary Report - 12 Months Endi'!IRV2</f>
        <v>0</v>
      </c>
      <c r="IRX3">
        <f>'[12]Summary Report - 12 Months Endi'!IRW2</f>
        <v>0</v>
      </c>
      <c r="IRY3">
        <f>'[12]Summary Report - 12 Months Endi'!IRX2</f>
        <v>0</v>
      </c>
      <c r="IRZ3">
        <f>'[12]Summary Report - 12 Months Endi'!IRY2</f>
        <v>0</v>
      </c>
      <c r="ISA3">
        <f>'[12]Summary Report - 12 Months Endi'!IRZ2</f>
        <v>0</v>
      </c>
      <c r="ISB3">
        <f>'[12]Summary Report - 12 Months Endi'!ISA2</f>
        <v>0</v>
      </c>
      <c r="ISC3">
        <f>'[12]Summary Report - 12 Months Endi'!ISB2</f>
        <v>0</v>
      </c>
      <c r="ISD3">
        <f>'[12]Summary Report - 12 Months Endi'!ISC2</f>
        <v>0</v>
      </c>
      <c r="ISE3">
        <f>'[12]Summary Report - 12 Months Endi'!ISD2</f>
        <v>0</v>
      </c>
      <c r="ISF3">
        <f>'[12]Summary Report - 12 Months Endi'!ISE2</f>
        <v>0</v>
      </c>
      <c r="ISG3">
        <f>'[12]Summary Report - 12 Months Endi'!ISF2</f>
        <v>0</v>
      </c>
      <c r="ISH3">
        <f>'[12]Summary Report - 12 Months Endi'!ISG2</f>
        <v>0</v>
      </c>
      <c r="ISI3">
        <f>'[12]Summary Report - 12 Months Endi'!ISH2</f>
        <v>0</v>
      </c>
      <c r="ISJ3">
        <f>'[12]Summary Report - 12 Months Endi'!ISI2</f>
        <v>0</v>
      </c>
      <c r="ISK3">
        <f>'[12]Summary Report - 12 Months Endi'!ISJ2</f>
        <v>0</v>
      </c>
      <c r="ISL3">
        <f>'[12]Summary Report - 12 Months Endi'!ISK2</f>
        <v>0</v>
      </c>
      <c r="ISM3">
        <f>'[12]Summary Report - 12 Months Endi'!ISL2</f>
        <v>0</v>
      </c>
      <c r="ISN3">
        <f>'[12]Summary Report - 12 Months Endi'!ISM2</f>
        <v>0</v>
      </c>
      <c r="ISO3">
        <f>'[12]Summary Report - 12 Months Endi'!ISN2</f>
        <v>0</v>
      </c>
      <c r="ISP3">
        <f>'[12]Summary Report - 12 Months Endi'!ISO2</f>
        <v>0</v>
      </c>
      <c r="ISQ3">
        <f>'[12]Summary Report - 12 Months Endi'!ISP2</f>
        <v>0</v>
      </c>
      <c r="ISR3">
        <f>'[12]Summary Report - 12 Months Endi'!ISQ2</f>
        <v>0</v>
      </c>
      <c r="ISS3">
        <f>'[12]Summary Report - 12 Months Endi'!ISR2</f>
        <v>0</v>
      </c>
      <c r="IST3">
        <f>'[12]Summary Report - 12 Months Endi'!ISS2</f>
        <v>0</v>
      </c>
      <c r="ISU3">
        <f>'[12]Summary Report - 12 Months Endi'!IST2</f>
        <v>0</v>
      </c>
      <c r="ISV3">
        <f>'[12]Summary Report - 12 Months Endi'!ISU2</f>
        <v>0</v>
      </c>
      <c r="ISW3">
        <f>'[12]Summary Report - 12 Months Endi'!ISV2</f>
        <v>0</v>
      </c>
      <c r="ISX3">
        <f>'[12]Summary Report - 12 Months Endi'!ISW2</f>
        <v>0</v>
      </c>
      <c r="ISY3">
        <f>'[12]Summary Report - 12 Months Endi'!ISX2</f>
        <v>0</v>
      </c>
      <c r="ISZ3">
        <f>'[12]Summary Report - 12 Months Endi'!ISY2</f>
        <v>0</v>
      </c>
      <c r="ITA3">
        <f>'[12]Summary Report - 12 Months Endi'!ISZ2</f>
        <v>0</v>
      </c>
      <c r="ITB3">
        <f>'[12]Summary Report - 12 Months Endi'!ITA2</f>
        <v>0</v>
      </c>
      <c r="ITC3">
        <f>'[12]Summary Report - 12 Months Endi'!ITB2</f>
        <v>0</v>
      </c>
      <c r="ITD3">
        <f>'[12]Summary Report - 12 Months Endi'!ITC2</f>
        <v>0</v>
      </c>
      <c r="ITE3">
        <f>'[12]Summary Report - 12 Months Endi'!ITD2</f>
        <v>0</v>
      </c>
      <c r="ITF3">
        <f>'[12]Summary Report - 12 Months Endi'!ITE2</f>
        <v>0</v>
      </c>
      <c r="ITG3">
        <f>'[12]Summary Report - 12 Months Endi'!ITF2</f>
        <v>0</v>
      </c>
      <c r="ITH3">
        <f>'[12]Summary Report - 12 Months Endi'!ITG2</f>
        <v>0</v>
      </c>
      <c r="ITI3">
        <f>'[12]Summary Report - 12 Months Endi'!ITH2</f>
        <v>0</v>
      </c>
      <c r="ITJ3">
        <f>'[12]Summary Report - 12 Months Endi'!ITI2</f>
        <v>0</v>
      </c>
      <c r="ITK3">
        <f>'[12]Summary Report - 12 Months Endi'!ITJ2</f>
        <v>0</v>
      </c>
      <c r="ITL3">
        <f>'[12]Summary Report - 12 Months Endi'!ITK2</f>
        <v>0</v>
      </c>
      <c r="ITM3">
        <f>'[12]Summary Report - 12 Months Endi'!ITL2</f>
        <v>0</v>
      </c>
      <c r="ITN3">
        <f>'[12]Summary Report - 12 Months Endi'!ITM2</f>
        <v>0</v>
      </c>
      <c r="ITO3">
        <f>'[12]Summary Report - 12 Months Endi'!ITN2</f>
        <v>0</v>
      </c>
      <c r="ITP3">
        <f>'[12]Summary Report - 12 Months Endi'!ITO2</f>
        <v>0</v>
      </c>
      <c r="ITQ3">
        <f>'[12]Summary Report - 12 Months Endi'!ITP2</f>
        <v>0</v>
      </c>
      <c r="ITR3">
        <f>'[12]Summary Report - 12 Months Endi'!ITQ2</f>
        <v>0</v>
      </c>
      <c r="ITS3">
        <f>'[12]Summary Report - 12 Months Endi'!ITR2</f>
        <v>0</v>
      </c>
      <c r="ITT3">
        <f>'[12]Summary Report - 12 Months Endi'!ITS2</f>
        <v>0</v>
      </c>
      <c r="ITU3">
        <f>'[12]Summary Report - 12 Months Endi'!ITT2</f>
        <v>0</v>
      </c>
      <c r="ITV3">
        <f>'[12]Summary Report - 12 Months Endi'!ITU2</f>
        <v>0</v>
      </c>
      <c r="ITW3">
        <f>'[12]Summary Report - 12 Months Endi'!ITV2</f>
        <v>0</v>
      </c>
      <c r="ITX3">
        <f>'[12]Summary Report - 12 Months Endi'!ITW2</f>
        <v>0</v>
      </c>
      <c r="ITY3">
        <f>'[12]Summary Report - 12 Months Endi'!ITX2</f>
        <v>0</v>
      </c>
      <c r="ITZ3">
        <f>'[12]Summary Report - 12 Months Endi'!ITY2</f>
        <v>0</v>
      </c>
      <c r="IUA3">
        <f>'[12]Summary Report - 12 Months Endi'!ITZ2</f>
        <v>0</v>
      </c>
      <c r="IUB3">
        <f>'[12]Summary Report - 12 Months Endi'!IUA2</f>
        <v>0</v>
      </c>
      <c r="IUC3">
        <f>'[12]Summary Report - 12 Months Endi'!IUB2</f>
        <v>0</v>
      </c>
      <c r="IUD3">
        <f>'[12]Summary Report - 12 Months Endi'!IUC2</f>
        <v>0</v>
      </c>
      <c r="IUE3">
        <f>'[12]Summary Report - 12 Months Endi'!IUD2</f>
        <v>0</v>
      </c>
      <c r="IUF3">
        <f>'[12]Summary Report - 12 Months Endi'!IUE2</f>
        <v>0</v>
      </c>
      <c r="IUG3">
        <f>'[12]Summary Report - 12 Months Endi'!IUF2</f>
        <v>0</v>
      </c>
      <c r="IUH3">
        <f>'[12]Summary Report - 12 Months Endi'!IUG2</f>
        <v>0</v>
      </c>
      <c r="IUI3">
        <f>'[12]Summary Report - 12 Months Endi'!IUH2</f>
        <v>0</v>
      </c>
      <c r="IUJ3">
        <f>'[12]Summary Report - 12 Months Endi'!IUI2</f>
        <v>0</v>
      </c>
      <c r="IUK3">
        <f>'[12]Summary Report - 12 Months Endi'!IUJ2</f>
        <v>0</v>
      </c>
      <c r="IUL3">
        <f>'[12]Summary Report - 12 Months Endi'!IUK2</f>
        <v>0</v>
      </c>
      <c r="IUM3">
        <f>'[12]Summary Report - 12 Months Endi'!IUL2</f>
        <v>0</v>
      </c>
      <c r="IUN3">
        <f>'[12]Summary Report - 12 Months Endi'!IUM2</f>
        <v>0</v>
      </c>
      <c r="IUO3">
        <f>'[12]Summary Report - 12 Months Endi'!IUN2</f>
        <v>0</v>
      </c>
      <c r="IUP3">
        <f>'[12]Summary Report - 12 Months Endi'!IUO2</f>
        <v>0</v>
      </c>
      <c r="IUQ3">
        <f>'[12]Summary Report - 12 Months Endi'!IUP2</f>
        <v>0</v>
      </c>
      <c r="IUR3">
        <f>'[12]Summary Report - 12 Months Endi'!IUQ2</f>
        <v>0</v>
      </c>
      <c r="IUS3">
        <f>'[12]Summary Report - 12 Months Endi'!IUR2</f>
        <v>0</v>
      </c>
      <c r="IUT3">
        <f>'[12]Summary Report - 12 Months Endi'!IUS2</f>
        <v>0</v>
      </c>
      <c r="IUU3">
        <f>'[12]Summary Report - 12 Months Endi'!IUT2</f>
        <v>0</v>
      </c>
      <c r="IUV3">
        <f>'[12]Summary Report - 12 Months Endi'!IUU2</f>
        <v>0</v>
      </c>
      <c r="IUW3">
        <f>'[12]Summary Report - 12 Months Endi'!IUV2</f>
        <v>0</v>
      </c>
      <c r="IUX3">
        <f>'[12]Summary Report - 12 Months Endi'!IUW2</f>
        <v>0</v>
      </c>
      <c r="IUY3">
        <f>'[12]Summary Report - 12 Months Endi'!IUX2</f>
        <v>0</v>
      </c>
      <c r="IUZ3">
        <f>'[12]Summary Report - 12 Months Endi'!IUY2</f>
        <v>0</v>
      </c>
      <c r="IVA3">
        <f>'[12]Summary Report - 12 Months Endi'!IUZ2</f>
        <v>0</v>
      </c>
      <c r="IVB3">
        <f>'[12]Summary Report - 12 Months Endi'!IVA2</f>
        <v>0</v>
      </c>
      <c r="IVC3">
        <f>'[12]Summary Report - 12 Months Endi'!IVB2</f>
        <v>0</v>
      </c>
      <c r="IVD3">
        <f>'[12]Summary Report - 12 Months Endi'!IVC2</f>
        <v>0</v>
      </c>
      <c r="IVE3">
        <f>'[12]Summary Report - 12 Months Endi'!IVD2</f>
        <v>0</v>
      </c>
      <c r="IVF3">
        <f>'[12]Summary Report - 12 Months Endi'!IVE2</f>
        <v>0</v>
      </c>
      <c r="IVG3">
        <f>'[12]Summary Report - 12 Months Endi'!IVF2</f>
        <v>0</v>
      </c>
      <c r="IVH3">
        <f>'[12]Summary Report - 12 Months Endi'!IVG2</f>
        <v>0</v>
      </c>
      <c r="IVI3">
        <f>'[12]Summary Report - 12 Months Endi'!IVH2</f>
        <v>0</v>
      </c>
      <c r="IVJ3">
        <f>'[12]Summary Report - 12 Months Endi'!IVI2</f>
        <v>0</v>
      </c>
      <c r="IVK3">
        <f>'[12]Summary Report - 12 Months Endi'!IVJ2</f>
        <v>0</v>
      </c>
      <c r="IVL3">
        <f>'[12]Summary Report - 12 Months Endi'!IVK2</f>
        <v>0</v>
      </c>
      <c r="IVM3">
        <f>'[12]Summary Report - 12 Months Endi'!IVL2</f>
        <v>0</v>
      </c>
      <c r="IVN3">
        <f>'[12]Summary Report - 12 Months Endi'!IVM2</f>
        <v>0</v>
      </c>
      <c r="IVO3">
        <f>'[12]Summary Report - 12 Months Endi'!IVN2</f>
        <v>0</v>
      </c>
      <c r="IVP3">
        <f>'[12]Summary Report - 12 Months Endi'!IVO2</f>
        <v>0</v>
      </c>
      <c r="IVQ3">
        <f>'[12]Summary Report - 12 Months Endi'!IVP2</f>
        <v>0</v>
      </c>
      <c r="IVR3">
        <f>'[12]Summary Report - 12 Months Endi'!IVQ2</f>
        <v>0</v>
      </c>
      <c r="IVS3">
        <f>'[12]Summary Report - 12 Months Endi'!IVR2</f>
        <v>0</v>
      </c>
      <c r="IVT3">
        <f>'[12]Summary Report - 12 Months Endi'!IVS2</f>
        <v>0</v>
      </c>
      <c r="IVU3">
        <f>'[12]Summary Report - 12 Months Endi'!IVT2</f>
        <v>0</v>
      </c>
      <c r="IVV3">
        <f>'[12]Summary Report - 12 Months Endi'!IVU2</f>
        <v>0</v>
      </c>
      <c r="IVW3">
        <f>'[12]Summary Report - 12 Months Endi'!IVV2</f>
        <v>0</v>
      </c>
      <c r="IVX3">
        <f>'[12]Summary Report - 12 Months Endi'!IVW2</f>
        <v>0</v>
      </c>
      <c r="IVY3">
        <f>'[12]Summary Report - 12 Months Endi'!IVX2</f>
        <v>0</v>
      </c>
      <c r="IVZ3">
        <f>'[12]Summary Report - 12 Months Endi'!IVY2</f>
        <v>0</v>
      </c>
      <c r="IWA3">
        <f>'[12]Summary Report - 12 Months Endi'!IVZ2</f>
        <v>0</v>
      </c>
      <c r="IWB3">
        <f>'[12]Summary Report - 12 Months Endi'!IWA2</f>
        <v>0</v>
      </c>
      <c r="IWC3">
        <f>'[12]Summary Report - 12 Months Endi'!IWB2</f>
        <v>0</v>
      </c>
      <c r="IWD3">
        <f>'[12]Summary Report - 12 Months Endi'!IWC2</f>
        <v>0</v>
      </c>
      <c r="IWE3">
        <f>'[12]Summary Report - 12 Months Endi'!IWD2</f>
        <v>0</v>
      </c>
      <c r="IWF3">
        <f>'[12]Summary Report - 12 Months Endi'!IWE2</f>
        <v>0</v>
      </c>
      <c r="IWG3">
        <f>'[12]Summary Report - 12 Months Endi'!IWF2</f>
        <v>0</v>
      </c>
      <c r="IWH3">
        <f>'[12]Summary Report - 12 Months Endi'!IWG2</f>
        <v>0</v>
      </c>
      <c r="IWI3">
        <f>'[12]Summary Report - 12 Months Endi'!IWH2</f>
        <v>0</v>
      </c>
      <c r="IWJ3">
        <f>'[12]Summary Report - 12 Months Endi'!IWI2</f>
        <v>0</v>
      </c>
      <c r="IWK3">
        <f>'[12]Summary Report - 12 Months Endi'!IWJ2</f>
        <v>0</v>
      </c>
      <c r="IWL3">
        <f>'[12]Summary Report - 12 Months Endi'!IWK2</f>
        <v>0</v>
      </c>
      <c r="IWM3">
        <f>'[12]Summary Report - 12 Months Endi'!IWL2</f>
        <v>0</v>
      </c>
      <c r="IWN3">
        <f>'[12]Summary Report - 12 Months Endi'!IWM2</f>
        <v>0</v>
      </c>
      <c r="IWO3">
        <f>'[12]Summary Report - 12 Months Endi'!IWN2</f>
        <v>0</v>
      </c>
      <c r="IWP3">
        <f>'[12]Summary Report - 12 Months Endi'!IWO2</f>
        <v>0</v>
      </c>
      <c r="IWQ3">
        <f>'[12]Summary Report - 12 Months Endi'!IWP2</f>
        <v>0</v>
      </c>
      <c r="IWR3">
        <f>'[12]Summary Report - 12 Months Endi'!IWQ2</f>
        <v>0</v>
      </c>
      <c r="IWS3">
        <f>'[12]Summary Report - 12 Months Endi'!IWR2</f>
        <v>0</v>
      </c>
      <c r="IWT3">
        <f>'[12]Summary Report - 12 Months Endi'!IWS2</f>
        <v>0</v>
      </c>
      <c r="IWU3">
        <f>'[12]Summary Report - 12 Months Endi'!IWT2</f>
        <v>0</v>
      </c>
      <c r="IWV3">
        <f>'[12]Summary Report - 12 Months Endi'!IWU2</f>
        <v>0</v>
      </c>
      <c r="IWW3">
        <f>'[12]Summary Report - 12 Months Endi'!IWV2</f>
        <v>0</v>
      </c>
      <c r="IWX3">
        <f>'[12]Summary Report - 12 Months Endi'!IWW2</f>
        <v>0</v>
      </c>
      <c r="IWY3">
        <f>'[12]Summary Report - 12 Months Endi'!IWX2</f>
        <v>0</v>
      </c>
      <c r="IWZ3">
        <f>'[12]Summary Report - 12 Months Endi'!IWY2</f>
        <v>0</v>
      </c>
      <c r="IXA3">
        <f>'[12]Summary Report - 12 Months Endi'!IWZ2</f>
        <v>0</v>
      </c>
      <c r="IXB3">
        <f>'[12]Summary Report - 12 Months Endi'!IXA2</f>
        <v>0</v>
      </c>
      <c r="IXC3">
        <f>'[12]Summary Report - 12 Months Endi'!IXB2</f>
        <v>0</v>
      </c>
      <c r="IXD3">
        <f>'[12]Summary Report - 12 Months Endi'!IXC2</f>
        <v>0</v>
      </c>
      <c r="IXE3">
        <f>'[12]Summary Report - 12 Months Endi'!IXD2</f>
        <v>0</v>
      </c>
      <c r="IXF3">
        <f>'[12]Summary Report - 12 Months Endi'!IXE2</f>
        <v>0</v>
      </c>
      <c r="IXG3">
        <f>'[12]Summary Report - 12 Months Endi'!IXF2</f>
        <v>0</v>
      </c>
      <c r="IXH3">
        <f>'[12]Summary Report - 12 Months Endi'!IXG2</f>
        <v>0</v>
      </c>
      <c r="IXI3">
        <f>'[12]Summary Report - 12 Months Endi'!IXH2</f>
        <v>0</v>
      </c>
      <c r="IXJ3">
        <f>'[12]Summary Report - 12 Months Endi'!IXI2</f>
        <v>0</v>
      </c>
      <c r="IXK3">
        <f>'[12]Summary Report - 12 Months Endi'!IXJ2</f>
        <v>0</v>
      </c>
      <c r="IXL3">
        <f>'[12]Summary Report - 12 Months Endi'!IXK2</f>
        <v>0</v>
      </c>
      <c r="IXM3">
        <f>'[12]Summary Report - 12 Months Endi'!IXL2</f>
        <v>0</v>
      </c>
      <c r="IXN3">
        <f>'[12]Summary Report - 12 Months Endi'!IXM2</f>
        <v>0</v>
      </c>
      <c r="IXO3">
        <f>'[12]Summary Report - 12 Months Endi'!IXN2</f>
        <v>0</v>
      </c>
      <c r="IXP3">
        <f>'[12]Summary Report - 12 Months Endi'!IXO2</f>
        <v>0</v>
      </c>
      <c r="IXQ3">
        <f>'[12]Summary Report - 12 Months Endi'!IXP2</f>
        <v>0</v>
      </c>
      <c r="IXR3">
        <f>'[12]Summary Report - 12 Months Endi'!IXQ2</f>
        <v>0</v>
      </c>
      <c r="IXS3">
        <f>'[12]Summary Report - 12 Months Endi'!IXR2</f>
        <v>0</v>
      </c>
      <c r="IXT3">
        <f>'[12]Summary Report - 12 Months Endi'!IXS2</f>
        <v>0</v>
      </c>
      <c r="IXU3">
        <f>'[12]Summary Report - 12 Months Endi'!IXT2</f>
        <v>0</v>
      </c>
      <c r="IXV3">
        <f>'[12]Summary Report - 12 Months Endi'!IXU2</f>
        <v>0</v>
      </c>
      <c r="IXW3">
        <f>'[12]Summary Report - 12 Months Endi'!IXV2</f>
        <v>0</v>
      </c>
      <c r="IXX3">
        <f>'[12]Summary Report - 12 Months Endi'!IXW2</f>
        <v>0</v>
      </c>
      <c r="IXY3">
        <f>'[12]Summary Report - 12 Months Endi'!IXX2</f>
        <v>0</v>
      </c>
      <c r="IXZ3">
        <f>'[12]Summary Report - 12 Months Endi'!IXY2</f>
        <v>0</v>
      </c>
      <c r="IYA3">
        <f>'[12]Summary Report - 12 Months Endi'!IXZ2</f>
        <v>0</v>
      </c>
      <c r="IYB3">
        <f>'[12]Summary Report - 12 Months Endi'!IYA2</f>
        <v>0</v>
      </c>
      <c r="IYC3">
        <f>'[12]Summary Report - 12 Months Endi'!IYB2</f>
        <v>0</v>
      </c>
      <c r="IYD3">
        <f>'[12]Summary Report - 12 Months Endi'!IYC2</f>
        <v>0</v>
      </c>
      <c r="IYE3">
        <f>'[12]Summary Report - 12 Months Endi'!IYD2</f>
        <v>0</v>
      </c>
      <c r="IYF3">
        <f>'[12]Summary Report - 12 Months Endi'!IYE2</f>
        <v>0</v>
      </c>
      <c r="IYG3">
        <f>'[12]Summary Report - 12 Months Endi'!IYF2</f>
        <v>0</v>
      </c>
      <c r="IYH3">
        <f>'[12]Summary Report - 12 Months Endi'!IYG2</f>
        <v>0</v>
      </c>
      <c r="IYI3">
        <f>'[12]Summary Report - 12 Months Endi'!IYH2</f>
        <v>0</v>
      </c>
      <c r="IYJ3">
        <f>'[12]Summary Report - 12 Months Endi'!IYI2</f>
        <v>0</v>
      </c>
      <c r="IYK3">
        <f>'[12]Summary Report - 12 Months Endi'!IYJ2</f>
        <v>0</v>
      </c>
      <c r="IYL3">
        <f>'[12]Summary Report - 12 Months Endi'!IYK2</f>
        <v>0</v>
      </c>
      <c r="IYM3">
        <f>'[12]Summary Report - 12 Months Endi'!IYL2</f>
        <v>0</v>
      </c>
      <c r="IYN3">
        <f>'[12]Summary Report - 12 Months Endi'!IYM2</f>
        <v>0</v>
      </c>
      <c r="IYO3">
        <f>'[12]Summary Report - 12 Months Endi'!IYN2</f>
        <v>0</v>
      </c>
      <c r="IYP3">
        <f>'[12]Summary Report - 12 Months Endi'!IYO2</f>
        <v>0</v>
      </c>
      <c r="IYQ3">
        <f>'[12]Summary Report - 12 Months Endi'!IYP2</f>
        <v>0</v>
      </c>
      <c r="IYR3">
        <f>'[12]Summary Report - 12 Months Endi'!IYQ2</f>
        <v>0</v>
      </c>
      <c r="IYS3">
        <f>'[12]Summary Report - 12 Months Endi'!IYR2</f>
        <v>0</v>
      </c>
      <c r="IYT3">
        <f>'[12]Summary Report - 12 Months Endi'!IYS2</f>
        <v>0</v>
      </c>
      <c r="IYU3">
        <f>'[12]Summary Report - 12 Months Endi'!IYT2</f>
        <v>0</v>
      </c>
      <c r="IYV3">
        <f>'[12]Summary Report - 12 Months Endi'!IYU2</f>
        <v>0</v>
      </c>
      <c r="IYW3">
        <f>'[12]Summary Report - 12 Months Endi'!IYV2</f>
        <v>0</v>
      </c>
      <c r="IYX3">
        <f>'[12]Summary Report - 12 Months Endi'!IYW2</f>
        <v>0</v>
      </c>
      <c r="IYY3">
        <f>'[12]Summary Report - 12 Months Endi'!IYX2</f>
        <v>0</v>
      </c>
      <c r="IYZ3">
        <f>'[12]Summary Report - 12 Months Endi'!IYY2</f>
        <v>0</v>
      </c>
      <c r="IZA3">
        <f>'[12]Summary Report - 12 Months Endi'!IYZ2</f>
        <v>0</v>
      </c>
      <c r="IZB3">
        <f>'[12]Summary Report - 12 Months Endi'!IZA2</f>
        <v>0</v>
      </c>
      <c r="IZC3">
        <f>'[12]Summary Report - 12 Months Endi'!IZB2</f>
        <v>0</v>
      </c>
      <c r="IZD3">
        <f>'[12]Summary Report - 12 Months Endi'!IZC2</f>
        <v>0</v>
      </c>
      <c r="IZE3">
        <f>'[12]Summary Report - 12 Months Endi'!IZD2</f>
        <v>0</v>
      </c>
      <c r="IZF3">
        <f>'[12]Summary Report - 12 Months Endi'!IZE2</f>
        <v>0</v>
      </c>
      <c r="IZG3">
        <f>'[12]Summary Report - 12 Months Endi'!IZF2</f>
        <v>0</v>
      </c>
      <c r="IZH3">
        <f>'[12]Summary Report - 12 Months Endi'!IZG2</f>
        <v>0</v>
      </c>
      <c r="IZI3">
        <f>'[12]Summary Report - 12 Months Endi'!IZH2</f>
        <v>0</v>
      </c>
      <c r="IZJ3">
        <f>'[12]Summary Report - 12 Months Endi'!IZI2</f>
        <v>0</v>
      </c>
      <c r="IZK3">
        <f>'[12]Summary Report - 12 Months Endi'!IZJ2</f>
        <v>0</v>
      </c>
      <c r="IZL3">
        <f>'[12]Summary Report - 12 Months Endi'!IZK2</f>
        <v>0</v>
      </c>
      <c r="IZM3">
        <f>'[12]Summary Report - 12 Months Endi'!IZL2</f>
        <v>0</v>
      </c>
      <c r="IZN3">
        <f>'[12]Summary Report - 12 Months Endi'!IZM2</f>
        <v>0</v>
      </c>
      <c r="IZO3">
        <f>'[12]Summary Report - 12 Months Endi'!IZN2</f>
        <v>0</v>
      </c>
      <c r="IZP3">
        <f>'[12]Summary Report - 12 Months Endi'!IZO2</f>
        <v>0</v>
      </c>
      <c r="IZQ3">
        <f>'[12]Summary Report - 12 Months Endi'!IZP2</f>
        <v>0</v>
      </c>
      <c r="IZR3">
        <f>'[12]Summary Report - 12 Months Endi'!IZQ2</f>
        <v>0</v>
      </c>
      <c r="IZS3">
        <f>'[12]Summary Report - 12 Months Endi'!IZR2</f>
        <v>0</v>
      </c>
      <c r="IZT3">
        <f>'[12]Summary Report - 12 Months Endi'!IZS2</f>
        <v>0</v>
      </c>
      <c r="IZU3">
        <f>'[12]Summary Report - 12 Months Endi'!IZT2</f>
        <v>0</v>
      </c>
      <c r="IZV3">
        <f>'[12]Summary Report - 12 Months Endi'!IZU2</f>
        <v>0</v>
      </c>
      <c r="IZW3">
        <f>'[12]Summary Report - 12 Months Endi'!IZV2</f>
        <v>0</v>
      </c>
      <c r="IZX3">
        <f>'[12]Summary Report - 12 Months Endi'!IZW2</f>
        <v>0</v>
      </c>
      <c r="IZY3">
        <f>'[12]Summary Report - 12 Months Endi'!IZX2</f>
        <v>0</v>
      </c>
      <c r="IZZ3">
        <f>'[12]Summary Report - 12 Months Endi'!IZY2</f>
        <v>0</v>
      </c>
      <c r="JAA3">
        <f>'[12]Summary Report - 12 Months Endi'!IZZ2</f>
        <v>0</v>
      </c>
      <c r="JAB3">
        <f>'[12]Summary Report - 12 Months Endi'!JAA2</f>
        <v>0</v>
      </c>
      <c r="JAC3">
        <f>'[12]Summary Report - 12 Months Endi'!JAB2</f>
        <v>0</v>
      </c>
      <c r="JAD3">
        <f>'[12]Summary Report - 12 Months Endi'!JAC2</f>
        <v>0</v>
      </c>
      <c r="JAE3">
        <f>'[12]Summary Report - 12 Months Endi'!JAD2</f>
        <v>0</v>
      </c>
      <c r="JAF3">
        <f>'[12]Summary Report - 12 Months Endi'!JAE2</f>
        <v>0</v>
      </c>
      <c r="JAG3">
        <f>'[12]Summary Report - 12 Months Endi'!JAF2</f>
        <v>0</v>
      </c>
      <c r="JAH3">
        <f>'[12]Summary Report - 12 Months Endi'!JAG2</f>
        <v>0</v>
      </c>
      <c r="JAI3">
        <f>'[12]Summary Report - 12 Months Endi'!JAH2</f>
        <v>0</v>
      </c>
      <c r="JAJ3">
        <f>'[12]Summary Report - 12 Months Endi'!JAI2</f>
        <v>0</v>
      </c>
      <c r="JAK3">
        <f>'[12]Summary Report - 12 Months Endi'!JAJ2</f>
        <v>0</v>
      </c>
      <c r="JAL3">
        <f>'[12]Summary Report - 12 Months Endi'!JAK2</f>
        <v>0</v>
      </c>
      <c r="JAM3">
        <f>'[12]Summary Report - 12 Months Endi'!JAL2</f>
        <v>0</v>
      </c>
      <c r="JAN3">
        <f>'[12]Summary Report - 12 Months Endi'!JAM2</f>
        <v>0</v>
      </c>
      <c r="JAO3">
        <f>'[12]Summary Report - 12 Months Endi'!JAN2</f>
        <v>0</v>
      </c>
      <c r="JAP3">
        <f>'[12]Summary Report - 12 Months Endi'!JAO2</f>
        <v>0</v>
      </c>
      <c r="JAQ3">
        <f>'[12]Summary Report - 12 Months Endi'!JAP2</f>
        <v>0</v>
      </c>
      <c r="JAR3">
        <f>'[12]Summary Report - 12 Months Endi'!JAQ2</f>
        <v>0</v>
      </c>
      <c r="JAS3">
        <f>'[12]Summary Report - 12 Months Endi'!JAR2</f>
        <v>0</v>
      </c>
      <c r="JAT3">
        <f>'[12]Summary Report - 12 Months Endi'!JAS2</f>
        <v>0</v>
      </c>
      <c r="JAU3">
        <f>'[12]Summary Report - 12 Months Endi'!JAT2</f>
        <v>0</v>
      </c>
      <c r="JAV3">
        <f>'[12]Summary Report - 12 Months Endi'!JAU2</f>
        <v>0</v>
      </c>
      <c r="JAW3">
        <f>'[12]Summary Report - 12 Months Endi'!JAV2</f>
        <v>0</v>
      </c>
      <c r="JAX3">
        <f>'[12]Summary Report - 12 Months Endi'!JAW2</f>
        <v>0</v>
      </c>
      <c r="JAY3">
        <f>'[12]Summary Report - 12 Months Endi'!JAX2</f>
        <v>0</v>
      </c>
      <c r="JAZ3">
        <f>'[12]Summary Report - 12 Months Endi'!JAY2</f>
        <v>0</v>
      </c>
      <c r="JBA3">
        <f>'[12]Summary Report - 12 Months Endi'!JAZ2</f>
        <v>0</v>
      </c>
      <c r="JBB3">
        <f>'[12]Summary Report - 12 Months Endi'!JBA2</f>
        <v>0</v>
      </c>
      <c r="JBC3">
        <f>'[12]Summary Report - 12 Months Endi'!JBB2</f>
        <v>0</v>
      </c>
      <c r="JBD3">
        <f>'[12]Summary Report - 12 Months Endi'!JBC2</f>
        <v>0</v>
      </c>
      <c r="JBE3">
        <f>'[12]Summary Report - 12 Months Endi'!JBD2</f>
        <v>0</v>
      </c>
      <c r="JBF3">
        <f>'[12]Summary Report - 12 Months Endi'!JBE2</f>
        <v>0</v>
      </c>
      <c r="JBG3">
        <f>'[12]Summary Report - 12 Months Endi'!JBF2</f>
        <v>0</v>
      </c>
      <c r="JBH3">
        <f>'[12]Summary Report - 12 Months Endi'!JBG2</f>
        <v>0</v>
      </c>
      <c r="JBI3">
        <f>'[12]Summary Report - 12 Months Endi'!JBH2</f>
        <v>0</v>
      </c>
      <c r="JBJ3">
        <f>'[12]Summary Report - 12 Months Endi'!JBI2</f>
        <v>0</v>
      </c>
      <c r="JBK3">
        <f>'[12]Summary Report - 12 Months Endi'!JBJ2</f>
        <v>0</v>
      </c>
      <c r="JBL3">
        <f>'[12]Summary Report - 12 Months Endi'!JBK2</f>
        <v>0</v>
      </c>
      <c r="JBM3">
        <f>'[12]Summary Report - 12 Months Endi'!JBL2</f>
        <v>0</v>
      </c>
      <c r="JBN3">
        <f>'[12]Summary Report - 12 Months Endi'!JBM2</f>
        <v>0</v>
      </c>
      <c r="JBO3">
        <f>'[12]Summary Report - 12 Months Endi'!JBN2</f>
        <v>0</v>
      </c>
      <c r="JBP3">
        <f>'[12]Summary Report - 12 Months Endi'!JBO2</f>
        <v>0</v>
      </c>
      <c r="JBQ3">
        <f>'[12]Summary Report - 12 Months Endi'!JBP2</f>
        <v>0</v>
      </c>
      <c r="JBR3">
        <f>'[12]Summary Report - 12 Months Endi'!JBQ2</f>
        <v>0</v>
      </c>
      <c r="JBS3">
        <f>'[12]Summary Report - 12 Months Endi'!JBR2</f>
        <v>0</v>
      </c>
      <c r="JBT3">
        <f>'[12]Summary Report - 12 Months Endi'!JBS2</f>
        <v>0</v>
      </c>
      <c r="JBU3">
        <f>'[12]Summary Report - 12 Months Endi'!JBT2</f>
        <v>0</v>
      </c>
      <c r="JBV3">
        <f>'[12]Summary Report - 12 Months Endi'!JBU2</f>
        <v>0</v>
      </c>
      <c r="JBW3">
        <f>'[12]Summary Report - 12 Months Endi'!JBV2</f>
        <v>0</v>
      </c>
      <c r="JBX3">
        <f>'[12]Summary Report - 12 Months Endi'!JBW2</f>
        <v>0</v>
      </c>
      <c r="JBY3">
        <f>'[12]Summary Report - 12 Months Endi'!JBX2</f>
        <v>0</v>
      </c>
      <c r="JBZ3">
        <f>'[12]Summary Report - 12 Months Endi'!JBY2</f>
        <v>0</v>
      </c>
      <c r="JCA3">
        <f>'[12]Summary Report - 12 Months Endi'!JBZ2</f>
        <v>0</v>
      </c>
      <c r="JCB3">
        <f>'[12]Summary Report - 12 Months Endi'!JCA2</f>
        <v>0</v>
      </c>
      <c r="JCC3">
        <f>'[12]Summary Report - 12 Months Endi'!JCB2</f>
        <v>0</v>
      </c>
      <c r="JCD3">
        <f>'[12]Summary Report - 12 Months Endi'!JCC2</f>
        <v>0</v>
      </c>
      <c r="JCE3">
        <f>'[12]Summary Report - 12 Months Endi'!JCD2</f>
        <v>0</v>
      </c>
      <c r="JCF3">
        <f>'[12]Summary Report - 12 Months Endi'!JCE2</f>
        <v>0</v>
      </c>
      <c r="JCG3">
        <f>'[12]Summary Report - 12 Months Endi'!JCF2</f>
        <v>0</v>
      </c>
      <c r="JCH3">
        <f>'[12]Summary Report - 12 Months Endi'!JCG2</f>
        <v>0</v>
      </c>
      <c r="JCI3">
        <f>'[12]Summary Report - 12 Months Endi'!JCH2</f>
        <v>0</v>
      </c>
      <c r="JCJ3">
        <f>'[12]Summary Report - 12 Months Endi'!JCI2</f>
        <v>0</v>
      </c>
      <c r="JCK3">
        <f>'[12]Summary Report - 12 Months Endi'!JCJ2</f>
        <v>0</v>
      </c>
      <c r="JCL3">
        <f>'[12]Summary Report - 12 Months Endi'!JCK2</f>
        <v>0</v>
      </c>
      <c r="JCM3">
        <f>'[12]Summary Report - 12 Months Endi'!JCL2</f>
        <v>0</v>
      </c>
      <c r="JCN3">
        <f>'[12]Summary Report - 12 Months Endi'!JCM2</f>
        <v>0</v>
      </c>
      <c r="JCO3">
        <f>'[12]Summary Report - 12 Months Endi'!JCN2</f>
        <v>0</v>
      </c>
      <c r="JCP3">
        <f>'[12]Summary Report - 12 Months Endi'!JCO2</f>
        <v>0</v>
      </c>
      <c r="JCQ3">
        <f>'[12]Summary Report - 12 Months Endi'!JCP2</f>
        <v>0</v>
      </c>
      <c r="JCR3">
        <f>'[12]Summary Report - 12 Months Endi'!JCQ2</f>
        <v>0</v>
      </c>
      <c r="JCS3">
        <f>'[12]Summary Report - 12 Months Endi'!JCR2</f>
        <v>0</v>
      </c>
      <c r="JCT3">
        <f>'[12]Summary Report - 12 Months Endi'!JCS2</f>
        <v>0</v>
      </c>
      <c r="JCU3">
        <f>'[12]Summary Report - 12 Months Endi'!JCT2</f>
        <v>0</v>
      </c>
      <c r="JCV3">
        <f>'[12]Summary Report - 12 Months Endi'!JCU2</f>
        <v>0</v>
      </c>
      <c r="JCW3">
        <f>'[12]Summary Report - 12 Months Endi'!JCV2</f>
        <v>0</v>
      </c>
      <c r="JCX3">
        <f>'[12]Summary Report - 12 Months Endi'!JCW2</f>
        <v>0</v>
      </c>
      <c r="JCY3">
        <f>'[12]Summary Report - 12 Months Endi'!JCX2</f>
        <v>0</v>
      </c>
      <c r="JCZ3">
        <f>'[12]Summary Report - 12 Months Endi'!JCY2</f>
        <v>0</v>
      </c>
      <c r="JDA3">
        <f>'[12]Summary Report - 12 Months Endi'!JCZ2</f>
        <v>0</v>
      </c>
      <c r="JDB3">
        <f>'[12]Summary Report - 12 Months Endi'!JDA2</f>
        <v>0</v>
      </c>
      <c r="JDC3">
        <f>'[12]Summary Report - 12 Months Endi'!JDB2</f>
        <v>0</v>
      </c>
      <c r="JDD3">
        <f>'[12]Summary Report - 12 Months Endi'!JDC2</f>
        <v>0</v>
      </c>
      <c r="JDE3">
        <f>'[12]Summary Report - 12 Months Endi'!JDD2</f>
        <v>0</v>
      </c>
      <c r="JDF3">
        <f>'[12]Summary Report - 12 Months Endi'!JDE2</f>
        <v>0</v>
      </c>
      <c r="JDG3">
        <f>'[12]Summary Report - 12 Months Endi'!JDF2</f>
        <v>0</v>
      </c>
      <c r="JDH3">
        <f>'[12]Summary Report - 12 Months Endi'!JDG2</f>
        <v>0</v>
      </c>
      <c r="JDI3">
        <f>'[12]Summary Report - 12 Months Endi'!JDH2</f>
        <v>0</v>
      </c>
      <c r="JDJ3">
        <f>'[12]Summary Report - 12 Months Endi'!JDI2</f>
        <v>0</v>
      </c>
      <c r="JDK3">
        <f>'[12]Summary Report - 12 Months Endi'!JDJ2</f>
        <v>0</v>
      </c>
      <c r="JDL3">
        <f>'[12]Summary Report - 12 Months Endi'!JDK2</f>
        <v>0</v>
      </c>
      <c r="JDM3">
        <f>'[12]Summary Report - 12 Months Endi'!JDL2</f>
        <v>0</v>
      </c>
      <c r="JDN3">
        <f>'[12]Summary Report - 12 Months Endi'!JDM2</f>
        <v>0</v>
      </c>
      <c r="JDO3">
        <f>'[12]Summary Report - 12 Months Endi'!JDN2</f>
        <v>0</v>
      </c>
      <c r="JDP3">
        <f>'[12]Summary Report - 12 Months Endi'!JDO2</f>
        <v>0</v>
      </c>
      <c r="JDQ3">
        <f>'[12]Summary Report - 12 Months Endi'!JDP2</f>
        <v>0</v>
      </c>
      <c r="JDR3">
        <f>'[12]Summary Report - 12 Months Endi'!JDQ2</f>
        <v>0</v>
      </c>
      <c r="JDS3">
        <f>'[12]Summary Report - 12 Months Endi'!JDR2</f>
        <v>0</v>
      </c>
      <c r="JDT3">
        <f>'[12]Summary Report - 12 Months Endi'!JDS2</f>
        <v>0</v>
      </c>
      <c r="JDU3">
        <f>'[12]Summary Report - 12 Months Endi'!JDT2</f>
        <v>0</v>
      </c>
      <c r="JDV3">
        <f>'[12]Summary Report - 12 Months Endi'!JDU2</f>
        <v>0</v>
      </c>
      <c r="JDW3">
        <f>'[12]Summary Report - 12 Months Endi'!JDV2</f>
        <v>0</v>
      </c>
      <c r="JDX3">
        <f>'[12]Summary Report - 12 Months Endi'!JDW2</f>
        <v>0</v>
      </c>
      <c r="JDY3">
        <f>'[12]Summary Report - 12 Months Endi'!JDX2</f>
        <v>0</v>
      </c>
      <c r="JDZ3">
        <f>'[12]Summary Report - 12 Months Endi'!JDY2</f>
        <v>0</v>
      </c>
      <c r="JEA3">
        <f>'[12]Summary Report - 12 Months Endi'!JDZ2</f>
        <v>0</v>
      </c>
      <c r="JEB3">
        <f>'[12]Summary Report - 12 Months Endi'!JEA2</f>
        <v>0</v>
      </c>
      <c r="JEC3">
        <f>'[12]Summary Report - 12 Months Endi'!JEB2</f>
        <v>0</v>
      </c>
      <c r="JED3">
        <f>'[12]Summary Report - 12 Months Endi'!JEC2</f>
        <v>0</v>
      </c>
      <c r="JEE3">
        <f>'[12]Summary Report - 12 Months Endi'!JED2</f>
        <v>0</v>
      </c>
      <c r="JEF3">
        <f>'[12]Summary Report - 12 Months Endi'!JEE2</f>
        <v>0</v>
      </c>
      <c r="JEG3">
        <f>'[12]Summary Report - 12 Months Endi'!JEF2</f>
        <v>0</v>
      </c>
      <c r="JEH3">
        <f>'[12]Summary Report - 12 Months Endi'!JEG2</f>
        <v>0</v>
      </c>
      <c r="JEI3">
        <f>'[12]Summary Report - 12 Months Endi'!JEH2</f>
        <v>0</v>
      </c>
      <c r="JEJ3">
        <f>'[12]Summary Report - 12 Months Endi'!JEI2</f>
        <v>0</v>
      </c>
      <c r="JEK3">
        <f>'[12]Summary Report - 12 Months Endi'!JEJ2</f>
        <v>0</v>
      </c>
      <c r="JEL3">
        <f>'[12]Summary Report - 12 Months Endi'!JEK2</f>
        <v>0</v>
      </c>
      <c r="JEM3">
        <f>'[12]Summary Report - 12 Months Endi'!JEL2</f>
        <v>0</v>
      </c>
      <c r="JEN3">
        <f>'[12]Summary Report - 12 Months Endi'!JEM2</f>
        <v>0</v>
      </c>
      <c r="JEO3">
        <f>'[12]Summary Report - 12 Months Endi'!JEN2</f>
        <v>0</v>
      </c>
      <c r="JEP3">
        <f>'[12]Summary Report - 12 Months Endi'!JEO2</f>
        <v>0</v>
      </c>
      <c r="JEQ3">
        <f>'[12]Summary Report - 12 Months Endi'!JEP2</f>
        <v>0</v>
      </c>
      <c r="JER3">
        <f>'[12]Summary Report - 12 Months Endi'!JEQ2</f>
        <v>0</v>
      </c>
      <c r="JES3">
        <f>'[12]Summary Report - 12 Months Endi'!JER2</f>
        <v>0</v>
      </c>
      <c r="JET3">
        <f>'[12]Summary Report - 12 Months Endi'!JES2</f>
        <v>0</v>
      </c>
      <c r="JEU3">
        <f>'[12]Summary Report - 12 Months Endi'!JET2</f>
        <v>0</v>
      </c>
      <c r="JEV3">
        <f>'[12]Summary Report - 12 Months Endi'!JEU2</f>
        <v>0</v>
      </c>
      <c r="JEW3">
        <f>'[12]Summary Report - 12 Months Endi'!JEV2</f>
        <v>0</v>
      </c>
      <c r="JEX3">
        <f>'[12]Summary Report - 12 Months Endi'!JEW2</f>
        <v>0</v>
      </c>
      <c r="JEY3">
        <f>'[12]Summary Report - 12 Months Endi'!JEX2</f>
        <v>0</v>
      </c>
      <c r="JEZ3">
        <f>'[12]Summary Report - 12 Months Endi'!JEY2</f>
        <v>0</v>
      </c>
      <c r="JFA3">
        <f>'[12]Summary Report - 12 Months Endi'!JEZ2</f>
        <v>0</v>
      </c>
      <c r="JFB3">
        <f>'[12]Summary Report - 12 Months Endi'!JFA2</f>
        <v>0</v>
      </c>
      <c r="JFC3">
        <f>'[12]Summary Report - 12 Months Endi'!JFB2</f>
        <v>0</v>
      </c>
      <c r="JFD3">
        <f>'[12]Summary Report - 12 Months Endi'!JFC2</f>
        <v>0</v>
      </c>
      <c r="JFE3">
        <f>'[12]Summary Report - 12 Months Endi'!JFD2</f>
        <v>0</v>
      </c>
      <c r="JFF3">
        <f>'[12]Summary Report - 12 Months Endi'!JFE2</f>
        <v>0</v>
      </c>
      <c r="JFG3">
        <f>'[12]Summary Report - 12 Months Endi'!JFF2</f>
        <v>0</v>
      </c>
      <c r="JFH3">
        <f>'[12]Summary Report - 12 Months Endi'!JFG2</f>
        <v>0</v>
      </c>
      <c r="JFI3">
        <f>'[12]Summary Report - 12 Months Endi'!JFH2</f>
        <v>0</v>
      </c>
      <c r="JFJ3">
        <f>'[12]Summary Report - 12 Months Endi'!JFI2</f>
        <v>0</v>
      </c>
      <c r="JFK3">
        <f>'[12]Summary Report - 12 Months Endi'!JFJ2</f>
        <v>0</v>
      </c>
      <c r="JFL3">
        <f>'[12]Summary Report - 12 Months Endi'!JFK2</f>
        <v>0</v>
      </c>
      <c r="JFM3">
        <f>'[12]Summary Report - 12 Months Endi'!JFL2</f>
        <v>0</v>
      </c>
      <c r="JFN3">
        <f>'[12]Summary Report - 12 Months Endi'!JFM2</f>
        <v>0</v>
      </c>
      <c r="JFO3">
        <f>'[12]Summary Report - 12 Months Endi'!JFN2</f>
        <v>0</v>
      </c>
      <c r="JFP3">
        <f>'[12]Summary Report - 12 Months Endi'!JFO2</f>
        <v>0</v>
      </c>
      <c r="JFQ3">
        <f>'[12]Summary Report - 12 Months Endi'!JFP2</f>
        <v>0</v>
      </c>
      <c r="JFR3">
        <f>'[12]Summary Report - 12 Months Endi'!JFQ2</f>
        <v>0</v>
      </c>
      <c r="JFS3">
        <f>'[12]Summary Report - 12 Months Endi'!JFR2</f>
        <v>0</v>
      </c>
      <c r="JFT3">
        <f>'[12]Summary Report - 12 Months Endi'!JFS2</f>
        <v>0</v>
      </c>
      <c r="JFU3">
        <f>'[12]Summary Report - 12 Months Endi'!JFT2</f>
        <v>0</v>
      </c>
      <c r="JFV3">
        <f>'[12]Summary Report - 12 Months Endi'!JFU2</f>
        <v>0</v>
      </c>
      <c r="JFW3">
        <f>'[12]Summary Report - 12 Months Endi'!JFV2</f>
        <v>0</v>
      </c>
      <c r="JFX3">
        <f>'[12]Summary Report - 12 Months Endi'!JFW2</f>
        <v>0</v>
      </c>
      <c r="JFY3">
        <f>'[12]Summary Report - 12 Months Endi'!JFX2</f>
        <v>0</v>
      </c>
      <c r="JFZ3">
        <f>'[12]Summary Report - 12 Months Endi'!JFY2</f>
        <v>0</v>
      </c>
      <c r="JGA3">
        <f>'[12]Summary Report - 12 Months Endi'!JFZ2</f>
        <v>0</v>
      </c>
      <c r="JGB3">
        <f>'[12]Summary Report - 12 Months Endi'!JGA2</f>
        <v>0</v>
      </c>
      <c r="JGC3">
        <f>'[12]Summary Report - 12 Months Endi'!JGB2</f>
        <v>0</v>
      </c>
      <c r="JGD3">
        <f>'[12]Summary Report - 12 Months Endi'!JGC2</f>
        <v>0</v>
      </c>
      <c r="JGE3">
        <f>'[12]Summary Report - 12 Months Endi'!JGD2</f>
        <v>0</v>
      </c>
      <c r="JGF3">
        <f>'[12]Summary Report - 12 Months Endi'!JGE2</f>
        <v>0</v>
      </c>
      <c r="JGG3">
        <f>'[12]Summary Report - 12 Months Endi'!JGF2</f>
        <v>0</v>
      </c>
      <c r="JGH3">
        <f>'[12]Summary Report - 12 Months Endi'!JGG2</f>
        <v>0</v>
      </c>
      <c r="JGI3">
        <f>'[12]Summary Report - 12 Months Endi'!JGH2</f>
        <v>0</v>
      </c>
      <c r="JGJ3">
        <f>'[12]Summary Report - 12 Months Endi'!JGI2</f>
        <v>0</v>
      </c>
      <c r="JGK3">
        <f>'[12]Summary Report - 12 Months Endi'!JGJ2</f>
        <v>0</v>
      </c>
      <c r="JGL3">
        <f>'[12]Summary Report - 12 Months Endi'!JGK2</f>
        <v>0</v>
      </c>
      <c r="JGM3">
        <f>'[12]Summary Report - 12 Months Endi'!JGL2</f>
        <v>0</v>
      </c>
      <c r="JGN3">
        <f>'[12]Summary Report - 12 Months Endi'!JGM2</f>
        <v>0</v>
      </c>
      <c r="JGO3">
        <f>'[12]Summary Report - 12 Months Endi'!JGN2</f>
        <v>0</v>
      </c>
      <c r="JGP3">
        <f>'[12]Summary Report - 12 Months Endi'!JGO2</f>
        <v>0</v>
      </c>
      <c r="JGQ3">
        <f>'[12]Summary Report - 12 Months Endi'!JGP2</f>
        <v>0</v>
      </c>
      <c r="JGR3">
        <f>'[12]Summary Report - 12 Months Endi'!JGQ2</f>
        <v>0</v>
      </c>
      <c r="JGS3">
        <f>'[12]Summary Report - 12 Months Endi'!JGR2</f>
        <v>0</v>
      </c>
      <c r="JGT3">
        <f>'[12]Summary Report - 12 Months Endi'!JGS2</f>
        <v>0</v>
      </c>
      <c r="JGU3">
        <f>'[12]Summary Report - 12 Months Endi'!JGT2</f>
        <v>0</v>
      </c>
      <c r="JGV3">
        <f>'[12]Summary Report - 12 Months Endi'!JGU2</f>
        <v>0</v>
      </c>
      <c r="JGW3">
        <f>'[12]Summary Report - 12 Months Endi'!JGV2</f>
        <v>0</v>
      </c>
      <c r="JGX3">
        <f>'[12]Summary Report - 12 Months Endi'!JGW2</f>
        <v>0</v>
      </c>
      <c r="JGY3">
        <f>'[12]Summary Report - 12 Months Endi'!JGX2</f>
        <v>0</v>
      </c>
      <c r="JGZ3">
        <f>'[12]Summary Report - 12 Months Endi'!JGY2</f>
        <v>0</v>
      </c>
      <c r="JHA3">
        <f>'[12]Summary Report - 12 Months Endi'!JGZ2</f>
        <v>0</v>
      </c>
      <c r="JHB3">
        <f>'[12]Summary Report - 12 Months Endi'!JHA2</f>
        <v>0</v>
      </c>
      <c r="JHC3">
        <f>'[12]Summary Report - 12 Months Endi'!JHB2</f>
        <v>0</v>
      </c>
      <c r="JHD3">
        <f>'[12]Summary Report - 12 Months Endi'!JHC2</f>
        <v>0</v>
      </c>
      <c r="JHE3">
        <f>'[12]Summary Report - 12 Months Endi'!JHD2</f>
        <v>0</v>
      </c>
      <c r="JHF3">
        <f>'[12]Summary Report - 12 Months Endi'!JHE2</f>
        <v>0</v>
      </c>
      <c r="JHG3">
        <f>'[12]Summary Report - 12 Months Endi'!JHF2</f>
        <v>0</v>
      </c>
      <c r="JHH3">
        <f>'[12]Summary Report - 12 Months Endi'!JHG2</f>
        <v>0</v>
      </c>
      <c r="JHI3">
        <f>'[12]Summary Report - 12 Months Endi'!JHH2</f>
        <v>0</v>
      </c>
      <c r="JHJ3">
        <f>'[12]Summary Report - 12 Months Endi'!JHI2</f>
        <v>0</v>
      </c>
      <c r="JHK3">
        <f>'[12]Summary Report - 12 Months Endi'!JHJ2</f>
        <v>0</v>
      </c>
      <c r="JHL3">
        <f>'[12]Summary Report - 12 Months Endi'!JHK2</f>
        <v>0</v>
      </c>
      <c r="JHM3">
        <f>'[12]Summary Report - 12 Months Endi'!JHL2</f>
        <v>0</v>
      </c>
      <c r="JHN3">
        <f>'[12]Summary Report - 12 Months Endi'!JHM2</f>
        <v>0</v>
      </c>
      <c r="JHO3">
        <f>'[12]Summary Report - 12 Months Endi'!JHN2</f>
        <v>0</v>
      </c>
      <c r="JHP3">
        <f>'[12]Summary Report - 12 Months Endi'!JHO2</f>
        <v>0</v>
      </c>
      <c r="JHQ3">
        <f>'[12]Summary Report - 12 Months Endi'!JHP2</f>
        <v>0</v>
      </c>
      <c r="JHR3">
        <f>'[12]Summary Report - 12 Months Endi'!JHQ2</f>
        <v>0</v>
      </c>
      <c r="JHS3">
        <f>'[12]Summary Report - 12 Months Endi'!JHR2</f>
        <v>0</v>
      </c>
      <c r="JHT3">
        <f>'[12]Summary Report - 12 Months Endi'!JHS2</f>
        <v>0</v>
      </c>
      <c r="JHU3">
        <f>'[12]Summary Report - 12 Months Endi'!JHT2</f>
        <v>0</v>
      </c>
      <c r="JHV3">
        <f>'[12]Summary Report - 12 Months Endi'!JHU2</f>
        <v>0</v>
      </c>
      <c r="JHW3">
        <f>'[12]Summary Report - 12 Months Endi'!JHV2</f>
        <v>0</v>
      </c>
      <c r="JHX3">
        <f>'[12]Summary Report - 12 Months Endi'!JHW2</f>
        <v>0</v>
      </c>
      <c r="JHY3">
        <f>'[12]Summary Report - 12 Months Endi'!JHX2</f>
        <v>0</v>
      </c>
      <c r="JHZ3">
        <f>'[12]Summary Report - 12 Months Endi'!JHY2</f>
        <v>0</v>
      </c>
      <c r="JIA3">
        <f>'[12]Summary Report - 12 Months Endi'!JHZ2</f>
        <v>0</v>
      </c>
      <c r="JIB3">
        <f>'[12]Summary Report - 12 Months Endi'!JIA2</f>
        <v>0</v>
      </c>
      <c r="JIC3">
        <f>'[12]Summary Report - 12 Months Endi'!JIB2</f>
        <v>0</v>
      </c>
      <c r="JID3">
        <f>'[12]Summary Report - 12 Months Endi'!JIC2</f>
        <v>0</v>
      </c>
      <c r="JIE3">
        <f>'[12]Summary Report - 12 Months Endi'!JID2</f>
        <v>0</v>
      </c>
      <c r="JIF3">
        <f>'[12]Summary Report - 12 Months Endi'!JIE2</f>
        <v>0</v>
      </c>
      <c r="JIG3">
        <f>'[12]Summary Report - 12 Months Endi'!JIF2</f>
        <v>0</v>
      </c>
      <c r="JIH3">
        <f>'[12]Summary Report - 12 Months Endi'!JIG2</f>
        <v>0</v>
      </c>
      <c r="JII3">
        <f>'[12]Summary Report - 12 Months Endi'!JIH2</f>
        <v>0</v>
      </c>
      <c r="JIJ3">
        <f>'[12]Summary Report - 12 Months Endi'!JII2</f>
        <v>0</v>
      </c>
      <c r="JIK3">
        <f>'[12]Summary Report - 12 Months Endi'!JIJ2</f>
        <v>0</v>
      </c>
      <c r="JIL3">
        <f>'[12]Summary Report - 12 Months Endi'!JIK2</f>
        <v>0</v>
      </c>
      <c r="JIM3">
        <f>'[12]Summary Report - 12 Months Endi'!JIL2</f>
        <v>0</v>
      </c>
      <c r="JIN3">
        <f>'[12]Summary Report - 12 Months Endi'!JIM2</f>
        <v>0</v>
      </c>
      <c r="JIO3">
        <f>'[12]Summary Report - 12 Months Endi'!JIN2</f>
        <v>0</v>
      </c>
      <c r="JIP3">
        <f>'[12]Summary Report - 12 Months Endi'!JIO2</f>
        <v>0</v>
      </c>
      <c r="JIQ3">
        <f>'[12]Summary Report - 12 Months Endi'!JIP2</f>
        <v>0</v>
      </c>
      <c r="JIR3">
        <f>'[12]Summary Report - 12 Months Endi'!JIQ2</f>
        <v>0</v>
      </c>
      <c r="JIS3">
        <f>'[12]Summary Report - 12 Months Endi'!JIR2</f>
        <v>0</v>
      </c>
      <c r="JIT3">
        <f>'[12]Summary Report - 12 Months Endi'!JIS2</f>
        <v>0</v>
      </c>
      <c r="JIU3">
        <f>'[12]Summary Report - 12 Months Endi'!JIT2</f>
        <v>0</v>
      </c>
      <c r="JIV3">
        <f>'[12]Summary Report - 12 Months Endi'!JIU2</f>
        <v>0</v>
      </c>
      <c r="JIW3">
        <f>'[12]Summary Report - 12 Months Endi'!JIV2</f>
        <v>0</v>
      </c>
      <c r="JIX3">
        <f>'[12]Summary Report - 12 Months Endi'!JIW2</f>
        <v>0</v>
      </c>
      <c r="JIY3">
        <f>'[12]Summary Report - 12 Months Endi'!JIX2</f>
        <v>0</v>
      </c>
      <c r="JIZ3">
        <f>'[12]Summary Report - 12 Months Endi'!JIY2</f>
        <v>0</v>
      </c>
      <c r="JJA3">
        <f>'[12]Summary Report - 12 Months Endi'!JIZ2</f>
        <v>0</v>
      </c>
      <c r="JJB3">
        <f>'[12]Summary Report - 12 Months Endi'!JJA2</f>
        <v>0</v>
      </c>
      <c r="JJC3">
        <f>'[12]Summary Report - 12 Months Endi'!JJB2</f>
        <v>0</v>
      </c>
      <c r="JJD3">
        <f>'[12]Summary Report - 12 Months Endi'!JJC2</f>
        <v>0</v>
      </c>
      <c r="JJE3">
        <f>'[12]Summary Report - 12 Months Endi'!JJD2</f>
        <v>0</v>
      </c>
      <c r="JJF3">
        <f>'[12]Summary Report - 12 Months Endi'!JJE2</f>
        <v>0</v>
      </c>
      <c r="JJG3">
        <f>'[12]Summary Report - 12 Months Endi'!JJF2</f>
        <v>0</v>
      </c>
      <c r="JJH3">
        <f>'[12]Summary Report - 12 Months Endi'!JJG2</f>
        <v>0</v>
      </c>
      <c r="JJI3">
        <f>'[12]Summary Report - 12 Months Endi'!JJH2</f>
        <v>0</v>
      </c>
      <c r="JJJ3">
        <f>'[12]Summary Report - 12 Months Endi'!JJI2</f>
        <v>0</v>
      </c>
      <c r="JJK3">
        <f>'[12]Summary Report - 12 Months Endi'!JJJ2</f>
        <v>0</v>
      </c>
      <c r="JJL3">
        <f>'[12]Summary Report - 12 Months Endi'!JJK2</f>
        <v>0</v>
      </c>
      <c r="JJM3">
        <f>'[12]Summary Report - 12 Months Endi'!JJL2</f>
        <v>0</v>
      </c>
      <c r="JJN3">
        <f>'[12]Summary Report - 12 Months Endi'!JJM2</f>
        <v>0</v>
      </c>
      <c r="JJO3">
        <f>'[12]Summary Report - 12 Months Endi'!JJN2</f>
        <v>0</v>
      </c>
      <c r="JJP3">
        <f>'[12]Summary Report - 12 Months Endi'!JJO2</f>
        <v>0</v>
      </c>
      <c r="JJQ3">
        <f>'[12]Summary Report - 12 Months Endi'!JJP2</f>
        <v>0</v>
      </c>
      <c r="JJR3">
        <f>'[12]Summary Report - 12 Months Endi'!JJQ2</f>
        <v>0</v>
      </c>
      <c r="JJS3">
        <f>'[12]Summary Report - 12 Months Endi'!JJR2</f>
        <v>0</v>
      </c>
      <c r="JJT3">
        <f>'[12]Summary Report - 12 Months Endi'!JJS2</f>
        <v>0</v>
      </c>
      <c r="JJU3">
        <f>'[12]Summary Report - 12 Months Endi'!JJT2</f>
        <v>0</v>
      </c>
      <c r="JJV3">
        <f>'[12]Summary Report - 12 Months Endi'!JJU2</f>
        <v>0</v>
      </c>
      <c r="JJW3">
        <f>'[12]Summary Report - 12 Months Endi'!JJV2</f>
        <v>0</v>
      </c>
      <c r="JJX3">
        <f>'[12]Summary Report - 12 Months Endi'!JJW2</f>
        <v>0</v>
      </c>
      <c r="JJY3">
        <f>'[12]Summary Report - 12 Months Endi'!JJX2</f>
        <v>0</v>
      </c>
      <c r="JJZ3">
        <f>'[12]Summary Report - 12 Months Endi'!JJY2</f>
        <v>0</v>
      </c>
      <c r="JKA3">
        <f>'[12]Summary Report - 12 Months Endi'!JJZ2</f>
        <v>0</v>
      </c>
      <c r="JKB3">
        <f>'[12]Summary Report - 12 Months Endi'!JKA2</f>
        <v>0</v>
      </c>
      <c r="JKC3">
        <f>'[12]Summary Report - 12 Months Endi'!JKB2</f>
        <v>0</v>
      </c>
      <c r="JKD3">
        <f>'[12]Summary Report - 12 Months Endi'!JKC2</f>
        <v>0</v>
      </c>
      <c r="JKE3">
        <f>'[12]Summary Report - 12 Months Endi'!JKD2</f>
        <v>0</v>
      </c>
      <c r="JKF3">
        <f>'[12]Summary Report - 12 Months Endi'!JKE2</f>
        <v>0</v>
      </c>
      <c r="JKG3">
        <f>'[12]Summary Report - 12 Months Endi'!JKF2</f>
        <v>0</v>
      </c>
      <c r="JKH3">
        <f>'[12]Summary Report - 12 Months Endi'!JKG2</f>
        <v>0</v>
      </c>
      <c r="JKI3">
        <f>'[12]Summary Report - 12 Months Endi'!JKH2</f>
        <v>0</v>
      </c>
      <c r="JKJ3">
        <f>'[12]Summary Report - 12 Months Endi'!JKI2</f>
        <v>0</v>
      </c>
      <c r="JKK3">
        <f>'[12]Summary Report - 12 Months Endi'!JKJ2</f>
        <v>0</v>
      </c>
      <c r="JKL3">
        <f>'[12]Summary Report - 12 Months Endi'!JKK2</f>
        <v>0</v>
      </c>
      <c r="JKM3">
        <f>'[12]Summary Report - 12 Months Endi'!JKL2</f>
        <v>0</v>
      </c>
      <c r="JKN3">
        <f>'[12]Summary Report - 12 Months Endi'!JKM2</f>
        <v>0</v>
      </c>
      <c r="JKO3">
        <f>'[12]Summary Report - 12 Months Endi'!JKN2</f>
        <v>0</v>
      </c>
      <c r="JKP3">
        <f>'[12]Summary Report - 12 Months Endi'!JKO2</f>
        <v>0</v>
      </c>
      <c r="JKQ3">
        <f>'[12]Summary Report - 12 Months Endi'!JKP2</f>
        <v>0</v>
      </c>
      <c r="JKR3">
        <f>'[12]Summary Report - 12 Months Endi'!JKQ2</f>
        <v>0</v>
      </c>
      <c r="JKS3">
        <f>'[12]Summary Report - 12 Months Endi'!JKR2</f>
        <v>0</v>
      </c>
      <c r="JKT3">
        <f>'[12]Summary Report - 12 Months Endi'!JKS2</f>
        <v>0</v>
      </c>
      <c r="JKU3">
        <f>'[12]Summary Report - 12 Months Endi'!JKT2</f>
        <v>0</v>
      </c>
      <c r="JKV3">
        <f>'[12]Summary Report - 12 Months Endi'!JKU2</f>
        <v>0</v>
      </c>
      <c r="JKW3">
        <f>'[12]Summary Report - 12 Months Endi'!JKV2</f>
        <v>0</v>
      </c>
      <c r="JKX3">
        <f>'[12]Summary Report - 12 Months Endi'!JKW2</f>
        <v>0</v>
      </c>
      <c r="JKY3">
        <f>'[12]Summary Report - 12 Months Endi'!JKX2</f>
        <v>0</v>
      </c>
      <c r="JKZ3">
        <f>'[12]Summary Report - 12 Months Endi'!JKY2</f>
        <v>0</v>
      </c>
      <c r="JLA3">
        <f>'[12]Summary Report - 12 Months Endi'!JKZ2</f>
        <v>0</v>
      </c>
      <c r="JLB3">
        <f>'[12]Summary Report - 12 Months Endi'!JLA2</f>
        <v>0</v>
      </c>
      <c r="JLC3">
        <f>'[12]Summary Report - 12 Months Endi'!JLB2</f>
        <v>0</v>
      </c>
      <c r="JLD3">
        <f>'[12]Summary Report - 12 Months Endi'!JLC2</f>
        <v>0</v>
      </c>
      <c r="JLE3">
        <f>'[12]Summary Report - 12 Months Endi'!JLD2</f>
        <v>0</v>
      </c>
      <c r="JLF3">
        <f>'[12]Summary Report - 12 Months Endi'!JLE2</f>
        <v>0</v>
      </c>
      <c r="JLG3">
        <f>'[12]Summary Report - 12 Months Endi'!JLF2</f>
        <v>0</v>
      </c>
      <c r="JLH3">
        <f>'[12]Summary Report - 12 Months Endi'!JLG2</f>
        <v>0</v>
      </c>
      <c r="JLI3">
        <f>'[12]Summary Report - 12 Months Endi'!JLH2</f>
        <v>0</v>
      </c>
      <c r="JLJ3">
        <f>'[12]Summary Report - 12 Months Endi'!JLI2</f>
        <v>0</v>
      </c>
      <c r="JLK3">
        <f>'[12]Summary Report - 12 Months Endi'!JLJ2</f>
        <v>0</v>
      </c>
      <c r="JLL3">
        <f>'[12]Summary Report - 12 Months Endi'!JLK2</f>
        <v>0</v>
      </c>
      <c r="JLM3">
        <f>'[12]Summary Report - 12 Months Endi'!JLL2</f>
        <v>0</v>
      </c>
      <c r="JLN3">
        <f>'[12]Summary Report - 12 Months Endi'!JLM2</f>
        <v>0</v>
      </c>
      <c r="JLO3">
        <f>'[12]Summary Report - 12 Months Endi'!JLN2</f>
        <v>0</v>
      </c>
      <c r="JLP3">
        <f>'[12]Summary Report - 12 Months Endi'!JLO2</f>
        <v>0</v>
      </c>
      <c r="JLQ3">
        <f>'[12]Summary Report - 12 Months Endi'!JLP2</f>
        <v>0</v>
      </c>
      <c r="JLR3">
        <f>'[12]Summary Report - 12 Months Endi'!JLQ2</f>
        <v>0</v>
      </c>
      <c r="JLS3">
        <f>'[12]Summary Report - 12 Months Endi'!JLR2</f>
        <v>0</v>
      </c>
      <c r="JLT3">
        <f>'[12]Summary Report - 12 Months Endi'!JLS2</f>
        <v>0</v>
      </c>
      <c r="JLU3">
        <f>'[12]Summary Report - 12 Months Endi'!JLT2</f>
        <v>0</v>
      </c>
      <c r="JLV3">
        <f>'[12]Summary Report - 12 Months Endi'!JLU2</f>
        <v>0</v>
      </c>
      <c r="JLW3">
        <f>'[12]Summary Report - 12 Months Endi'!JLV2</f>
        <v>0</v>
      </c>
      <c r="JLX3">
        <f>'[12]Summary Report - 12 Months Endi'!JLW2</f>
        <v>0</v>
      </c>
      <c r="JLY3">
        <f>'[12]Summary Report - 12 Months Endi'!JLX2</f>
        <v>0</v>
      </c>
      <c r="JLZ3">
        <f>'[12]Summary Report - 12 Months Endi'!JLY2</f>
        <v>0</v>
      </c>
      <c r="JMA3">
        <f>'[12]Summary Report - 12 Months Endi'!JLZ2</f>
        <v>0</v>
      </c>
      <c r="JMB3">
        <f>'[12]Summary Report - 12 Months Endi'!JMA2</f>
        <v>0</v>
      </c>
      <c r="JMC3">
        <f>'[12]Summary Report - 12 Months Endi'!JMB2</f>
        <v>0</v>
      </c>
      <c r="JMD3">
        <f>'[12]Summary Report - 12 Months Endi'!JMC2</f>
        <v>0</v>
      </c>
      <c r="JME3">
        <f>'[12]Summary Report - 12 Months Endi'!JMD2</f>
        <v>0</v>
      </c>
      <c r="JMF3">
        <f>'[12]Summary Report - 12 Months Endi'!JME2</f>
        <v>0</v>
      </c>
      <c r="JMG3">
        <f>'[12]Summary Report - 12 Months Endi'!JMF2</f>
        <v>0</v>
      </c>
      <c r="JMH3">
        <f>'[12]Summary Report - 12 Months Endi'!JMG2</f>
        <v>0</v>
      </c>
      <c r="JMI3">
        <f>'[12]Summary Report - 12 Months Endi'!JMH2</f>
        <v>0</v>
      </c>
      <c r="JMJ3">
        <f>'[12]Summary Report - 12 Months Endi'!JMI2</f>
        <v>0</v>
      </c>
      <c r="JMK3">
        <f>'[12]Summary Report - 12 Months Endi'!JMJ2</f>
        <v>0</v>
      </c>
      <c r="JML3">
        <f>'[12]Summary Report - 12 Months Endi'!JMK2</f>
        <v>0</v>
      </c>
      <c r="JMM3">
        <f>'[12]Summary Report - 12 Months Endi'!JML2</f>
        <v>0</v>
      </c>
      <c r="JMN3">
        <f>'[12]Summary Report - 12 Months Endi'!JMM2</f>
        <v>0</v>
      </c>
      <c r="JMO3">
        <f>'[12]Summary Report - 12 Months Endi'!JMN2</f>
        <v>0</v>
      </c>
      <c r="JMP3">
        <f>'[12]Summary Report - 12 Months Endi'!JMO2</f>
        <v>0</v>
      </c>
      <c r="JMQ3">
        <f>'[12]Summary Report - 12 Months Endi'!JMP2</f>
        <v>0</v>
      </c>
      <c r="JMR3">
        <f>'[12]Summary Report - 12 Months Endi'!JMQ2</f>
        <v>0</v>
      </c>
      <c r="JMS3">
        <f>'[12]Summary Report - 12 Months Endi'!JMR2</f>
        <v>0</v>
      </c>
      <c r="JMT3">
        <f>'[12]Summary Report - 12 Months Endi'!JMS2</f>
        <v>0</v>
      </c>
      <c r="JMU3">
        <f>'[12]Summary Report - 12 Months Endi'!JMT2</f>
        <v>0</v>
      </c>
      <c r="JMV3">
        <f>'[12]Summary Report - 12 Months Endi'!JMU2</f>
        <v>0</v>
      </c>
      <c r="JMW3">
        <f>'[12]Summary Report - 12 Months Endi'!JMV2</f>
        <v>0</v>
      </c>
      <c r="JMX3">
        <f>'[12]Summary Report - 12 Months Endi'!JMW2</f>
        <v>0</v>
      </c>
      <c r="JMY3">
        <f>'[12]Summary Report - 12 Months Endi'!JMX2</f>
        <v>0</v>
      </c>
      <c r="JMZ3">
        <f>'[12]Summary Report - 12 Months Endi'!JMY2</f>
        <v>0</v>
      </c>
      <c r="JNA3">
        <f>'[12]Summary Report - 12 Months Endi'!JMZ2</f>
        <v>0</v>
      </c>
      <c r="JNB3">
        <f>'[12]Summary Report - 12 Months Endi'!JNA2</f>
        <v>0</v>
      </c>
      <c r="JNC3">
        <f>'[12]Summary Report - 12 Months Endi'!JNB2</f>
        <v>0</v>
      </c>
      <c r="JND3">
        <f>'[12]Summary Report - 12 Months Endi'!JNC2</f>
        <v>0</v>
      </c>
      <c r="JNE3">
        <f>'[12]Summary Report - 12 Months Endi'!JND2</f>
        <v>0</v>
      </c>
      <c r="JNF3">
        <f>'[12]Summary Report - 12 Months Endi'!JNE2</f>
        <v>0</v>
      </c>
      <c r="JNG3">
        <f>'[12]Summary Report - 12 Months Endi'!JNF2</f>
        <v>0</v>
      </c>
      <c r="JNH3">
        <f>'[12]Summary Report - 12 Months Endi'!JNG2</f>
        <v>0</v>
      </c>
      <c r="JNI3">
        <f>'[12]Summary Report - 12 Months Endi'!JNH2</f>
        <v>0</v>
      </c>
      <c r="JNJ3">
        <f>'[12]Summary Report - 12 Months Endi'!JNI2</f>
        <v>0</v>
      </c>
      <c r="JNK3">
        <f>'[12]Summary Report - 12 Months Endi'!JNJ2</f>
        <v>0</v>
      </c>
      <c r="JNL3">
        <f>'[12]Summary Report - 12 Months Endi'!JNK2</f>
        <v>0</v>
      </c>
      <c r="JNM3">
        <f>'[12]Summary Report - 12 Months Endi'!JNL2</f>
        <v>0</v>
      </c>
      <c r="JNN3">
        <f>'[12]Summary Report - 12 Months Endi'!JNM2</f>
        <v>0</v>
      </c>
      <c r="JNO3">
        <f>'[12]Summary Report - 12 Months Endi'!JNN2</f>
        <v>0</v>
      </c>
      <c r="JNP3">
        <f>'[12]Summary Report - 12 Months Endi'!JNO2</f>
        <v>0</v>
      </c>
      <c r="JNQ3">
        <f>'[12]Summary Report - 12 Months Endi'!JNP2</f>
        <v>0</v>
      </c>
      <c r="JNR3">
        <f>'[12]Summary Report - 12 Months Endi'!JNQ2</f>
        <v>0</v>
      </c>
      <c r="JNS3">
        <f>'[12]Summary Report - 12 Months Endi'!JNR2</f>
        <v>0</v>
      </c>
      <c r="JNT3">
        <f>'[12]Summary Report - 12 Months Endi'!JNS2</f>
        <v>0</v>
      </c>
      <c r="JNU3">
        <f>'[12]Summary Report - 12 Months Endi'!JNT2</f>
        <v>0</v>
      </c>
      <c r="JNV3">
        <f>'[12]Summary Report - 12 Months Endi'!JNU2</f>
        <v>0</v>
      </c>
      <c r="JNW3">
        <f>'[12]Summary Report - 12 Months Endi'!JNV2</f>
        <v>0</v>
      </c>
      <c r="JNX3">
        <f>'[12]Summary Report - 12 Months Endi'!JNW2</f>
        <v>0</v>
      </c>
      <c r="JNY3">
        <f>'[12]Summary Report - 12 Months Endi'!JNX2</f>
        <v>0</v>
      </c>
      <c r="JNZ3">
        <f>'[12]Summary Report - 12 Months Endi'!JNY2</f>
        <v>0</v>
      </c>
      <c r="JOA3">
        <f>'[12]Summary Report - 12 Months Endi'!JNZ2</f>
        <v>0</v>
      </c>
      <c r="JOB3">
        <f>'[12]Summary Report - 12 Months Endi'!JOA2</f>
        <v>0</v>
      </c>
      <c r="JOC3">
        <f>'[12]Summary Report - 12 Months Endi'!JOB2</f>
        <v>0</v>
      </c>
      <c r="JOD3">
        <f>'[12]Summary Report - 12 Months Endi'!JOC2</f>
        <v>0</v>
      </c>
      <c r="JOE3">
        <f>'[12]Summary Report - 12 Months Endi'!JOD2</f>
        <v>0</v>
      </c>
      <c r="JOF3">
        <f>'[12]Summary Report - 12 Months Endi'!JOE2</f>
        <v>0</v>
      </c>
      <c r="JOG3">
        <f>'[12]Summary Report - 12 Months Endi'!JOF2</f>
        <v>0</v>
      </c>
      <c r="JOH3">
        <f>'[12]Summary Report - 12 Months Endi'!JOG2</f>
        <v>0</v>
      </c>
      <c r="JOI3">
        <f>'[12]Summary Report - 12 Months Endi'!JOH2</f>
        <v>0</v>
      </c>
      <c r="JOJ3">
        <f>'[12]Summary Report - 12 Months Endi'!JOI2</f>
        <v>0</v>
      </c>
      <c r="JOK3">
        <f>'[12]Summary Report - 12 Months Endi'!JOJ2</f>
        <v>0</v>
      </c>
      <c r="JOL3">
        <f>'[12]Summary Report - 12 Months Endi'!JOK2</f>
        <v>0</v>
      </c>
      <c r="JOM3">
        <f>'[12]Summary Report - 12 Months Endi'!JOL2</f>
        <v>0</v>
      </c>
      <c r="JON3">
        <f>'[12]Summary Report - 12 Months Endi'!JOM2</f>
        <v>0</v>
      </c>
      <c r="JOO3">
        <f>'[12]Summary Report - 12 Months Endi'!JON2</f>
        <v>0</v>
      </c>
      <c r="JOP3">
        <f>'[12]Summary Report - 12 Months Endi'!JOO2</f>
        <v>0</v>
      </c>
      <c r="JOQ3">
        <f>'[12]Summary Report - 12 Months Endi'!JOP2</f>
        <v>0</v>
      </c>
      <c r="JOR3">
        <f>'[12]Summary Report - 12 Months Endi'!JOQ2</f>
        <v>0</v>
      </c>
      <c r="JOS3">
        <f>'[12]Summary Report - 12 Months Endi'!JOR2</f>
        <v>0</v>
      </c>
      <c r="JOT3">
        <f>'[12]Summary Report - 12 Months Endi'!JOS2</f>
        <v>0</v>
      </c>
      <c r="JOU3">
        <f>'[12]Summary Report - 12 Months Endi'!JOT2</f>
        <v>0</v>
      </c>
      <c r="JOV3">
        <f>'[12]Summary Report - 12 Months Endi'!JOU2</f>
        <v>0</v>
      </c>
      <c r="JOW3">
        <f>'[12]Summary Report - 12 Months Endi'!JOV2</f>
        <v>0</v>
      </c>
      <c r="JOX3">
        <f>'[12]Summary Report - 12 Months Endi'!JOW2</f>
        <v>0</v>
      </c>
      <c r="JOY3">
        <f>'[12]Summary Report - 12 Months Endi'!JOX2</f>
        <v>0</v>
      </c>
      <c r="JOZ3">
        <f>'[12]Summary Report - 12 Months Endi'!JOY2</f>
        <v>0</v>
      </c>
      <c r="JPA3">
        <f>'[12]Summary Report - 12 Months Endi'!JOZ2</f>
        <v>0</v>
      </c>
      <c r="JPB3">
        <f>'[12]Summary Report - 12 Months Endi'!JPA2</f>
        <v>0</v>
      </c>
      <c r="JPC3">
        <f>'[12]Summary Report - 12 Months Endi'!JPB2</f>
        <v>0</v>
      </c>
      <c r="JPD3">
        <f>'[12]Summary Report - 12 Months Endi'!JPC2</f>
        <v>0</v>
      </c>
      <c r="JPE3">
        <f>'[12]Summary Report - 12 Months Endi'!JPD2</f>
        <v>0</v>
      </c>
      <c r="JPF3">
        <f>'[12]Summary Report - 12 Months Endi'!JPE2</f>
        <v>0</v>
      </c>
      <c r="JPG3">
        <f>'[12]Summary Report - 12 Months Endi'!JPF2</f>
        <v>0</v>
      </c>
      <c r="JPH3">
        <f>'[12]Summary Report - 12 Months Endi'!JPG2</f>
        <v>0</v>
      </c>
      <c r="JPI3">
        <f>'[12]Summary Report - 12 Months Endi'!JPH2</f>
        <v>0</v>
      </c>
      <c r="JPJ3">
        <f>'[12]Summary Report - 12 Months Endi'!JPI2</f>
        <v>0</v>
      </c>
      <c r="JPK3">
        <f>'[12]Summary Report - 12 Months Endi'!JPJ2</f>
        <v>0</v>
      </c>
      <c r="JPL3">
        <f>'[12]Summary Report - 12 Months Endi'!JPK2</f>
        <v>0</v>
      </c>
      <c r="JPM3">
        <f>'[12]Summary Report - 12 Months Endi'!JPL2</f>
        <v>0</v>
      </c>
      <c r="JPN3">
        <f>'[12]Summary Report - 12 Months Endi'!JPM2</f>
        <v>0</v>
      </c>
      <c r="JPO3">
        <f>'[12]Summary Report - 12 Months Endi'!JPN2</f>
        <v>0</v>
      </c>
      <c r="JPP3">
        <f>'[12]Summary Report - 12 Months Endi'!JPO2</f>
        <v>0</v>
      </c>
      <c r="JPQ3">
        <f>'[12]Summary Report - 12 Months Endi'!JPP2</f>
        <v>0</v>
      </c>
      <c r="JPR3">
        <f>'[12]Summary Report - 12 Months Endi'!JPQ2</f>
        <v>0</v>
      </c>
      <c r="JPS3">
        <f>'[12]Summary Report - 12 Months Endi'!JPR2</f>
        <v>0</v>
      </c>
      <c r="JPT3">
        <f>'[12]Summary Report - 12 Months Endi'!JPS2</f>
        <v>0</v>
      </c>
      <c r="JPU3">
        <f>'[12]Summary Report - 12 Months Endi'!JPT2</f>
        <v>0</v>
      </c>
      <c r="JPV3">
        <f>'[12]Summary Report - 12 Months Endi'!JPU2</f>
        <v>0</v>
      </c>
      <c r="JPW3">
        <f>'[12]Summary Report - 12 Months Endi'!JPV2</f>
        <v>0</v>
      </c>
      <c r="JPX3">
        <f>'[12]Summary Report - 12 Months Endi'!JPW2</f>
        <v>0</v>
      </c>
      <c r="JPY3">
        <f>'[12]Summary Report - 12 Months Endi'!JPX2</f>
        <v>0</v>
      </c>
      <c r="JPZ3">
        <f>'[12]Summary Report - 12 Months Endi'!JPY2</f>
        <v>0</v>
      </c>
      <c r="JQA3">
        <f>'[12]Summary Report - 12 Months Endi'!JPZ2</f>
        <v>0</v>
      </c>
      <c r="JQB3">
        <f>'[12]Summary Report - 12 Months Endi'!JQA2</f>
        <v>0</v>
      </c>
      <c r="JQC3">
        <f>'[12]Summary Report - 12 Months Endi'!JQB2</f>
        <v>0</v>
      </c>
      <c r="JQD3">
        <f>'[12]Summary Report - 12 Months Endi'!JQC2</f>
        <v>0</v>
      </c>
      <c r="JQE3">
        <f>'[12]Summary Report - 12 Months Endi'!JQD2</f>
        <v>0</v>
      </c>
      <c r="JQF3">
        <f>'[12]Summary Report - 12 Months Endi'!JQE2</f>
        <v>0</v>
      </c>
      <c r="JQG3">
        <f>'[12]Summary Report - 12 Months Endi'!JQF2</f>
        <v>0</v>
      </c>
      <c r="JQH3">
        <f>'[12]Summary Report - 12 Months Endi'!JQG2</f>
        <v>0</v>
      </c>
      <c r="JQI3">
        <f>'[12]Summary Report - 12 Months Endi'!JQH2</f>
        <v>0</v>
      </c>
      <c r="JQJ3">
        <f>'[12]Summary Report - 12 Months Endi'!JQI2</f>
        <v>0</v>
      </c>
      <c r="JQK3">
        <f>'[12]Summary Report - 12 Months Endi'!JQJ2</f>
        <v>0</v>
      </c>
      <c r="JQL3">
        <f>'[12]Summary Report - 12 Months Endi'!JQK2</f>
        <v>0</v>
      </c>
      <c r="JQM3">
        <f>'[12]Summary Report - 12 Months Endi'!JQL2</f>
        <v>0</v>
      </c>
      <c r="JQN3">
        <f>'[12]Summary Report - 12 Months Endi'!JQM2</f>
        <v>0</v>
      </c>
      <c r="JQO3">
        <f>'[12]Summary Report - 12 Months Endi'!JQN2</f>
        <v>0</v>
      </c>
      <c r="JQP3">
        <f>'[12]Summary Report - 12 Months Endi'!JQO2</f>
        <v>0</v>
      </c>
      <c r="JQQ3">
        <f>'[12]Summary Report - 12 Months Endi'!JQP2</f>
        <v>0</v>
      </c>
      <c r="JQR3">
        <f>'[12]Summary Report - 12 Months Endi'!JQQ2</f>
        <v>0</v>
      </c>
      <c r="JQS3">
        <f>'[12]Summary Report - 12 Months Endi'!JQR2</f>
        <v>0</v>
      </c>
      <c r="JQT3">
        <f>'[12]Summary Report - 12 Months Endi'!JQS2</f>
        <v>0</v>
      </c>
      <c r="JQU3">
        <f>'[12]Summary Report - 12 Months Endi'!JQT2</f>
        <v>0</v>
      </c>
      <c r="JQV3">
        <f>'[12]Summary Report - 12 Months Endi'!JQU2</f>
        <v>0</v>
      </c>
      <c r="JQW3">
        <f>'[12]Summary Report - 12 Months Endi'!JQV2</f>
        <v>0</v>
      </c>
      <c r="JQX3">
        <f>'[12]Summary Report - 12 Months Endi'!JQW2</f>
        <v>0</v>
      </c>
      <c r="JQY3">
        <f>'[12]Summary Report - 12 Months Endi'!JQX2</f>
        <v>0</v>
      </c>
      <c r="JQZ3">
        <f>'[12]Summary Report - 12 Months Endi'!JQY2</f>
        <v>0</v>
      </c>
      <c r="JRA3">
        <f>'[12]Summary Report - 12 Months Endi'!JQZ2</f>
        <v>0</v>
      </c>
      <c r="JRB3">
        <f>'[12]Summary Report - 12 Months Endi'!JRA2</f>
        <v>0</v>
      </c>
      <c r="JRC3">
        <f>'[12]Summary Report - 12 Months Endi'!JRB2</f>
        <v>0</v>
      </c>
      <c r="JRD3">
        <f>'[12]Summary Report - 12 Months Endi'!JRC2</f>
        <v>0</v>
      </c>
      <c r="JRE3">
        <f>'[12]Summary Report - 12 Months Endi'!JRD2</f>
        <v>0</v>
      </c>
      <c r="JRF3">
        <f>'[12]Summary Report - 12 Months Endi'!JRE2</f>
        <v>0</v>
      </c>
      <c r="JRG3">
        <f>'[12]Summary Report - 12 Months Endi'!JRF2</f>
        <v>0</v>
      </c>
      <c r="JRH3">
        <f>'[12]Summary Report - 12 Months Endi'!JRG2</f>
        <v>0</v>
      </c>
      <c r="JRI3">
        <f>'[12]Summary Report - 12 Months Endi'!JRH2</f>
        <v>0</v>
      </c>
      <c r="JRJ3">
        <f>'[12]Summary Report - 12 Months Endi'!JRI2</f>
        <v>0</v>
      </c>
      <c r="JRK3">
        <f>'[12]Summary Report - 12 Months Endi'!JRJ2</f>
        <v>0</v>
      </c>
      <c r="JRL3">
        <f>'[12]Summary Report - 12 Months Endi'!JRK2</f>
        <v>0</v>
      </c>
      <c r="JRM3">
        <f>'[12]Summary Report - 12 Months Endi'!JRL2</f>
        <v>0</v>
      </c>
      <c r="JRN3">
        <f>'[12]Summary Report - 12 Months Endi'!JRM2</f>
        <v>0</v>
      </c>
      <c r="JRO3">
        <f>'[12]Summary Report - 12 Months Endi'!JRN2</f>
        <v>0</v>
      </c>
      <c r="JRP3">
        <f>'[12]Summary Report - 12 Months Endi'!JRO2</f>
        <v>0</v>
      </c>
      <c r="JRQ3">
        <f>'[12]Summary Report - 12 Months Endi'!JRP2</f>
        <v>0</v>
      </c>
      <c r="JRR3">
        <f>'[12]Summary Report - 12 Months Endi'!JRQ2</f>
        <v>0</v>
      </c>
      <c r="JRS3">
        <f>'[12]Summary Report - 12 Months Endi'!JRR2</f>
        <v>0</v>
      </c>
      <c r="JRT3">
        <f>'[12]Summary Report - 12 Months Endi'!JRS2</f>
        <v>0</v>
      </c>
      <c r="JRU3">
        <f>'[12]Summary Report - 12 Months Endi'!JRT2</f>
        <v>0</v>
      </c>
      <c r="JRV3">
        <f>'[12]Summary Report - 12 Months Endi'!JRU2</f>
        <v>0</v>
      </c>
      <c r="JRW3">
        <f>'[12]Summary Report - 12 Months Endi'!JRV2</f>
        <v>0</v>
      </c>
      <c r="JRX3">
        <f>'[12]Summary Report - 12 Months Endi'!JRW2</f>
        <v>0</v>
      </c>
      <c r="JRY3">
        <f>'[12]Summary Report - 12 Months Endi'!JRX2</f>
        <v>0</v>
      </c>
      <c r="JRZ3">
        <f>'[12]Summary Report - 12 Months Endi'!JRY2</f>
        <v>0</v>
      </c>
      <c r="JSA3">
        <f>'[12]Summary Report - 12 Months Endi'!JRZ2</f>
        <v>0</v>
      </c>
      <c r="JSB3">
        <f>'[12]Summary Report - 12 Months Endi'!JSA2</f>
        <v>0</v>
      </c>
      <c r="JSC3">
        <f>'[12]Summary Report - 12 Months Endi'!JSB2</f>
        <v>0</v>
      </c>
      <c r="JSD3">
        <f>'[12]Summary Report - 12 Months Endi'!JSC2</f>
        <v>0</v>
      </c>
      <c r="JSE3">
        <f>'[12]Summary Report - 12 Months Endi'!JSD2</f>
        <v>0</v>
      </c>
      <c r="JSF3">
        <f>'[12]Summary Report - 12 Months Endi'!JSE2</f>
        <v>0</v>
      </c>
      <c r="JSG3">
        <f>'[12]Summary Report - 12 Months Endi'!JSF2</f>
        <v>0</v>
      </c>
      <c r="JSH3">
        <f>'[12]Summary Report - 12 Months Endi'!JSG2</f>
        <v>0</v>
      </c>
      <c r="JSI3">
        <f>'[12]Summary Report - 12 Months Endi'!JSH2</f>
        <v>0</v>
      </c>
      <c r="JSJ3">
        <f>'[12]Summary Report - 12 Months Endi'!JSI2</f>
        <v>0</v>
      </c>
      <c r="JSK3">
        <f>'[12]Summary Report - 12 Months Endi'!JSJ2</f>
        <v>0</v>
      </c>
      <c r="JSL3">
        <f>'[12]Summary Report - 12 Months Endi'!JSK2</f>
        <v>0</v>
      </c>
      <c r="JSM3">
        <f>'[12]Summary Report - 12 Months Endi'!JSL2</f>
        <v>0</v>
      </c>
      <c r="JSN3">
        <f>'[12]Summary Report - 12 Months Endi'!JSM2</f>
        <v>0</v>
      </c>
      <c r="JSO3">
        <f>'[12]Summary Report - 12 Months Endi'!JSN2</f>
        <v>0</v>
      </c>
      <c r="JSP3">
        <f>'[12]Summary Report - 12 Months Endi'!JSO2</f>
        <v>0</v>
      </c>
      <c r="JSQ3">
        <f>'[12]Summary Report - 12 Months Endi'!JSP2</f>
        <v>0</v>
      </c>
      <c r="JSR3">
        <f>'[12]Summary Report - 12 Months Endi'!JSQ2</f>
        <v>0</v>
      </c>
      <c r="JSS3">
        <f>'[12]Summary Report - 12 Months Endi'!JSR2</f>
        <v>0</v>
      </c>
      <c r="JST3">
        <f>'[12]Summary Report - 12 Months Endi'!JSS2</f>
        <v>0</v>
      </c>
      <c r="JSU3">
        <f>'[12]Summary Report - 12 Months Endi'!JST2</f>
        <v>0</v>
      </c>
      <c r="JSV3">
        <f>'[12]Summary Report - 12 Months Endi'!JSU2</f>
        <v>0</v>
      </c>
      <c r="JSW3">
        <f>'[12]Summary Report - 12 Months Endi'!JSV2</f>
        <v>0</v>
      </c>
      <c r="JSX3">
        <f>'[12]Summary Report - 12 Months Endi'!JSW2</f>
        <v>0</v>
      </c>
      <c r="JSY3">
        <f>'[12]Summary Report - 12 Months Endi'!JSX2</f>
        <v>0</v>
      </c>
      <c r="JSZ3">
        <f>'[12]Summary Report - 12 Months Endi'!JSY2</f>
        <v>0</v>
      </c>
      <c r="JTA3">
        <f>'[12]Summary Report - 12 Months Endi'!JSZ2</f>
        <v>0</v>
      </c>
      <c r="JTB3">
        <f>'[12]Summary Report - 12 Months Endi'!JTA2</f>
        <v>0</v>
      </c>
      <c r="JTC3">
        <f>'[12]Summary Report - 12 Months Endi'!JTB2</f>
        <v>0</v>
      </c>
      <c r="JTD3">
        <f>'[12]Summary Report - 12 Months Endi'!JTC2</f>
        <v>0</v>
      </c>
      <c r="JTE3">
        <f>'[12]Summary Report - 12 Months Endi'!JTD2</f>
        <v>0</v>
      </c>
      <c r="JTF3">
        <f>'[12]Summary Report - 12 Months Endi'!JTE2</f>
        <v>0</v>
      </c>
      <c r="JTG3">
        <f>'[12]Summary Report - 12 Months Endi'!JTF2</f>
        <v>0</v>
      </c>
      <c r="JTH3">
        <f>'[12]Summary Report - 12 Months Endi'!JTG2</f>
        <v>0</v>
      </c>
      <c r="JTI3">
        <f>'[12]Summary Report - 12 Months Endi'!JTH2</f>
        <v>0</v>
      </c>
      <c r="JTJ3">
        <f>'[12]Summary Report - 12 Months Endi'!JTI2</f>
        <v>0</v>
      </c>
      <c r="JTK3">
        <f>'[12]Summary Report - 12 Months Endi'!JTJ2</f>
        <v>0</v>
      </c>
      <c r="JTL3">
        <f>'[12]Summary Report - 12 Months Endi'!JTK2</f>
        <v>0</v>
      </c>
      <c r="JTM3">
        <f>'[12]Summary Report - 12 Months Endi'!JTL2</f>
        <v>0</v>
      </c>
      <c r="JTN3">
        <f>'[12]Summary Report - 12 Months Endi'!JTM2</f>
        <v>0</v>
      </c>
      <c r="JTO3">
        <f>'[12]Summary Report - 12 Months Endi'!JTN2</f>
        <v>0</v>
      </c>
      <c r="JTP3">
        <f>'[12]Summary Report - 12 Months Endi'!JTO2</f>
        <v>0</v>
      </c>
      <c r="JTQ3">
        <f>'[12]Summary Report - 12 Months Endi'!JTP2</f>
        <v>0</v>
      </c>
      <c r="JTR3">
        <f>'[12]Summary Report - 12 Months Endi'!JTQ2</f>
        <v>0</v>
      </c>
      <c r="JTS3">
        <f>'[12]Summary Report - 12 Months Endi'!JTR2</f>
        <v>0</v>
      </c>
      <c r="JTT3">
        <f>'[12]Summary Report - 12 Months Endi'!JTS2</f>
        <v>0</v>
      </c>
      <c r="JTU3">
        <f>'[12]Summary Report - 12 Months Endi'!JTT2</f>
        <v>0</v>
      </c>
      <c r="JTV3">
        <f>'[12]Summary Report - 12 Months Endi'!JTU2</f>
        <v>0</v>
      </c>
      <c r="JTW3">
        <f>'[12]Summary Report - 12 Months Endi'!JTV2</f>
        <v>0</v>
      </c>
      <c r="JTX3">
        <f>'[12]Summary Report - 12 Months Endi'!JTW2</f>
        <v>0</v>
      </c>
      <c r="JTY3">
        <f>'[12]Summary Report - 12 Months Endi'!JTX2</f>
        <v>0</v>
      </c>
      <c r="JTZ3">
        <f>'[12]Summary Report - 12 Months Endi'!JTY2</f>
        <v>0</v>
      </c>
      <c r="JUA3">
        <f>'[12]Summary Report - 12 Months Endi'!JTZ2</f>
        <v>0</v>
      </c>
      <c r="JUB3">
        <f>'[12]Summary Report - 12 Months Endi'!JUA2</f>
        <v>0</v>
      </c>
      <c r="JUC3">
        <f>'[12]Summary Report - 12 Months Endi'!JUB2</f>
        <v>0</v>
      </c>
      <c r="JUD3">
        <f>'[12]Summary Report - 12 Months Endi'!JUC2</f>
        <v>0</v>
      </c>
      <c r="JUE3">
        <f>'[12]Summary Report - 12 Months Endi'!JUD2</f>
        <v>0</v>
      </c>
      <c r="JUF3">
        <f>'[12]Summary Report - 12 Months Endi'!JUE2</f>
        <v>0</v>
      </c>
      <c r="JUG3">
        <f>'[12]Summary Report - 12 Months Endi'!JUF2</f>
        <v>0</v>
      </c>
      <c r="JUH3">
        <f>'[12]Summary Report - 12 Months Endi'!JUG2</f>
        <v>0</v>
      </c>
      <c r="JUI3">
        <f>'[12]Summary Report - 12 Months Endi'!JUH2</f>
        <v>0</v>
      </c>
      <c r="JUJ3">
        <f>'[12]Summary Report - 12 Months Endi'!JUI2</f>
        <v>0</v>
      </c>
      <c r="JUK3">
        <f>'[12]Summary Report - 12 Months Endi'!JUJ2</f>
        <v>0</v>
      </c>
      <c r="JUL3">
        <f>'[12]Summary Report - 12 Months Endi'!JUK2</f>
        <v>0</v>
      </c>
      <c r="JUM3">
        <f>'[12]Summary Report - 12 Months Endi'!JUL2</f>
        <v>0</v>
      </c>
      <c r="JUN3">
        <f>'[12]Summary Report - 12 Months Endi'!JUM2</f>
        <v>0</v>
      </c>
      <c r="JUO3">
        <f>'[12]Summary Report - 12 Months Endi'!JUN2</f>
        <v>0</v>
      </c>
      <c r="JUP3">
        <f>'[12]Summary Report - 12 Months Endi'!JUO2</f>
        <v>0</v>
      </c>
      <c r="JUQ3">
        <f>'[12]Summary Report - 12 Months Endi'!JUP2</f>
        <v>0</v>
      </c>
      <c r="JUR3">
        <f>'[12]Summary Report - 12 Months Endi'!JUQ2</f>
        <v>0</v>
      </c>
      <c r="JUS3">
        <f>'[12]Summary Report - 12 Months Endi'!JUR2</f>
        <v>0</v>
      </c>
      <c r="JUT3">
        <f>'[12]Summary Report - 12 Months Endi'!JUS2</f>
        <v>0</v>
      </c>
      <c r="JUU3">
        <f>'[12]Summary Report - 12 Months Endi'!JUT2</f>
        <v>0</v>
      </c>
      <c r="JUV3">
        <f>'[12]Summary Report - 12 Months Endi'!JUU2</f>
        <v>0</v>
      </c>
      <c r="JUW3">
        <f>'[12]Summary Report - 12 Months Endi'!JUV2</f>
        <v>0</v>
      </c>
      <c r="JUX3">
        <f>'[12]Summary Report - 12 Months Endi'!JUW2</f>
        <v>0</v>
      </c>
      <c r="JUY3">
        <f>'[12]Summary Report - 12 Months Endi'!JUX2</f>
        <v>0</v>
      </c>
      <c r="JUZ3">
        <f>'[12]Summary Report - 12 Months Endi'!JUY2</f>
        <v>0</v>
      </c>
      <c r="JVA3">
        <f>'[12]Summary Report - 12 Months Endi'!JUZ2</f>
        <v>0</v>
      </c>
      <c r="JVB3">
        <f>'[12]Summary Report - 12 Months Endi'!JVA2</f>
        <v>0</v>
      </c>
      <c r="JVC3">
        <f>'[12]Summary Report - 12 Months Endi'!JVB2</f>
        <v>0</v>
      </c>
      <c r="JVD3">
        <f>'[12]Summary Report - 12 Months Endi'!JVC2</f>
        <v>0</v>
      </c>
      <c r="JVE3">
        <f>'[12]Summary Report - 12 Months Endi'!JVD2</f>
        <v>0</v>
      </c>
      <c r="JVF3">
        <f>'[12]Summary Report - 12 Months Endi'!JVE2</f>
        <v>0</v>
      </c>
      <c r="JVG3">
        <f>'[12]Summary Report - 12 Months Endi'!JVF2</f>
        <v>0</v>
      </c>
      <c r="JVH3">
        <f>'[12]Summary Report - 12 Months Endi'!JVG2</f>
        <v>0</v>
      </c>
      <c r="JVI3">
        <f>'[12]Summary Report - 12 Months Endi'!JVH2</f>
        <v>0</v>
      </c>
      <c r="JVJ3">
        <f>'[12]Summary Report - 12 Months Endi'!JVI2</f>
        <v>0</v>
      </c>
      <c r="JVK3">
        <f>'[12]Summary Report - 12 Months Endi'!JVJ2</f>
        <v>0</v>
      </c>
      <c r="JVL3">
        <f>'[12]Summary Report - 12 Months Endi'!JVK2</f>
        <v>0</v>
      </c>
      <c r="JVM3">
        <f>'[12]Summary Report - 12 Months Endi'!JVL2</f>
        <v>0</v>
      </c>
      <c r="JVN3">
        <f>'[12]Summary Report - 12 Months Endi'!JVM2</f>
        <v>0</v>
      </c>
      <c r="JVO3">
        <f>'[12]Summary Report - 12 Months Endi'!JVN2</f>
        <v>0</v>
      </c>
      <c r="JVP3">
        <f>'[12]Summary Report - 12 Months Endi'!JVO2</f>
        <v>0</v>
      </c>
      <c r="JVQ3">
        <f>'[12]Summary Report - 12 Months Endi'!JVP2</f>
        <v>0</v>
      </c>
      <c r="JVR3">
        <f>'[12]Summary Report - 12 Months Endi'!JVQ2</f>
        <v>0</v>
      </c>
      <c r="JVS3">
        <f>'[12]Summary Report - 12 Months Endi'!JVR2</f>
        <v>0</v>
      </c>
      <c r="JVT3">
        <f>'[12]Summary Report - 12 Months Endi'!JVS2</f>
        <v>0</v>
      </c>
      <c r="JVU3">
        <f>'[12]Summary Report - 12 Months Endi'!JVT2</f>
        <v>0</v>
      </c>
      <c r="JVV3">
        <f>'[12]Summary Report - 12 Months Endi'!JVU2</f>
        <v>0</v>
      </c>
      <c r="JVW3">
        <f>'[12]Summary Report - 12 Months Endi'!JVV2</f>
        <v>0</v>
      </c>
      <c r="JVX3">
        <f>'[12]Summary Report - 12 Months Endi'!JVW2</f>
        <v>0</v>
      </c>
      <c r="JVY3">
        <f>'[12]Summary Report - 12 Months Endi'!JVX2</f>
        <v>0</v>
      </c>
      <c r="JVZ3">
        <f>'[12]Summary Report - 12 Months Endi'!JVY2</f>
        <v>0</v>
      </c>
      <c r="JWA3">
        <f>'[12]Summary Report - 12 Months Endi'!JVZ2</f>
        <v>0</v>
      </c>
      <c r="JWB3">
        <f>'[12]Summary Report - 12 Months Endi'!JWA2</f>
        <v>0</v>
      </c>
      <c r="JWC3">
        <f>'[12]Summary Report - 12 Months Endi'!JWB2</f>
        <v>0</v>
      </c>
      <c r="JWD3">
        <f>'[12]Summary Report - 12 Months Endi'!JWC2</f>
        <v>0</v>
      </c>
      <c r="JWE3">
        <f>'[12]Summary Report - 12 Months Endi'!JWD2</f>
        <v>0</v>
      </c>
      <c r="JWF3">
        <f>'[12]Summary Report - 12 Months Endi'!JWE2</f>
        <v>0</v>
      </c>
      <c r="JWG3">
        <f>'[12]Summary Report - 12 Months Endi'!JWF2</f>
        <v>0</v>
      </c>
      <c r="JWH3">
        <f>'[12]Summary Report - 12 Months Endi'!JWG2</f>
        <v>0</v>
      </c>
      <c r="JWI3">
        <f>'[12]Summary Report - 12 Months Endi'!JWH2</f>
        <v>0</v>
      </c>
      <c r="JWJ3">
        <f>'[12]Summary Report - 12 Months Endi'!JWI2</f>
        <v>0</v>
      </c>
      <c r="JWK3">
        <f>'[12]Summary Report - 12 Months Endi'!JWJ2</f>
        <v>0</v>
      </c>
      <c r="JWL3">
        <f>'[12]Summary Report - 12 Months Endi'!JWK2</f>
        <v>0</v>
      </c>
      <c r="JWM3">
        <f>'[12]Summary Report - 12 Months Endi'!JWL2</f>
        <v>0</v>
      </c>
      <c r="JWN3">
        <f>'[12]Summary Report - 12 Months Endi'!JWM2</f>
        <v>0</v>
      </c>
      <c r="JWO3">
        <f>'[12]Summary Report - 12 Months Endi'!JWN2</f>
        <v>0</v>
      </c>
      <c r="JWP3">
        <f>'[12]Summary Report - 12 Months Endi'!JWO2</f>
        <v>0</v>
      </c>
      <c r="JWQ3">
        <f>'[12]Summary Report - 12 Months Endi'!JWP2</f>
        <v>0</v>
      </c>
      <c r="JWR3">
        <f>'[12]Summary Report - 12 Months Endi'!JWQ2</f>
        <v>0</v>
      </c>
      <c r="JWS3">
        <f>'[12]Summary Report - 12 Months Endi'!JWR2</f>
        <v>0</v>
      </c>
      <c r="JWT3">
        <f>'[12]Summary Report - 12 Months Endi'!JWS2</f>
        <v>0</v>
      </c>
      <c r="JWU3">
        <f>'[12]Summary Report - 12 Months Endi'!JWT2</f>
        <v>0</v>
      </c>
      <c r="JWV3">
        <f>'[12]Summary Report - 12 Months Endi'!JWU2</f>
        <v>0</v>
      </c>
      <c r="JWW3">
        <f>'[12]Summary Report - 12 Months Endi'!JWV2</f>
        <v>0</v>
      </c>
      <c r="JWX3">
        <f>'[12]Summary Report - 12 Months Endi'!JWW2</f>
        <v>0</v>
      </c>
      <c r="JWY3">
        <f>'[12]Summary Report - 12 Months Endi'!JWX2</f>
        <v>0</v>
      </c>
      <c r="JWZ3">
        <f>'[12]Summary Report - 12 Months Endi'!JWY2</f>
        <v>0</v>
      </c>
      <c r="JXA3">
        <f>'[12]Summary Report - 12 Months Endi'!JWZ2</f>
        <v>0</v>
      </c>
      <c r="JXB3">
        <f>'[12]Summary Report - 12 Months Endi'!JXA2</f>
        <v>0</v>
      </c>
      <c r="JXC3">
        <f>'[12]Summary Report - 12 Months Endi'!JXB2</f>
        <v>0</v>
      </c>
      <c r="JXD3">
        <f>'[12]Summary Report - 12 Months Endi'!JXC2</f>
        <v>0</v>
      </c>
      <c r="JXE3">
        <f>'[12]Summary Report - 12 Months Endi'!JXD2</f>
        <v>0</v>
      </c>
      <c r="JXF3">
        <f>'[12]Summary Report - 12 Months Endi'!JXE2</f>
        <v>0</v>
      </c>
      <c r="JXG3">
        <f>'[12]Summary Report - 12 Months Endi'!JXF2</f>
        <v>0</v>
      </c>
      <c r="JXH3">
        <f>'[12]Summary Report - 12 Months Endi'!JXG2</f>
        <v>0</v>
      </c>
      <c r="JXI3">
        <f>'[12]Summary Report - 12 Months Endi'!JXH2</f>
        <v>0</v>
      </c>
      <c r="JXJ3">
        <f>'[12]Summary Report - 12 Months Endi'!JXI2</f>
        <v>0</v>
      </c>
      <c r="JXK3">
        <f>'[12]Summary Report - 12 Months Endi'!JXJ2</f>
        <v>0</v>
      </c>
      <c r="JXL3">
        <f>'[12]Summary Report - 12 Months Endi'!JXK2</f>
        <v>0</v>
      </c>
      <c r="JXM3">
        <f>'[12]Summary Report - 12 Months Endi'!JXL2</f>
        <v>0</v>
      </c>
      <c r="JXN3">
        <f>'[12]Summary Report - 12 Months Endi'!JXM2</f>
        <v>0</v>
      </c>
      <c r="JXO3">
        <f>'[12]Summary Report - 12 Months Endi'!JXN2</f>
        <v>0</v>
      </c>
      <c r="JXP3">
        <f>'[12]Summary Report - 12 Months Endi'!JXO2</f>
        <v>0</v>
      </c>
      <c r="JXQ3">
        <f>'[12]Summary Report - 12 Months Endi'!JXP2</f>
        <v>0</v>
      </c>
      <c r="JXR3">
        <f>'[12]Summary Report - 12 Months Endi'!JXQ2</f>
        <v>0</v>
      </c>
      <c r="JXS3">
        <f>'[12]Summary Report - 12 Months Endi'!JXR2</f>
        <v>0</v>
      </c>
      <c r="JXT3">
        <f>'[12]Summary Report - 12 Months Endi'!JXS2</f>
        <v>0</v>
      </c>
      <c r="JXU3">
        <f>'[12]Summary Report - 12 Months Endi'!JXT2</f>
        <v>0</v>
      </c>
      <c r="JXV3">
        <f>'[12]Summary Report - 12 Months Endi'!JXU2</f>
        <v>0</v>
      </c>
      <c r="JXW3">
        <f>'[12]Summary Report - 12 Months Endi'!JXV2</f>
        <v>0</v>
      </c>
      <c r="JXX3">
        <f>'[12]Summary Report - 12 Months Endi'!JXW2</f>
        <v>0</v>
      </c>
      <c r="JXY3">
        <f>'[12]Summary Report - 12 Months Endi'!JXX2</f>
        <v>0</v>
      </c>
      <c r="JXZ3">
        <f>'[12]Summary Report - 12 Months Endi'!JXY2</f>
        <v>0</v>
      </c>
      <c r="JYA3">
        <f>'[12]Summary Report - 12 Months Endi'!JXZ2</f>
        <v>0</v>
      </c>
      <c r="JYB3">
        <f>'[12]Summary Report - 12 Months Endi'!JYA2</f>
        <v>0</v>
      </c>
      <c r="JYC3">
        <f>'[12]Summary Report - 12 Months Endi'!JYB2</f>
        <v>0</v>
      </c>
      <c r="JYD3">
        <f>'[12]Summary Report - 12 Months Endi'!JYC2</f>
        <v>0</v>
      </c>
      <c r="JYE3">
        <f>'[12]Summary Report - 12 Months Endi'!JYD2</f>
        <v>0</v>
      </c>
      <c r="JYF3">
        <f>'[12]Summary Report - 12 Months Endi'!JYE2</f>
        <v>0</v>
      </c>
      <c r="JYG3">
        <f>'[12]Summary Report - 12 Months Endi'!JYF2</f>
        <v>0</v>
      </c>
      <c r="JYH3">
        <f>'[12]Summary Report - 12 Months Endi'!JYG2</f>
        <v>0</v>
      </c>
      <c r="JYI3">
        <f>'[12]Summary Report - 12 Months Endi'!JYH2</f>
        <v>0</v>
      </c>
      <c r="JYJ3">
        <f>'[12]Summary Report - 12 Months Endi'!JYI2</f>
        <v>0</v>
      </c>
      <c r="JYK3">
        <f>'[12]Summary Report - 12 Months Endi'!JYJ2</f>
        <v>0</v>
      </c>
      <c r="JYL3">
        <f>'[12]Summary Report - 12 Months Endi'!JYK2</f>
        <v>0</v>
      </c>
      <c r="JYM3">
        <f>'[12]Summary Report - 12 Months Endi'!JYL2</f>
        <v>0</v>
      </c>
      <c r="JYN3">
        <f>'[12]Summary Report - 12 Months Endi'!JYM2</f>
        <v>0</v>
      </c>
      <c r="JYO3">
        <f>'[12]Summary Report - 12 Months Endi'!JYN2</f>
        <v>0</v>
      </c>
      <c r="JYP3">
        <f>'[12]Summary Report - 12 Months Endi'!JYO2</f>
        <v>0</v>
      </c>
      <c r="JYQ3">
        <f>'[12]Summary Report - 12 Months Endi'!JYP2</f>
        <v>0</v>
      </c>
      <c r="JYR3">
        <f>'[12]Summary Report - 12 Months Endi'!JYQ2</f>
        <v>0</v>
      </c>
      <c r="JYS3">
        <f>'[12]Summary Report - 12 Months Endi'!JYR2</f>
        <v>0</v>
      </c>
      <c r="JYT3">
        <f>'[12]Summary Report - 12 Months Endi'!JYS2</f>
        <v>0</v>
      </c>
      <c r="JYU3">
        <f>'[12]Summary Report - 12 Months Endi'!JYT2</f>
        <v>0</v>
      </c>
      <c r="JYV3">
        <f>'[12]Summary Report - 12 Months Endi'!JYU2</f>
        <v>0</v>
      </c>
      <c r="JYW3">
        <f>'[12]Summary Report - 12 Months Endi'!JYV2</f>
        <v>0</v>
      </c>
      <c r="JYX3">
        <f>'[12]Summary Report - 12 Months Endi'!JYW2</f>
        <v>0</v>
      </c>
      <c r="JYY3">
        <f>'[12]Summary Report - 12 Months Endi'!JYX2</f>
        <v>0</v>
      </c>
      <c r="JYZ3">
        <f>'[12]Summary Report - 12 Months Endi'!JYY2</f>
        <v>0</v>
      </c>
      <c r="JZA3">
        <f>'[12]Summary Report - 12 Months Endi'!JYZ2</f>
        <v>0</v>
      </c>
      <c r="JZB3">
        <f>'[12]Summary Report - 12 Months Endi'!JZA2</f>
        <v>0</v>
      </c>
      <c r="JZC3">
        <f>'[12]Summary Report - 12 Months Endi'!JZB2</f>
        <v>0</v>
      </c>
      <c r="JZD3">
        <f>'[12]Summary Report - 12 Months Endi'!JZC2</f>
        <v>0</v>
      </c>
      <c r="JZE3">
        <f>'[12]Summary Report - 12 Months Endi'!JZD2</f>
        <v>0</v>
      </c>
      <c r="JZF3">
        <f>'[12]Summary Report - 12 Months Endi'!JZE2</f>
        <v>0</v>
      </c>
      <c r="JZG3">
        <f>'[12]Summary Report - 12 Months Endi'!JZF2</f>
        <v>0</v>
      </c>
      <c r="JZH3">
        <f>'[12]Summary Report - 12 Months Endi'!JZG2</f>
        <v>0</v>
      </c>
      <c r="JZI3">
        <f>'[12]Summary Report - 12 Months Endi'!JZH2</f>
        <v>0</v>
      </c>
      <c r="JZJ3">
        <f>'[12]Summary Report - 12 Months Endi'!JZI2</f>
        <v>0</v>
      </c>
      <c r="JZK3">
        <f>'[12]Summary Report - 12 Months Endi'!JZJ2</f>
        <v>0</v>
      </c>
      <c r="JZL3">
        <f>'[12]Summary Report - 12 Months Endi'!JZK2</f>
        <v>0</v>
      </c>
      <c r="JZM3">
        <f>'[12]Summary Report - 12 Months Endi'!JZL2</f>
        <v>0</v>
      </c>
      <c r="JZN3">
        <f>'[12]Summary Report - 12 Months Endi'!JZM2</f>
        <v>0</v>
      </c>
      <c r="JZO3">
        <f>'[12]Summary Report - 12 Months Endi'!JZN2</f>
        <v>0</v>
      </c>
      <c r="JZP3">
        <f>'[12]Summary Report - 12 Months Endi'!JZO2</f>
        <v>0</v>
      </c>
      <c r="JZQ3">
        <f>'[12]Summary Report - 12 Months Endi'!JZP2</f>
        <v>0</v>
      </c>
      <c r="JZR3">
        <f>'[12]Summary Report - 12 Months Endi'!JZQ2</f>
        <v>0</v>
      </c>
      <c r="JZS3">
        <f>'[12]Summary Report - 12 Months Endi'!JZR2</f>
        <v>0</v>
      </c>
      <c r="JZT3">
        <f>'[12]Summary Report - 12 Months Endi'!JZS2</f>
        <v>0</v>
      </c>
      <c r="JZU3">
        <f>'[12]Summary Report - 12 Months Endi'!JZT2</f>
        <v>0</v>
      </c>
      <c r="JZV3">
        <f>'[12]Summary Report - 12 Months Endi'!JZU2</f>
        <v>0</v>
      </c>
      <c r="JZW3">
        <f>'[12]Summary Report - 12 Months Endi'!JZV2</f>
        <v>0</v>
      </c>
      <c r="JZX3">
        <f>'[12]Summary Report - 12 Months Endi'!JZW2</f>
        <v>0</v>
      </c>
      <c r="JZY3">
        <f>'[12]Summary Report - 12 Months Endi'!JZX2</f>
        <v>0</v>
      </c>
      <c r="JZZ3">
        <f>'[12]Summary Report - 12 Months Endi'!JZY2</f>
        <v>0</v>
      </c>
      <c r="KAA3">
        <f>'[12]Summary Report - 12 Months Endi'!JZZ2</f>
        <v>0</v>
      </c>
      <c r="KAB3">
        <f>'[12]Summary Report - 12 Months Endi'!KAA2</f>
        <v>0</v>
      </c>
      <c r="KAC3">
        <f>'[12]Summary Report - 12 Months Endi'!KAB2</f>
        <v>0</v>
      </c>
      <c r="KAD3">
        <f>'[12]Summary Report - 12 Months Endi'!KAC2</f>
        <v>0</v>
      </c>
      <c r="KAE3">
        <f>'[12]Summary Report - 12 Months Endi'!KAD2</f>
        <v>0</v>
      </c>
      <c r="KAF3">
        <f>'[12]Summary Report - 12 Months Endi'!KAE2</f>
        <v>0</v>
      </c>
      <c r="KAG3">
        <f>'[12]Summary Report - 12 Months Endi'!KAF2</f>
        <v>0</v>
      </c>
      <c r="KAH3">
        <f>'[12]Summary Report - 12 Months Endi'!KAG2</f>
        <v>0</v>
      </c>
      <c r="KAI3">
        <f>'[12]Summary Report - 12 Months Endi'!KAH2</f>
        <v>0</v>
      </c>
      <c r="KAJ3">
        <f>'[12]Summary Report - 12 Months Endi'!KAI2</f>
        <v>0</v>
      </c>
      <c r="KAK3">
        <f>'[12]Summary Report - 12 Months Endi'!KAJ2</f>
        <v>0</v>
      </c>
      <c r="KAL3">
        <f>'[12]Summary Report - 12 Months Endi'!KAK2</f>
        <v>0</v>
      </c>
      <c r="KAM3">
        <f>'[12]Summary Report - 12 Months Endi'!KAL2</f>
        <v>0</v>
      </c>
      <c r="KAN3">
        <f>'[12]Summary Report - 12 Months Endi'!KAM2</f>
        <v>0</v>
      </c>
      <c r="KAO3">
        <f>'[12]Summary Report - 12 Months Endi'!KAN2</f>
        <v>0</v>
      </c>
      <c r="KAP3">
        <f>'[12]Summary Report - 12 Months Endi'!KAO2</f>
        <v>0</v>
      </c>
      <c r="KAQ3">
        <f>'[12]Summary Report - 12 Months Endi'!KAP2</f>
        <v>0</v>
      </c>
      <c r="KAR3">
        <f>'[12]Summary Report - 12 Months Endi'!KAQ2</f>
        <v>0</v>
      </c>
      <c r="KAS3">
        <f>'[12]Summary Report - 12 Months Endi'!KAR2</f>
        <v>0</v>
      </c>
      <c r="KAT3">
        <f>'[12]Summary Report - 12 Months Endi'!KAS2</f>
        <v>0</v>
      </c>
      <c r="KAU3">
        <f>'[12]Summary Report - 12 Months Endi'!KAT2</f>
        <v>0</v>
      </c>
      <c r="KAV3">
        <f>'[12]Summary Report - 12 Months Endi'!KAU2</f>
        <v>0</v>
      </c>
      <c r="KAW3">
        <f>'[12]Summary Report - 12 Months Endi'!KAV2</f>
        <v>0</v>
      </c>
      <c r="KAX3">
        <f>'[12]Summary Report - 12 Months Endi'!KAW2</f>
        <v>0</v>
      </c>
      <c r="KAY3">
        <f>'[12]Summary Report - 12 Months Endi'!KAX2</f>
        <v>0</v>
      </c>
      <c r="KAZ3">
        <f>'[12]Summary Report - 12 Months Endi'!KAY2</f>
        <v>0</v>
      </c>
      <c r="KBA3">
        <f>'[12]Summary Report - 12 Months Endi'!KAZ2</f>
        <v>0</v>
      </c>
      <c r="KBB3">
        <f>'[12]Summary Report - 12 Months Endi'!KBA2</f>
        <v>0</v>
      </c>
      <c r="KBC3">
        <f>'[12]Summary Report - 12 Months Endi'!KBB2</f>
        <v>0</v>
      </c>
      <c r="KBD3">
        <f>'[12]Summary Report - 12 Months Endi'!KBC2</f>
        <v>0</v>
      </c>
      <c r="KBE3">
        <f>'[12]Summary Report - 12 Months Endi'!KBD2</f>
        <v>0</v>
      </c>
      <c r="KBF3">
        <f>'[12]Summary Report - 12 Months Endi'!KBE2</f>
        <v>0</v>
      </c>
      <c r="KBG3">
        <f>'[12]Summary Report - 12 Months Endi'!KBF2</f>
        <v>0</v>
      </c>
      <c r="KBH3">
        <f>'[12]Summary Report - 12 Months Endi'!KBG2</f>
        <v>0</v>
      </c>
      <c r="KBI3">
        <f>'[12]Summary Report - 12 Months Endi'!KBH2</f>
        <v>0</v>
      </c>
      <c r="KBJ3">
        <f>'[12]Summary Report - 12 Months Endi'!KBI2</f>
        <v>0</v>
      </c>
      <c r="KBK3">
        <f>'[12]Summary Report - 12 Months Endi'!KBJ2</f>
        <v>0</v>
      </c>
      <c r="KBL3">
        <f>'[12]Summary Report - 12 Months Endi'!KBK2</f>
        <v>0</v>
      </c>
      <c r="KBM3">
        <f>'[12]Summary Report - 12 Months Endi'!KBL2</f>
        <v>0</v>
      </c>
      <c r="KBN3">
        <f>'[12]Summary Report - 12 Months Endi'!KBM2</f>
        <v>0</v>
      </c>
      <c r="KBO3">
        <f>'[12]Summary Report - 12 Months Endi'!KBN2</f>
        <v>0</v>
      </c>
      <c r="KBP3">
        <f>'[12]Summary Report - 12 Months Endi'!KBO2</f>
        <v>0</v>
      </c>
      <c r="KBQ3">
        <f>'[12]Summary Report - 12 Months Endi'!KBP2</f>
        <v>0</v>
      </c>
      <c r="KBR3">
        <f>'[12]Summary Report - 12 Months Endi'!KBQ2</f>
        <v>0</v>
      </c>
      <c r="KBS3">
        <f>'[12]Summary Report - 12 Months Endi'!KBR2</f>
        <v>0</v>
      </c>
      <c r="KBT3">
        <f>'[12]Summary Report - 12 Months Endi'!KBS2</f>
        <v>0</v>
      </c>
      <c r="KBU3">
        <f>'[12]Summary Report - 12 Months Endi'!KBT2</f>
        <v>0</v>
      </c>
      <c r="KBV3">
        <f>'[12]Summary Report - 12 Months Endi'!KBU2</f>
        <v>0</v>
      </c>
      <c r="KBW3">
        <f>'[12]Summary Report - 12 Months Endi'!KBV2</f>
        <v>0</v>
      </c>
      <c r="KBX3">
        <f>'[12]Summary Report - 12 Months Endi'!KBW2</f>
        <v>0</v>
      </c>
      <c r="KBY3">
        <f>'[12]Summary Report - 12 Months Endi'!KBX2</f>
        <v>0</v>
      </c>
      <c r="KBZ3">
        <f>'[12]Summary Report - 12 Months Endi'!KBY2</f>
        <v>0</v>
      </c>
      <c r="KCA3">
        <f>'[12]Summary Report - 12 Months Endi'!KBZ2</f>
        <v>0</v>
      </c>
      <c r="KCB3">
        <f>'[12]Summary Report - 12 Months Endi'!KCA2</f>
        <v>0</v>
      </c>
      <c r="KCC3">
        <f>'[12]Summary Report - 12 Months Endi'!KCB2</f>
        <v>0</v>
      </c>
      <c r="KCD3">
        <f>'[12]Summary Report - 12 Months Endi'!KCC2</f>
        <v>0</v>
      </c>
      <c r="KCE3">
        <f>'[12]Summary Report - 12 Months Endi'!KCD2</f>
        <v>0</v>
      </c>
      <c r="KCF3">
        <f>'[12]Summary Report - 12 Months Endi'!KCE2</f>
        <v>0</v>
      </c>
      <c r="KCG3">
        <f>'[12]Summary Report - 12 Months Endi'!KCF2</f>
        <v>0</v>
      </c>
      <c r="KCH3">
        <f>'[12]Summary Report - 12 Months Endi'!KCG2</f>
        <v>0</v>
      </c>
      <c r="KCI3">
        <f>'[12]Summary Report - 12 Months Endi'!KCH2</f>
        <v>0</v>
      </c>
      <c r="KCJ3">
        <f>'[12]Summary Report - 12 Months Endi'!KCI2</f>
        <v>0</v>
      </c>
      <c r="KCK3">
        <f>'[12]Summary Report - 12 Months Endi'!KCJ2</f>
        <v>0</v>
      </c>
      <c r="KCL3">
        <f>'[12]Summary Report - 12 Months Endi'!KCK2</f>
        <v>0</v>
      </c>
      <c r="KCM3">
        <f>'[12]Summary Report - 12 Months Endi'!KCL2</f>
        <v>0</v>
      </c>
      <c r="KCN3">
        <f>'[12]Summary Report - 12 Months Endi'!KCM2</f>
        <v>0</v>
      </c>
      <c r="KCO3">
        <f>'[12]Summary Report - 12 Months Endi'!KCN2</f>
        <v>0</v>
      </c>
      <c r="KCP3">
        <f>'[12]Summary Report - 12 Months Endi'!KCO2</f>
        <v>0</v>
      </c>
      <c r="KCQ3">
        <f>'[12]Summary Report - 12 Months Endi'!KCP2</f>
        <v>0</v>
      </c>
      <c r="KCR3">
        <f>'[12]Summary Report - 12 Months Endi'!KCQ2</f>
        <v>0</v>
      </c>
      <c r="KCS3">
        <f>'[12]Summary Report - 12 Months Endi'!KCR2</f>
        <v>0</v>
      </c>
      <c r="KCT3">
        <f>'[12]Summary Report - 12 Months Endi'!KCS2</f>
        <v>0</v>
      </c>
      <c r="KCU3">
        <f>'[12]Summary Report - 12 Months Endi'!KCT2</f>
        <v>0</v>
      </c>
      <c r="KCV3">
        <f>'[12]Summary Report - 12 Months Endi'!KCU2</f>
        <v>0</v>
      </c>
      <c r="KCW3">
        <f>'[12]Summary Report - 12 Months Endi'!KCV2</f>
        <v>0</v>
      </c>
      <c r="KCX3">
        <f>'[12]Summary Report - 12 Months Endi'!KCW2</f>
        <v>0</v>
      </c>
      <c r="KCY3">
        <f>'[12]Summary Report - 12 Months Endi'!KCX2</f>
        <v>0</v>
      </c>
      <c r="KCZ3">
        <f>'[12]Summary Report - 12 Months Endi'!KCY2</f>
        <v>0</v>
      </c>
      <c r="KDA3">
        <f>'[12]Summary Report - 12 Months Endi'!KCZ2</f>
        <v>0</v>
      </c>
      <c r="KDB3">
        <f>'[12]Summary Report - 12 Months Endi'!KDA2</f>
        <v>0</v>
      </c>
      <c r="KDC3">
        <f>'[12]Summary Report - 12 Months Endi'!KDB2</f>
        <v>0</v>
      </c>
      <c r="KDD3">
        <f>'[12]Summary Report - 12 Months Endi'!KDC2</f>
        <v>0</v>
      </c>
      <c r="KDE3">
        <f>'[12]Summary Report - 12 Months Endi'!KDD2</f>
        <v>0</v>
      </c>
      <c r="KDF3">
        <f>'[12]Summary Report - 12 Months Endi'!KDE2</f>
        <v>0</v>
      </c>
      <c r="KDG3">
        <f>'[12]Summary Report - 12 Months Endi'!KDF2</f>
        <v>0</v>
      </c>
      <c r="KDH3">
        <f>'[12]Summary Report - 12 Months Endi'!KDG2</f>
        <v>0</v>
      </c>
      <c r="KDI3">
        <f>'[12]Summary Report - 12 Months Endi'!KDH2</f>
        <v>0</v>
      </c>
      <c r="KDJ3">
        <f>'[12]Summary Report - 12 Months Endi'!KDI2</f>
        <v>0</v>
      </c>
      <c r="KDK3">
        <f>'[12]Summary Report - 12 Months Endi'!KDJ2</f>
        <v>0</v>
      </c>
      <c r="KDL3">
        <f>'[12]Summary Report - 12 Months Endi'!KDK2</f>
        <v>0</v>
      </c>
      <c r="KDM3">
        <f>'[12]Summary Report - 12 Months Endi'!KDL2</f>
        <v>0</v>
      </c>
      <c r="KDN3">
        <f>'[12]Summary Report - 12 Months Endi'!KDM2</f>
        <v>0</v>
      </c>
      <c r="KDO3">
        <f>'[12]Summary Report - 12 Months Endi'!KDN2</f>
        <v>0</v>
      </c>
      <c r="KDP3">
        <f>'[12]Summary Report - 12 Months Endi'!KDO2</f>
        <v>0</v>
      </c>
      <c r="KDQ3">
        <f>'[12]Summary Report - 12 Months Endi'!KDP2</f>
        <v>0</v>
      </c>
      <c r="KDR3">
        <f>'[12]Summary Report - 12 Months Endi'!KDQ2</f>
        <v>0</v>
      </c>
      <c r="KDS3">
        <f>'[12]Summary Report - 12 Months Endi'!KDR2</f>
        <v>0</v>
      </c>
      <c r="KDT3">
        <f>'[12]Summary Report - 12 Months Endi'!KDS2</f>
        <v>0</v>
      </c>
      <c r="KDU3">
        <f>'[12]Summary Report - 12 Months Endi'!KDT2</f>
        <v>0</v>
      </c>
      <c r="KDV3">
        <f>'[12]Summary Report - 12 Months Endi'!KDU2</f>
        <v>0</v>
      </c>
      <c r="KDW3">
        <f>'[12]Summary Report - 12 Months Endi'!KDV2</f>
        <v>0</v>
      </c>
      <c r="KDX3">
        <f>'[12]Summary Report - 12 Months Endi'!KDW2</f>
        <v>0</v>
      </c>
      <c r="KDY3">
        <f>'[12]Summary Report - 12 Months Endi'!KDX2</f>
        <v>0</v>
      </c>
      <c r="KDZ3">
        <f>'[12]Summary Report - 12 Months Endi'!KDY2</f>
        <v>0</v>
      </c>
      <c r="KEA3">
        <f>'[12]Summary Report - 12 Months Endi'!KDZ2</f>
        <v>0</v>
      </c>
      <c r="KEB3">
        <f>'[12]Summary Report - 12 Months Endi'!KEA2</f>
        <v>0</v>
      </c>
      <c r="KEC3">
        <f>'[12]Summary Report - 12 Months Endi'!KEB2</f>
        <v>0</v>
      </c>
      <c r="KED3">
        <f>'[12]Summary Report - 12 Months Endi'!KEC2</f>
        <v>0</v>
      </c>
      <c r="KEE3">
        <f>'[12]Summary Report - 12 Months Endi'!KED2</f>
        <v>0</v>
      </c>
      <c r="KEF3">
        <f>'[12]Summary Report - 12 Months Endi'!KEE2</f>
        <v>0</v>
      </c>
      <c r="KEG3">
        <f>'[12]Summary Report - 12 Months Endi'!KEF2</f>
        <v>0</v>
      </c>
      <c r="KEH3">
        <f>'[12]Summary Report - 12 Months Endi'!KEG2</f>
        <v>0</v>
      </c>
      <c r="KEI3">
        <f>'[12]Summary Report - 12 Months Endi'!KEH2</f>
        <v>0</v>
      </c>
      <c r="KEJ3">
        <f>'[12]Summary Report - 12 Months Endi'!KEI2</f>
        <v>0</v>
      </c>
      <c r="KEK3">
        <f>'[12]Summary Report - 12 Months Endi'!KEJ2</f>
        <v>0</v>
      </c>
      <c r="KEL3">
        <f>'[12]Summary Report - 12 Months Endi'!KEK2</f>
        <v>0</v>
      </c>
      <c r="KEM3">
        <f>'[12]Summary Report - 12 Months Endi'!KEL2</f>
        <v>0</v>
      </c>
      <c r="KEN3">
        <f>'[12]Summary Report - 12 Months Endi'!KEM2</f>
        <v>0</v>
      </c>
      <c r="KEO3">
        <f>'[12]Summary Report - 12 Months Endi'!KEN2</f>
        <v>0</v>
      </c>
      <c r="KEP3">
        <f>'[12]Summary Report - 12 Months Endi'!KEO2</f>
        <v>0</v>
      </c>
      <c r="KEQ3">
        <f>'[12]Summary Report - 12 Months Endi'!KEP2</f>
        <v>0</v>
      </c>
      <c r="KER3">
        <f>'[12]Summary Report - 12 Months Endi'!KEQ2</f>
        <v>0</v>
      </c>
      <c r="KES3">
        <f>'[12]Summary Report - 12 Months Endi'!KER2</f>
        <v>0</v>
      </c>
      <c r="KET3">
        <f>'[12]Summary Report - 12 Months Endi'!KES2</f>
        <v>0</v>
      </c>
      <c r="KEU3">
        <f>'[12]Summary Report - 12 Months Endi'!KET2</f>
        <v>0</v>
      </c>
      <c r="KEV3">
        <f>'[12]Summary Report - 12 Months Endi'!KEU2</f>
        <v>0</v>
      </c>
      <c r="KEW3">
        <f>'[12]Summary Report - 12 Months Endi'!KEV2</f>
        <v>0</v>
      </c>
      <c r="KEX3">
        <f>'[12]Summary Report - 12 Months Endi'!KEW2</f>
        <v>0</v>
      </c>
      <c r="KEY3">
        <f>'[12]Summary Report - 12 Months Endi'!KEX2</f>
        <v>0</v>
      </c>
      <c r="KEZ3">
        <f>'[12]Summary Report - 12 Months Endi'!KEY2</f>
        <v>0</v>
      </c>
      <c r="KFA3">
        <f>'[12]Summary Report - 12 Months Endi'!KEZ2</f>
        <v>0</v>
      </c>
      <c r="KFB3">
        <f>'[12]Summary Report - 12 Months Endi'!KFA2</f>
        <v>0</v>
      </c>
      <c r="KFC3">
        <f>'[12]Summary Report - 12 Months Endi'!KFB2</f>
        <v>0</v>
      </c>
      <c r="KFD3">
        <f>'[12]Summary Report - 12 Months Endi'!KFC2</f>
        <v>0</v>
      </c>
      <c r="KFE3">
        <f>'[12]Summary Report - 12 Months Endi'!KFD2</f>
        <v>0</v>
      </c>
      <c r="KFF3">
        <f>'[12]Summary Report - 12 Months Endi'!KFE2</f>
        <v>0</v>
      </c>
      <c r="KFG3">
        <f>'[12]Summary Report - 12 Months Endi'!KFF2</f>
        <v>0</v>
      </c>
      <c r="KFH3">
        <f>'[12]Summary Report - 12 Months Endi'!KFG2</f>
        <v>0</v>
      </c>
      <c r="KFI3">
        <f>'[12]Summary Report - 12 Months Endi'!KFH2</f>
        <v>0</v>
      </c>
      <c r="KFJ3">
        <f>'[12]Summary Report - 12 Months Endi'!KFI2</f>
        <v>0</v>
      </c>
      <c r="KFK3">
        <f>'[12]Summary Report - 12 Months Endi'!KFJ2</f>
        <v>0</v>
      </c>
      <c r="KFL3">
        <f>'[12]Summary Report - 12 Months Endi'!KFK2</f>
        <v>0</v>
      </c>
      <c r="KFM3">
        <f>'[12]Summary Report - 12 Months Endi'!KFL2</f>
        <v>0</v>
      </c>
      <c r="KFN3">
        <f>'[12]Summary Report - 12 Months Endi'!KFM2</f>
        <v>0</v>
      </c>
      <c r="KFO3">
        <f>'[12]Summary Report - 12 Months Endi'!KFN2</f>
        <v>0</v>
      </c>
      <c r="KFP3">
        <f>'[12]Summary Report - 12 Months Endi'!KFO2</f>
        <v>0</v>
      </c>
      <c r="KFQ3">
        <f>'[12]Summary Report - 12 Months Endi'!KFP2</f>
        <v>0</v>
      </c>
      <c r="KFR3">
        <f>'[12]Summary Report - 12 Months Endi'!KFQ2</f>
        <v>0</v>
      </c>
      <c r="KFS3">
        <f>'[12]Summary Report - 12 Months Endi'!KFR2</f>
        <v>0</v>
      </c>
      <c r="KFT3">
        <f>'[12]Summary Report - 12 Months Endi'!KFS2</f>
        <v>0</v>
      </c>
      <c r="KFU3">
        <f>'[12]Summary Report - 12 Months Endi'!KFT2</f>
        <v>0</v>
      </c>
      <c r="KFV3">
        <f>'[12]Summary Report - 12 Months Endi'!KFU2</f>
        <v>0</v>
      </c>
      <c r="KFW3">
        <f>'[12]Summary Report - 12 Months Endi'!KFV2</f>
        <v>0</v>
      </c>
      <c r="KFX3">
        <f>'[12]Summary Report - 12 Months Endi'!KFW2</f>
        <v>0</v>
      </c>
      <c r="KFY3">
        <f>'[12]Summary Report - 12 Months Endi'!KFX2</f>
        <v>0</v>
      </c>
      <c r="KFZ3">
        <f>'[12]Summary Report - 12 Months Endi'!KFY2</f>
        <v>0</v>
      </c>
      <c r="KGA3">
        <f>'[12]Summary Report - 12 Months Endi'!KFZ2</f>
        <v>0</v>
      </c>
      <c r="KGB3">
        <f>'[12]Summary Report - 12 Months Endi'!KGA2</f>
        <v>0</v>
      </c>
      <c r="KGC3">
        <f>'[12]Summary Report - 12 Months Endi'!KGB2</f>
        <v>0</v>
      </c>
      <c r="KGD3">
        <f>'[12]Summary Report - 12 Months Endi'!KGC2</f>
        <v>0</v>
      </c>
      <c r="KGE3">
        <f>'[12]Summary Report - 12 Months Endi'!KGD2</f>
        <v>0</v>
      </c>
      <c r="KGF3">
        <f>'[12]Summary Report - 12 Months Endi'!KGE2</f>
        <v>0</v>
      </c>
      <c r="KGG3">
        <f>'[12]Summary Report - 12 Months Endi'!KGF2</f>
        <v>0</v>
      </c>
      <c r="KGH3">
        <f>'[12]Summary Report - 12 Months Endi'!KGG2</f>
        <v>0</v>
      </c>
      <c r="KGI3">
        <f>'[12]Summary Report - 12 Months Endi'!KGH2</f>
        <v>0</v>
      </c>
      <c r="KGJ3">
        <f>'[12]Summary Report - 12 Months Endi'!KGI2</f>
        <v>0</v>
      </c>
      <c r="KGK3">
        <f>'[12]Summary Report - 12 Months Endi'!KGJ2</f>
        <v>0</v>
      </c>
      <c r="KGL3">
        <f>'[12]Summary Report - 12 Months Endi'!KGK2</f>
        <v>0</v>
      </c>
      <c r="KGM3">
        <f>'[12]Summary Report - 12 Months Endi'!KGL2</f>
        <v>0</v>
      </c>
      <c r="KGN3">
        <f>'[12]Summary Report - 12 Months Endi'!KGM2</f>
        <v>0</v>
      </c>
      <c r="KGO3">
        <f>'[12]Summary Report - 12 Months Endi'!KGN2</f>
        <v>0</v>
      </c>
      <c r="KGP3">
        <f>'[12]Summary Report - 12 Months Endi'!KGO2</f>
        <v>0</v>
      </c>
      <c r="KGQ3">
        <f>'[12]Summary Report - 12 Months Endi'!KGP2</f>
        <v>0</v>
      </c>
      <c r="KGR3">
        <f>'[12]Summary Report - 12 Months Endi'!KGQ2</f>
        <v>0</v>
      </c>
      <c r="KGS3">
        <f>'[12]Summary Report - 12 Months Endi'!KGR2</f>
        <v>0</v>
      </c>
      <c r="KGT3">
        <f>'[12]Summary Report - 12 Months Endi'!KGS2</f>
        <v>0</v>
      </c>
      <c r="KGU3">
        <f>'[12]Summary Report - 12 Months Endi'!KGT2</f>
        <v>0</v>
      </c>
      <c r="KGV3">
        <f>'[12]Summary Report - 12 Months Endi'!KGU2</f>
        <v>0</v>
      </c>
      <c r="KGW3">
        <f>'[12]Summary Report - 12 Months Endi'!KGV2</f>
        <v>0</v>
      </c>
      <c r="KGX3">
        <f>'[12]Summary Report - 12 Months Endi'!KGW2</f>
        <v>0</v>
      </c>
      <c r="KGY3">
        <f>'[12]Summary Report - 12 Months Endi'!KGX2</f>
        <v>0</v>
      </c>
      <c r="KGZ3">
        <f>'[12]Summary Report - 12 Months Endi'!KGY2</f>
        <v>0</v>
      </c>
      <c r="KHA3">
        <f>'[12]Summary Report - 12 Months Endi'!KGZ2</f>
        <v>0</v>
      </c>
      <c r="KHB3">
        <f>'[12]Summary Report - 12 Months Endi'!KHA2</f>
        <v>0</v>
      </c>
      <c r="KHC3">
        <f>'[12]Summary Report - 12 Months Endi'!KHB2</f>
        <v>0</v>
      </c>
      <c r="KHD3">
        <f>'[12]Summary Report - 12 Months Endi'!KHC2</f>
        <v>0</v>
      </c>
      <c r="KHE3">
        <f>'[12]Summary Report - 12 Months Endi'!KHD2</f>
        <v>0</v>
      </c>
      <c r="KHF3">
        <f>'[12]Summary Report - 12 Months Endi'!KHE2</f>
        <v>0</v>
      </c>
      <c r="KHG3">
        <f>'[12]Summary Report - 12 Months Endi'!KHF2</f>
        <v>0</v>
      </c>
      <c r="KHH3">
        <f>'[12]Summary Report - 12 Months Endi'!KHG2</f>
        <v>0</v>
      </c>
      <c r="KHI3">
        <f>'[12]Summary Report - 12 Months Endi'!KHH2</f>
        <v>0</v>
      </c>
      <c r="KHJ3">
        <f>'[12]Summary Report - 12 Months Endi'!KHI2</f>
        <v>0</v>
      </c>
      <c r="KHK3">
        <f>'[12]Summary Report - 12 Months Endi'!KHJ2</f>
        <v>0</v>
      </c>
      <c r="KHL3">
        <f>'[12]Summary Report - 12 Months Endi'!KHK2</f>
        <v>0</v>
      </c>
      <c r="KHM3">
        <f>'[12]Summary Report - 12 Months Endi'!KHL2</f>
        <v>0</v>
      </c>
      <c r="KHN3">
        <f>'[12]Summary Report - 12 Months Endi'!KHM2</f>
        <v>0</v>
      </c>
      <c r="KHO3">
        <f>'[12]Summary Report - 12 Months Endi'!KHN2</f>
        <v>0</v>
      </c>
      <c r="KHP3">
        <f>'[12]Summary Report - 12 Months Endi'!KHO2</f>
        <v>0</v>
      </c>
      <c r="KHQ3">
        <f>'[12]Summary Report - 12 Months Endi'!KHP2</f>
        <v>0</v>
      </c>
      <c r="KHR3">
        <f>'[12]Summary Report - 12 Months Endi'!KHQ2</f>
        <v>0</v>
      </c>
      <c r="KHS3">
        <f>'[12]Summary Report - 12 Months Endi'!KHR2</f>
        <v>0</v>
      </c>
      <c r="KHT3">
        <f>'[12]Summary Report - 12 Months Endi'!KHS2</f>
        <v>0</v>
      </c>
      <c r="KHU3">
        <f>'[12]Summary Report - 12 Months Endi'!KHT2</f>
        <v>0</v>
      </c>
      <c r="KHV3">
        <f>'[12]Summary Report - 12 Months Endi'!KHU2</f>
        <v>0</v>
      </c>
      <c r="KHW3">
        <f>'[12]Summary Report - 12 Months Endi'!KHV2</f>
        <v>0</v>
      </c>
      <c r="KHX3">
        <f>'[12]Summary Report - 12 Months Endi'!KHW2</f>
        <v>0</v>
      </c>
      <c r="KHY3">
        <f>'[12]Summary Report - 12 Months Endi'!KHX2</f>
        <v>0</v>
      </c>
      <c r="KHZ3">
        <f>'[12]Summary Report - 12 Months Endi'!KHY2</f>
        <v>0</v>
      </c>
      <c r="KIA3">
        <f>'[12]Summary Report - 12 Months Endi'!KHZ2</f>
        <v>0</v>
      </c>
      <c r="KIB3">
        <f>'[12]Summary Report - 12 Months Endi'!KIA2</f>
        <v>0</v>
      </c>
      <c r="KIC3">
        <f>'[12]Summary Report - 12 Months Endi'!KIB2</f>
        <v>0</v>
      </c>
      <c r="KID3">
        <f>'[12]Summary Report - 12 Months Endi'!KIC2</f>
        <v>0</v>
      </c>
      <c r="KIE3">
        <f>'[12]Summary Report - 12 Months Endi'!KID2</f>
        <v>0</v>
      </c>
      <c r="KIF3">
        <f>'[12]Summary Report - 12 Months Endi'!KIE2</f>
        <v>0</v>
      </c>
      <c r="KIG3">
        <f>'[12]Summary Report - 12 Months Endi'!KIF2</f>
        <v>0</v>
      </c>
      <c r="KIH3">
        <f>'[12]Summary Report - 12 Months Endi'!KIG2</f>
        <v>0</v>
      </c>
      <c r="KII3">
        <f>'[12]Summary Report - 12 Months Endi'!KIH2</f>
        <v>0</v>
      </c>
      <c r="KIJ3">
        <f>'[12]Summary Report - 12 Months Endi'!KII2</f>
        <v>0</v>
      </c>
      <c r="KIK3">
        <f>'[12]Summary Report - 12 Months Endi'!KIJ2</f>
        <v>0</v>
      </c>
      <c r="KIL3">
        <f>'[12]Summary Report - 12 Months Endi'!KIK2</f>
        <v>0</v>
      </c>
      <c r="KIM3">
        <f>'[12]Summary Report - 12 Months Endi'!KIL2</f>
        <v>0</v>
      </c>
      <c r="KIN3">
        <f>'[12]Summary Report - 12 Months Endi'!KIM2</f>
        <v>0</v>
      </c>
      <c r="KIO3">
        <f>'[12]Summary Report - 12 Months Endi'!KIN2</f>
        <v>0</v>
      </c>
      <c r="KIP3">
        <f>'[12]Summary Report - 12 Months Endi'!KIO2</f>
        <v>0</v>
      </c>
      <c r="KIQ3">
        <f>'[12]Summary Report - 12 Months Endi'!KIP2</f>
        <v>0</v>
      </c>
      <c r="KIR3">
        <f>'[12]Summary Report - 12 Months Endi'!KIQ2</f>
        <v>0</v>
      </c>
      <c r="KIS3">
        <f>'[12]Summary Report - 12 Months Endi'!KIR2</f>
        <v>0</v>
      </c>
      <c r="KIT3">
        <f>'[12]Summary Report - 12 Months Endi'!KIS2</f>
        <v>0</v>
      </c>
      <c r="KIU3">
        <f>'[12]Summary Report - 12 Months Endi'!KIT2</f>
        <v>0</v>
      </c>
      <c r="KIV3">
        <f>'[12]Summary Report - 12 Months Endi'!KIU2</f>
        <v>0</v>
      </c>
      <c r="KIW3">
        <f>'[12]Summary Report - 12 Months Endi'!KIV2</f>
        <v>0</v>
      </c>
      <c r="KIX3">
        <f>'[12]Summary Report - 12 Months Endi'!KIW2</f>
        <v>0</v>
      </c>
      <c r="KIY3">
        <f>'[12]Summary Report - 12 Months Endi'!KIX2</f>
        <v>0</v>
      </c>
      <c r="KIZ3">
        <f>'[12]Summary Report - 12 Months Endi'!KIY2</f>
        <v>0</v>
      </c>
      <c r="KJA3">
        <f>'[12]Summary Report - 12 Months Endi'!KIZ2</f>
        <v>0</v>
      </c>
      <c r="KJB3">
        <f>'[12]Summary Report - 12 Months Endi'!KJA2</f>
        <v>0</v>
      </c>
      <c r="KJC3">
        <f>'[12]Summary Report - 12 Months Endi'!KJB2</f>
        <v>0</v>
      </c>
      <c r="KJD3">
        <f>'[12]Summary Report - 12 Months Endi'!KJC2</f>
        <v>0</v>
      </c>
      <c r="KJE3">
        <f>'[12]Summary Report - 12 Months Endi'!KJD2</f>
        <v>0</v>
      </c>
      <c r="KJF3">
        <f>'[12]Summary Report - 12 Months Endi'!KJE2</f>
        <v>0</v>
      </c>
      <c r="KJG3">
        <f>'[12]Summary Report - 12 Months Endi'!KJF2</f>
        <v>0</v>
      </c>
      <c r="KJH3">
        <f>'[12]Summary Report - 12 Months Endi'!KJG2</f>
        <v>0</v>
      </c>
      <c r="KJI3">
        <f>'[12]Summary Report - 12 Months Endi'!KJH2</f>
        <v>0</v>
      </c>
      <c r="KJJ3">
        <f>'[12]Summary Report - 12 Months Endi'!KJI2</f>
        <v>0</v>
      </c>
      <c r="KJK3">
        <f>'[12]Summary Report - 12 Months Endi'!KJJ2</f>
        <v>0</v>
      </c>
      <c r="KJL3">
        <f>'[12]Summary Report - 12 Months Endi'!KJK2</f>
        <v>0</v>
      </c>
      <c r="KJM3">
        <f>'[12]Summary Report - 12 Months Endi'!KJL2</f>
        <v>0</v>
      </c>
      <c r="KJN3">
        <f>'[12]Summary Report - 12 Months Endi'!KJM2</f>
        <v>0</v>
      </c>
      <c r="KJO3">
        <f>'[12]Summary Report - 12 Months Endi'!KJN2</f>
        <v>0</v>
      </c>
      <c r="KJP3">
        <f>'[12]Summary Report - 12 Months Endi'!KJO2</f>
        <v>0</v>
      </c>
      <c r="KJQ3">
        <f>'[12]Summary Report - 12 Months Endi'!KJP2</f>
        <v>0</v>
      </c>
      <c r="KJR3">
        <f>'[12]Summary Report - 12 Months Endi'!KJQ2</f>
        <v>0</v>
      </c>
      <c r="KJS3">
        <f>'[12]Summary Report - 12 Months Endi'!KJR2</f>
        <v>0</v>
      </c>
      <c r="KJT3">
        <f>'[12]Summary Report - 12 Months Endi'!KJS2</f>
        <v>0</v>
      </c>
      <c r="KJU3">
        <f>'[12]Summary Report - 12 Months Endi'!KJT2</f>
        <v>0</v>
      </c>
      <c r="KJV3">
        <f>'[12]Summary Report - 12 Months Endi'!KJU2</f>
        <v>0</v>
      </c>
      <c r="KJW3">
        <f>'[12]Summary Report - 12 Months Endi'!KJV2</f>
        <v>0</v>
      </c>
      <c r="KJX3">
        <f>'[12]Summary Report - 12 Months Endi'!KJW2</f>
        <v>0</v>
      </c>
      <c r="KJY3">
        <f>'[12]Summary Report - 12 Months Endi'!KJX2</f>
        <v>0</v>
      </c>
      <c r="KJZ3">
        <f>'[12]Summary Report - 12 Months Endi'!KJY2</f>
        <v>0</v>
      </c>
      <c r="KKA3">
        <f>'[12]Summary Report - 12 Months Endi'!KJZ2</f>
        <v>0</v>
      </c>
      <c r="KKB3">
        <f>'[12]Summary Report - 12 Months Endi'!KKA2</f>
        <v>0</v>
      </c>
      <c r="KKC3">
        <f>'[12]Summary Report - 12 Months Endi'!KKB2</f>
        <v>0</v>
      </c>
      <c r="KKD3">
        <f>'[12]Summary Report - 12 Months Endi'!KKC2</f>
        <v>0</v>
      </c>
      <c r="KKE3">
        <f>'[12]Summary Report - 12 Months Endi'!KKD2</f>
        <v>0</v>
      </c>
      <c r="KKF3">
        <f>'[12]Summary Report - 12 Months Endi'!KKE2</f>
        <v>0</v>
      </c>
      <c r="KKG3">
        <f>'[12]Summary Report - 12 Months Endi'!KKF2</f>
        <v>0</v>
      </c>
      <c r="KKH3">
        <f>'[12]Summary Report - 12 Months Endi'!KKG2</f>
        <v>0</v>
      </c>
      <c r="KKI3">
        <f>'[12]Summary Report - 12 Months Endi'!KKH2</f>
        <v>0</v>
      </c>
      <c r="KKJ3">
        <f>'[12]Summary Report - 12 Months Endi'!KKI2</f>
        <v>0</v>
      </c>
      <c r="KKK3">
        <f>'[12]Summary Report - 12 Months Endi'!KKJ2</f>
        <v>0</v>
      </c>
      <c r="KKL3">
        <f>'[12]Summary Report - 12 Months Endi'!KKK2</f>
        <v>0</v>
      </c>
      <c r="KKM3">
        <f>'[12]Summary Report - 12 Months Endi'!KKL2</f>
        <v>0</v>
      </c>
      <c r="KKN3">
        <f>'[12]Summary Report - 12 Months Endi'!KKM2</f>
        <v>0</v>
      </c>
      <c r="KKO3">
        <f>'[12]Summary Report - 12 Months Endi'!KKN2</f>
        <v>0</v>
      </c>
      <c r="KKP3">
        <f>'[12]Summary Report - 12 Months Endi'!KKO2</f>
        <v>0</v>
      </c>
      <c r="KKQ3">
        <f>'[12]Summary Report - 12 Months Endi'!KKP2</f>
        <v>0</v>
      </c>
      <c r="KKR3">
        <f>'[12]Summary Report - 12 Months Endi'!KKQ2</f>
        <v>0</v>
      </c>
      <c r="KKS3">
        <f>'[12]Summary Report - 12 Months Endi'!KKR2</f>
        <v>0</v>
      </c>
      <c r="KKT3">
        <f>'[12]Summary Report - 12 Months Endi'!KKS2</f>
        <v>0</v>
      </c>
      <c r="KKU3">
        <f>'[12]Summary Report - 12 Months Endi'!KKT2</f>
        <v>0</v>
      </c>
      <c r="KKV3">
        <f>'[12]Summary Report - 12 Months Endi'!KKU2</f>
        <v>0</v>
      </c>
      <c r="KKW3">
        <f>'[12]Summary Report - 12 Months Endi'!KKV2</f>
        <v>0</v>
      </c>
      <c r="KKX3">
        <f>'[12]Summary Report - 12 Months Endi'!KKW2</f>
        <v>0</v>
      </c>
      <c r="KKY3">
        <f>'[12]Summary Report - 12 Months Endi'!KKX2</f>
        <v>0</v>
      </c>
      <c r="KKZ3">
        <f>'[12]Summary Report - 12 Months Endi'!KKY2</f>
        <v>0</v>
      </c>
      <c r="KLA3">
        <f>'[12]Summary Report - 12 Months Endi'!KKZ2</f>
        <v>0</v>
      </c>
      <c r="KLB3">
        <f>'[12]Summary Report - 12 Months Endi'!KLA2</f>
        <v>0</v>
      </c>
      <c r="KLC3">
        <f>'[12]Summary Report - 12 Months Endi'!KLB2</f>
        <v>0</v>
      </c>
      <c r="KLD3">
        <f>'[12]Summary Report - 12 Months Endi'!KLC2</f>
        <v>0</v>
      </c>
      <c r="KLE3">
        <f>'[12]Summary Report - 12 Months Endi'!KLD2</f>
        <v>0</v>
      </c>
      <c r="KLF3">
        <f>'[12]Summary Report - 12 Months Endi'!KLE2</f>
        <v>0</v>
      </c>
      <c r="KLG3">
        <f>'[12]Summary Report - 12 Months Endi'!KLF2</f>
        <v>0</v>
      </c>
      <c r="KLH3">
        <f>'[12]Summary Report - 12 Months Endi'!KLG2</f>
        <v>0</v>
      </c>
      <c r="KLI3">
        <f>'[12]Summary Report - 12 Months Endi'!KLH2</f>
        <v>0</v>
      </c>
      <c r="KLJ3">
        <f>'[12]Summary Report - 12 Months Endi'!KLI2</f>
        <v>0</v>
      </c>
      <c r="KLK3">
        <f>'[12]Summary Report - 12 Months Endi'!KLJ2</f>
        <v>0</v>
      </c>
      <c r="KLL3">
        <f>'[12]Summary Report - 12 Months Endi'!KLK2</f>
        <v>0</v>
      </c>
      <c r="KLM3">
        <f>'[12]Summary Report - 12 Months Endi'!KLL2</f>
        <v>0</v>
      </c>
      <c r="KLN3">
        <f>'[12]Summary Report - 12 Months Endi'!KLM2</f>
        <v>0</v>
      </c>
      <c r="KLO3">
        <f>'[12]Summary Report - 12 Months Endi'!KLN2</f>
        <v>0</v>
      </c>
      <c r="KLP3">
        <f>'[12]Summary Report - 12 Months Endi'!KLO2</f>
        <v>0</v>
      </c>
      <c r="KLQ3">
        <f>'[12]Summary Report - 12 Months Endi'!KLP2</f>
        <v>0</v>
      </c>
      <c r="KLR3">
        <f>'[12]Summary Report - 12 Months Endi'!KLQ2</f>
        <v>0</v>
      </c>
      <c r="KLS3">
        <f>'[12]Summary Report - 12 Months Endi'!KLR2</f>
        <v>0</v>
      </c>
      <c r="KLT3">
        <f>'[12]Summary Report - 12 Months Endi'!KLS2</f>
        <v>0</v>
      </c>
      <c r="KLU3">
        <f>'[12]Summary Report - 12 Months Endi'!KLT2</f>
        <v>0</v>
      </c>
      <c r="KLV3">
        <f>'[12]Summary Report - 12 Months Endi'!KLU2</f>
        <v>0</v>
      </c>
      <c r="KLW3">
        <f>'[12]Summary Report - 12 Months Endi'!KLV2</f>
        <v>0</v>
      </c>
      <c r="KLX3">
        <f>'[12]Summary Report - 12 Months Endi'!KLW2</f>
        <v>0</v>
      </c>
      <c r="KLY3">
        <f>'[12]Summary Report - 12 Months Endi'!KLX2</f>
        <v>0</v>
      </c>
      <c r="KLZ3">
        <f>'[12]Summary Report - 12 Months Endi'!KLY2</f>
        <v>0</v>
      </c>
      <c r="KMA3">
        <f>'[12]Summary Report - 12 Months Endi'!KLZ2</f>
        <v>0</v>
      </c>
      <c r="KMB3">
        <f>'[12]Summary Report - 12 Months Endi'!KMA2</f>
        <v>0</v>
      </c>
      <c r="KMC3">
        <f>'[12]Summary Report - 12 Months Endi'!KMB2</f>
        <v>0</v>
      </c>
      <c r="KMD3">
        <f>'[12]Summary Report - 12 Months Endi'!KMC2</f>
        <v>0</v>
      </c>
      <c r="KME3">
        <f>'[12]Summary Report - 12 Months Endi'!KMD2</f>
        <v>0</v>
      </c>
      <c r="KMF3">
        <f>'[12]Summary Report - 12 Months Endi'!KME2</f>
        <v>0</v>
      </c>
      <c r="KMG3">
        <f>'[12]Summary Report - 12 Months Endi'!KMF2</f>
        <v>0</v>
      </c>
      <c r="KMH3">
        <f>'[12]Summary Report - 12 Months Endi'!KMG2</f>
        <v>0</v>
      </c>
      <c r="KMI3">
        <f>'[12]Summary Report - 12 Months Endi'!KMH2</f>
        <v>0</v>
      </c>
      <c r="KMJ3">
        <f>'[12]Summary Report - 12 Months Endi'!KMI2</f>
        <v>0</v>
      </c>
      <c r="KMK3">
        <f>'[12]Summary Report - 12 Months Endi'!KMJ2</f>
        <v>0</v>
      </c>
      <c r="KML3">
        <f>'[12]Summary Report - 12 Months Endi'!KMK2</f>
        <v>0</v>
      </c>
      <c r="KMM3">
        <f>'[12]Summary Report - 12 Months Endi'!KML2</f>
        <v>0</v>
      </c>
      <c r="KMN3">
        <f>'[12]Summary Report - 12 Months Endi'!KMM2</f>
        <v>0</v>
      </c>
      <c r="KMO3">
        <f>'[12]Summary Report - 12 Months Endi'!KMN2</f>
        <v>0</v>
      </c>
      <c r="KMP3">
        <f>'[12]Summary Report - 12 Months Endi'!KMO2</f>
        <v>0</v>
      </c>
      <c r="KMQ3">
        <f>'[12]Summary Report - 12 Months Endi'!KMP2</f>
        <v>0</v>
      </c>
      <c r="KMR3">
        <f>'[12]Summary Report - 12 Months Endi'!KMQ2</f>
        <v>0</v>
      </c>
      <c r="KMS3">
        <f>'[12]Summary Report - 12 Months Endi'!KMR2</f>
        <v>0</v>
      </c>
      <c r="KMT3">
        <f>'[12]Summary Report - 12 Months Endi'!KMS2</f>
        <v>0</v>
      </c>
      <c r="KMU3">
        <f>'[12]Summary Report - 12 Months Endi'!KMT2</f>
        <v>0</v>
      </c>
      <c r="KMV3">
        <f>'[12]Summary Report - 12 Months Endi'!KMU2</f>
        <v>0</v>
      </c>
      <c r="KMW3">
        <f>'[12]Summary Report - 12 Months Endi'!KMV2</f>
        <v>0</v>
      </c>
      <c r="KMX3">
        <f>'[12]Summary Report - 12 Months Endi'!KMW2</f>
        <v>0</v>
      </c>
      <c r="KMY3">
        <f>'[12]Summary Report - 12 Months Endi'!KMX2</f>
        <v>0</v>
      </c>
      <c r="KMZ3">
        <f>'[12]Summary Report - 12 Months Endi'!KMY2</f>
        <v>0</v>
      </c>
      <c r="KNA3">
        <f>'[12]Summary Report - 12 Months Endi'!KMZ2</f>
        <v>0</v>
      </c>
      <c r="KNB3">
        <f>'[12]Summary Report - 12 Months Endi'!KNA2</f>
        <v>0</v>
      </c>
      <c r="KNC3">
        <f>'[12]Summary Report - 12 Months Endi'!KNB2</f>
        <v>0</v>
      </c>
      <c r="KND3">
        <f>'[12]Summary Report - 12 Months Endi'!KNC2</f>
        <v>0</v>
      </c>
      <c r="KNE3">
        <f>'[12]Summary Report - 12 Months Endi'!KND2</f>
        <v>0</v>
      </c>
      <c r="KNF3">
        <f>'[12]Summary Report - 12 Months Endi'!KNE2</f>
        <v>0</v>
      </c>
      <c r="KNG3">
        <f>'[12]Summary Report - 12 Months Endi'!KNF2</f>
        <v>0</v>
      </c>
      <c r="KNH3">
        <f>'[12]Summary Report - 12 Months Endi'!KNG2</f>
        <v>0</v>
      </c>
      <c r="KNI3">
        <f>'[12]Summary Report - 12 Months Endi'!KNH2</f>
        <v>0</v>
      </c>
      <c r="KNJ3">
        <f>'[12]Summary Report - 12 Months Endi'!KNI2</f>
        <v>0</v>
      </c>
      <c r="KNK3">
        <f>'[12]Summary Report - 12 Months Endi'!KNJ2</f>
        <v>0</v>
      </c>
      <c r="KNL3">
        <f>'[12]Summary Report - 12 Months Endi'!KNK2</f>
        <v>0</v>
      </c>
      <c r="KNM3">
        <f>'[12]Summary Report - 12 Months Endi'!KNL2</f>
        <v>0</v>
      </c>
      <c r="KNN3">
        <f>'[12]Summary Report - 12 Months Endi'!KNM2</f>
        <v>0</v>
      </c>
      <c r="KNO3">
        <f>'[12]Summary Report - 12 Months Endi'!KNN2</f>
        <v>0</v>
      </c>
      <c r="KNP3">
        <f>'[12]Summary Report - 12 Months Endi'!KNO2</f>
        <v>0</v>
      </c>
      <c r="KNQ3">
        <f>'[12]Summary Report - 12 Months Endi'!KNP2</f>
        <v>0</v>
      </c>
      <c r="KNR3">
        <f>'[12]Summary Report - 12 Months Endi'!KNQ2</f>
        <v>0</v>
      </c>
      <c r="KNS3">
        <f>'[12]Summary Report - 12 Months Endi'!KNR2</f>
        <v>0</v>
      </c>
      <c r="KNT3">
        <f>'[12]Summary Report - 12 Months Endi'!KNS2</f>
        <v>0</v>
      </c>
      <c r="KNU3">
        <f>'[12]Summary Report - 12 Months Endi'!KNT2</f>
        <v>0</v>
      </c>
      <c r="KNV3">
        <f>'[12]Summary Report - 12 Months Endi'!KNU2</f>
        <v>0</v>
      </c>
      <c r="KNW3">
        <f>'[12]Summary Report - 12 Months Endi'!KNV2</f>
        <v>0</v>
      </c>
      <c r="KNX3">
        <f>'[12]Summary Report - 12 Months Endi'!KNW2</f>
        <v>0</v>
      </c>
      <c r="KNY3">
        <f>'[12]Summary Report - 12 Months Endi'!KNX2</f>
        <v>0</v>
      </c>
      <c r="KNZ3">
        <f>'[12]Summary Report - 12 Months Endi'!KNY2</f>
        <v>0</v>
      </c>
      <c r="KOA3">
        <f>'[12]Summary Report - 12 Months Endi'!KNZ2</f>
        <v>0</v>
      </c>
      <c r="KOB3">
        <f>'[12]Summary Report - 12 Months Endi'!KOA2</f>
        <v>0</v>
      </c>
      <c r="KOC3">
        <f>'[12]Summary Report - 12 Months Endi'!KOB2</f>
        <v>0</v>
      </c>
      <c r="KOD3">
        <f>'[12]Summary Report - 12 Months Endi'!KOC2</f>
        <v>0</v>
      </c>
      <c r="KOE3">
        <f>'[12]Summary Report - 12 Months Endi'!KOD2</f>
        <v>0</v>
      </c>
      <c r="KOF3">
        <f>'[12]Summary Report - 12 Months Endi'!KOE2</f>
        <v>0</v>
      </c>
      <c r="KOG3">
        <f>'[12]Summary Report - 12 Months Endi'!KOF2</f>
        <v>0</v>
      </c>
      <c r="KOH3">
        <f>'[12]Summary Report - 12 Months Endi'!KOG2</f>
        <v>0</v>
      </c>
      <c r="KOI3">
        <f>'[12]Summary Report - 12 Months Endi'!KOH2</f>
        <v>0</v>
      </c>
      <c r="KOJ3">
        <f>'[12]Summary Report - 12 Months Endi'!KOI2</f>
        <v>0</v>
      </c>
      <c r="KOK3">
        <f>'[12]Summary Report - 12 Months Endi'!KOJ2</f>
        <v>0</v>
      </c>
      <c r="KOL3">
        <f>'[12]Summary Report - 12 Months Endi'!KOK2</f>
        <v>0</v>
      </c>
      <c r="KOM3">
        <f>'[12]Summary Report - 12 Months Endi'!KOL2</f>
        <v>0</v>
      </c>
      <c r="KON3">
        <f>'[12]Summary Report - 12 Months Endi'!KOM2</f>
        <v>0</v>
      </c>
      <c r="KOO3">
        <f>'[12]Summary Report - 12 Months Endi'!KON2</f>
        <v>0</v>
      </c>
      <c r="KOP3">
        <f>'[12]Summary Report - 12 Months Endi'!KOO2</f>
        <v>0</v>
      </c>
      <c r="KOQ3">
        <f>'[12]Summary Report - 12 Months Endi'!KOP2</f>
        <v>0</v>
      </c>
      <c r="KOR3">
        <f>'[12]Summary Report - 12 Months Endi'!KOQ2</f>
        <v>0</v>
      </c>
      <c r="KOS3">
        <f>'[12]Summary Report - 12 Months Endi'!KOR2</f>
        <v>0</v>
      </c>
      <c r="KOT3">
        <f>'[12]Summary Report - 12 Months Endi'!KOS2</f>
        <v>0</v>
      </c>
      <c r="KOU3">
        <f>'[12]Summary Report - 12 Months Endi'!KOT2</f>
        <v>0</v>
      </c>
      <c r="KOV3">
        <f>'[12]Summary Report - 12 Months Endi'!KOU2</f>
        <v>0</v>
      </c>
      <c r="KOW3">
        <f>'[12]Summary Report - 12 Months Endi'!KOV2</f>
        <v>0</v>
      </c>
      <c r="KOX3">
        <f>'[12]Summary Report - 12 Months Endi'!KOW2</f>
        <v>0</v>
      </c>
      <c r="KOY3">
        <f>'[12]Summary Report - 12 Months Endi'!KOX2</f>
        <v>0</v>
      </c>
      <c r="KOZ3">
        <f>'[12]Summary Report - 12 Months Endi'!KOY2</f>
        <v>0</v>
      </c>
      <c r="KPA3">
        <f>'[12]Summary Report - 12 Months Endi'!KOZ2</f>
        <v>0</v>
      </c>
      <c r="KPB3">
        <f>'[12]Summary Report - 12 Months Endi'!KPA2</f>
        <v>0</v>
      </c>
      <c r="KPC3">
        <f>'[12]Summary Report - 12 Months Endi'!KPB2</f>
        <v>0</v>
      </c>
      <c r="KPD3">
        <f>'[12]Summary Report - 12 Months Endi'!KPC2</f>
        <v>0</v>
      </c>
      <c r="KPE3">
        <f>'[12]Summary Report - 12 Months Endi'!KPD2</f>
        <v>0</v>
      </c>
      <c r="KPF3">
        <f>'[12]Summary Report - 12 Months Endi'!KPE2</f>
        <v>0</v>
      </c>
      <c r="KPG3">
        <f>'[12]Summary Report - 12 Months Endi'!KPF2</f>
        <v>0</v>
      </c>
      <c r="KPH3">
        <f>'[12]Summary Report - 12 Months Endi'!KPG2</f>
        <v>0</v>
      </c>
      <c r="KPI3">
        <f>'[12]Summary Report - 12 Months Endi'!KPH2</f>
        <v>0</v>
      </c>
      <c r="KPJ3">
        <f>'[12]Summary Report - 12 Months Endi'!KPI2</f>
        <v>0</v>
      </c>
      <c r="KPK3">
        <f>'[12]Summary Report - 12 Months Endi'!KPJ2</f>
        <v>0</v>
      </c>
      <c r="KPL3">
        <f>'[12]Summary Report - 12 Months Endi'!KPK2</f>
        <v>0</v>
      </c>
      <c r="KPM3">
        <f>'[12]Summary Report - 12 Months Endi'!KPL2</f>
        <v>0</v>
      </c>
      <c r="KPN3">
        <f>'[12]Summary Report - 12 Months Endi'!KPM2</f>
        <v>0</v>
      </c>
      <c r="KPO3">
        <f>'[12]Summary Report - 12 Months Endi'!KPN2</f>
        <v>0</v>
      </c>
      <c r="KPP3">
        <f>'[12]Summary Report - 12 Months Endi'!KPO2</f>
        <v>0</v>
      </c>
      <c r="KPQ3">
        <f>'[12]Summary Report - 12 Months Endi'!KPP2</f>
        <v>0</v>
      </c>
      <c r="KPR3">
        <f>'[12]Summary Report - 12 Months Endi'!KPQ2</f>
        <v>0</v>
      </c>
      <c r="KPS3">
        <f>'[12]Summary Report - 12 Months Endi'!KPR2</f>
        <v>0</v>
      </c>
      <c r="KPT3">
        <f>'[12]Summary Report - 12 Months Endi'!KPS2</f>
        <v>0</v>
      </c>
      <c r="KPU3">
        <f>'[12]Summary Report - 12 Months Endi'!KPT2</f>
        <v>0</v>
      </c>
      <c r="KPV3">
        <f>'[12]Summary Report - 12 Months Endi'!KPU2</f>
        <v>0</v>
      </c>
      <c r="KPW3">
        <f>'[12]Summary Report - 12 Months Endi'!KPV2</f>
        <v>0</v>
      </c>
      <c r="KPX3">
        <f>'[12]Summary Report - 12 Months Endi'!KPW2</f>
        <v>0</v>
      </c>
      <c r="KPY3">
        <f>'[12]Summary Report - 12 Months Endi'!KPX2</f>
        <v>0</v>
      </c>
      <c r="KPZ3">
        <f>'[12]Summary Report - 12 Months Endi'!KPY2</f>
        <v>0</v>
      </c>
      <c r="KQA3">
        <f>'[12]Summary Report - 12 Months Endi'!KPZ2</f>
        <v>0</v>
      </c>
      <c r="KQB3">
        <f>'[12]Summary Report - 12 Months Endi'!KQA2</f>
        <v>0</v>
      </c>
      <c r="KQC3">
        <f>'[12]Summary Report - 12 Months Endi'!KQB2</f>
        <v>0</v>
      </c>
      <c r="KQD3">
        <f>'[12]Summary Report - 12 Months Endi'!KQC2</f>
        <v>0</v>
      </c>
      <c r="KQE3">
        <f>'[12]Summary Report - 12 Months Endi'!KQD2</f>
        <v>0</v>
      </c>
      <c r="KQF3">
        <f>'[12]Summary Report - 12 Months Endi'!KQE2</f>
        <v>0</v>
      </c>
      <c r="KQG3">
        <f>'[12]Summary Report - 12 Months Endi'!KQF2</f>
        <v>0</v>
      </c>
      <c r="KQH3">
        <f>'[12]Summary Report - 12 Months Endi'!KQG2</f>
        <v>0</v>
      </c>
      <c r="KQI3">
        <f>'[12]Summary Report - 12 Months Endi'!KQH2</f>
        <v>0</v>
      </c>
      <c r="KQJ3">
        <f>'[12]Summary Report - 12 Months Endi'!KQI2</f>
        <v>0</v>
      </c>
      <c r="KQK3">
        <f>'[12]Summary Report - 12 Months Endi'!KQJ2</f>
        <v>0</v>
      </c>
      <c r="KQL3">
        <f>'[12]Summary Report - 12 Months Endi'!KQK2</f>
        <v>0</v>
      </c>
      <c r="KQM3">
        <f>'[12]Summary Report - 12 Months Endi'!KQL2</f>
        <v>0</v>
      </c>
      <c r="KQN3">
        <f>'[12]Summary Report - 12 Months Endi'!KQM2</f>
        <v>0</v>
      </c>
      <c r="KQO3">
        <f>'[12]Summary Report - 12 Months Endi'!KQN2</f>
        <v>0</v>
      </c>
      <c r="KQP3">
        <f>'[12]Summary Report - 12 Months Endi'!KQO2</f>
        <v>0</v>
      </c>
      <c r="KQQ3">
        <f>'[12]Summary Report - 12 Months Endi'!KQP2</f>
        <v>0</v>
      </c>
      <c r="KQR3">
        <f>'[12]Summary Report - 12 Months Endi'!KQQ2</f>
        <v>0</v>
      </c>
      <c r="KQS3">
        <f>'[12]Summary Report - 12 Months Endi'!KQR2</f>
        <v>0</v>
      </c>
      <c r="KQT3">
        <f>'[12]Summary Report - 12 Months Endi'!KQS2</f>
        <v>0</v>
      </c>
      <c r="KQU3">
        <f>'[12]Summary Report - 12 Months Endi'!KQT2</f>
        <v>0</v>
      </c>
      <c r="KQV3">
        <f>'[12]Summary Report - 12 Months Endi'!KQU2</f>
        <v>0</v>
      </c>
      <c r="KQW3">
        <f>'[12]Summary Report - 12 Months Endi'!KQV2</f>
        <v>0</v>
      </c>
      <c r="KQX3">
        <f>'[12]Summary Report - 12 Months Endi'!KQW2</f>
        <v>0</v>
      </c>
      <c r="KQY3">
        <f>'[12]Summary Report - 12 Months Endi'!KQX2</f>
        <v>0</v>
      </c>
      <c r="KQZ3">
        <f>'[12]Summary Report - 12 Months Endi'!KQY2</f>
        <v>0</v>
      </c>
      <c r="KRA3">
        <f>'[12]Summary Report - 12 Months Endi'!KQZ2</f>
        <v>0</v>
      </c>
      <c r="KRB3">
        <f>'[12]Summary Report - 12 Months Endi'!KRA2</f>
        <v>0</v>
      </c>
      <c r="KRC3">
        <f>'[12]Summary Report - 12 Months Endi'!KRB2</f>
        <v>0</v>
      </c>
      <c r="KRD3">
        <f>'[12]Summary Report - 12 Months Endi'!KRC2</f>
        <v>0</v>
      </c>
      <c r="KRE3">
        <f>'[12]Summary Report - 12 Months Endi'!KRD2</f>
        <v>0</v>
      </c>
      <c r="KRF3">
        <f>'[12]Summary Report - 12 Months Endi'!KRE2</f>
        <v>0</v>
      </c>
      <c r="KRG3">
        <f>'[12]Summary Report - 12 Months Endi'!KRF2</f>
        <v>0</v>
      </c>
      <c r="KRH3">
        <f>'[12]Summary Report - 12 Months Endi'!KRG2</f>
        <v>0</v>
      </c>
      <c r="KRI3">
        <f>'[12]Summary Report - 12 Months Endi'!KRH2</f>
        <v>0</v>
      </c>
      <c r="KRJ3">
        <f>'[12]Summary Report - 12 Months Endi'!KRI2</f>
        <v>0</v>
      </c>
      <c r="KRK3">
        <f>'[12]Summary Report - 12 Months Endi'!KRJ2</f>
        <v>0</v>
      </c>
      <c r="KRL3">
        <f>'[12]Summary Report - 12 Months Endi'!KRK2</f>
        <v>0</v>
      </c>
      <c r="KRM3">
        <f>'[12]Summary Report - 12 Months Endi'!KRL2</f>
        <v>0</v>
      </c>
      <c r="KRN3">
        <f>'[12]Summary Report - 12 Months Endi'!KRM2</f>
        <v>0</v>
      </c>
      <c r="KRO3">
        <f>'[12]Summary Report - 12 Months Endi'!KRN2</f>
        <v>0</v>
      </c>
      <c r="KRP3">
        <f>'[12]Summary Report - 12 Months Endi'!KRO2</f>
        <v>0</v>
      </c>
      <c r="KRQ3">
        <f>'[12]Summary Report - 12 Months Endi'!KRP2</f>
        <v>0</v>
      </c>
      <c r="KRR3">
        <f>'[12]Summary Report - 12 Months Endi'!KRQ2</f>
        <v>0</v>
      </c>
      <c r="KRS3">
        <f>'[12]Summary Report - 12 Months Endi'!KRR2</f>
        <v>0</v>
      </c>
      <c r="KRT3">
        <f>'[12]Summary Report - 12 Months Endi'!KRS2</f>
        <v>0</v>
      </c>
      <c r="KRU3">
        <f>'[12]Summary Report - 12 Months Endi'!KRT2</f>
        <v>0</v>
      </c>
      <c r="KRV3">
        <f>'[12]Summary Report - 12 Months Endi'!KRU2</f>
        <v>0</v>
      </c>
      <c r="KRW3">
        <f>'[12]Summary Report - 12 Months Endi'!KRV2</f>
        <v>0</v>
      </c>
      <c r="KRX3">
        <f>'[12]Summary Report - 12 Months Endi'!KRW2</f>
        <v>0</v>
      </c>
      <c r="KRY3">
        <f>'[12]Summary Report - 12 Months Endi'!KRX2</f>
        <v>0</v>
      </c>
      <c r="KRZ3">
        <f>'[12]Summary Report - 12 Months Endi'!KRY2</f>
        <v>0</v>
      </c>
      <c r="KSA3">
        <f>'[12]Summary Report - 12 Months Endi'!KRZ2</f>
        <v>0</v>
      </c>
      <c r="KSB3">
        <f>'[12]Summary Report - 12 Months Endi'!KSA2</f>
        <v>0</v>
      </c>
      <c r="KSC3">
        <f>'[12]Summary Report - 12 Months Endi'!KSB2</f>
        <v>0</v>
      </c>
      <c r="KSD3">
        <f>'[12]Summary Report - 12 Months Endi'!KSC2</f>
        <v>0</v>
      </c>
      <c r="KSE3">
        <f>'[12]Summary Report - 12 Months Endi'!KSD2</f>
        <v>0</v>
      </c>
      <c r="KSF3">
        <f>'[12]Summary Report - 12 Months Endi'!KSE2</f>
        <v>0</v>
      </c>
      <c r="KSG3">
        <f>'[12]Summary Report - 12 Months Endi'!KSF2</f>
        <v>0</v>
      </c>
      <c r="KSH3">
        <f>'[12]Summary Report - 12 Months Endi'!KSG2</f>
        <v>0</v>
      </c>
      <c r="KSI3">
        <f>'[12]Summary Report - 12 Months Endi'!KSH2</f>
        <v>0</v>
      </c>
      <c r="KSJ3">
        <f>'[12]Summary Report - 12 Months Endi'!KSI2</f>
        <v>0</v>
      </c>
      <c r="KSK3">
        <f>'[12]Summary Report - 12 Months Endi'!KSJ2</f>
        <v>0</v>
      </c>
      <c r="KSL3">
        <f>'[12]Summary Report - 12 Months Endi'!KSK2</f>
        <v>0</v>
      </c>
      <c r="KSM3">
        <f>'[12]Summary Report - 12 Months Endi'!KSL2</f>
        <v>0</v>
      </c>
      <c r="KSN3">
        <f>'[12]Summary Report - 12 Months Endi'!KSM2</f>
        <v>0</v>
      </c>
      <c r="KSO3">
        <f>'[12]Summary Report - 12 Months Endi'!KSN2</f>
        <v>0</v>
      </c>
      <c r="KSP3">
        <f>'[12]Summary Report - 12 Months Endi'!KSO2</f>
        <v>0</v>
      </c>
      <c r="KSQ3">
        <f>'[12]Summary Report - 12 Months Endi'!KSP2</f>
        <v>0</v>
      </c>
      <c r="KSR3">
        <f>'[12]Summary Report - 12 Months Endi'!KSQ2</f>
        <v>0</v>
      </c>
      <c r="KSS3">
        <f>'[12]Summary Report - 12 Months Endi'!KSR2</f>
        <v>0</v>
      </c>
      <c r="KST3">
        <f>'[12]Summary Report - 12 Months Endi'!KSS2</f>
        <v>0</v>
      </c>
      <c r="KSU3">
        <f>'[12]Summary Report - 12 Months Endi'!KST2</f>
        <v>0</v>
      </c>
      <c r="KSV3">
        <f>'[12]Summary Report - 12 Months Endi'!KSU2</f>
        <v>0</v>
      </c>
      <c r="KSW3">
        <f>'[12]Summary Report - 12 Months Endi'!KSV2</f>
        <v>0</v>
      </c>
      <c r="KSX3">
        <f>'[12]Summary Report - 12 Months Endi'!KSW2</f>
        <v>0</v>
      </c>
      <c r="KSY3">
        <f>'[12]Summary Report - 12 Months Endi'!KSX2</f>
        <v>0</v>
      </c>
      <c r="KSZ3">
        <f>'[12]Summary Report - 12 Months Endi'!KSY2</f>
        <v>0</v>
      </c>
      <c r="KTA3">
        <f>'[12]Summary Report - 12 Months Endi'!KSZ2</f>
        <v>0</v>
      </c>
      <c r="KTB3">
        <f>'[12]Summary Report - 12 Months Endi'!KTA2</f>
        <v>0</v>
      </c>
      <c r="KTC3">
        <f>'[12]Summary Report - 12 Months Endi'!KTB2</f>
        <v>0</v>
      </c>
      <c r="KTD3">
        <f>'[12]Summary Report - 12 Months Endi'!KTC2</f>
        <v>0</v>
      </c>
      <c r="KTE3">
        <f>'[12]Summary Report - 12 Months Endi'!KTD2</f>
        <v>0</v>
      </c>
      <c r="KTF3">
        <f>'[12]Summary Report - 12 Months Endi'!KTE2</f>
        <v>0</v>
      </c>
      <c r="KTG3">
        <f>'[12]Summary Report - 12 Months Endi'!KTF2</f>
        <v>0</v>
      </c>
      <c r="KTH3">
        <f>'[12]Summary Report - 12 Months Endi'!KTG2</f>
        <v>0</v>
      </c>
      <c r="KTI3">
        <f>'[12]Summary Report - 12 Months Endi'!KTH2</f>
        <v>0</v>
      </c>
      <c r="KTJ3">
        <f>'[12]Summary Report - 12 Months Endi'!KTI2</f>
        <v>0</v>
      </c>
      <c r="KTK3">
        <f>'[12]Summary Report - 12 Months Endi'!KTJ2</f>
        <v>0</v>
      </c>
      <c r="KTL3">
        <f>'[12]Summary Report - 12 Months Endi'!KTK2</f>
        <v>0</v>
      </c>
      <c r="KTM3">
        <f>'[12]Summary Report - 12 Months Endi'!KTL2</f>
        <v>0</v>
      </c>
      <c r="KTN3">
        <f>'[12]Summary Report - 12 Months Endi'!KTM2</f>
        <v>0</v>
      </c>
      <c r="KTO3">
        <f>'[12]Summary Report - 12 Months Endi'!KTN2</f>
        <v>0</v>
      </c>
      <c r="KTP3">
        <f>'[12]Summary Report - 12 Months Endi'!KTO2</f>
        <v>0</v>
      </c>
      <c r="KTQ3">
        <f>'[12]Summary Report - 12 Months Endi'!KTP2</f>
        <v>0</v>
      </c>
      <c r="KTR3">
        <f>'[12]Summary Report - 12 Months Endi'!KTQ2</f>
        <v>0</v>
      </c>
      <c r="KTS3">
        <f>'[12]Summary Report - 12 Months Endi'!KTR2</f>
        <v>0</v>
      </c>
      <c r="KTT3">
        <f>'[12]Summary Report - 12 Months Endi'!KTS2</f>
        <v>0</v>
      </c>
      <c r="KTU3">
        <f>'[12]Summary Report - 12 Months Endi'!KTT2</f>
        <v>0</v>
      </c>
      <c r="KTV3">
        <f>'[12]Summary Report - 12 Months Endi'!KTU2</f>
        <v>0</v>
      </c>
      <c r="KTW3">
        <f>'[12]Summary Report - 12 Months Endi'!KTV2</f>
        <v>0</v>
      </c>
      <c r="KTX3">
        <f>'[12]Summary Report - 12 Months Endi'!KTW2</f>
        <v>0</v>
      </c>
      <c r="KTY3">
        <f>'[12]Summary Report - 12 Months Endi'!KTX2</f>
        <v>0</v>
      </c>
      <c r="KTZ3">
        <f>'[12]Summary Report - 12 Months Endi'!KTY2</f>
        <v>0</v>
      </c>
      <c r="KUA3">
        <f>'[12]Summary Report - 12 Months Endi'!KTZ2</f>
        <v>0</v>
      </c>
      <c r="KUB3">
        <f>'[12]Summary Report - 12 Months Endi'!KUA2</f>
        <v>0</v>
      </c>
      <c r="KUC3">
        <f>'[12]Summary Report - 12 Months Endi'!KUB2</f>
        <v>0</v>
      </c>
      <c r="KUD3">
        <f>'[12]Summary Report - 12 Months Endi'!KUC2</f>
        <v>0</v>
      </c>
      <c r="KUE3">
        <f>'[12]Summary Report - 12 Months Endi'!KUD2</f>
        <v>0</v>
      </c>
      <c r="KUF3">
        <f>'[12]Summary Report - 12 Months Endi'!KUE2</f>
        <v>0</v>
      </c>
      <c r="KUG3">
        <f>'[12]Summary Report - 12 Months Endi'!KUF2</f>
        <v>0</v>
      </c>
      <c r="KUH3">
        <f>'[12]Summary Report - 12 Months Endi'!KUG2</f>
        <v>0</v>
      </c>
      <c r="KUI3">
        <f>'[12]Summary Report - 12 Months Endi'!KUH2</f>
        <v>0</v>
      </c>
      <c r="KUJ3">
        <f>'[12]Summary Report - 12 Months Endi'!KUI2</f>
        <v>0</v>
      </c>
      <c r="KUK3">
        <f>'[12]Summary Report - 12 Months Endi'!KUJ2</f>
        <v>0</v>
      </c>
      <c r="KUL3">
        <f>'[12]Summary Report - 12 Months Endi'!KUK2</f>
        <v>0</v>
      </c>
      <c r="KUM3">
        <f>'[12]Summary Report - 12 Months Endi'!KUL2</f>
        <v>0</v>
      </c>
      <c r="KUN3">
        <f>'[12]Summary Report - 12 Months Endi'!KUM2</f>
        <v>0</v>
      </c>
      <c r="KUO3">
        <f>'[12]Summary Report - 12 Months Endi'!KUN2</f>
        <v>0</v>
      </c>
      <c r="KUP3">
        <f>'[12]Summary Report - 12 Months Endi'!KUO2</f>
        <v>0</v>
      </c>
      <c r="KUQ3">
        <f>'[12]Summary Report - 12 Months Endi'!KUP2</f>
        <v>0</v>
      </c>
      <c r="KUR3">
        <f>'[12]Summary Report - 12 Months Endi'!KUQ2</f>
        <v>0</v>
      </c>
      <c r="KUS3">
        <f>'[12]Summary Report - 12 Months Endi'!KUR2</f>
        <v>0</v>
      </c>
      <c r="KUT3">
        <f>'[12]Summary Report - 12 Months Endi'!KUS2</f>
        <v>0</v>
      </c>
      <c r="KUU3">
        <f>'[12]Summary Report - 12 Months Endi'!KUT2</f>
        <v>0</v>
      </c>
      <c r="KUV3">
        <f>'[12]Summary Report - 12 Months Endi'!KUU2</f>
        <v>0</v>
      </c>
      <c r="KUW3">
        <f>'[12]Summary Report - 12 Months Endi'!KUV2</f>
        <v>0</v>
      </c>
      <c r="KUX3">
        <f>'[12]Summary Report - 12 Months Endi'!KUW2</f>
        <v>0</v>
      </c>
      <c r="KUY3">
        <f>'[12]Summary Report - 12 Months Endi'!KUX2</f>
        <v>0</v>
      </c>
      <c r="KUZ3">
        <f>'[12]Summary Report - 12 Months Endi'!KUY2</f>
        <v>0</v>
      </c>
      <c r="KVA3">
        <f>'[12]Summary Report - 12 Months Endi'!KUZ2</f>
        <v>0</v>
      </c>
      <c r="KVB3">
        <f>'[12]Summary Report - 12 Months Endi'!KVA2</f>
        <v>0</v>
      </c>
      <c r="KVC3">
        <f>'[12]Summary Report - 12 Months Endi'!KVB2</f>
        <v>0</v>
      </c>
      <c r="KVD3">
        <f>'[12]Summary Report - 12 Months Endi'!KVC2</f>
        <v>0</v>
      </c>
      <c r="KVE3">
        <f>'[12]Summary Report - 12 Months Endi'!KVD2</f>
        <v>0</v>
      </c>
      <c r="KVF3">
        <f>'[12]Summary Report - 12 Months Endi'!KVE2</f>
        <v>0</v>
      </c>
      <c r="KVG3">
        <f>'[12]Summary Report - 12 Months Endi'!KVF2</f>
        <v>0</v>
      </c>
      <c r="KVH3">
        <f>'[12]Summary Report - 12 Months Endi'!KVG2</f>
        <v>0</v>
      </c>
      <c r="KVI3">
        <f>'[12]Summary Report - 12 Months Endi'!KVH2</f>
        <v>0</v>
      </c>
      <c r="KVJ3">
        <f>'[12]Summary Report - 12 Months Endi'!KVI2</f>
        <v>0</v>
      </c>
      <c r="KVK3">
        <f>'[12]Summary Report - 12 Months Endi'!KVJ2</f>
        <v>0</v>
      </c>
      <c r="KVL3">
        <f>'[12]Summary Report - 12 Months Endi'!KVK2</f>
        <v>0</v>
      </c>
      <c r="KVM3">
        <f>'[12]Summary Report - 12 Months Endi'!KVL2</f>
        <v>0</v>
      </c>
      <c r="KVN3">
        <f>'[12]Summary Report - 12 Months Endi'!KVM2</f>
        <v>0</v>
      </c>
      <c r="KVO3">
        <f>'[12]Summary Report - 12 Months Endi'!KVN2</f>
        <v>0</v>
      </c>
      <c r="KVP3">
        <f>'[12]Summary Report - 12 Months Endi'!KVO2</f>
        <v>0</v>
      </c>
      <c r="KVQ3">
        <f>'[12]Summary Report - 12 Months Endi'!KVP2</f>
        <v>0</v>
      </c>
      <c r="KVR3">
        <f>'[12]Summary Report - 12 Months Endi'!KVQ2</f>
        <v>0</v>
      </c>
      <c r="KVS3">
        <f>'[12]Summary Report - 12 Months Endi'!KVR2</f>
        <v>0</v>
      </c>
      <c r="KVT3">
        <f>'[12]Summary Report - 12 Months Endi'!KVS2</f>
        <v>0</v>
      </c>
      <c r="KVU3">
        <f>'[12]Summary Report - 12 Months Endi'!KVT2</f>
        <v>0</v>
      </c>
      <c r="KVV3">
        <f>'[12]Summary Report - 12 Months Endi'!KVU2</f>
        <v>0</v>
      </c>
      <c r="KVW3">
        <f>'[12]Summary Report - 12 Months Endi'!KVV2</f>
        <v>0</v>
      </c>
      <c r="KVX3">
        <f>'[12]Summary Report - 12 Months Endi'!KVW2</f>
        <v>0</v>
      </c>
      <c r="KVY3">
        <f>'[12]Summary Report - 12 Months Endi'!KVX2</f>
        <v>0</v>
      </c>
      <c r="KVZ3">
        <f>'[12]Summary Report - 12 Months Endi'!KVY2</f>
        <v>0</v>
      </c>
      <c r="KWA3">
        <f>'[12]Summary Report - 12 Months Endi'!KVZ2</f>
        <v>0</v>
      </c>
      <c r="KWB3">
        <f>'[12]Summary Report - 12 Months Endi'!KWA2</f>
        <v>0</v>
      </c>
      <c r="KWC3">
        <f>'[12]Summary Report - 12 Months Endi'!KWB2</f>
        <v>0</v>
      </c>
      <c r="KWD3">
        <f>'[12]Summary Report - 12 Months Endi'!KWC2</f>
        <v>0</v>
      </c>
      <c r="KWE3">
        <f>'[12]Summary Report - 12 Months Endi'!KWD2</f>
        <v>0</v>
      </c>
      <c r="KWF3">
        <f>'[12]Summary Report - 12 Months Endi'!KWE2</f>
        <v>0</v>
      </c>
      <c r="KWG3">
        <f>'[12]Summary Report - 12 Months Endi'!KWF2</f>
        <v>0</v>
      </c>
      <c r="KWH3">
        <f>'[12]Summary Report - 12 Months Endi'!KWG2</f>
        <v>0</v>
      </c>
      <c r="KWI3">
        <f>'[12]Summary Report - 12 Months Endi'!KWH2</f>
        <v>0</v>
      </c>
      <c r="KWJ3">
        <f>'[12]Summary Report - 12 Months Endi'!KWI2</f>
        <v>0</v>
      </c>
      <c r="KWK3">
        <f>'[12]Summary Report - 12 Months Endi'!KWJ2</f>
        <v>0</v>
      </c>
      <c r="KWL3">
        <f>'[12]Summary Report - 12 Months Endi'!KWK2</f>
        <v>0</v>
      </c>
      <c r="KWM3">
        <f>'[12]Summary Report - 12 Months Endi'!KWL2</f>
        <v>0</v>
      </c>
      <c r="KWN3">
        <f>'[12]Summary Report - 12 Months Endi'!KWM2</f>
        <v>0</v>
      </c>
      <c r="KWO3">
        <f>'[12]Summary Report - 12 Months Endi'!KWN2</f>
        <v>0</v>
      </c>
      <c r="KWP3">
        <f>'[12]Summary Report - 12 Months Endi'!KWO2</f>
        <v>0</v>
      </c>
      <c r="KWQ3">
        <f>'[12]Summary Report - 12 Months Endi'!KWP2</f>
        <v>0</v>
      </c>
      <c r="KWR3">
        <f>'[12]Summary Report - 12 Months Endi'!KWQ2</f>
        <v>0</v>
      </c>
      <c r="KWS3">
        <f>'[12]Summary Report - 12 Months Endi'!KWR2</f>
        <v>0</v>
      </c>
      <c r="KWT3">
        <f>'[12]Summary Report - 12 Months Endi'!KWS2</f>
        <v>0</v>
      </c>
      <c r="KWU3">
        <f>'[12]Summary Report - 12 Months Endi'!KWT2</f>
        <v>0</v>
      </c>
      <c r="KWV3">
        <f>'[12]Summary Report - 12 Months Endi'!KWU2</f>
        <v>0</v>
      </c>
      <c r="KWW3">
        <f>'[12]Summary Report - 12 Months Endi'!KWV2</f>
        <v>0</v>
      </c>
      <c r="KWX3">
        <f>'[12]Summary Report - 12 Months Endi'!KWW2</f>
        <v>0</v>
      </c>
      <c r="KWY3">
        <f>'[12]Summary Report - 12 Months Endi'!KWX2</f>
        <v>0</v>
      </c>
      <c r="KWZ3">
        <f>'[12]Summary Report - 12 Months Endi'!KWY2</f>
        <v>0</v>
      </c>
      <c r="KXA3">
        <f>'[12]Summary Report - 12 Months Endi'!KWZ2</f>
        <v>0</v>
      </c>
      <c r="KXB3">
        <f>'[12]Summary Report - 12 Months Endi'!KXA2</f>
        <v>0</v>
      </c>
      <c r="KXC3">
        <f>'[12]Summary Report - 12 Months Endi'!KXB2</f>
        <v>0</v>
      </c>
      <c r="KXD3">
        <f>'[12]Summary Report - 12 Months Endi'!KXC2</f>
        <v>0</v>
      </c>
      <c r="KXE3">
        <f>'[12]Summary Report - 12 Months Endi'!KXD2</f>
        <v>0</v>
      </c>
      <c r="KXF3">
        <f>'[12]Summary Report - 12 Months Endi'!KXE2</f>
        <v>0</v>
      </c>
      <c r="KXG3">
        <f>'[12]Summary Report - 12 Months Endi'!KXF2</f>
        <v>0</v>
      </c>
      <c r="KXH3">
        <f>'[12]Summary Report - 12 Months Endi'!KXG2</f>
        <v>0</v>
      </c>
      <c r="KXI3">
        <f>'[12]Summary Report - 12 Months Endi'!KXH2</f>
        <v>0</v>
      </c>
      <c r="KXJ3">
        <f>'[12]Summary Report - 12 Months Endi'!KXI2</f>
        <v>0</v>
      </c>
      <c r="KXK3">
        <f>'[12]Summary Report - 12 Months Endi'!KXJ2</f>
        <v>0</v>
      </c>
      <c r="KXL3">
        <f>'[12]Summary Report - 12 Months Endi'!KXK2</f>
        <v>0</v>
      </c>
      <c r="KXM3">
        <f>'[12]Summary Report - 12 Months Endi'!KXL2</f>
        <v>0</v>
      </c>
      <c r="KXN3">
        <f>'[12]Summary Report - 12 Months Endi'!KXM2</f>
        <v>0</v>
      </c>
      <c r="KXO3">
        <f>'[12]Summary Report - 12 Months Endi'!KXN2</f>
        <v>0</v>
      </c>
      <c r="KXP3">
        <f>'[12]Summary Report - 12 Months Endi'!KXO2</f>
        <v>0</v>
      </c>
      <c r="KXQ3">
        <f>'[12]Summary Report - 12 Months Endi'!KXP2</f>
        <v>0</v>
      </c>
      <c r="KXR3">
        <f>'[12]Summary Report - 12 Months Endi'!KXQ2</f>
        <v>0</v>
      </c>
      <c r="KXS3">
        <f>'[12]Summary Report - 12 Months Endi'!KXR2</f>
        <v>0</v>
      </c>
      <c r="KXT3">
        <f>'[12]Summary Report - 12 Months Endi'!KXS2</f>
        <v>0</v>
      </c>
      <c r="KXU3">
        <f>'[12]Summary Report - 12 Months Endi'!KXT2</f>
        <v>0</v>
      </c>
      <c r="KXV3">
        <f>'[12]Summary Report - 12 Months Endi'!KXU2</f>
        <v>0</v>
      </c>
      <c r="KXW3">
        <f>'[12]Summary Report - 12 Months Endi'!KXV2</f>
        <v>0</v>
      </c>
      <c r="KXX3">
        <f>'[12]Summary Report - 12 Months Endi'!KXW2</f>
        <v>0</v>
      </c>
      <c r="KXY3">
        <f>'[12]Summary Report - 12 Months Endi'!KXX2</f>
        <v>0</v>
      </c>
      <c r="KXZ3">
        <f>'[12]Summary Report - 12 Months Endi'!KXY2</f>
        <v>0</v>
      </c>
      <c r="KYA3">
        <f>'[12]Summary Report - 12 Months Endi'!KXZ2</f>
        <v>0</v>
      </c>
      <c r="KYB3">
        <f>'[12]Summary Report - 12 Months Endi'!KYA2</f>
        <v>0</v>
      </c>
      <c r="KYC3">
        <f>'[12]Summary Report - 12 Months Endi'!KYB2</f>
        <v>0</v>
      </c>
      <c r="KYD3">
        <f>'[12]Summary Report - 12 Months Endi'!KYC2</f>
        <v>0</v>
      </c>
      <c r="KYE3">
        <f>'[12]Summary Report - 12 Months Endi'!KYD2</f>
        <v>0</v>
      </c>
      <c r="KYF3">
        <f>'[12]Summary Report - 12 Months Endi'!KYE2</f>
        <v>0</v>
      </c>
      <c r="KYG3">
        <f>'[12]Summary Report - 12 Months Endi'!KYF2</f>
        <v>0</v>
      </c>
      <c r="KYH3">
        <f>'[12]Summary Report - 12 Months Endi'!KYG2</f>
        <v>0</v>
      </c>
      <c r="KYI3">
        <f>'[12]Summary Report - 12 Months Endi'!KYH2</f>
        <v>0</v>
      </c>
      <c r="KYJ3">
        <f>'[12]Summary Report - 12 Months Endi'!KYI2</f>
        <v>0</v>
      </c>
      <c r="KYK3">
        <f>'[12]Summary Report - 12 Months Endi'!KYJ2</f>
        <v>0</v>
      </c>
      <c r="KYL3">
        <f>'[12]Summary Report - 12 Months Endi'!KYK2</f>
        <v>0</v>
      </c>
      <c r="KYM3">
        <f>'[12]Summary Report - 12 Months Endi'!KYL2</f>
        <v>0</v>
      </c>
      <c r="KYN3">
        <f>'[12]Summary Report - 12 Months Endi'!KYM2</f>
        <v>0</v>
      </c>
      <c r="KYO3">
        <f>'[12]Summary Report - 12 Months Endi'!KYN2</f>
        <v>0</v>
      </c>
      <c r="KYP3">
        <f>'[12]Summary Report - 12 Months Endi'!KYO2</f>
        <v>0</v>
      </c>
      <c r="KYQ3">
        <f>'[12]Summary Report - 12 Months Endi'!KYP2</f>
        <v>0</v>
      </c>
      <c r="KYR3">
        <f>'[12]Summary Report - 12 Months Endi'!KYQ2</f>
        <v>0</v>
      </c>
      <c r="KYS3">
        <f>'[12]Summary Report - 12 Months Endi'!KYR2</f>
        <v>0</v>
      </c>
      <c r="KYT3">
        <f>'[12]Summary Report - 12 Months Endi'!KYS2</f>
        <v>0</v>
      </c>
      <c r="KYU3">
        <f>'[12]Summary Report - 12 Months Endi'!KYT2</f>
        <v>0</v>
      </c>
      <c r="KYV3">
        <f>'[12]Summary Report - 12 Months Endi'!KYU2</f>
        <v>0</v>
      </c>
      <c r="KYW3">
        <f>'[12]Summary Report - 12 Months Endi'!KYV2</f>
        <v>0</v>
      </c>
      <c r="KYX3">
        <f>'[12]Summary Report - 12 Months Endi'!KYW2</f>
        <v>0</v>
      </c>
      <c r="KYY3">
        <f>'[12]Summary Report - 12 Months Endi'!KYX2</f>
        <v>0</v>
      </c>
      <c r="KYZ3">
        <f>'[12]Summary Report - 12 Months Endi'!KYY2</f>
        <v>0</v>
      </c>
      <c r="KZA3">
        <f>'[12]Summary Report - 12 Months Endi'!KYZ2</f>
        <v>0</v>
      </c>
      <c r="KZB3">
        <f>'[12]Summary Report - 12 Months Endi'!KZA2</f>
        <v>0</v>
      </c>
      <c r="KZC3">
        <f>'[12]Summary Report - 12 Months Endi'!KZB2</f>
        <v>0</v>
      </c>
      <c r="KZD3">
        <f>'[12]Summary Report - 12 Months Endi'!KZC2</f>
        <v>0</v>
      </c>
      <c r="KZE3">
        <f>'[12]Summary Report - 12 Months Endi'!KZD2</f>
        <v>0</v>
      </c>
      <c r="KZF3">
        <f>'[12]Summary Report - 12 Months Endi'!KZE2</f>
        <v>0</v>
      </c>
      <c r="KZG3">
        <f>'[12]Summary Report - 12 Months Endi'!KZF2</f>
        <v>0</v>
      </c>
      <c r="KZH3">
        <f>'[12]Summary Report - 12 Months Endi'!KZG2</f>
        <v>0</v>
      </c>
      <c r="KZI3">
        <f>'[12]Summary Report - 12 Months Endi'!KZH2</f>
        <v>0</v>
      </c>
      <c r="KZJ3">
        <f>'[12]Summary Report - 12 Months Endi'!KZI2</f>
        <v>0</v>
      </c>
      <c r="KZK3">
        <f>'[12]Summary Report - 12 Months Endi'!KZJ2</f>
        <v>0</v>
      </c>
      <c r="KZL3">
        <f>'[12]Summary Report - 12 Months Endi'!KZK2</f>
        <v>0</v>
      </c>
      <c r="KZM3">
        <f>'[12]Summary Report - 12 Months Endi'!KZL2</f>
        <v>0</v>
      </c>
      <c r="KZN3">
        <f>'[12]Summary Report - 12 Months Endi'!KZM2</f>
        <v>0</v>
      </c>
      <c r="KZO3">
        <f>'[12]Summary Report - 12 Months Endi'!KZN2</f>
        <v>0</v>
      </c>
      <c r="KZP3">
        <f>'[12]Summary Report - 12 Months Endi'!KZO2</f>
        <v>0</v>
      </c>
      <c r="KZQ3">
        <f>'[12]Summary Report - 12 Months Endi'!KZP2</f>
        <v>0</v>
      </c>
      <c r="KZR3">
        <f>'[12]Summary Report - 12 Months Endi'!KZQ2</f>
        <v>0</v>
      </c>
      <c r="KZS3">
        <f>'[12]Summary Report - 12 Months Endi'!KZR2</f>
        <v>0</v>
      </c>
      <c r="KZT3">
        <f>'[12]Summary Report - 12 Months Endi'!KZS2</f>
        <v>0</v>
      </c>
      <c r="KZU3">
        <f>'[12]Summary Report - 12 Months Endi'!KZT2</f>
        <v>0</v>
      </c>
      <c r="KZV3">
        <f>'[12]Summary Report - 12 Months Endi'!KZU2</f>
        <v>0</v>
      </c>
      <c r="KZW3">
        <f>'[12]Summary Report - 12 Months Endi'!KZV2</f>
        <v>0</v>
      </c>
      <c r="KZX3">
        <f>'[12]Summary Report - 12 Months Endi'!KZW2</f>
        <v>0</v>
      </c>
      <c r="KZY3">
        <f>'[12]Summary Report - 12 Months Endi'!KZX2</f>
        <v>0</v>
      </c>
      <c r="KZZ3">
        <f>'[12]Summary Report - 12 Months Endi'!KZY2</f>
        <v>0</v>
      </c>
      <c r="LAA3">
        <f>'[12]Summary Report - 12 Months Endi'!KZZ2</f>
        <v>0</v>
      </c>
      <c r="LAB3">
        <f>'[12]Summary Report - 12 Months Endi'!LAA2</f>
        <v>0</v>
      </c>
      <c r="LAC3">
        <f>'[12]Summary Report - 12 Months Endi'!LAB2</f>
        <v>0</v>
      </c>
      <c r="LAD3">
        <f>'[12]Summary Report - 12 Months Endi'!LAC2</f>
        <v>0</v>
      </c>
      <c r="LAE3">
        <f>'[12]Summary Report - 12 Months Endi'!LAD2</f>
        <v>0</v>
      </c>
      <c r="LAF3">
        <f>'[12]Summary Report - 12 Months Endi'!LAE2</f>
        <v>0</v>
      </c>
      <c r="LAG3">
        <f>'[12]Summary Report - 12 Months Endi'!LAF2</f>
        <v>0</v>
      </c>
      <c r="LAH3">
        <f>'[12]Summary Report - 12 Months Endi'!LAG2</f>
        <v>0</v>
      </c>
      <c r="LAI3">
        <f>'[12]Summary Report - 12 Months Endi'!LAH2</f>
        <v>0</v>
      </c>
      <c r="LAJ3">
        <f>'[12]Summary Report - 12 Months Endi'!LAI2</f>
        <v>0</v>
      </c>
      <c r="LAK3">
        <f>'[12]Summary Report - 12 Months Endi'!LAJ2</f>
        <v>0</v>
      </c>
      <c r="LAL3">
        <f>'[12]Summary Report - 12 Months Endi'!LAK2</f>
        <v>0</v>
      </c>
      <c r="LAM3">
        <f>'[12]Summary Report - 12 Months Endi'!LAL2</f>
        <v>0</v>
      </c>
      <c r="LAN3">
        <f>'[12]Summary Report - 12 Months Endi'!LAM2</f>
        <v>0</v>
      </c>
      <c r="LAO3">
        <f>'[12]Summary Report - 12 Months Endi'!LAN2</f>
        <v>0</v>
      </c>
      <c r="LAP3">
        <f>'[12]Summary Report - 12 Months Endi'!LAO2</f>
        <v>0</v>
      </c>
      <c r="LAQ3">
        <f>'[12]Summary Report - 12 Months Endi'!LAP2</f>
        <v>0</v>
      </c>
      <c r="LAR3">
        <f>'[12]Summary Report - 12 Months Endi'!LAQ2</f>
        <v>0</v>
      </c>
      <c r="LAS3">
        <f>'[12]Summary Report - 12 Months Endi'!LAR2</f>
        <v>0</v>
      </c>
      <c r="LAT3">
        <f>'[12]Summary Report - 12 Months Endi'!LAS2</f>
        <v>0</v>
      </c>
      <c r="LAU3">
        <f>'[12]Summary Report - 12 Months Endi'!LAT2</f>
        <v>0</v>
      </c>
      <c r="LAV3">
        <f>'[12]Summary Report - 12 Months Endi'!LAU2</f>
        <v>0</v>
      </c>
      <c r="LAW3">
        <f>'[12]Summary Report - 12 Months Endi'!LAV2</f>
        <v>0</v>
      </c>
      <c r="LAX3">
        <f>'[12]Summary Report - 12 Months Endi'!LAW2</f>
        <v>0</v>
      </c>
      <c r="LAY3">
        <f>'[12]Summary Report - 12 Months Endi'!LAX2</f>
        <v>0</v>
      </c>
      <c r="LAZ3">
        <f>'[12]Summary Report - 12 Months Endi'!LAY2</f>
        <v>0</v>
      </c>
      <c r="LBA3">
        <f>'[12]Summary Report - 12 Months Endi'!LAZ2</f>
        <v>0</v>
      </c>
      <c r="LBB3">
        <f>'[12]Summary Report - 12 Months Endi'!LBA2</f>
        <v>0</v>
      </c>
      <c r="LBC3">
        <f>'[12]Summary Report - 12 Months Endi'!LBB2</f>
        <v>0</v>
      </c>
      <c r="LBD3">
        <f>'[12]Summary Report - 12 Months Endi'!LBC2</f>
        <v>0</v>
      </c>
      <c r="LBE3">
        <f>'[12]Summary Report - 12 Months Endi'!LBD2</f>
        <v>0</v>
      </c>
      <c r="LBF3">
        <f>'[12]Summary Report - 12 Months Endi'!LBE2</f>
        <v>0</v>
      </c>
      <c r="LBG3">
        <f>'[12]Summary Report - 12 Months Endi'!LBF2</f>
        <v>0</v>
      </c>
      <c r="LBH3">
        <f>'[12]Summary Report - 12 Months Endi'!LBG2</f>
        <v>0</v>
      </c>
      <c r="LBI3">
        <f>'[12]Summary Report - 12 Months Endi'!LBH2</f>
        <v>0</v>
      </c>
      <c r="LBJ3">
        <f>'[12]Summary Report - 12 Months Endi'!LBI2</f>
        <v>0</v>
      </c>
      <c r="LBK3">
        <f>'[12]Summary Report - 12 Months Endi'!LBJ2</f>
        <v>0</v>
      </c>
      <c r="LBL3">
        <f>'[12]Summary Report - 12 Months Endi'!LBK2</f>
        <v>0</v>
      </c>
      <c r="LBM3">
        <f>'[12]Summary Report - 12 Months Endi'!LBL2</f>
        <v>0</v>
      </c>
      <c r="LBN3">
        <f>'[12]Summary Report - 12 Months Endi'!LBM2</f>
        <v>0</v>
      </c>
      <c r="LBO3">
        <f>'[12]Summary Report - 12 Months Endi'!LBN2</f>
        <v>0</v>
      </c>
      <c r="LBP3">
        <f>'[12]Summary Report - 12 Months Endi'!LBO2</f>
        <v>0</v>
      </c>
      <c r="LBQ3">
        <f>'[12]Summary Report - 12 Months Endi'!LBP2</f>
        <v>0</v>
      </c>
      <c r="LBR3">
        <f>'[12]Summary Report - 12 Months Endi'!LBQ2</f>
        <v>0</v>
      </c>
      <c r="LBS3">
        <f>'[12]Summary Report - 12 Months Endi'!LBR2</f>
        <v>0</v>
      </c>
      <c r="LBT3">
        <f>'[12]Summary Report - 12 Months Endi'!LBS2</f>
        <v>0</v>
      </c>
      <c r="LBU3">
        <f>'[12]Summary Report - 12 Months Endi'!LBT2</f>
        <v>0</v>
      </c>
      <c r="LBV3">
        <f>'[12]Summary Report - 12 Months Endi'!LBU2</f>
        <v>0</v>
      </c>
      <c r="LBW3">
        <f>'[12]Summary Report - 12 Months Endi'!LBV2</f>
        <v>0</v>
      </c>
      <c r="LBX3">
        <f>'[12]Summary Report - 12 Months Endi'!LBW2</f>
        <v>0</v>
      </c>
      <c r="LBY3">
        <f>'[12]Summary Report - 12 Months Endi'!LBX2</f>
        <v>0</v>
      </c>
      <c r="LBZ3">
        <f>'[12]Summary Report - 12 Months Endi'!LBY2</f>
        <v>0</v>
      </c>
      <c r="LCA3">
        <f>'[12]Summary Report - 12 Months Endi'!LBZ2</f>
        <v>0</v>
      </c>
      <c r="LCB3">
        <f>'[12]Summary Report - 12 Months Endi'!LCA2</f>
        <v>0</v>
      </c>
      <c r="LCC3">
        <f>'[12]Summary Report - 12 Months Endi'!LCB2</f>
        <v>0</v>
      </c>
      <c r="LCD3">
        <f>'[12]Summary Report - 12 Months Endi'!LCC2</f>
        <v>0</v>
      </c>
      <c r="LCE3">
        <f>'[12]Summary Report - 12 Months Endi'!LCD2</f>
        <v>0</v>
      </c>
      <c r="LCF3">
        <f>'[12]Summary Report - 12 Months Endi'!LCE2</f>
        <v>0</v>
      </c>
      <c r="LCG3">
        <f>'[12]Summary Report - 12 Months Endi'!LCF2</f>
        <v>0</v>
      </c>
      <c r="LCH3">
        <f>'[12]Summary Report - 12 Months Endi'!LCG2</f>
        <v>0</v>
      </c>
      <c r="LCI3">
        <f>'[12]Summary Report - 12 Months Endi'!LCH2</f>
        <v>0</v>
      </c>
      <c r="LCJ3">
        <f>'[12]Summary Report - 12 Months Endi'!LCI2</f>
        <v>0</v>
      </c>
      <c r="LCK3">
        <f>'[12]Summary Report - 12 Months Endi'!LCJ2</f>
        <v>0</v>
      </c>
      <c r="LCL3">
        <f>'[12]Summary Report - 12 Months Endi'!LCK2</f>
        <v>0</v>
      </c>
      <c r="LCM3">
        <f>'[12]Summary Report - 12 Months Endi'!LCL2</f>
        <v>0</v>
      </c>
      <c r="LCN3">
        <f>'[12]Summary Report - 12 Months Endi'!LCM2</f>
        <v>0</v>
      </c>
      <c r="LCO3">
        <f>'[12]Summary Report - 12 Months Endi'!LCN2</f>
        <v>0</v>
      </c>
      <c r="LCP3">
        <f>'[12]Summary Report - 12 Months Endi'!LCO2</f>
        <v>0</v>
      </c>
      <c r="LCQ3">
        <f>'[12]Summary Report - 12 Months Endi'!LCP2</f>
        <v>0</v>
      </c>
      <c r="LCR3">
        <f>'[12]Summary Report - 12 Months Endi'!LCQ2</f>
        <v>0</v>
      </c>
      <c r="LCS3">
        <f>'[12]Summary Report - 12 Months Endi'!LCR2</f>
        <v>0</v>
      </c>
      <c r="LCT3">
        <f>'[12]Summary Report - 12 Months Endi'!LCS2</f>
        <v>0</v>
      </c>
      <c r="LCU3">
        <f>'[12]Summary Report - 12 Months Endi'!LCT2</f>
        <v>0</v>
      </c>
      <c r="LCV3">
        <f>'[12]Summary Report - 12 Months Endi'!LCU2</f>
        <v>0</v>
      </c>
      <c r="LCW3">
        <f>'[12]Summary Report - 12 Months Endi'!LCV2</f>
        <v>0</v>
      </c>
      <c r="LCX3">
        <f>'[12]Summary Report - 12 Months Endi'!LCW2</f>
        <v>0</v>
      </c>
      <c r="LCY3">
        <f>'[12]Summary Report - 12 Months Endi'!LCX2</f>
        <v>0</v>
      </c>
      <c r="LCZ3">
        <f>'[12]Summary Report - 12 Months Endi'!LCY2</f>
        <v>0</v>
      </c>
      <c r="LDA3">
        <f>'[12]Summary Report - 12 Months Endi'!LCZ2</f>
        <v>0</v>
      </c>
      <c r="LDB3">
        <f>'[12]Summary Report - 12 Months Endi'!LDA2</f>
        <v>0</v>
      </c>
      <c r="LDC3">
        <f>'[12]Summary Report - 12 Months Endi'!LDB2</f>
        <v>0</v>
      </c>
      <c r="LDD3">
        <f>'[12]Summary Report - 12 Months Endi'!LDC2</f>
        <v>0</v>
      </c>
      <c r="LDE3">
        <f>'[12]Summary Report - 12 Months Endi'!LDD2</f>
        <v>0</v>
      </c>
      <c r="LDF3">
        <f>'[12]Summary Report - 12 Months Endi'!LDE2</f>
        <v>0</v>
      </c>
      <c r="LDG3">
        <f>'[12]Summary Report - 12 Months Endi'!LDF2</f>
        <v>0</v>
      </c>
      <c r="LDH3">
        <f>'[12]Summary Report - 12 Months Endi'!LDG2</f>
        <v>0</v>
      </c>
      <c r="LDI3">
        <f>'[12]Summary Report - 12 Months Endi'!LDH2</f>
        <v>0</v>
      </c>
      <c r="LDJ3">
        <f>'[12]Summary Report - 12 Months Endi'!LDI2</f>
        <v>0</v>
      </c>
      <c r="LDK3">
        <f>'[12]Summary Report - 12 Months Endi'!LDJ2</f>
        <v>0</v>
      </c>
      <c r="LDL3">
        <f>'[12]Summary Report - 12 Months Endi'!LDK2</f>
        <v>0</v>
      </c>
      <c r="LDM3">
        <f>'[12]Summary Report - 12 Months Endi'!LDL2</f>
        <v>0</v>
      </c>
      <c r="LDN3">
        <f>'[12]Summary Report - 12 Months Endi'!LDM2</f>
        <v>0</v>
      </c>
      <c r="LDO3">
        <f>'[12]Summary Report - 12 Months Endi'!LDN2</f>
        <v>0</v>
      </c>
      <c r="LDP3">
        <f>'[12]Summary Report - 12 Months Endi'!LDO2</f>
        <v>0</v>
      </c>
      <c r="LDQ3">
        <f>'[12]Summary Report - 12 Months Endi'!LDP2</f>
        <v>0</v>
      </c>
      <c r="LDR3">
        <f>'[12]Summary Report - 12 Months Endi'!LDQ2</f>
        <v>0</v>
      </c>
      <c r="LDS3">
        <f>'[12]Summary Report - 12 Months Endi'!LDR2</f>
        <v>0</v>
      </c>
      <c r="LDT3">
        <f>'[12]Summary Report - 12 Months Endi'!LDS2</f>
        <v>0</v>
      </c>
      <c r="LDU3">
        <f>'[12]Summary Report - 12 Months Endi'!LDT2</f>
        <v>0</v>
      </c>
      <c r="LDV3">
        <f>'[12]Summary Report - 12 Months Endi'!LDU2</f>
        <v>0</v>
      </c>
      <c r="LDW3">
        <f>'[12]Summary Report - 12 Months Endi'!LDV2</f>
        <v>0</v>
      </c>
      <c r="LDX3">
        <f>'[12]Summary Report - 12 Months Endi'!LDW2</f>
        <v>0</v>
      </c>
      <c r="LDY3">
        <f>'[12]Summary Report - 12 Months Endi'!LDX2</f>
        <v>0</v>
      </c>
      <c r="LDZ3">
        <f>'[12]Summary Report - 12 Months Endi'!LDY2</f>
        <v>0</v>
      </c>
      <c r="LEA3">
        <f>'[12]Summary Report - 12 Months Endi'!LDZ2</f>
        <v>0</v>
      </c>
      <c r="LEB3">
        <f>'[12]Summary Report - 12 Months Endi'!LEA2</f>
        <v>0</v>
      </c>
      <c r="LEC3">
        <f>'[12]Summary Report - 12 Months Endi'!LEB2</f>
        <v>0</v>
      </c>
      <c r="LED3">
        <f>'[12]Summary Report - 12 Months Endi'!LEC2</f>
        <v>0</v>
      </c>
      <c r="LEE3">
        <f>'[12]Summary Report - 12 Months Endi'!LED2</f>
        <v>0</v>
      </c>
      <c r="LEF3">
        <f>'[12]Summary Report - 12 Months Endi'!LEE2</f>
        <v>0</v>
      </c>
      <c r="LEG3">
        <f>'[12]Summary Report - 12 Months Endi'!LEF2</f>
        <v>0</v>
      </c>
      <c r="LEH3">
        <f>'[12]Summary Report - 12 Months Endi'!LEG2</f>
        <v>0</v>
      </c>
      <c r="LEI3">
        <f>'[12]Summary Report - 12 Months Endi'!LEH2</f>
        <v>0</v>
      </c>
      <c r="LEJ3">
        <f>'[12]Summary Report - 12 Months Endi'!LEI2</f>
        <v>0</v>
      </c>
      <c r="LEK3">
        <f>'[12]Summary Report - 12 Months Endi'!LEJ2</f>
        <v>0</v>
      </c>
      <c r="LEL3">
        <f>'[12]Summary Report - 12 Months Endi'!LEK2</f>
        <v>0</v>
      </c>
      <c r="LEM3">
        <f>'[12]Summary Report - 12 Months Endi'!LEL2</f>
        <v>0</v>
      </c>
      <c r="LEN3">
        <f>'[12]Summary Report - 12 Months Endi'!LEM2</f>
        <v>0</v>
      </c>
      <c r="LEO3">
        <f>'[12]Summary Report - 12 Months Endi'!LEN2</f>
        <v>0</v>
      </c>
      <c r="LEP3">
        <f>'[12]Summary Report - 12 Months Endi'!LEO2</f>
        <v>0</v>
      </c>
      <c r="LEQ3">
        <f>'[12]Summary Report - 12 Months Endi'!LEP2</f>
        <v>0</v>
      </c>
      <c r="LER3">
        <f>'[12]Summary Report - 12 Months Endi'!LEQ2</f>
        <v>0</v>
      </c>
      <c r="LES3">
        <f>'[12]Summary Report - 12 Months Endi'!LER2</f>
        <v>0</v>
      </c>
      <c r="LET3">
        <f>'[12]Summary Report - 12 Months Endi'!LES2</f>
        <v>0</v>
      </c>
      <c r="LEU3">
        <f>'[12]Summary Report - 12 Months Endi'!LET2</f>
        <v>0</v>
      </c>
      <c r="LEV3">
        <f>'[12]Summary Report - 12 Months Endi'!LEU2</f>
        <v>0</v>
      </c>
      <c r="LEW3">
        <f>'[12]Summary Report - 12 Months Endi'!LEV2</f>
        <v>0</v>
      </c>
      <c r="LEX3">
        <f>'[12]Summary Report - 12 Months Endi'!LEW2</f>
        <v>0</v>
      </c>
      <c r="LEY3">
        <f>'[12]Summary Report - 12 Months Endi'!LEX2</f>
        <v>0</v>
      </c>
      <c r="LEZ3">
        <f>'[12]Summary Report - 12 Months Endi'!LEY2</f>
        <v>0</v>
      </c>
      <c r="LFA3">
        <f>'[12]Summary Report - 12 Months Endi'!LEZ2</f>
        <v>0</v>
      </c>
      <c r="LFB3">
        <f>'[12]Summary Report - 12 Months Endi'!LFA2</f>
        <v>0</v>
      </c>
      <c r="LFC3">
        <f>'[12]Summary Report - 12 Months Endi'!LFB2</f>
        <v>0</v>
      </c>
      <c r="LFD3">
        <f>'[12]Summary Report - 12 Months Endi'!LFC2</f>
        <v>0</v>
      </c>
      <c r="LFE3">
        <f>'[12]Summary Report - 12 Months Endi'!LFD2</f>
        <v>0</v>
      </c>
      <c r="LFF3">
        <f>'[12]Summary Report - 12 Months Endi'!LFE2</f>
        <v>0</v>
      </c>
      <c r="LFG3">
        <f>'[12]Summary Report - 12 Months Endi'!LFF2</f>
        <v>0</v>
      </c>
      <c r="LFH3">
        <f>'[12]Summary Report - 12 Months Endi'!LFG2</f>
        <v>0</v>
      </c>
      <c r="LFI3">
        <f>'[12]Summary Report - 12 Months Endi'!LFH2</f>
        <v>0</v>
      </c>
      <c r="LFJ3">
        <f>'[12]Summary Report - 12 Months Endi'!LFI2</f>
        <v>0</v>
      </c>
      <c r="LFK3">
        <f>'[12]Summary Report - 12 Months Endi'!LFJ2</f>
        <v>0</v>
      </c>
      <c r="LFL3">
        <f>'[12]Summary Report - 12 Months Endi'!LFK2</f>
        <v>0</v>
      </c>
      <c r="LFM3">
        <f>'[12]Summary Report - 12 Months Endi'!LFL2</f>
        <v>0</v>
      </c>
      <c r="LFN3">
        <f>'[12]Summary Report - 12 Months Endi'!LFM2</f>
        <v>0</v>
      </c>
      <c r="LFO3">
        <f>'[12]Summary Report - 12 Months Endi'!LFN2</f>
        <v>0</v>
      </c>
      <c r="LFP3">
        <f>'[12]Summary Report - 12 Months Endi'!LFO2</f>
        <v>0</v>
      </c>
      <c r="LFQ3">
        <f>'[12]Summary Report - 12 Months Endi'!LFP2</f>
        <v>0</v>
      </c>
      <c r="LFR3">
        <f>'[12]Summary Report - 12 Months Endi'!LFQ2</f>
        <v>0</v>
      </c>
      <c r="LFS3">
        <f>'[12]Summary Report - 12 Months Endi'!LFR2</f>
        <v>0</v>
      </c>
      <c r="LFT3">
        <f>'[12]Summary Report - 12 Months Endi'!LFS2</f>
        <v>0</v>
      </c>
      <c r="LFU3">
        <f>'[12]Summary Report - 12 Months Endi'!LFT2</f>
        <v>0</v>
      </c>
      <c r="LFV3">
        <f>'[12]Summary Report - 12 Months Endi'!LFU2</f>
        <v>0</v>
      </c>
      <c r="LFW3">
        <f>'[12]Summary Report - 12 Months Endi'!LFV2</f>
        <v>0</v>
      </c>
      <c r="LFX3">
        <f>'[12]Summary Report - 12 Months Endi'!LFW2</f>
        <v>0</v>
      </c>
      <c r="LFY3">
        <f>'[12]Summary Report - 12 Months Endi'!LFX2</f>
        <v>0</v>
      </c>
      <c r="LFZ3">
        <f>'[12]Summary Report - 12 Months Endi'!LFY2</f>
        <v>0</v>
      </c>
      <c r="LGA3">
        <f>'[12]Summary Report - 12 Months Endi'!LFZ2</f>
        <v>0</v>
      </c>
      <c r="LGB3">
        <f>'[12]Summary Report - 12 Months Endi'!LGA2</f>
        <v>0</v>
      </c>
      <c r="LGC3">
        <f>'[12]Summary Report - 12 Months Endi'!LGB2</f>
        <v>0</v>
      </c>
      <c r="LGD3">
        <f>'[12]Summary Report - 12 Months Endi'!LGC2</f>
        <v>0</v>
      </c>
      <c r="LGE3">
        <f>'[12]Summary Report - 12 Months Endi'!LGD2</f>
        <v>0</v>
      </c>
      <c r="LGF3">
        <f>'[12]Summary Report - 12 Months Endi'!LGE2</f>
        <v>0</v>
      </c>
      <c r="LGG3">
        <f>'[12]Summary Report - 12 Months Endi'!LGF2</f>
        <v>0</v>
      </c>
      <c r="LGH3">
        <f>'[12]Summary Report - 12 Months Endi'!LGG2</f>
        <v>0</v>
      </c>
      <c r="LGI3">
        <f>'[12]Summary Report - 12 Months Endi'!LGH2</f>
        <v>0</v>
      </c>
      <c r="LGJ3">
        <f>'[12]Summary Report - 12 Months Endi'!LGI2</f>
        <v>0</v>
      </c>
      <c r="LGK3">
        <f>'[12]Summary Report - 12 Months Endi'!LGJ2</f>
        <v>0</v>
      </c>
      <c r="LGL3">
        <f>'[12]Summary Report - 12 Months Endi'!LGK2</f>
        <v>0</v>
      </c>
      <c r="LGM3">
        <f>'[12]Summary Report - 12 Months Endi'!LGL2</f>
        <v>0</v>
      </c>
      <c r="LGN3">
        <f>'[12]Summary Report - 12 Months Endi'!LGM2</f>
        <v>0</v>
      </c>
      <c r="LGO3">
        <f>'[12]Summary Report - 12 Months Endi'!LGN2</f>
        <v>0</v>
      </c>
      <c r="LGP3">
        <f>'[12]Summary Report - 12 Months Endi'!LGO2</f>
        <v>0</v>
      </c>
      <c r="LGQ3">
        <f>'[12]Summary Report - 12 Months Endi'!LGP2</f>
        <v>0</v>
      </c>
      <c r="LGR3">
        <f>'[12]Summary Report - 12 Months Endi'!LGQ2</f>
        <v>0</v>
      </c>
      <c r="LGS3">
        <f>'[12]Summary Report - 12 Months Endi'!LGR2</f>
        <v>0</v>
      </c>
      <c r="LGT3">
        <f>'[12]Summary Report - 12 Months Endi'!LGS2</f>
        <v>0</v>
      </c>
      <c r="LGU3">
        <f>'[12]Summary Report - 12 Months Endi'!LGT2</f>
        <v>0</v>
      </c>
      <c r="LGV3">
        <f>'[12]Summary Report - 12 Months Endi'!LGU2</f>
        <v>0</v>
      </c>
      <c r="LGW3">
        <f>'[12]Summary Report - 12 Months Endi'!LGV2</f>
        <v>0</v>
      </c>
      <c r="LGX3">
        <f>'[12]Summary Report - 12 Months Endi'!LGW2</f>
        <v>0</v>
      </c>
      <c r="LGY3">
        <f>'[12]Summary Report - 12 Months Endi'!LGX2</f>
        <v>0</v>
      </c>
      <c r="LGZ3">
        <f>'[12]Summary Report - 12 Months Endi'!LGY2</f>
        <v>0</v>
      </c>
      <c r="LHA3">
        <f>'[12]Summary Report - 12 Months Endi'!LGZ2</f>
        <v>0</v>
      </c>
      <c r="LHB3">
        <f>'[12]Summary Report - 12 Months Endi'!LHA2</f>
        <v>0</v>
      </c>
      <c r="LHC3">
        <f>'[12]Summary Report - 12 Months Endi'!LHB2</f>
        <v>0</v>
      </c>
      <c r="LHD3">
        <f>'[12]Summary Report - 12 Months Endi'!LHC2</f>
        <v>0</v>
      </c>
      <c r="LHE3">
        <f>'[12]Summary Report - 12 Months Endi'!LHD2</f>
        <v>0</v>
      </c>
      <c r="LHF3">
        <f>'[12]Summary Report - 12 Months Endi'!LHE2</f>
        <v>0</v>
      </c>
      <c r="LHG3">
        <f>'[12]Summary Report - 12 Months Endi'!LHF2</f>
        <v>0</v>
      </c>
      <c r="LHH3">
        <f>'[12]Summary Report - 12 Months Endi'!LHG2</f>
        <v>0</v>
      </c>
      <c r="LHI3">
        <f>'[12]Summary Report - 12 Months Endi'!LHH2</f>
        <v>0</v>
      </c>
      <c r="LHJ3">
        <f>'[12]Summary Report - 12 Months Endi'!LHI2</f>
        <v>0</v>
      </c>
      <c r="LHK3">
        <f>'[12]Summary Report - 12 Months Endi'!LHJ2</f>
        <v>0</v>
      </c>
      <c r="LHL3">
        <f>'[12]Summary Report - 12 Months Endi'!LHK2</f>
        <v>0</v>
      </c>
      <c r="LHM3">
        <f>'[12]Summary Report - 12 Months Endi'!LHL2</f>
        <v>0</v>
      </c>
      <c r="LHN3">
        <f>'[12]Summary Report - 12 Months Endi'!LHM2</f>
        <v>0</v>
      </c>
      <c r="LHO3">
        <f>'[12]Summary Report - 12 Months Endi'!LHN2</f>
        <v>0</v>
      </c>
      <c r="LHP3">
        <f>'[12]Summary Report - 12 Months Endi'!LHO2</f>
        <v>0</v>
      </c>
      <c r="LHQ3">
        <f>'[12]Summary Report - 12 Months Endi'!LHP2</f>
        <v>0</v>
      </c>
      <c r="LHR3">
        <f>'[12]Summary Report - 12 Months Endi'!LHQ2</f>
        <v>0</v>
      </c>
      <c r="LHS3">
        <f>'[12]Summary Report - 12 Months Endi'!LHR2</f>
        <v>0</v>
      </c>
      <c r="LHT3">
        <f>'[12]Summary Report - 12 Months Endi'!LHS2</f>
        <v>0</v>
      </c>
      <c r="LHU3">
        <f>'[12]Summary Report - 12 Months Endi'!LHT2</f>
        <v>0</v>
      </c>
      <c r="LHV3">
        <f>'[12]Summary Report - 12 Months Endi'!LHU2</f>
        <v>0</v>
      </c>
      <c r="LHW3">
        <f>'[12]Summary Report - 12 Months Endi'!LHV2</f>
        <v>0</v>
      </c>
      <c r="LHX3">
        <f>'[12]Summary Report - 12 Months Endi'!LHW2</f>
        <v>0</v>
      </c>
      <c r="LHY3">
        <f>'[12]Summary Report - 12 Months Endi'!LHX2</f>
        <v>0</v>
      </c>
      <c r="LHZ3">
        <f>'[12]Summary Report - 12 Months Endi'!LHY2</f>
        <v>0</v>
      </c>
      <c r="LIA3">
        <f>'[12]Summary Report - 12 Months Endi'!LHZ2</f>
        <v>0</v>
      </c>
      <c r="LIB3">
        <f>'[12]Summary Report - 12 Months Endi'!LIA2</f>
        <v>0</v>
      </c>
      <c r="LIC3">
        <f>'[12]Summary Report - 12 Months Endi'!LIB2</f>
        <v>0</v>
      </c>
      <c r="LID3">
        <f>'[12]Summary Report - 12 Months Endi'!LIC2</f>
        <v>0</v>
      </c>
      <c r="LIE3">
        <f>'[12]Summary Report - 12 Months Endi'!LID2</f>
        <v>0</v>
      </c>
      <c r="LIF3">
        <f>'[12]Summary Report - 12 Months Endi'!LIE2</f>
        <v>0</v>
      </c>
      <c r="LIG3">
        <f>'[12]Summary Report - 12 Months Endi'!LIF2</f>
        <v>0</v>
      </c>
      <c r="LIH3">
        <f>'[12]Summary Report - 12 Months Endi'!LIG2</f>
        <v>0</v>
      </c>
      <c r="LII3">
        <f>'[12]Summary Report - 12 Months Endi'!LIH2</f>
        <v>0</v>
      </c>
      <c r="LIJ3">
        <f>'[12]Summary Report - 12 Months Endi'!LII2</f>
        <v>0</v>
      </c>
      <c r="LIK3">
        <f>'[12]Summary Report - 12 Months Endi'!LIJ2</f>
        <v>0</v>
      </c>
      <c r="LIL3">
        <f>'[12]Summary Report - 12 Months Endi'!LIK2</f>
        <v>0</v>
      </c>
      <c r="LIM3">
        <f>'[12]Summary Report - 12 Months Endi'!LIL2</f>
        <v>0</v>
      </c>
      <c r="LIN3">
        <f>'[12]Summary Report - 12 Months Endi'!LIM2</f>
        <v>0</v>
      </c>
      <c r="LIO3">
        <f>'[12]Summary Report - 12 Months Endi'!LIN2</f>
        <v>0</v>
      </c>
      <c r="LIP3">
        <f>'[12]Summary Report - 12 Months Endi'!LIO2</f>
        <v>0</v>
      </c>
      <c r="LIQ3">
        <f>'[12]Summary Report - 12 Months Endi'!LIP2</f>
        <v>0</v>
      </c>
      <c r="LIR3">
        <f>'[12]Summary Report - 12 Months Endi'!LIQ2</f>
        <v>0</v>
      </c>
      <c r="LIS3">
        <f>'[12]Summary Report - 12 Months Endi'!LIR2</f>
        <v>0</v>
      </c>
      <c r="LIT3">
        <f>'[12]Summary Report - 12 Months Endi'!LIS2</f>
        <v>0</v>
      </c>
      <c r="LIU3">
        <f>'[12]Summary Report - 12 Months Endi'!LIT2</f>
        <v>0</v>
      </c>
      <c r="LIV3">
        <f>'[12]Summary Report - 12 Months Endi'!LIU2</f>
        <v>0</v>
      </c>
      <c r="LIW3">
        <f>'[12]Summary Report - 12 Months Endi'!LIV2</f>
        <v>0</v>
      </c>
      <c r="LIX3">
        <f>'[12]Summary Report - 12 Months Endi'!LIW2</f>
        <v>0</v>
      </c>
      <c r="LIY3">
        <f>'[12]Summary Report - 12 Months Endi'!LIX2</f>
        <v>0</v>
      </c>
      <c r="LIZ3">
        <f>'[12]Summary Report - 12 Months Endi'!LIY2</f>
        <v>0</v>
      </c>
      <c r="LJA3">
        <f>'[12]Summary Report - 12 Months Endi'!LIZ2</f>
        <v>0</v>
      </c>
      <c r="LJB3">
        <f>'[12]Summary Report - 12 Months Endi'!LJA2</f>
        <v>0</v>
      </c>
      <c r="LJC3">
        <f>'[12]Summary Report - 12 Months Endi'!LJB2</f>
        <v>0</v>
      </c>
      <c r="LJD3">
        <f>'[12]Summary Report - 12 Months Endi'!LJC2</f>
        <v>0</v>
      </c>
      <c r="LJE3">
        <f>'[12]Summary Report - 12 Months Endi'!LJD2</f>
        <v>0</v>
      </c>
      <c r="LJF3">
        <f>'[12]Summary Report - 12 Months Endi'!LJE2</f>
        <v>0</v>
      </c>
      <c r="LJG3">
        <f>'[12]Summary Report - 12 Months Endi'!LJF2</f>
        <v>0</v>
      </c>
      <c r="LJH3">
        <f>'[12]Summary Report - 12 Months Endi'!LJG2</f>
        <v>0</v>
      </c>
      <c r="LJI3">
        <f>'[12]Summary Report - 12 Months Endi'!LJH2</f>
        <v>0</v>
      </c>
      <c r="LJJ3">
        <f>'[12]Summary Report - 12 Months Endi'!LJI2</f>
        <v>0</v>
      </c>
      <c r="LJK3">
        <f>'[12]Summary Report - 12 Months Endi'!LJJ2</f>
        <v>0</v>
      </c>
      <c r="LJL3">
        <f>'[12]Summary Report - 12 Months Endi'!LJK2</f>
        <v>0</v>
      </c>
      <c r="LJM3">
        <f>'[12]Summary Report - 12 Months Endi'!LJL2</f>
        <v>0</v>
      </c>
      <c r="LJN3">
        <f>'[12]Summary Report - 12 Months Endi'!LJM2</f>
        <v>0</v>
      </c>
      <c r="LJO3">
        <f>'[12]Summary Report - 12 Months Endi'!LJN2</f>
        <v>0</v>
      </c>
      <c r="LJP3">
        <f>'[12]Summary Report - 12 Months Endi'!LJO2</f>
        <v>0</v>
      </c>
      <c r="LJQ3">
        <f>'[12]Summary Report - 12 Months Endi'!LJP2</f>
        <v>0</v>
      </c>
      <c r="LJR3">
        <f>'[12]Summary Report - 12 Months Endi'!LJQ2</f>
        <v>0</v>
      </c>
      <c r="LJS3">
        <f>'[12]Summary Report - 12 Months Endi'!LJR2</f>
        <v>0</v>
      </c>
      <c r="LJT3">
        <f>'[12]Summary Report - 12 Months Endi'!LJS2</f>
        <v>0</v>
      </c>
      <c r="LJU3">
        <f>'[12]Summary Report - 12 Months Endi'!LJT2</f>
        <v>0</v>
      </c>
      <c r="LJV3">
        <f>'[12]Summary Report - 12 Months Endi'!LJU2</f>
        <v>0</v>
      </c>
      <c r="LJW3">
        <f>'[12]Summary Report - 12 Months Endi'!LJV2</f>
        <v>0</v>
      </c>
      <c r="LJX3">
        <f>'[12]Summary Report - 12 Months Endi'!LJW2</f>
        <v>0</v>
      </c>
      <c r="LJY3">
        <f>'[12]Summary Report - 12 Months Endi'!LJX2</f>
        <v>0</v>
      </c>
      <c r="LJZ3">
        <f>'[12]Summary Report - 12 Months Endi'!LJY2</f>
        <v>0</v>
      </c>
      <c r="LKA3">
        <f>'[12]Summary Report - 12 Months Endi'!LJZ2</f>
        <v>0</v>
      </c>
      <c r="LKB3">
        <f>'[12]Summary Report - 12 Months Endi'!LKA2</f>
        <v>0</v>
      </c>
      <c r="LKC3">
        <f>'[12]Summary Report - 12 Months Endi'!LKB2</f>
        <v>0</v>
      </c>
      <c r="LKD3">
        <f>'[12]Summary Report - 12 Months Endi'!LKC2</f>
        <v>0</v>
      </c>
      <c r="LKE3">
        <f>'[12]Summary Report - 12 Months Endi'!LKD2</f>
        <v>0</v>
      </c>
      <c r="LKF3">
        <f>'[12]Summary Report - 12 Months Endi'!LKE2</f>
        <v>0</v>
      </c>
      <c r="LKG3">
        <f>'[12]Summary Report - 12 Months Endi'!LKF2</f>
        <v>0</v>
      </c>
      <c r="LKH3">
        <f>'[12]Summary Report - 12 Months Endi'!LKG2</f>
        <v>0</v>
      </c>
      <c r="LKI3">
        <f>'[12]Summary Report - 12 Months Endi'!LKH2</f>
        <v>0</v>
      </c>
      <c r="LKJ3">
        <f>'[12]Summary Report - 12 Months Endi'!LKI2</f>
        <v>0</v>
      </c>
      <c r="LKK3">
        <f>'[12]Summary Report - 12 Months Endi'!LKJ2</f>
        <v>0</v>
      </c>
      <c r="LKL3">
        <f>'[12]Summary Report - 12 Months Endi'!LKK2</f>
        <v>0</v>
      </c>
      <c r="LKM3">
        <f>'[12]Summary Report - 12 Months Endi'!LKL2</f>
        <v>0</v>
      </c>
      <c r="LKN3">
        <f>'[12]Summary Report - 12 Months Endi'!LKM2</f>
        <v>0</v>
      </c>
      <c r="LKO3">
        <f>'[12]Summary Report - 12 Months Endi'!LKN2</f>
        <v>0</v>
      </c>
      <c r="LKP3">
        <f>'[12]Summary Report - 12 Months Endi'!LKO2</f>
        <v>0</v>
      </c>
      <c r="LKQ3">
        <f>'[12]Summary Report - 12 Months Endi'!LKP2</f>
        <v>0</v>
      </c>
      <c r="LKR3">
        <f>'[12]Summary Report - 12 Months Endi'!LKQ2</f>
        <v>0</v>
      </c>
      <c r="LKS3">
        <f>'[12]Summary Report - 12 Months Endi'!LKR2</f>
        <v>0</v>
      </c>
      <c r="LKT3">
        <f>'[12]Summary Report - 12 Months Endi'!LKS2</f>
        <v>0</v>
      </c>
      <c r="LKU3">
        <f>'[12]Summary Report - 12 Months Endi'!LKT2</f>
        <v>0</v>
      </c>
      <c r="LKV3">
        <f>'[12]Summary Report - 12 Months Endi'!LKU2</f>
        <v>0</v>
      </c>
      <c r="LKW3">
        <f>'[12]Summary Report - 12 Months Endi'!LKV2</f>
        <v>0</v>
      </c>
      <c r="LKX3">
        <f>'[12]Summary Report - 12 Months Endi'!LKW2</f>
        <v>0</v>
      </c>
      <c r="LKY3">
        <f>'[12]Summary Report - 12 Months Endi'!LKX2</f>
        <v>0</v>
      </c>
      <c r="LKZ3">
        <f>'[12]Summary Report - 12 Months Endi'!LKY2</f>
        <v>0</v>
      </c>
      <c r="LLA3">
        <f>'[12]Summary Report - 12 Months Endi'!LKZ2</f>
        <v>0</v>
      </c>
      <c r="LLB3">
        <f>'[12]Summary Report - 12 Months Endi'!LLA2</f>
        <v>0</v>
      </c>
      <c r="LLC3">
        <f>'[12]Summary Report - 12 Months Endi'!LLB2</f>
        <v>0</v>
      </c>
      <c r="LLD3">
        <f>'[12]Summary Report - 12 Months Endi'!LLC2</f>
        <v>0</v>
      </c>
      <c r="LLE3">
        <f>'[12]Summary Report - 12 Months Endi'!LLD2</f>
        <v>0</v>
      </c>
      <c r="LLF3">
        <f>'[12]Summary Report - 12 Months Endi'!LLE2</f>
        <v>0</v>
      </c>
      <c r="LLG3">
        <f>'[12]Summary Report - 12 Months Endi'!LLF2</f>
        <v>0</v>
      </c>
      <c r="LLH3">
        <f>'[12]Summary Report - 12 Months Endi'!LLG2</f>
        <v>0</v>
      </c>
      <c r="LLI3">
        <f>'[12]Summary Report - 12 Months Endi'!LLH2</f>
        <v>0</v>
      </c>
      <c r="LLJ3">
        <f>'[12]Summary Report - 12 Months Endi'!LLI2</f>
        <v>0</v>
      </c>
      <c r="LLK3">
        <f>'[12]Summary Report - 12 Months Endi'!LLJ2</f>
        <v>0</v>
      </c>
      <c r="LLL3">
        <f>'[12]Summary Report - 12 Months Endi'!LLK2</f>
        <v>0</v>
      </c>
      <c r="LLM3">
        <f>'[12]Summary Report - 12 Months Endi'!LLL2</f>
        <v>0</v>
      </c>
      <c r="LLN3">
        <f>'[12]Summary Report - 12 Months Endi'!LLM2</f>
        <v>0</v>
      </c>
      <c r="LLO3">
        <f>'[12]Summary Report - 12 Months Endi'!LLN2</f>
        <v>0</v>
      </c>
      <c r="LLP3">
        <f>'[12]Summary Report - 12 Months Endi'!LLO2</f>
        <v>0</v>
      </c>
      <c r="LLQ3">
        <f>'[12]Summary Report - 12 Months Endi'!LLP2</f>
        <v>0</v>
      </c>
      <c r="LLR3">
        <f>'[12]Summary Report - 12 Months Endi'!LLQ2</f>
        <v>0</v>
      </c>
      <c r="LLS3">
        <f>'[12]Summary Report - 12 Months Endi'!LLR2</f>
        <v>0</v>
      </c>
      <c r="LLT3">
        <f>'[12]Summary Report - 12 Months Endi'!LLS2</f>
        <v>0</v>
      </c>
      <c r="LLU3">
        <f>'[12]Summary Report - 12 Months Endi'!LLT2</f>
        <v>0</v>
      </c>
      <c r="LLV3">
        <f>'[12]Summary Report - 12 Months Endi'!LLU2</f>
        <v>0</v>
      </c>
      <c r="LLW3">
        <f>'[12]Summary Report - 12 Months Endi'!LLV2</f>
        <v>0</v>
      </c>
      <c r="LLX3">
        <f>'[12]Summary Report - 12 Months Endi'!LLW2</f>
        <v>0</v>
      </c>
      <c r="LLY3">
        <f>'[12]Summary Report - 12 Months Endi'!LLX2</f>
        <v>0</v>
      </c>
      <c r="LLZ3">
        <f>'[12]Summary Report - 12 Months Endi'!LLY2</f>
        <v>0</v>
      </c>
      <c r="LMA3">
        <f>'[12]Summary Report - 12 Months Endi'!LLZ2</f>
        <v>0</v>
      </c>
      <c r="LMB3">
        <f>'[12]Summary Report - 12 Months Endi'!LMA2</f>
        <v>0</v>
      </c>
      <c r="LMC3">
        <f>'[12]Summary Report - 12 Months Endi'!LMB2</f>
        <v>0</v>
      </c>
      <c r="LMD3">
        <f>'[12]Summary Report - 12 Months Endi'!LMC2</f>
        <v>0</v>
      </c>
      <c r="LME3">
        <f>'[12]Summary Report - 12 Months Endi'!LMD2</f>
        <v>0</v>
      </c>
      <c r="LMF3">
        <f>'[12]Summary Report - 12 Months Endi'!LME2</f>
        <v>0</v>
      </c>
      <c r="LMG3">
        <f>'[12]Summary Report - 12 Months Endi'!LMF2</f>
        <v>0</v>
      </c>
      <c r="LMH3">
        <f>'[12]Summary Report - 12 Months Endi'!LMG2</f>
        <v>0</v>
      </c>
      <c r="LMI3">
        <f>'[12]Summary Report - 12 Months Endi'!LMH2</f>
        <v>0</v>
      </c>
      <c r="LMJ3">
        <f>'[12]Summary Report - 12 Months Endi'!LMI2</f>
        <v>0</v>
      </c>
      <c r="LMK3">
        <f>'[12]Summary Report - 12 Months Endi'!LMJ2</f>
        <v>0</v>
      </c>
      <c r="LML3">
        <f>'[12]Summary Report - 12 Months Endi'!LMK2</f>
        <v>0</v>
      </c>
      <c r="LMM3">
        <f>'[12]Summary Report - 12 Months Endi'!LML2</f>
        <v>0</v>
      </c>
      <c r="LMN3">
        <f>'[12]Summary Report - 12 Months Endi'!LMM2</f>
        <v>0</v>
      </c>
      <c r="LMO3">
        <f>'[12]Summary Report - 12 Months Endi'!LMN2</f>
        <v>0</v>
      </c>
      <c r="LMP3">
        <f>'[12]Summary Report - 12 Months Endi'!LMO2</f>
        <v>0</v>
      </c>
      <c r="LMQ3">
        <f>'[12]Summary Report - 12 Months Endi'!LMP2</f>
        <v>0</v>
      </c>
      <c r="LMR3">
        <f>'[12]Summary Report - 12 Months Endi'!LMQ2</f>
        <v>0</v>
      </c>
      <c r="LMS3">
        <f>'[12]Summary Report - 12 Months Endi'!LMR2</f>
        <v>0</v>
      </c>
      <c r="LMT3">
        <f>'[12]Summary Report - 12 Months Endi'!LMS2</f>
        <v>0</v>
      </c>
      <c r="LMU3">
        <f>'[12]Summary Report - 12 Months Endi'!LMT2</f>
        <v>0</v>
      </c>
      <c r="LMV3">
        <f>'[12]Summary Report - 12 Months Endi'!LMU2</f>
        <v>0</v>
      </c>
      <c r="LMW3">
        <f>'[12]Summary Report - 12 Months Endi'!LMV2</f>
        <v>0</v>
      </c>
      <c r="LMX3">
        <f>'[12]Summary Report - 12 Months Endi'!LMW2</f>
        <v>0</v>
      </c>
      <c r="LMY3">
        <f>'[12]Summary Report - 12 Months Endi'!LMX2</f>
        <v>0</v>
      </c>
      <c r="LMZ3">
        <f>'[12]Summary Report - 12 Months Endi'!LMY2</f>
        <v>0</v>
      </c>
      <c r="LNA3">
        <f>'[12]Summary Report - 12 Months Endi'!LMZ2</f>
        <v>0</v>
      </c>
      <c r="LNB3">
        <f>'[12]Summary Report - 12 Months Endi'!LNA2</f>
        <v>0</v>
      </c>
      <c r="LNC3">
        <f>'[12]Summary Report - 12 Months Endi'!LNB2</f>
        <v>0</v>
      </c>
      <c r="LND3">
        <f>'[12]Summary Report - 12 Months Endi'!LNC2</f>
        <v>0</v>
      </c>
      <c r="LNE3">
        <f>'[12]Summary Report - 12 Months Endi'!LND2</f>
        <v>0</v>
      </c>
      <c r="LNF3">
        <f>'[12]Summary Report - 12 Months Endi'!LNE2</f>
        <v>0</v>
      </c>
      <c r="LNG3">
        <f>'[12]Summary Report - 12 Months Endi'!LNF2</f>
        <v>0</v>
      </c>
      <c r="LNH3">
        <f>'[12]Summary Report - 12 Months Endi'!LNG2</f>
        <v>0</v>
      </c>
      <c r="LNI3">
        <f>'[12]Summary Report - 12 Months Endi'!LNH2</f>
        <v>0</v>
      </c>
      <c r="LNJ3">
        <f>'[12]Summary Report - 12 Months Endi'!LNI2</f>
        <v>0</v>
      </c>
      <c r="LNK3">
        <f>'[12]Summary Report - 12 Months Endi'!LNJ2</f>
        <v>0</v>
      </c>
      <c r="LNL3">
        <f>'[12]Summary Report - 12 Months Endi'!LNK2</f>
        <v>0</v>
      </c>
      <c r="LNM3">
        <f>'[12]Summary Report - 12 Months Endi'!LNL2</f>
        <v>0</v>
      </c>
      <c r="LNN3">
        <f>'[12]Summary Report - 12 Months Endi'!LNM2</f>
        <v>0</v>
      </c>
      <c r="LNO3">
        <f>'[12]Summary Report - 12 Months Endi'!LNN2</f>
        <v>0</v>
      </c>
      <c r="LNP3">
        <f>'[12]Summary Report - 12 Months Endi'!LNO2</f>
        <v>0</v>
      </c>
      <c r="LNQ3">
        <f>'[12]Summary Report - 12 Months Endi'!LNP2</f>
        <v>0</v>
      </c>
      <c r="LNR3">
        <f>'[12]Summary Report - 12 Months Endi'!LNQ2</f>
        <v>0</v>
      </c>
      <c r="LNS3">
        <f>'[12]Summary Report - 12 Months Endi'!LNR2</f>
        <v>0</v>
      </c>
      <c r="LNT3">
        <f>'[12]Summary Report - 12 Months Endi'!LNS2</f>
        <v>0</v>
      </c>
      <c r="LNU3">
        <f>'[12]Summary Report - 12 Months Endi'!LNT2</f>
        <v>0</v>
      </c>
      <c r="LNV3">
        <f>'[12]Summary Report - 12 Months Endi'!LNU2</f>
        <v>0</v>
      </c>
      <c r="LNW3">
        <f>'[12]Summary Report - 12 Months Endi'!LNV2</f>
        <v>0</v>
      </c>
      <c r="LNX3">
        <f>'[12]Summary Report - 12 Months Endi'!LNW2</f>
        <v>0</v>
      </c>
      <c r="LNY3">
        <f>'[12]Summary Report - 12 Months Endi'!LNX2</f>
        <v>0</v>
      </c>
      <c r="LNZ3">
        <f>'[12]Summary Report - 12 Months Endi'!LNY2</f>
        <v>0</v>
      </c>
      <c r="LOA3">
        <f>'[12]Summary Report - 12 Months Endi'!LNZ2</f>
        <v>0</v>
      </c>
      <c r="LOB3">
        <f>'[12]Summary Report - 12 Months Endi'!LOA2</f>
        <v>0</v>
      </c>
      <c r="LOC3">
        <f>'[12]Summary Report - 12 Months Endi'!LOB2</f>
        <v>0</v>
      </c>
      <c r="LOD3">
        <f>'[12]Summary Report - 12 Months Endi'!LOC2</f>
        <v>0</v>
      </c>
      <c r="LOE3">
        <f>'[12]Summary Report - 12 Months Endi'!LOD2</f>
        <v>0</v>
      </c>
      <c r="LOF3">
        <f>'[12]Summary Report - 12 Months Endi'!LOE2</f>
        <v>0</v>
      </c>
      <c r="LOG3">
        <f>'[12]Summary Report - 12 Months Endi'!LOF2</f>
        <v>0</v>
      </c>
      <c r="LOH3">
        <f>'[12]Summary Report - 12 Months Endi'!LOG2</f>
        <v>0</v>
      </c>
      <c r="LOI3">
        <f>'[12]Summary Report - 12 Months Endi'!LOH2</f>
        <v>0</v>
      </c>
      <c r="LOJ3">
        <f>'[12]Summary Report - 12 Months Endi'!LOI2</f>
        <v>0</v>
      </c>
      <c r="LOK3">
        <f>'[12]Summary Report - 12 Months Endi'!LOJ2</f>
        <v>0</v>
      </c>
      <c r="LOL3">
        <f>'[12]Summary Report - 12 Months Endi'!LOK2</f>
        <v>0</v>
      </c>
      <c r="LOM3">
        <f>'[12]Summary Report - 12 Months Endi'!LOL2</f>
        <v>0</v>
      </c>
      <c r="LON3">
        <f>'[12]Summary Report - 12 Months Endi'!LOM2</f>
        <v>0</v>
      </c>
      <c r="LOO3">
        <f>'[12]Summary Report - 12 Months Endi'!LON2</f>
        <v>0</v>
      </c>
      <c r="LOP3">
        <f>'[12]Summary Report - 12 Months Endi'!LOO2</f>
        <v>0</v>
      </c>
      <c r="LOQ3">
        <f>'[12]Summary Report - 12 Months Endi'!LOP2</f>
        <v>0</v>
      </c>
      <c r="LOR3">
        <f>'[12]Summary Report - 12 Months Endi'!LOQ2</f>
        <v>0</v>
      </c>
      <c r="LOS3">
        <f>'[12]Summary Report - 12 Months Endi'!LOR2</f>
        <v>0</v>
      </c>
      <c r="LOT3">
        <f>'[12]Summary Report - 12 Months Endi'!LOS2</f>
        <v>0</v>
      </c>
      <c r="LOU3">
        <f>'[12]Summary Report - 12 Months Endi'!LOT2</f>
        <v>0</v>
      </c>
      <c r="LOV3">
        <f>'[12]Summary Report - 12 Months Endi'!LOU2</f>
        <v>0</v>
      </c>
      <c r="LOW3">
        <f>'[12]Summary Report - 12 Months Endi'!LOV2</f>
        <v>0</v>
      </c>
      <c r="LOX3">
        <f>'[12]Summary Report - 12 Months Endi'!LOW2</f>
        <v>0</v>
      </c>
      <c r="LOY3">
        <f>'[12]Summary Report - 12 Months Endi'!LOX2</f>
        <v>0</v>
      </c>
      <c r="LOZ3">
        <f>'[12]Summary Report - 12 Months Endi'!LOY2</f>
        <v>0</v>
      </c>
      <c r="LPA3">
        <f>'[12]Summary Report - 12 Months Endi'!LOZ2</f>
        <v>0</v>
      </c>
      <c r="LPB3">
        <f>'[12]Summary Report - 12 Months Endi'!LPA2</f>
        <v>0</v>
      </c>
      <c r="LPC3">
        <f>'[12]Summary Report - 12 Months Endi'!LPB2</f>
        <v>0</v>
      </c>
      <c r="LPD3">
        <f>'[12]Summary Report - 12 Months Endi'!LPC2</f>
        <v>0</v>
      </c>
      <c r="LPE3">
        <f>'[12]Summary Report - 12 Months Endi'!LPD2</f>
        <v>0</v>
      </c>
      <c r="LPF3">
        <f>'[12]Summary Report - 12 Months Endi'!LPE2</f>
        <v>0</v>
      </c>
      <c r="LPG3">
        <f>'[12]Summary Report - 12 Months Endi'!LPF2</f>
        <v>0</v>
      </c>
      <c r="LPH3">
        <f>'[12]Summary Report - 12 Months Endi'!LPG2</f>
        <v>0</v>
      </c>
      <c r="LPI3">
        <f>'[12]Summary Report - 12 Months Endi'!LPH2</f>
        <v>0</v>
      </c>
      <c r="LPJ3">
        <f>'[12]Summary Report - 12 Months Endi'!LPI2</f>
        <v>0</v>
      </c>
      <c r="LPK3">
        <f>'[12]Summary Report - 12 Months Endi'!LPJ2</f>
        <v>0</v>
      </c>
      <c r="LPL3">
        <f>'[12]Summary Report - 12 Months Endi'!LPK2</f>
        <v>0</v>
      </c>
      <c r="LPM3">
        <f>'[12]Summary Report - 12 Months Endi'!LPL2</f>
        <v>0</v>
      </c>
      <c r="LPN3">
        <f>'[12]Summary Report - 12 Months Endi'!LPM2</f>
        <v>0</v>
      </c>
      <c r="LPO3">
        <f>'[12]Summary Report - 12 Months Endi'!LPN2</f>
        <v>0</v>
      </c>
      <c r="LPP3">
        <f>'[12]Summary Report - 12 Months Endi'!LPO2</f>
        <v>0</v>
      </c>
      <c r="LPQ3">
        <f>'[12]Summary Report - 12 Months Endi'!LPP2</f>
        <v>0</v>
      </c>
      <c r="LPR3">
        <f>'[12]Summary Report - 12 Months Endi'!LPQ2</f>
        <v>0</v>
      </c>
      <c r="LPS3">
        <f>'[12]Summary Report - 12 Months Endi'!LPR2</f>
        <v>0</v>
      </c>
      <c r="LPT3">
        <f>'[12]Summary Report - 12 Months Endi'!LPS2</f>
        <v>0</v>
      </c>
      <c r="LPU3">
        <f>'[12]Summary Report - 12 Months Endi'!LPT2</f>
        <v>0</v>
      </c>
      <c r="LPV3">
        <f>'[12]Summary Report - 12 Months Endi'!LPU2</f>
        <v>0</v>
      </c>
      <c r="LPW3">
        <f>'[12]Summary Report - 12 Months Endi'!LPV2</f>
        <v>0</v>
      </c>
      <c r="LPX3">
        <f>'[12]Summary Report - 12 Months Endi'!LPW2</f>
        <v>0</v>
      </c>
      <c r="LPY3">
        <f>'[12]Summary Report - 12 Months Endi'!LPX2</f>
        <v>0</v>
      </c>
      <c r="LPZ3">
        <f>'[12]Summary Report - 12 Months Endi'!LPY2</f>
        <v>0</v>
      </c>
      <c r="LQA3">
        <f>'[12]Summary Report - 12 Months Endi'!LPZ2</f>
        <v>0</v>
      </c>
      <c r="LQB3">
        <f>'[12]Summary Report - 12 Months Endi'!LQA2</f>
        <v>0</v>
      </c>
      <c r="LQC3">
        <f>'[12]Summary Report - 12 Months Endi'!LQB2</f>
        <v>0</v>
      </c>
      <c r="LQD3">
        <f>'[12]Summary Report - 12 Months Endi'!LQC2</f>
        <v>0</v>
      </c>
      <c r="LQE3">
        <f>'[12]Summary Report - 12 Months Endi'!LQD2</f>
        <v>0</v>
      </c>
      <c r="LQF3">
        <f>'[12]Summary Report - 12 Months Endi'!LQE2</f>
        <v>0</v>
      </c>
      <c r="LQG3">
        <f>'[12]Summary Report - 12 Months Endi'!LQF2</f>
        <v>0</v>
      </c>
      <c r="LQH3">
        <f>'[12]Summary Report - 12 Months Endi'!LQG2</f>
        <v>0</v>
      </c>
      <c r="LQI3">
        <f>'[12]Summary Report - 12 Months Endi'!LQH2</f>
        <v>0</v>
      </c>
      <c r="LQJ3">
        <f>'[12]Summary Report - 12 Months Endi'!LQI2</f>
        <v>0</v>
      </c>
      <c r="LQK3">
        <f>'[12]Summary Report - 12 Months Endi'!LQJ2</f>
        <v>0</v>
      </c>
      <c r="LQL3">
        <f>'[12]Summary Report - 12 Months Endi'!LQK2</f>
        <v>0</v>
      </c>
      <c r="LQM3">
        <f>'[12]Summary Report - 12 Months Endi'!LQL2</f>
        <v>0</v>
      </c>
      <c r="LQN3">
        <f>'[12]Summary Report - 12 Months Endi'!LQM2</f>
        <v>0</v>
      </c>
      <c r="LQO3">
        <f>'[12]Summary Report - 12 Months Endi'!LQN2</f>
        <v>0</v>
      </c>
      <c r="LQP3">
        <f>'[12]Summary Report - 12 Months Endi'!LQO2</f>
        <v>0</v>
      </c>
      <c r="LQQ3">
        <f>'[12]Summary Report - 12 Months Endi'!LQP2</f>
        <v>0</v>
      </c>
      <c r="LQR3">
        <f>'[12]Summary Report - 12 Months Endi'!LQQ2</f>
        <v>0</v>
      </c>
      <c r="LQS3">
        <f>'[12]Summary Report - 12 Months Endi'!LQR2</f>
        <v>0</v>
      </c>
      <c r="LQT3">
        <f>'[12]Summary Report - 12 Months Endi'!LQS2</f>
        <v>0</v>
      </c>
      <c r="LQU3">
        <f>'[12]Summary Report - 12 Months Endi'!LQT2</f>
        <v>0</v>
      </c>
      <c r="LQV3">
        <f>'[12]Summary Report - 12 Months Endi'!LQU2</f>
        <v>0</v>
      </c>
      <c r="LQW3">
        <f>'[12]Summary Report - 12 Months Endi'!LQV2</f>
        <v>0</v>
      </c>
      <c r="LQX3">
        <f>'[12]Summary Report - 12 Months Endi'!LQW2</f>
        <v>0</v>
      </c>
      <c r="LQY3">
        <f>'[12]Summary Report - 12 Months Endi'!LQX2</f>
        <v>0</v>
      </c>
      <c r="LQZ3">
        <f>'[12]Summary Report - 12 Months Endi'!LQY2</f>
        <v>0</v>
      </c>
      <c r="LRA3">
        <f>'[12]Summary Report - 12 Months Endi'!LQZ2</f>
        <v>0</v>
      </c>
      <c r="LRB3">
        <f>'[12]Summary Report - 12 Months Endi'!LRA2</f>
        <v>0</v>
      </c>
      <c r="LRC3">
        <f>'[12]Summary Report - 12 Months Endi'!LRB2</f>
        <v>0</v>
      </c>
      <c r="LRD3">
        <f>'[12]Summary Report - 12 Months Endi'!LRC2</f>
        <v>0</v>
      </c>
      <c r="LRE3">
        <f>'[12]Summary Report - 12 Months Endi'!LRD2</f>
        <v>0</v>
      </c>
      <c r="LRF3">
        <f>'[12]Summary Report - 12 Months Endi'!LRE2</f>
        <v>0</v>
      </c>
      <c r="LRG3">
        <f>'[12]Summary Report - 12 Months Endi'!LRF2</f>
        <v>0</v>
      </c>
      <c r="LRH3">
        <f>'[12]Summary Report - 12 Months Endi'!LRG2</f>
        <v>0</v>
      </c>
      <c r="LRI3">
        <f>'[12]Summary Report - 12 Months Endi'!LRH2</f>
        <v>0</v>
      </c>
      <c r="LRJ3">
        <f>'[12]Summary Report - 12 Months Endi'!LRI2</f>
        <v>0</v>
      </c>
      <c r="LRK3">
        <f>'[12]Summary Report - 12 Months Endi'!LRJ2</f>
        <v>0</v>
      </c>
      <c r="LRL3">
        <f>'[12]Summary Report - 12 Months Endi'!LRK2</f>
        <v>0</v>
      </c>
      <c r="LRM3">
        <f>'[12]Summary Report - 12 Months Endi'!LRL2</f>
        <v>0</v>
      </c>
      <c r="LRN3">
        <f>'[12]Summary Report - 12 Months Endi'!LRM2</f>
        <v>0</v>
      </c>
      <c r="LRO3">
        <f>'[12]Summary Report - 12 Months Endi'!LRN2</f>
        <v>0</v>
      </c>
      <c r="LRP3">
        <f>'[12]Summary Report - 12 Months Endi'!LRO2</f>
        <v>0</v>
      </c>
      <c r="LRQ3">
        <f>'[12]Summary Report - 12 Months Endi'!LRP2</f>
        <v>0</v>
      </c>
      <c r="LRR3">
        <f>'[12]Summary Report - 12 Months Endi'!LRQ2</f>
        <v>0</v>
      </c>
      <c r="LRS3">
        <f>'[12]Summary Report - 12 Months Endi'!LRR2</f>
        <v>0</v>
      </c>
      <c r="LRT3">
        <f>'[12]Summary Report - 12 Months Endi'!LRS2</f>
        <v>0</v>
      </c>
      <c r="LRU3">
        <f>'[12]Summary Report - 12 Months Endi'!LRT2</f>
        <v>0</v>
      </c>
      <c r="LRV3">
        <f>'[12]Summary Report - 12 Months Endi'!LRU2</f>
        <v>0</v>
      </c>
      <c r="LRW3">
        <f>'[12]Summary Report - 12 Months Endi'!LRV2</f>
        <v>0</v>
      </c>
      <c r="LRX3">
        <f>'[12]Summary Report - 12 Months Endi'!LRW2</f>
        <v>0</v>
      </c>
      <c r="LRY3">
        <f>'[12]Summary Report - 12 Months Endi'!LRX2</f>
        <v>0</v>
      </c>
      <c r="LRZ3">
        <f>'[12]Summary Report - 12 Months Endi'!LRY2</f>
        <v>0</v>
      </c>
      <c r="LSA3">
        <f>'[12]Summary Report - 12 Months Endi'!LRZ2</f>
        <v>0</v>
      </c>
      <c r="LSB3">
        <f>'[12]Summary Report - 12 Months Endi'!LSA2</f>
        <v>0</v>
      </c>
      <c r="LSC3">
        <f>'[12]Summary Report - 12 Months Endi'!LSB2</f>
        <v>0</v>
      </c>
      <c r="LSD3">
        <f>'[12]Summary Report - 12 Months Endi'!LSC2</f>
        <v>0</v>
      </c>
      <c r="LSE3">
        <f>'[12]Summary Report - 12 Months Endi'!LSD2</f>
        <v>0</v>
      </c>
      <c r="LSF3">
        <f>'[12]Summary Report - 12 Months Endi'!LSE2</f>
        <v>0</v>
      </c>
      <c r="LSG3">
        <f>'[12]Summary Report - 12 Months Endi'!LSF2</f>
        <v>0</v>
      </c>
      <c r="LSH3">
        <f>'[12]Summary Report - 12 Months Endi'!LSG2</f>
        <v>0</v>
      </c>
      <c r="LSI3">
        <f>'[12]Summary Report - 12 Months Endi'!LSH2</f>
        <v>0</v>
      </c>
      <c r="LSJ3">
        <f>'[12]Summary Report - 12 Months Endi'!LSI2</f>
        <v>0</v>
      </c>
      <c r="LSK3">
        <f>'[12]Summary Report - 12 Months Endi'!LSJ2</f>
        <v>0</v>
      </c>
      <c r="LSL3">
        <f>'[12]Summary Report - 12 Months Endi'!LSK2</f>
        <v>0</v>
      </c>
      <c r="LSM3">
        <f>'[12]Summary Report - 12 Months Endi'!LSL2</f>
        <v>0</v>
      </c>
      <c r="LSN3">
        <f>'[12]Summary Report - 12 Months Endi'!LSM2</f>
        <v>0</v>
      </c>
      <c r="LSO3">
        <f>'[12]Summary Report - 12 Months Endi'!LSN2</f>
        <v>0</v>
      </c>
      <c r="LSP3">
        <f>'[12]Summary Report - 12 Months Endi'!LSO2</f>
        <v>0</v>
      </c>
      <c r="LSQ3">
        <f>'[12]Summary Report - 12 Months Endi'!LSP2</f>
        <v>0</v>
      </c>
      <c r="LSR3">
        <f>'[12]Summary Report - 12 Months Endi'!LSQ2</f>
        <v>0</v>
      </c>
      <c r="LSS3">
        <f>'[12]Summary Report - 12 Months Endi'!LSR2</f>
        <v>0</v>
      </c>
      <c r="LST3">
        <f>'[12]Summary Report - 12 Months Endi'!LSS2</f>
        <v>0</v>
      </c>
      <c r="LSU3">
        <f>'[12]Summary Report - 12 Months Endi'!LST2</f>
        <v>0</v>
      </c>
      <c r="LSV3">
        <f>'[12]Summary Report - 12 Months Endi'!LSU2</f>
        <v>0</v>
      </c>
      <c r="LSW3">
        <f>'[12]Summary Report - 12 Months Endi'!LSV2</f>
        <v>0</v>
      </c>
      <c r="LSX3">
        <f>'[12]Summary Report - 12 Months Endi'!LSW2</f>
        <v>0</v>
      </c>
      <c r="LSY3">
        <f>'[12]Summary Report - 12 Months Endi'!LSX2</f>
        <v>0</v>
      </c>
      <c r="LSZ3">
        <f>'[12]Summary Report - 12 Months Endi'!LSY2</f>
        <v>0</v>
      </c>
      <c r="LTA3">
        <f>'[12]Summary Report - 12 Months Endi'!LSZ2</f>
        <v>0</v>
      </c>
      <c r="LTB3">
        <f>'[12]Summary Report - 12 Months Endi'!LTA2</f>
        <v>0</v>
      </c>
      <c r="LTC3">
        <f>'[12]Summary Report - 12 Months Endi'!LTB2</f>
        <v>0</v>
      </c>
      <c r="LTD3">
        <f>'[12]Summary Report - 12 Months Endi'!LTC2</f>
        <v>0</v>
      </c>
      <c r="LTE3">
        <f>'[12]Summary Report - 12 Months Endi'!LTD2</f>
        <v>0</v>
      </c>
      <c r="LTF3">
        <f>'[12]Summary Report - 12 Months Endi'!LTE2</f>
        <v>0</v>
      </c>
      <c r="LTG3">
        <f>'[12]Summary Report - 12 Months Endi'!LTF2</f>
        <v>0</v>
      </c>
      <c r="LTH3">
        <f>'[12]Summary Report - 12 Months Endi'!LTG2</f>
        <v>0</v>
      </c>
      <c r="LTI3">
        <f>'[12]Summary Report - 12 Months Endi'!LTH2</f>
        <v>0</v>
      </c>
      <c r="LTJ3">
        <f>'[12]Summary Report - 12 Months Endi'!LTI2</f>
        <v>0</v>
      </c>
      <c r="LTK3">
        <f>'[12]Summary Report - 12 Months Endi'!LTJ2</f>
        <v>0</v>
      </c>
      <c r="LTL3">
        <f>'[12]Summary Report - 12 Months Endi'!LTK2</f>
        <v>0</v>
      </c>
      <c r="LTM3">
        <f>'[12]Summary Report - 12 Months Endi'!LTL2</f>
        <v>0</v>
      </c>
      <c r="LTN3">
        <f>'[12]Summary Report - 12 Months Endi'!LTM2</f>
        <v>0</v>
      </c>
      <c r="LTO3">
        <f>'[12]Summary Report - 12 Months Endi'!LTN2</f>
        <v>0</v>
      </c>
      <c r="LTP3">
        <f>'[12]Summary Report - 12 Months Endi'!LTO2</f>
        <v>0</v>
      </c>
      <c r="LTQ3">
        <f>'[12]Summary Report - 12 Months Endi'!LTP2</f>
        <v>0</v>
      </c>
      <c r="LTR3">
        <f>'[12]Summary Report - 12 Months Endi'!LTQ2</f>
        <v>0</v>
      </c>
      <c r="LTS3">
        <f>'[12]Summary Report - 12 Months Endi'!LTR2</f>
        <v>0</v>
      </c>
      <c r="LTT3">
        <f>'[12]Summary Report - 12 Months Endi'!LTS2</f>
        <v>0</v>
      </c>
      <c r="LTU3">
        <f>'[12]Summary Report - 12 Months Endi'!LTT2</f>
        <v>0</v>
      </c>
      <c r="LTV3">
        <f>'[12]Summary Report - 12 Months Endi'!LTU2</f>
        <v>0</v>
      </c>
      <c r="LTW3">
        <f>'[12]Summary Report - 12 Months Endi'!LTV2</f>
        <v>0</v>
      </c>
      <c r="LTX3">
        <f>'[12]Summary Report - 12 Months Endi'!LTW2</f>
        <v>0</v>
      </c>
      <c r="LTY3">
        <f>'[12]Summary Report - 12 Months Endi'!LTX2</f>
        <v>0</v>
      </c>
      <c r="LTZ3">
        <f>'[12]Summary Report - 12 Months Endi'!LTY2</f>
        <v>0</v>
      </c>
      <c r="LUA3">
        <f>'[12]Summary Report - 12 Months Endi'!LTZ2</f>
        <v>0</v>
      </c>
      <c r="LUB3">
        <f>'[12]Summary Report - 12 Months Endi'!LUA2</f>
        <v>0</v>
      </c>
      <c r="LUC3">
        <f>'[12]Summary Report - 12 Months Endi'!LUB2</f>
        <v>0</v>
      </c>
      <c r="LUD3">
        <f>'[12]Summary Report - 12 Months Endi'!LUC2</f>
        <v>0</v>
      </c>
      <c r="LUE3">
        <f>'[12]Summary Report - 12 Months Endi'!LUD2</f>
        <v>0</v>
      </c>
      <c r="LUF3">
        <f>'[12]Summary Report - 12 Months Endi'!LUE2</f>
        <v>0</v>
      </c>
      <c r="LUG3">
        <f>'[12]Summary Report - 12 Months Endi'!LUF2</f>
        <v>0</v>
      </c>
      <c r="LUH3">
        <f>'[12]Summary Report - 12 Months Endi'!LUG2</f>
        <v>0</v>
      </c>
      <c r="LUI3">
        <f>'[12]Summary Report - 12 Months Endi'!LUH2</f>
        <v>0</v>
      </c>
      <c r="LUJ3">
        <f>'[12]Summary Report - 12 Months Endi'!LUI2</f>
        <v>0</v>
      </c>
      <c r="LUK3">
        <f>'[12]Summary Report - 12 Months Endi'!LUJ2</f>
        <v>0</v>
      </c>
      <c r="LUL3">
        <f>'[12]Summary Report - 12 Months Endi'!LUK2</f>
        <v>0</v>
      </c>
      <c r="LUM3">
        <f>'[12]Summary Report - 12 Months Endi'!LUL2</f>
        <v>0</v>
      </c>
      <c r="LUN3">
        <f>'[12]Summary Report - 12 Months Endi'!LUM2</f>
        <v>0</v>
      </c>
      <c r="LUO3">
        <f>'[12]Summary Report - 12 Months Endi'!LUN2</f>
        <v>0</v>
      </c>
      <c r="LUP3">
        <f>'[12]Summary Report - 12 Months Endi'!LUO2</f>
        <v>0</v>
      </c>
      <c r="LUQ3">
        <f>'[12]Summary Report - 12 Months Endi'!LUP2</f>
        <v>0</v>
      </c>
      <c r="LUR3">
        <f>'[12]Summary Report - 12 Months Endi'!LUQ2</f>
        <v>0</v>
      </c>
      <c r="LUS3">
        <f>'[12]Summary Report - 12 Months Endi'!LUR2</f>
        <v>0</v>
      </c>
      <c r="LUT3">
        <f>'[12]Summary Report - 12 Months Endi'!LUS2</f>
        <v>0</v>
      </c>
      <c r="LUU3">
        <f>'[12]Summary Report - 12 Months Endi'!LUT2</f>
        <v>0</v>
      </c>
      <c r="LUV3">
        <f>'[12]Summary Report - 12 Months Endi'!LUU2</f>
        <v>0</v>
      </c>
      <c r="LUW3">
        <f>'[12]Summary Report - 12 Months Endi'!LUV2</f>
        <v>0</v>
      </c>
      <c r="LUX3">
        <f>'[12]Summary Report - 12 Months Endi'!LUW2</f>
        <v>0</v>
      </c>
      <c r="LUY3">
        <f>'[12]Summary Report - 12 Months Endi'!LUX2</f>
        <v>0</v>
      </c>
      <c r="LUZ3">
        <f>'[12]Summary Report - 12 Months Endi'!LUY2</f>
        <v>0</v>
      </c>
      <c r="LVA3">
        <f>'[12]Summary Report - 12 Months Endi'!LUZ2</f>
        <v>0</v>
      </c>
      <c r="LVB3">
        <f>'[12]Summary Report - 12 Months Endi'!LVA2</f>
        <v>0</v>
      </c>
      <c r="LVC3">
        <f>'[12]Summary Report - 12 Months Endi'!LVB2</f>
        <v>0</v>
      </c>
      <c r="LVD3">
        <f>'[12]Summary Report - 12 Months Endi'!LVC2</f>
        <v>0</v>
      </c>
      <c r="LVE3">
        <f>'[12]Summary Report - 12 Months Endi'!LVD2</f>
        <v>0</v>
      </c>
      <c r="LVF3">
        <f>'[12]Summary Report - 12 Months Endi'!LVE2</f>
        <v>0</v>
      </c>
      <c r="LVG3">
        <f>'[12]Summary Report - 12 Months Endi'!LVF2</f>
        <v>0</v>
      </c>
      <c r="LVH3">
        <f>'[12]Summary Report - 12 Months Endi'!LVG2</f>
        <v>0</v>
      </c>
      <c r="LVI3">
        <f>'[12]Summary Report - 12 Months Endi'!LVH2</f>
        <v>0</v>
      </c>
      <c r="LVJ3">
        <f>'[12]Summary Report - 12 Months Endi'!LVI2</f>
        <v>0</v>
      </c>
      <c r="LVK3">
        <f>'[12]Summary Report - 12 Months Endi'!LVJ2</f>
        <v>0</v>
      </c>
      <c r="LVL3">
        <f>'[12]Summary Report - 12 Months Endi'!LVK2</f>
        <v>0</v>
      </c>
      <c r="LVM3">
        <f>'[12]Summary Report - 12 Months Endi'!LVL2</f>
        <v>0</v>
      </c>
      <c r="LVN3">
        <f>'[12]Summary Report - 12 Months Endi'!LVM2</f>
        <v>0</v>
      </c>
      <c r="LVO3">
        <f>'[12]Summary Report - 12 Months Endi'!LVN2</f>
        <v>0</v>
      </c>
      <c r="LVP3">
        <f>'[12]Summary Report - 12 Months Endi'!LVO2</f>
        <v>0</v>
      </c>
      <c r="LVQ3">
        <f>'[12]Summary Report - 12 Months Endi'!LVP2</f>
        <v>0</v>
      </c>
      <c r="LVR3">
        <f>'[12]Summary Report - 12 Months Endi'!LVQ2</f>
        <v>0</v>
      </c>
      <c r="LVS3">
        <f>'[12]Summary Report - 12 Months Endi'!LVR2</f>
        <v>0</v>
      </c>
      <c r="LVT3">
        <f>'[12]Summary Report - 12 Months Endi'!LVS2</f>
        <v>0</v>
      </c>
      <c r="LVU3">
        <f>'[12]Summary Report - 12 Months Endi'!LVT2</f>
        <v>0</v>
      </c>
      <c r="LVV3">
        <f>'[12]Summary Report - 12 Months Endi'!LVU2</f>
        <v>0</v>
      </c>
      <c r="LVW3">
        <f>'[12]Summary Report - 12 Months Endi'!LVV2</f>
        <v>0</v>
      </c>
      <c r="LVX3">
        <f>'[12]Summary Report - 12 Months Endi'!LVW2</f>
        <v>0</v>
      </c>
      <c r="LVY3">
        <f>'[12]Summary Report - 12 Months Endi'!LVX2</f>
        <v>0</v>
      </c>
      <c r="LVZ3">
        <f>'[12]Summary Report - 12 Months Endi'!LVY2</f>
        <v>0</v>
      </c>
      <c r="LWA3">
        <f>'[12]Summary Report - 12 Months Endi'!LVZ2</f>
        <v>0</v>
      </c>
      <c r="LWB3">
        <f>'[12]Summary Report - 12 Months Endi'!LWA2</f>
        <v>0</v>
      </c>
      <c r="LWC3">
        <f>'[12]Summary Report - 12 Months Endi'!LWB2</f>
        <v>0</v>
      </c>
      <c r="LWD3">
        <f>'[12]Summary Report - 12 Months Endi'!LWC2</f>
        <v>0</v>
      </c>
      <c r="LWE3">
        <f>'[12]Summary Report - 12 Months Endi'!LWD2</f>
        <v>0</v>
      </c>
      <c r="LWF3">
        <f>'[12]Summary Report - 12 Months Endi'!LWE2</f>
        <v>0</v>
      </c>
      <c r="LWG3">
        <f>'[12]Summary Report - 12 Months Endi'!LWF2</f>
        <v>0</v>
      </c>
      <c r="LWH3">
        <f>'[12]Summary Report - 12 Months Endi'!LWG2</f>
        <v>0</v>
      </c>
      <c r="LWI3">
        <f>'[12]Summary Report - 12 Months Endi'!LWH2</f>
        <v>0</v>
      </c>
      <c r="LWJ3">
        <f>'[12]Summary Report - 12 Months Endi'!LWI2</f>
        <v>0</v>
      </c>
      <c r="LWK3">
        <f>'[12]Summary Report - 12 Months Endi'!LWJ2</f>
        <v>0</v>
      </c>
      <c r="LWL3">
        <f>'[12]Summary Report - 12 Months Endi'!LWK2</f>
        <v>0</v>
      </c>
      <c r="LWM3">
        <f>'[12]Summary Report - 12 Months Endi'!LWL2</f>
        <v>0</v>
      </c>
      <c r="LWN3">
        <f>'[12]Summary Report - 12 Months Endi'!LWM2</f>
        <v>0</v>
      </c>
      <c r="LWO3">
        <f>'[12]Summary Report - 12 Months Endi'!LWN2</f>
        <v>0</v>
      </c>
      <c r="LWP3">
        <f>'[12]Summary Report - 12 Months Endi'!LWO2</f>
        <v>0</v>
      </c>
      <c r="LWQ3">
        <f>'[12]Summary Report - 12 Months Endi'!LWP2</f>
        <v>0</v>
      </c>
      <c r="LWR3">
        <f>'[12]Summary Report - 12 Months Endi'!LWQ2</f>
        <v>0</v>
      </c>
      <c r="LWS3">
        <f>'[12]Summary Report - 12 Months Endi'!LWR2</f>
        <v>0</v>
      </c>
      <c r="LWT3">
        <f>'[12]Summary Report - 12 Months Endi'!LWS2</f>
        <v>0</v>
      </c>
      <c r="LWU3">
        <f>'[12]Summary Report - 12 Months Endi'!LWT2</f>
        <v>0</v>
      </c>
      <c r="LWV3">
        <f>'[12]Summary Report - 12 Months Endi'!LWU2</f>
        <v>0</v>
      </c>
      <c r="LWW3">
        <f>'[12]Summary Report - 12 Months Endi'!LWV2</f>
        <v>0</v>
      </c>
      <c r="LWX3">
        <f>'[12]Summary Report - 12 Months Endi'!LWW2</f>
        <v>0</v>
      </c>
      <c r="LWY3">
        <f>'[12]Summary Report - 12 Months Endi'!LWX2</f>
        <v>0</v>
      </c>
      <c r="LWZ3">
        <f>'[12]Summary Report - 12 Months Endi'!LWY2</f>
        <v>0</v>
      </c>
      <c r="LXA3">
        <f>'[12]Summary Report - 12 Months Endi'!LWZ2</f>
        <v>0</v>
      </c>
      <c r="LXB3">
        <f>'[12]Summary Report - 12 Months Endi'!LXA2</f>
        <v>0</v>
      </c>
      <c r="LXC3">
        <f>'[12]Summary Report - 12 Months Endi'!LXB2</f>
        <v>0</v>
      </c>
      <c r="LXD3">
        <f>'[12]Summary Report - 12 Months Endi'!LXC2</f>
        <v>0</v>
      </c>
      <c r="LXE3">
        <f>'[12]Summary Report - 12 Months Endi'!LXD2</f>
        <v>0</v>
      </c>
      <c r="LXF3">
        <f>'[12]Summary Report - 12 Months Endi'!LXE2</f>
        <v>0</v>
      </c>
      <c r="LXG3">
        <f>'[12]Summary Report - 12 Months Endi'!LXF2</f>
        <v>0</v>
      </c>
      <c r="LXH3">
        <f>'[12]Summary Report - 12 Months Endi'!LXG2</f>
        <v>0</v>
      </c>
      <c r="LXI3">
        <f>'[12]Summary Report - 12 Months Endi'!LXH2</f>
        <v>0</v>
      </c>
      <c r="LXJ3">
        <f>'[12]Summary Report - 12 Months Endi'!LXI2</f>
        <v>0</v>
      </c>
      <c r="LXK3">
        <f>'[12]Summary Report - 12 Months Endi'!LXJ2</f>
        <v>0</v>
      </c>
      <c r="LXL3">
        <f>'[12]Summary Report - 12 Months Endi'!LXK2</f>
        <v>0</v>
      </c>
      <c r="LXM3">
        <f>'[12]Summary Report - 12 Months Endi'!LXL2</f>
        <v>0</v>
      </c>
      <c r="LXN3">
        <f>'[12]Summary Report - 12 Months Endi'!LXM2</f>
        <v>0</v>
      </c>
      <c r="LXO3">
        <f>'[12]Summary Report - 12 Months Endi'!LXN2</f>
        <v>0</v>
      </c>
      <c r="LXP3">
        <f>'[12]Summary Report - 12 Months Endi'!LXO2</f>
        <v>0</v>
      </c>
      <c r="LXQ3">
        <f>'[12]Summary Report - 12 Months Endi'!LXP2</f>
        <v>0</v>
      </c>
      <c r="LXR3">
        <f>'[12]Summary Report - 12 Months Endi'!LXQ2</f>
        <v>0</v>
      </c>
      <c r="LXS3">
        <f>'[12]Summary Report - 12 Months Endi'!LXR2</f>
        <v>0</v>
      </c>
      <c r="LXT3">
        <f>'[12]Summary Report - 12 Months Endi'!LXS2</f>
        <v>0</v>
      </c>
      <c r="LXU3">
        <f>'[12]Summary Report - 12 Months Endi'!LXT2</f>
        <v>0</v>
      </c>
      <c r="LXV3">
        <f>'[12]Summary Report - 12 Months Endi'!LXU2</f>
        <v>0</v>
      </c>
      <c r="LXW3">
        <f>'[12]Summary Report - 12 Months Endi'!LXV2</f>
        <v>0</v>
      </c>
      <c r="LXX3">
        <f>'[12]Summary Report - 12 Months Endi'!LXW2</f>
        <v>0</v>
      </c>
      <c r="LXY3">
        <f>'[12]Summary Report - 12 Months Endi'!LXX2</f>
        <v>0</v>
      </c>
      <c r="LXZ3">
        <f>'[12]Summary Report - 12 Months Endi'!LXY2</f>
        <v>0</v>
      </c>
      <c r="LYA3">
        <f>'[12]Summary Report - 12 Months Endi'!LXZ2</f>
        <v>0</v>
      </c>
      <c r="LYB3">
        <f>'[12]Summary Report - 12 Months Endi'!LYA2</f>
        <v>0</v>
      </c>
      <c r="LYC3">
        <f>'[12]Summary Report - 12 Months Endi'!LYB2</f>
        <v>0</v>
      </c>
      <c r="LYD3">
        <f>'[12]Summary Report - 12 Months Endi'!LYC2</f>
        <v>0</v>
      </c>
      <c r="LYE3">
        <f>'[12]Summary Report - 12 Months Endi'!LYD2</f>
        <v>0</v>
      </c>
      <c r="LYF3">
        <f>'[12]Summary Report - 12 Months Endi'!LYE2</f>
        <v>0</v>
      </c>
      <c r="LYG3">
        <f>'[12]Summary Report - 12 Months Endi'!LYF2</f>
        <v>0</v>
      </c>
      <c r="LYH3">
        <f>'[12]Summary Report - 12 Months Endi'!LYG2</f>
        <v>0</v>
      </c>
      <c r="LYI3">
        <f>'[12]Summary Report - 12 Months Endi'!LYH2</f>
        <v>0</v>
      </c>
      <c r="LYJ3">
        <f>'[12]Summary Report - 12 Months Endi'!LYI2</f>
        <v>0</v>
      </c>
      <c r="LYK3">
        <f>'[12]Summary Report - 12 Months Endi'!LYJ2</f>
        <v>0</v>
      </c>
      <c r="LYL3">
        <f>'[12]Summary Report - 12 Months Endi'!LYK2</f>
        <v>0</v>
      </c>
      <c r="LYM3">
        <f>'[12]Summary Report - 12 Months Endi'!LYL2</f>
        <v>0</v>
      </c>
      <c r="LYN3">
        <f>'[12]Summary Report - 12 Months Endi'!LYM2</f>
        <v>0</v>
      </c>
      <c r="LYO3">
        <f>'[12]Summary Report - 12 Months Endi'!LYN2</f>
        <v>0</v>
      </c>
      <c r="LYP3">
        <f>'[12]Summary Report - 12 Months Endi'!LYO2</f>
        <v>0</v>
      </c>
      <c r="LYQ3">
        <f>'[12]Summary Report - 12 Months Endi'!LYP2</f>
        <v>0</v>
      </c>
      <c r="LYR3">
        <f>'[12]Summary Report - 12 Months Endi'!LYQ2</f>
        <v>0</v>
      </c>
      <c r="LYS3">
        <f>'[12]Summary Report - 12 Months Endi'!LYR2</f>
        <v>0</v>
      </c>
      <c r="LYT3">
        <f>'[12]Summary Report - 12 Months Endi'!LYS2</f>
        <v>0</v>
      </c>
      <c r="LYU3">
        <f>'[12]Summary Report - 12 Months Endi'!LYT2</f>
        <v>0</v>
      </c>
      <c r="LYV3">
        <f>'[12]Summary Report - 12 Months Endi'!LYU2</f>
        <v>0</v>
      </c>
      <c r="LYW3">
        <f>'[12]Summary Report - 12 Months Endi'!LYV2</f>
        <v>0</v>
      </c>
      <c r="LYX3">
        <f>'[12]Summary Report - 12 Months Endi'!LYW2</f>
        <v>0</v>
      </c>
      <c r="LYY3">
        <f>'[12]Summary Report - 12 Months Endi'!LYX2</f>
        <v>0</v>
      </c>
      <c r="LYZ3">
        <f>'[12]Summary Report - 12 Months Endi'!LYY2</f>
        <v>0</v>
      </c>
      <c r="LZA3">
        <f>'[12]Summary Report - 12 Months Endi'!LYZ2</f>
        <v>0</v>
      </c>
      <c r="LZB3">
        <f>'[12]Summary Report - 12 Months Endi'!LZA2</f>
        <v>0</v>
      </c>
      <c r="LZC3">
        <f>'[12]Summary Report - 12 Months Endi'!LZB2</f>
        <v>0</v>
      </c>
      <c r="LZD3">
        <f>'[12]Summary Report - 12 Months Endi'!LZC2</f>
        <v>0</v>
      </c>
      <c r="LZE3">
        <f>'[12]Summary Report - 12 Months Endi'!LZD2</f>
        <v>0</v>
      </c>
      <c r="LZF3">
        <f>'[12]Summary Report - 12 Months Endi'!LZE2</f>
        <v>0</v>
      </c>
      <c r="LZG3">
        <f>'[12]Summary Report - 12 Months Endi'!LZF2</f>
        <v>0</v>
      </c>
      <c r="LZH3">
        <f>'[12]Summary Report - 12 Months Endi'!LZG2</f>
        <v>0</v>
      </c>
      <c r="LZI3">
        <f>'[12]Summary Report - 12 Months Endi'!LZH2</f>
        <v>0</v>
      </c>
      <c r="LZJ3">
        <f>'[12]Summary Report - 12 Months Endi'!LZI2</f>
        <v>0</v>
      </c>
      <c r="LZK3">
        <f>'[12]Summary Report - 12 Months Endi'!LZJ2</f>
        <v>0</v>
      </c>
      <c r="LZL3">
        <f>'[12]Summary Report - 12 Months Endi'!LZK2</f>
        <v>0</v>
      </c>
      <c r="LZM3">
        <f>'[12]Summary Report - 12 Months Endi'!LZL2</f>
        <v>0</v>
      </c>
      <c r="LZN3">
        <f>'[12]Summary Report - 12 Months Endi'!LZM2</f>
        <v>0</v>
      </c>
      <c r="LZO3">
        <f>'[12]Summary Report - 12 Months Endi'!LZN2</f>
        <v>0</v>
      </c>
      <c r="LZP3">
        <f>'[12]Summary Report - 12 Months Endi'!LZO2</f>
        <v>0</v>
      </c>
      <c r="LZQ3">
        <f>'[12]Summary Report - 12 Months Endi'!LZP2</f>
        <v>0</v>
      </c>
      <c r="LZR3">
        <f>'[12]Summary Report - 12 Months Endi'!LZQ2</f>
        <v>0</v>
      </c>
      <c r="LZS3">
        <f>'[12]Summary Report - 12 Months Endi'!LZR2</f>
        <v>0</v>
      </c>
      <c r="LZT3">
        <f>'[12]Summary Report - 12 Months Endi'!LZS2</f>
        <v>0</v>
      </c>
      <c r="LZU3">
        <f>'[12]Summary Report - 12 Months Endi'!LZT2</f>
        <v>0</v>
      </c>
      <c r="LZV3">
        <f>'[12]Summary Report - 12 Months Endi'!LZU2</f>
        <v>0</v>
      </c>
      <c r="LZW3">
        <f>'[12]Summary Report - 12 Months Endi'!LZV2</f>
        <v>0</v>
      </c>
      <c r="LZX3">
        <f>'[12]Summary Report - 12 Months Endi'!LZW2</f>
        <v>0</v>
      </c>
      <c r="LZY3">
        <f>'[12]Summary Report - 12 Months Endi'!LZX2</f>
        <v>0</v>
      </c>
      <c r="LZZ3">
        <f>'[12]Summary Report - 12 Months Endi'!LZY2</f>
        <v>0</v>
      </c>
      <c r="MAA3">
        <f>'[12]Summary Report - 12 Months Endi'!LZZ2</f>
        <v>0</v>
      </c>
      <c r="MAB3">
        <f>'[12]Summary Report - 12 Months Endi'!MAA2</f>
        <v>0</v>
      </c>
      <c r="MAC3">
        <f>'[12]Summary Report - 12 Months Endi'!MAB2</f>
        <v>0</v>
      </c>
      <c r="MAD3">
        <f>'[12]Summary Report - 12 Months Endi'!MAC2</f>
        <v>0</v>
      </c>
      <c r="MAE3">
        <f>'[12]Summary Report - 12 Months Endi'!MAD2</f>
        <v>0</v>
      </c>
      <c r="MAF3">
        <f>'[12]Summary Report - 12 Months Endi'!MAE2</f>
        <v>0</v>
      </c>
      <c r="MAG3">
        <f>'[12]Summary Report - 12 Months Endi'!MAF2</f>
        <v>0</v>
      </c>
      <c r="MAH3">
        <f>'[12]Summary Report - 12 Months Endi'!MAG2</f>
        <v>0</v>
      </c>
      <c r="MAI3">
        <f>'[12]Summary Report - 12 Months Endi'!MAH2</f>
        <v>0</v>
      </c>
      <c r="MAJ3">
        <f>'[12]Summary Report - 12 Months Endi'!MAI2</f>
        <v>0</v>
      </c>
      <c r="MAK3">
        <f>'[12]Summary Report - 12 Months Endi'!MAJ2</f>
        <v>0</v>
      </c>
      <c r="MAL3">
        <f>'[12]Summary Report - 12 Months Endi'!MAK2</f>
        <v>0</v>
      </c>
      <c r="MAM3">
        <f>'[12]Summary Report - 12 Months Endi'!MAL2</f>
        <v>0</v>
      </c>
      <c r="MAN3">
        <f>'[12]Summary Report - 12 Months Endi'!MAM2</f>
        <v>0</v>
      </c>
      <c r="MAO3">
        <f>'[12]Summary Report - 12 Months Endi'!MAN2</f>
        <v>0</v>
      </c>
      <c r="MAP3">
        <f>'[12]Summary Report - 12 Months Endi'!MAO2</f>
        <v>0</v>
      </c>
      <c r="MAQ3">
        <f>'[12]Summary Report - 12 Months Endi'!MAP2</f>
        <v>0</v>
      </c>
      <c r="MAR3">
        <f>'[12]Summary Report - 12 Months Endi'!MAQ2</f>
        <v>0</v>
      </c>
      <c r="MAS3">
        <f>'[12]Summary Report - 12 Months Endi'!MAR2</f>
        <v>0</v>
      </c>
      <c r="MAT3">
        <f>'[12]Summary Report - 12 Months Endi'!MAS2</f>
        <v>0</v>
      </c>
      <c r="MAU3">
        <f>'[12]Summary Report - 12 Months Endi'!MAT2</f>
        <v>0</v>
      </c>
      <c r="MAV3">
        <f>'[12]Summary Report - 12 Months Endi'!MAU2</f>
        <v>0</v>
      </c>
      <c r="MAW3">
        <f>'[12]Summary Report - 12 Months Endi'!MAV2</f>
        <v>0</v>
      </c>
      <c r="MAX3">
        <f>'[12]Summary Report - 12 Months Endi'!MAW2</f>
        <v>0</v>
      </c>
      <c r="MAY3">
        <f>'[12]Summary Report - 12 Months Endi'!MAX2</f>
        <v>0</v>
      </c>
      <c r="MAZ3">
        <f>'[12]Summary Report - 12 Months Endi'!MAY2</f>
        <v>0</v>
      </c>
      <c r="MBA3">
        <f>'[12]Summary Report - 12 Months Endi'!MAZ2</f>
        <v>0</v>
      </c>
      <c r="MBB3">
        <f>'[12]Summary Report - 12 Months Endi'!MBA2</f>
        <v>0</v>
      </c>
      <c r="MBC3">
        <f>'[12]Summary Report - 12 Months Endi'!MBB2</f>
        <v>0</v>
      </c>
      <c r="MBD3">
        <f>'[12]Summary Report - 12 Months Endi'!MBC2</f>
        <v>0</v>
      </c>
      <c r="MBE3">
        <f>'[12]Summary Report - 12 Months Endi'!MBD2</f>
        <v>0</v>
      </c>
      <c r="MBF3">
        <f>'[12]Summary Report - 12 Months Endi'!MBE2</f>
        <v>0</v>
      </c>
      <c r="MBG3">
        <f>'[12]Summary Report - 12 Months Endi'!MBF2</f>
        <v>0</v>
      </c>
      <c r="MBH3">
        <f>'[12]Summary Report - 12 Months Endi'!MBG2</f>
        <v>0</v>
      </c>
      <c r="MBI3">
        <f>'[12]Summary Report - 12 Months Endi'!MBH2</f>
        <v>0</v>
      </c>
      <c r="MBJ3">
        <f>'[12]Summary Report - 12 Months Endi'!MBI2</f>
        <v>0</v>
      </c>
      <c r="MBK3">
        <f>'[12]Summary Report - 12 Months Endi'!MBJ2</f>
        <v>0</v>
      </c>
      <c r="MBL3">
        <f>'[12]Summary Report - 12 Months Endi'!MBK2</f>
        <v>0</v>
      </c>
      <c r="MBM3">
        <f>'[12]Summary Report - 12 Months Endi'!MBL2</f>
        <v>0</v>
      </c>
      <c r="MBN3">
        <f>'[12]Summary Report - 12 Months Endi'!MBM2</f>
        <v>0</v>
      </c>
      <c r="MBO3">
        <f>'[12]Summary Report - 12 Months Endi'!MBN2</f>
        <v>0</v>
      </c>
      <c r="MBP3">
        <f>'[12]Summary Report - 12 Months Endi'!MBO2</f>
        <v>0</v>
      </c>
      <c r="MBQ3">
        <f>'[12]Summary Report - 12 Months Endi'!MBP2</f>
        <v>0</v>
      </c>
      <c r="MBR3">
        <f>'[12]Summary Report - 12 Months Endi'!MBQ2</f>
        <v>0</v>
      </c>
      <c r="MBS3">
        <f>'[12]Summary Report - 12 Months Endi'!MBR2</f>
        <v>0</v>
      </c>
      <c r="MBT3">
        <f>'[12]Summary Report - 12 Months Endi'!MBS2</f>
        <v>0</v>
      </c>
      <c r="MBU3">
        <f>'[12]Summary Report - 12 Months Endi'!MBT2</f>
        <v>0</v>
      </c>
      <c r="MBV3">
        <f>'[12]Summary Report - 12 Months Endi'!MBU2</f>
        <v>0</v>
      </c>
      <c r="MBW3">
        <f>'[12]Summary Report - 12 Months Endi'!MBV2</f>
        <v>0</v>
      </c>
      <c r="MBX3">
        <f>'[12]Summary Report - 12 Months Endi'!MBW2</f>
        <v>0</v>
      </c>
      <c r="MBY3">
        <f>'[12]Summary Report - 12 Months Endi'!MBX2</f>
        <v>0</v>
      </c>
      <c r="MBZ3">
        <f>'[12]Summary Report - 12 Months Endi'!MBY2</f>
        <v>0</v>
      </c>
      <c r="MCA3">
        <f>'[12]Summary Report - 12 Months Endi'!MBZ2</f>
        <v>0</v>
      </c>
      <c r="MCB3">
        <f>'[12]Summary Report - 12 Months Endi'!MCA2</f>
        <v>0</v>
      </c>
      <c r="MCC3">
        <f>'[12]Summary Report - 12 Months Endi'!MCB2</f>
        <v>0</v>
      </c>
      <c r="MCD3">
        <f>'[12]Summary Report - 12 Months Endi'!MCC2</f>
        <v>0</v>
      </c>
      <c r="MCE3">
        <f>'[12]Summary Report - 12 Months Endi'!MCD2</f>
        <v>0</v>
      </c>
      <c r="MCF3">
        <f>'[12]Summary Report - 12 Months Endi'!MCE2</f>
        <v>0</v>
      </c>
      <c r="MCG3">
        <f>'[12]Summary Report - 12 Months Endi'!MCF2</f>
        <v>0</v>
      </c>
      <c r="MCH3">
        <f>'[12]Summary Report - 12 Months Endi'!MCG2</f>
        <v>0</v>
      </c>
      <c r="MCI3">
        <f>'[12]Summary Report - 12 Months Endi'!MCH2</f>
        <v>0</v>
      </c>
      <c r="MCJ3">
        <f>'[12]Summary Report - 12 Months Endi'!MCI2</f>
        <v>0</v>
      </c>
      <c r="MCK3">
        <f>'[12]Summary Report - 12 Months Endi'!MCJ2</f>
        <v>0</v>
      </c>
      <c r="MCL3">
        <f>'[12]Summary Report - 12 Months Endi'!MCK2</f>
        <v>0</v>
      </c>
      <c r="MCM3">
        <f>'[12]Summary Report - 12 Months Endi'!MCL2</f>
        <v>0</v>
      </c>
      <c r="MCN3">
        <f>'[12]Summary Report - 12 Months Endi'!MCM2</f>
        <v>0</v>
      </c>
      <c r="MCO3">
        <f>'[12]Summary Report - 12 Months Endi'!MCN2</f>
        <v>0</v>
      </c>
      <c r="MCP3">
        <f>'[12]Summary Report - 12 Months Endi'!MCO2</f>
        <v>0</v>
      </c>
      <c r="MCQ3">
        <f>'[12]Summary Report - 12 Months Endi'!MCP2</f>
        <v>0</v>
      </c>
      <c r="MCR3">
        <f>'[12]Summary Report - 12 Months Endi'!MCQ2</f>
        <v>0</v>
      </c>
      <c r="MCS3">
        <f>'[12]Summary Report - 12 Months Endi'!MCR2</f>
        <v>0</v>
      </c>
      <c r="MCT3">
        <f>'[12]Summary Report - 12 Months Endi'!MCS2</f>
        <v>0</v>
      </c>
      <c r="MCU3">
        <f>'[12]Summary Report - 12 Months Endi'!MCT2</f>
        <v>0</v>
      </c>
      <c r="MCV3">
        <f>'[12]Summary Report - 12 Months Endi'!MCU2</f>
        <v>0</v>
      </c>
      <c r="MCW3">
        <f>'[12]Summary Report - 12 Months Endi'!MCV2</f>
        <v>0</v>
      </c>
      <c r="MCX3">
        <f>'[12]Summary Report - 12 Months Endi'!MCW2</f>
        <v>0</v>
      </c>
      <c r="MCY3">
        <f>'[12]Summary Report - 12 Months Endi'!MCX2</f>
        <v>0</v>
      </c>
      <c r="MCZ3">
        <f>'[12]Summary Report - 12 Months Endi'!MCY2</f>
        <v>0</v>
      </c>
      <c r="MDA3">
        <f>'[12]Summary Report - 12 Months Endi'!MCZ2</f>
        <v>0</v>
      </c>
      <c r="MDB3">
        <f>'[12]Summary Report - 12 Months Endi'!MDA2</f>
        <v>0</v>
      </c>
      <c r="MDC3">
        <f>'[12]Summary Report - 12 Months Endi'!MDB2</f>
        <v>0</v>
      </c>
      <c r="MDD3">
        <f>'[12]Summary Report - 12 Months Endi'!MDC2</f>
        <v>0</v>
      </c>
      <c r="MDE3">
        <f>'[12]Summary Report - 12 Months Endi'!MDD2</f>
        <v>0</v>
      </c>
      <c r="MDF3">
        <f>'[12]Summary Report - 12 Months Endi'!MDE2</f>
        <v>0</v>
      </c>
      <c r="MDG3">
        <f>'[12]Summary Report - 12 Months Endi'!MDF2</f>
        <v>0</v>
      </c>
      <c r="MDH3">
        <f>'[12]Summary Report - 12 Months Endi'!MDG2</f>
        <v>0</v>
      </c>
      <c r="MDI3">
        <f>'[12]Summary Report - 12 Months Endi'!MDH2</f>
        <v>0</v>
      </c>
      <c r="MDJ3">
        <f>'[12]Summary Report - 12 Months Endi'!MDI2</f>
        <v>0</v>
      </c>
      <c r="MDK3">
        <f>'[12]Summary Report - 12 Months Endi'!MDJ2</f>
        <v>0</v>
      </c>
      <c r="MDL3">
        <f>'[12]Summary Report - 12 Months Endi'!MDK2</f>
        <v>0</v>
      </c>
      <c r="MDM3">
        <f>'[12]Summary Report - 12 Months Endi'!MDL2</f>
        <v>0</v>
      </c>
      <c r="MDN3">
        <f>'[12]Summary Report - 12 Months Endi'!MDM2</f>
        <v>0</v>
      </c>
      <c r="MDO3">
        <f>'[12]Summary Report - 12 Months Endi'!MDN2</f>
        <v>0</v>
      </c>
      <c r="MDP3">
        <f>'[12]Summary Report - 12 Months Endi'!MDO2</f>
        <v>0</v>
      </c>
      <c r="MDQ3">
        <f>'[12]Summary Report - 12 Months Endi'!MDP2</f>
        <v>0</v>
      </c>
      <c r="MDR3">
        <f>'[12]Summary Report - 12 Months Endi'!MDQ2</f>
        <v>0</v>
      </c>
      <c r="MDS3">
        <f>'[12]Summary Report - 12 Months Endi'!MDR2</f>
        <v>0</v>
      </c>
      <c r="MDT3">
        <f>'[12]Summary Report - 12 Months Endi'!MDS2</f>
        <v>0</v>
      </c>
      <c r="MDU3">
        <f>'[12]Summary Report - 12 Months Endi'!MDT2</f>
        <v>0</v>
      </c>
      <c r="MDV3">
        <f>'[12]Summary Report - 12 Months Endi'!MDU2</f>
        <v>0</v>
      </c>
      <c r="MDW3">
        <f>'[12]Summary Report - 12 Months Endi'!MDV2</f>
        <v>0</v>
      </c>
      <c r="MDX3">
        <f>'[12]Summary Report - 12 Months Endi'!MDW2</f>
        <v>0</v>
      </c>
      <c r="MDY3">
        <f>'[12]Summary Report - 12 Months Endi'!MDX2</f>
        <v>0</v>
      </c>
      <c r="MDZ3">
        <f>'[12]Summary Report - 12 Months Endi'!MDY2</f>
        <v>0</v>
      </c>
      <c r="MEA3">
        <f>'[12]Summary Report - 12 Months Endi'!MDZ2</f>
        <v>0</v>
      </c>
      <c r="MEB3">
        <f>'[12]Summary Report - 12 Months Endi'!MEA2</f>
        <v>0</v>
      </c>
      <c r="MEC3">
        <f>'[12]Summary Report - 12 Months Endi'!MEB2</f>
        <v>0</v>
      </c>
      <c r="MED3">
        <f>'[12]Summary Report - 12 Months Endi'!MEC2</f>
        <v>0</v>
      </c>
      <c r="MEE3">
        <f>'[12]Summary Report - 12 Months Endi'!MED2</f>
        <v>0</v>
      </c>
      <c r="MEF3">
        <f>'[12]Summary Report - 12 Months Endi'!MEE2</f>
        <v>0</v>
      </c>
      <c r="MEG3">
        <f>'[12]Summary Report - 12 Months Endi'!MEF2</f>
        <v>0</v>
      </c>
      <c r="MEH3">
        <f>'[12]Summary Report - 12 Months Endi'!MEG2</f>
        <v>0</v>
      </c>
      <c r="MEI3">
        <f>'[12]Summary Report - 12 Months Endi'!MEH2</f>
        <v>0</v>
      </c>
      <c r="MEJ3">
        <f>'[12]Summary Report - 12 Months Endi'!MEI2</f>
        <v>0</v>
      </c>
      <c r="MEK3">
        <f>'[12]Summary Report - 12 Months Endi'!MEJ2</f>
        <v>0</v>
      </c>
      <c r="MEL3">
        <f>'[12]Summary Report - 12 Months Endi'!MEK2</f>
        <v>0</v>
      </c>
      <c r="MEM3">
        <f>'[12]Summary Report - 12 Months Endi'!MEL2</f>
        <v>0</v>
      </c>
      <c r="MEN3">
        <f>'[12]Summary Report - 12 Months Endi'!MEM2</f>
        <v>0</v>
      </c>
      <c r="MEO3">
        <f>'[12]Summary Report - 12 Months Endi'!MEN2</f>
        <v>0</v>
      </c>
      <c r="MEP3">
        <f>'[12]Summary Report - 12 Months Endi'!MEO2</f>
        <v>0</v>
      </c>
      <c r="MEQ3">
        <f>'[12]Summary Report - 12 Months Endi'!MEP2</f>
        <v>0</v>
      </c>
      <c r="MER3">
        <f>'[12]Summary Report - 12 Months Endi'!MEQ2</f>
        <v>0</v>
      </c>
      <c r="MES3">
        <f>'[12]Summary Report - 12 Months Endi'!MER2</f>
        <v>0</v>
      </c>
      <c r="MET3">
        <f>'[12]Summary Report - 12 Months Endi'!MES2</f>
        <v>0</v>
      </c>
      <c r="MEU3">
        <f>'[12]Summary Report - 12 Months Endi'!MET2</f>
        <v>0</v>
      </c>
      <c r="MEV3">
        <f>'[12]Summary Report - 12 Months Endi'!MEU2</f>
        <v>0</v>
      </c>
      <c r="MEW3">
        <f>'[12]Summary Report - 12 Months Endi'!MEV2</f>
        <v>0</v>
      </c>
      <c r="MEX3">
        <f>'[12]Summary Report - 12 Months Endi'!MEW2</f>
        <v>0</v>
      </c>
      <c r="MEY3">
        <f>'[12]Summary Report - 12 Months Endi'!MEX2</f>
        <v>0</v>
      </c>
      <c r="MEZ3">
        <f>'[12]Summary Report - 12 Months Endi'!MEY2</f>
        <v>0</v>
      </c>
      <c r="MFA3">
        <f>'[12]Summary Report - 12 Months Endi'!MEZ2</f>
        <v>0</v>
      </c>
      <c r="MFB3">
        <f>'[12]Summary Report - 12 Months Endi'!MFA2</f>
        <v>0</v>
      </c>
      <c r="MFC3">
        <f>'[12]Summary Report - 12 Months Endi'!MFB2</f>
        <v>0</v>
      </c>
      <c r="MFD3">
        <f>'[12]Summary Report - 12 Months Endi'!MFC2</f>
        <v>0</v>
      </c>
      <c r="MFE3">
        <f>'[12]Summary Report - 12 Months Endi'!MFD2</f>
        <v>0</v>
      </c>
      <c r="MFF3">
        <f>'[12]Summary Report - 12 Months Endi'!MFE2</f>
        <v>0</v>
      </c>
      <c r="MFG3">
        <f>'[12]Summary Report - 12 Months Endi'!MFF2</f>
        <v>0</v>
      </c>
      <c r="MFH3">
        <f>'[12]Summary Report - 12 Months Endi'!MFG2</f>
        <v>0</v>
      </c>
      <c r="MFI3">
        <f>'[12]Summary Report - 12 Months Endi'!MFH2</f>
        <v>0</v>
      </c>
      <c r="MFJ3">
        <f>'[12]Summary Report - 12 Months Endi'!MFI2</f>
        <v>0</v>
      </c>
      <c r="MFK3">
        <f>'[12]Summary Report - 12 Months Endi'!MFJ2</f>
        <v>0</v>
      </c>
      <c r="MFL3">
        <f>'[12]Summary Report - 12 Months Endi'!MFK2</f>
        <v>0</v>
      </c>
      <c r="MFM3">
        <f>'[12]Summary Report - 12 Months Endi'!MFL2</f>
        <v>0</v>
      </c>
      <c r="MFN3">
        <f>'[12]Summary Report - 12 Months Endi'!MFM2</f>
        <v>0</v>
      </c>
      <c r="MFO3">
        <f>'[12]Summary Report - 12 Months Endi'!MFN2</f>
        <v>0</v>
      </c>
      <c r="MFP3">
        <f>'[12]Summary Report - 12 Months Endi'!MFO2</f>
        <v>0</v>
      </c>
      <c r="MFQ3">
        <f>'[12]Summary Report - 12 Months Endi'!MFP2</f>
        <v>0</v>
      </c>
      <c r="MFR3">
        <f>'[12]Summary Report - 12 Months Endi'!MFQ2</f>
        <v>0</v>
      </c>
      <c r="MFS3">
        <f>'[12]Summary Report - 12 Months Endi'!MFR2</f>
        <v>0</v>
      </c>
      <c r="MFT3">
        <f>'[12]Summary Report - 12 Months Endi'!MFS2</f>
        <v>0</v>
      </c>
      <c r="MFU3">
        <f>'[12]Summary Report - 12 Months Endi'!MFT2</f>
        <v>0</v>
      </c>
      <c r="MFV3">
        <f>'[12]Summary Report - 12 Months Endi'!MFU2</f>
        <v>0</v>
      </c>
      <c r="MFW3">
        <f>'[12]Summary Report - 12 Months Endi'!MFV2</f>
        <v>0</v>
      </c>
      <c r="MFX3">
        <f>'[12]Summary Report - 12 Months Endi'!MFW2</f>
        <v>0</v>
      </c>
      <c r="MFY3">
        <f>'[12]Summary Report - 12 Months Endi'!MFX2</f>
        <v>0</v>
      </c>
      <c r="MFZ3">
        <f>'[12]Summary Report - 12 Months Endi'!MFY2</f>
        <v>0</v>
      </c>
      <c r="MGA3">
        <f>'[12]Summary Report - 12 Months Endi'!MFZ2</f>
        <v>0</v>
      </c>
      <c r="MGB3">
        <f>'[12]Summary Report - 12 Months Endi'!MGA2</f>
        <v>0</v>
      </c>
      <c r="MGC3">
        <f>'[12]Summary Report - 12 Months Endi'!MGB2</f>
        <v>0</v>
      </c>
      <c r="MGD3">
        <f>'[12]Summary Report - 12 Months Endi'!MGC2</f>
        <v>0</v>
      </c>
      <c r="MGE3">
        <f>'[12]Summary Report - 12 Months Endi'!MGD2</f>
        <v>0</v>
      </c>
      <c r="MGF3">
        <f>'[12]Summary Report - 12 Months Endi'!MGE2</f>
        <v>0</v>
      </c>
      <c r="MGG3">
        <f>'[12]Summary Report - 12 Months Endi'!MGF2</f>
        <v>0</v>
      </c>
      <c r="MGH3">
        <f>'[12]Summary Report - 12 Months Endi'!MGG2</f>
        <v>0</v>
      </c>
      <c r="MGI3">
        <f>'[12]Summary Report - 12 Months Endi'!MGH2</f>
        <v>0</v>
      </c>
      <c r="MGJ3">
        <f>'[12]Summary Report - 12 Months Endi'!MGI2</f>
        <v>0</v>
      </c>
      <c r="MGK3">
        <f>'[12]Summary Report - 12 Months Endi'!MGJ2</f>
        <v>0</v>
      </c>
      <c r="MGL3">
        <f>'[12]Summary Report - 12 Months Endi'!MGK2</f>
        <v>0</v>
      </c>
      <c r="MGM3">
        <f>'[12]Summary Report - 12 Months Endi'!MGL2</f>
        <v>0</v>
      </c>
      <c r="MGN3">
        <f>'[12]Summary Report - 12 Months Endi'!MGM2</f>
        <v>0</v>
      </c>
      <c r="MGO3">
        <f>'[12]Summary Report - 12 Months Endi'!MGN2</f>
        <v>0</v>
      </c>
      <c r="MGP3">
        <f>'[12]Summary Report - 12 Months Endi'!MGO2</f>
        <v>0</v>
      </c>
      <c r="MGQ3">
        <f>'[12]Summary Report - 12 Months Endi'!MGP2</f>
        <v>0</v>
      </c>
      <c r="MGR3">
        <f>'[12]Summary Report - 12 Months Endi'!MGQ2</f>
        <v>0</v>
      </c>
      <c r="MGS3">
        <f>'[12]Summary Report - 12 Months Endi'!MGR2</f>
        <v>0</v>
      </c>
      <c r="MGT3">
        <f>'[12]Summary Report - 12 Months Endi'!MGS2</f>
        <v>0</v>
      </c>
      <c r="MGU3">
        <f>'[12]Summary Report - 12 Months Endi'!MGT2</f>
        <v>0</v>
      </c>
      <c r="MGV3">
        <f>'[12]Summary Report - 12 Months Endi'!MGU2</f>
        <v>0</v>
      </c>
      <c r="MGW3">
        <f>'[12]Summary Report - 12 Months Endi'!MGV2</f>
        <v>0</v>
      </c>
      <c r="MGX3">
        <f>'[12]Summary Report - 12 Months Endi'!MGW2</f>
        <v>0</v>
      </c>
      <c r="MGY3">
        <f>'[12]Summary Report - 12 Months Endi'!MGX2</f>
        <v>0</v>
      </c>
      <c r="MGZ3">
        <f>'[12]Summary Report - 12 Months Endi'!MGY2</f>
        <v>0</v>
      </c>
      <c r="MHA3">
        <f>'[12]Summary Report - 12 Months Endi'!MGZ2</f>
        <v>0</v>
      </c>
      <c r="MHB3">
        <f>'[12]Summary Report - 12 Months Endi'!MHA2</f>
        <v>0</v>
      </c>
      <c r="MHC3">
        <f>'[12]Summary Report - 12 Months Endi'!MHB2</f>
        <v>0</v>
      </c>
      <c r="MHD3">
        <f>'[12]Summary Report - 12 Months Endi'!MHC2</f>
        <v>0</v>
      </c>
      <c r="MHE3">
        <f>'[12]Summary Report - 12 Months Endi'!MHD2</f>
        <v>0</v>
      </c>
      <c r="MHF3">
        <f>'[12]Summary Report - 12 Months Endi'!MHE2</f>
        <v>0</v>
      </c>
      <c r="MHG3">
        <f>'[12]Summary Report - 12 Months Endi'!MHF2</f>
        <v>0</v>
      </c>
      <c r="MHH3">
        <f>'[12]Summary Report - 12 Months Endi'!MHG2</f>
        <v>0</v>
      </c>
      <c r="MHI3">
        <f>'[12]Summary Report - 12 Months Endi'!MHH2</f>
        <v>0</v>
      </c>
      <c r="MHJ3">
        <f>'[12]Summary Report - 12 Months Endi'!MHI2</f>
        <v>0</v>
      </c>
      <c r="MHK3">
        <f>'[12]Summary Report - 12 Months Endi'!MHJ2</f>
        <v>0</v>
      </c>
      <c r="MHL3">
        <f>'[12]Summary Report - 12 Months Endi'!MHK2</f>
        <v>0</v>
      </c>
      <c r="MHM3">
        <f>'[12]Summary Report - 12 Months Endi'!MHL2</f>
        <v>0</v>
      </c>
      <c r="MHN3">
        <f>'[12]Summary Report - 12 Months Endi'!MHM2</f>
        <v>0</v>
      </c>
      <c r="MHO3">
        <f>'[12]Summary Report - 12 Months Endi'!MHN2</f>
        <v>0</v>
      </c>
      <c r="MHP3">
        <f>'[12]Summary Report - 12 Months Endi'!MHO2</f>
        <v>0</v>
      </c>
      <c r="MHQ3">
        <f>'[12]Summary Report - 12 Months Endi'!MHP2</f>
        <v>0</v>
      </c>
      <c r="MHR3">
        <f>'[12]Summary Report - 12 Months Endi'!MHQ2</f>
        <v>0</v>
      </c>
      <c r="MHS3">
        <f>'[12]Summary Report - 12 Months Endi'!MHR2</f>
        <v>0</v>
      </c>
      <c r="MHT3">
        <f>'[12]Summary Report - 12 Months Endi'!MHS2</f>
        <v>0</v>
      </c>
      <c r="MHU3">
        <f>'[12]Summary Report - 12 Months Endi'!MHT2</f>
        <v>0</v>
      </c>
      <c r="MHV3">
        <f>'[12]Summary Report - 12 Months Endi'!MHU2</f>
        <v>0</v>
      </c>
      <c r="MHW3">
        <f>'[12]Summary Report - 12 Months Endi'!MHV2</f>
        <v>0</v>
      </c>
      <c r="MHX3">
        <f>'[12]Summary Report - 12 Months Endi'!MHW2</f>
        <v>0</v>
      </c>
      <c r="MHY3">
        <f>'[12]Summary Report - 12 Months Endi'!MHX2</f>
        <v>0</v>
      </c>
      <c r="MHZ3">
        <f>'[12]Summary Report - 12 Months Endi'!MHY2</f>
        <v>0</v>
      </c>
      <c r="MIA3">
        <f>'[12]Summary Report - 12 Months Endi'!MHZ2</f>
        <v>0</v>
      </c>
      <c r="MIB3">
        <f>'[12]Summary Report - 12 Months Endi'!MIA2</f>
        <v>0</v>
      </c>
      <c r="MIC3">
        <f>'[12]Summary Report - 12 Months Endi'!MIB2</f>
        <v>0</v>
      </c>
      <c r="MID3">
        <f>'[12]Summary Report - 12 Months Endi'!MIC2</f>
        <v>0</v>
      </c>
      <c r="MIE3">
        <f>'[12]Summary Report - 12 Months Endi'!MID2</f>
        <v>0</v>
      </c>
      <c r="MIF3">
        <f>'[12]Summary Report - 12 Months Endi'!MIE2</f>
        <v>0</v>
      </c>
      <c r="MIG3">
        <f>'[12]Summary Report - 12 Months Endi'!MIF2</f>
        <v>0</v>
      </c>
      <c r="MIH3">
        <f>'[12]Summary Report - 12 Months Endi'!MIG2</f>
        <v>0</v>
      </c>
      <c r="MII3">
        <f>'[12]Summary Report - 12 Months Endi'!MIH2</f>
        <v>0</v>
      </c>
      <c r="MIJ3">
        <f>'[12]Summary Report - 12 Months Endi'!MII2</f>
        <v>0</v>
      </c>
      <c r="MIK3">
        <f>'[12]Summary Report - 12 Months Endi'!MIJ2</f>
        <v>0</v>
      </c>
      <c r="MIL3">
        <f>'[12]Summary Report - 12 Months Endi'!MIK2</f>
        <v>0</v>
      </c>
      <c r="MIM3">
        <f>'[12]Summary Report - 12 Months Endi'!MIL2</f>
        <v>0</v>
      </c>
      <c r="MIN3">
        <f>'[12]Summary Report - 12 Months Endi'!MIM2</f>
        <v>0</v>
      </c>
      <c r="MIO3">
        <f>'[12]Summary Report - 12 Months Endi'!MIN2</f>
        <v>0</v>
      </c>
      <c r="MIP3">
        <f>'[12]Summary Report - 12 Months Endi'!MIO2</f>
        <v>0</v>
      </c>
      <c r="MIQ3">
        <f>'[12]Summary Report - 12 Months Endi'!MIP2</f>
        <v>0</v>
      </c>
      <c r="MIR3">
        <f>'[12]Summary Report - 12 Months Endi'!MIQ2</f>
        <v>0</v>
      </c>
      <c r="MIS3">
        <f>'[12]Summary Report - 12 Months Endi'!MIR2</f>
        <v>0</v>
      </c>
      <c r="MIT3">
        <f>'[12]Summary Report - 12 Months Endi'!MIS2</f>
        <v>0</v>
      </c>
      <c r="MIU3">
        <f>'[12]Summary Report - 12 Months Endi'!MIT2</f>
        <v>0</v>
      </c>
      <c r="MIV3">
        <f>'[12]Summary Report - 12 Months Endi'!MIU2</f>
        <v>0</v>
      </c>
      <c r="MIW3">
        <f>'[12]Summary Report - 12 Months Endi'!MIV2</f>
        <v>0</v>
      </c>
      <c r="MIX3">
        <f>'[12]Summary Report - 12 Months Endi'!MIW2</f>
        <v>0</v>
      </c>
      <c r="MIY3">
        <f>'[12]Summary Report - 12 Months Endi'!MIX2</f>
        <v>0</v>
      </c>
      <c r="MIZ3">
        <f>'[12]Summary Report - 12 Months Endi'!MIY2</f>
        <v>0</v>
      </c>
      <c r="MJA3">
        <f>'[12]Summary Report - 12 Months Endi'!MIZ2</f>
        <v>0</v>
      </c>
      <c r="MJB3">
        <f>'[12]Summary Report - 12 Months Endi'!MJA2</f>
        <v>0</v>
      </c>
      <c r="MJC3">
        <f>'[12]Summary Report - 12 Months Endi'!MJB2</f>
        <v>0</v>
      </c>
      <c r="MJD3">
        <f>'[12]Summary Report - 12 Months Endi'!MJC2</f>
        <v>0</v>
      </c>
      <c r="MJE3">
        <f>'[12]Summary Report - 12 Months Endi'!MJD2</f>
        <v>0</v>
      </c>
      <c r="MJF3">
        <f>'[12]Summary Report - 12 Months Endi'!MJE2</f>
        <v>0</v>
      </c>
      <c r="MJG3">
        <f>'[12]Summary Report - 12 Months Endi'!MJF2</f>
        <v>0</v>
      </c>
      <c r="MJH3">
        <f>'[12]Summary Report - 12 Months Endi'!MJG2</f>
        <v>0</v>
      </c>
      <c r="MJI3">
        <f>'[12]Summary Report - 12 Months Endi'!MJH2</f>
        <v>0</v>
      </c>
      <c r="MJJ3">
        <f>'[12]Summary Report - 12 Months Endi'!MJI2</f>
        <v>0</v>
      </c>
      <c r="MJK3">
        <f>'[12]Summary Report - 12 Months Endi'!MJJ2</f>
        <v>0</v>
      </c>
      <c r="MJL3">
        <f>'[12]Summary Report - 12 Months Endi'!MJK2</f>
        <v>0</v>
      </c>
      <c r="MJM3">
        <f>'[12]Summary Report - 12 Months Endi'!MJL2</f>
        <v>0</v>
      </c>
      <c r="MJN3">
        <f>'[12]Summary Report - 12 Months Endi'!MJM2</f>
        <v>0</v>
      </c>
      <c r="MJO3">
        <f>'[12]Summary Report - 12 Months Endi'!MJN2</f>
        <v>0</v>
      </c>
      <c r="MJP3">
        <f>'[12]Summary Report - 12 Months Endi'!MJO2</f>
        <v>0</v>
      </c>
      <c r="MJQ3">
        <f>'[12]Summary Report - 12 Months Endi'!MJP2</f>
        <v>0</v>
      </c>
      <c r="MJR3">
        <f>'[12]Summary Report - 12 Months Endi'!MJQ2</f>
        <v>0</v>
      </c>
      <c r="MJS3">
        <f>'[12]Summary Report - 12 Months Endi'!MJR2</f>
        <v>0</v>
      </c>
      <c r="MJT3">
        <f>'[12]Summary Report - 12 Months Endi'!MJS2</f>
        <v>0</v>
      </c>
      <c r="MJU3">
        <f>'[12]Summary Report - 12 Months Endi'!MJT2</f>
        <v>0</v>
      </c>
      <c r="MJV3">
        <f>'[12]Summary Report - 12 Months Endi'!MJU2</f>
        <v>0</v>
      </c>
      <c r="MJW3">
        <f>'[12]Summary Report - 12 Months Endi'!MJV2</f>
        <v>0</v>
      </c>
      <c r="MJX3">
        <f>'[12]Summary Report - 12 Months Endi'!MJW2</f>
        <v>0</v>
      </c>
      <c r="MJY3">
        <f>'[12]Summary Report - 12 Months Endi'!MJX2</f>
        <v>0</v>
      </c>
      <c r="MJZ3">
        <f>'[12]Summary Report - 12 Months Endi'!MJY2</f>
        <v>0</v>
      </c>
      <c r="MKA3">
        <f>'[12]Summary Report - 12 Months Endi'!MJZ2</f>
        <v>0</v>
      </c>
      <c r="MKB3">
        <f>'[12]Summary Report - 12 Months Endi'!MKA2</f>
        <v>0</v>
      </c>
      <c r="MKC3">
        <f>'[12]Summary Report - 12 Months Endi'!MKB2</f>
        <v>0</v>
      </c>
      <c r="MKD3">
        <f>'[12]Summary Report - 12 Months Endi'!MKC2</f>
        <v>0</v>
      </c>
      <c r="MKE3">
        <f>'[12]Summary Report - 12 Months Endi'!MKD2</f>
        <v>0</v>
      </c>
      <c r="MKF3">
        <f>'[12]Summary Report - 12 Months Endi'!MKE2</f>
        <v>0</v>
      </c>
      <c r="MKG3">
        <f>'[12]Summary Report - 12 Months Endi'!MKF2</f>
        <v>0</v>
      </c>
      <c r="MKH3">
        <f>'[12]Summary Report - 12 Months Endi'!MKG2</f>
        <v>0</v>
      </c>
      <c r="MKI3">
        <f>'[12]Summary Report - 12 Months Endi'!MKH2</f>
        <v>0</v>
      </c>
      <c r="MKJ3">
        <f>'[12]Summary Report - 12 Months Endi'!MKI2</f>
        <v>0</v>
      </c>
      <c r="MKK3">
        <f>'[12]Summary Report - 12 Months Endi'!MKJ2</f>
        <v>0</v>
      </c>
      <c r="MKL3">
        <f>'[12]Summary Report - 12 Months Endi'!MKK2</f>
        <v>0</v>
      </c>
      <c r="MKM3">
        <f>'[12]Summary Report - 12 Months Endi'!MKL2</f>
        <v>0</v>
      </c>
      <c r="MKN3">
        <f>'[12]Summary Report - 12 Months Endi'!MKM2</f>
        <v>0</v>
      </c>
      <c r="MKO3">
        <f>'[12]Summary Report - 12 Months Endi'!MKN2</f>
        <v>0</v>
      </c>
      <c r="MKP3">
        <f>'[12]Summary Report - 12 Months Endi'!MKO2</f>
        <v>0</v>
      </c>
      <c r="MKQ3">
        <f>'[12]Summary Report - 12 Months Endi'!MKP2</f>
        <v>0</v>
      </c>
      <c r="MKR3">
        <f>'[12]Summary Report - 12 Months Endi'!MKQ2</f>
        <v>0</v>
      </c>
      <c r="MKS3">
        <f>'[12]Summary Report - 12 Months Endi'!MKR2</f>
        <v>0</v>
      </c>
      <c r="MKT3">
        <f>'[12]Summary Report - 12 Months Endi'!MKS2</f>
        <v>0</v>
      </c>
      <c r="MKU3">
        <f>'[12]Summary Report - 12 Months Endi'!MKT2</f>
        <v>0</v>
      </c>
      <c r="MKV3">
        <f>'[12]Summary Report - 12 Months Endi'!MKU2</f>
        <v>0</v>
      </c>
      <c r="MKW3">
        <f>'[12]Summary Report - 12 Months Endi'!MKV2</f>
        <v>0</v>
      </c>
      <c r="MKX3">
        <f>'[12]Summary Report - 12 Months Endi'!MKW2</f>
        <v>0</v>
      </c>
      <c r="MKY3">
        <f>'[12]Summary Report - 12 Months Endi'!MKX2</f>
        <v>0</v>
      </c>
      <c r="MKZ3">
        <f>'[12]Summary Report - 12 Months Endi'!MKY2</f>
        <v>0</v>
      </c>
      <c r="MLA3">
        <f>'[12]Summary Report - 12 Months Endi'!MKZ2</f>
        <v>0</v>
      </c>
      <c r="MLB3">
        <f>'[12]Summary Report - 12 Months Endi'!MLA2</f>
        <v>0</v>
      </c>
      <c r="MLC3">
        <f>'[12]Summary Report - 12 Months Endi'!MLB2</f>
        <v>0</v>
      </c>
      <c r="MLD3">
        <f>'[12]Summary Report - 12 Months Endi'!MLC2</f>
        <v>0</v>
      </c>
      <c r="MLE3">
        <f>'[12]Summary Report - 12 Months Endi'!MLD2</f>
        <v>0</v>
      </c>
      <c r="MLF3">
        <f>'[12]Summary Report - 12 Months Endi'!MLE2</f>
        <v>0</v>
      </c>
      <c r="MLG3">
        <f>'[12]Summary Report - 12 Months Endi'!MLF2</f>
        <v>0</v>
      </c>
      <c r="MLH3">
        <f>'[12]Summary Report - 12 Months Endi'!MLG2</f>
        <v>0</v>
      </c>
      <c r="MLI3">
        <f>'[12]Summary Report - 12 Months Endi'!MLH2</f>
        <v>0</v>
      </c>
      <c r="MLJ3">
        <f>'[12]Summary Report - 12 Months Endi'!MLI2</f>
        <v>0</v>
      </c>
      <c r="MLK3">
        <f>'[12]Summary Report - 12 Months Endi'!MLJ2</f>
        <v>0</v>
      </c>
      <c r="MLL3">
        <f>'[12]Summary Report - 12 Months Endi'!MLK2</f>
        <v>0</v>
      </c>
      <c r="MLM3">
        <f>'[12]Summary Report - 12 Months Endi'!MLL2</f>
        <v>0</v>
      </c>
      <c r="MLN3">
        <f>'[12]Summary Report - 12 Months Endi'!MLM2</f>
        <v>0</v>
      </c>
      <c r="MLO3">
        <f>'[12]Summary Report - 12 Months Endi'!MLN2</f>
        <v>0</v>
      </c>
      <c r="MLP3">
        <f>'[12]Summary Report - 12 Months Endi'!MLO2</f>
        <v>0</v>
      </c>
      <c r="MLQ3">
        <f>'[12]Summary Report - 12 Months Endi'!MLP2</f>
        <v>0</v>
      </c>
      <c r="MLR3">
        <f>'[12]Summary Report - 12 Months Endi'!MLQ2</f>
        <v>0</v>
      </c>
      <c r="MLS3">
        <f>'[12]Summary Report - 12 Months Endi'!MLR2</f>
        <v>0</v>
      </c>
      <c r="MLT3">
        <f>'[12]Summary Report - 12 Months Endi'!MLS2</f>
        <v>0</v>
      </c>
      <c r="MLU3">
        <f>'[12]Summary Report - 12 Months Endi'!MLT2</f>
        <v>0</v>
      </c>
      <c r="MLV3">
        <f>'[12]Summary Report - 12 Months Endi'!MLU2</f>
        <v>0</v>
      </c>
      <c r="MLW3">
        <f>'[12]Summary Report - 12 Months Endi'!MLV2</f>
        <v>0</v>
      </c>
      <c r="MLX3">
        <f>'[12]Summary Report - 12 Months Endi'!MLW2</f>
        <v>0</v>
      </c>
      <c r="MLY3">
        <f>'[12]Summary Report - 12 Months Endi'!MLX2</f>
        <v>0</v>
      </c>
      <c r="MLZ3">
        <f>'[12]Summary Report - 12 Months Endi'!MLY2</f>
        <v>0</v>
      </c>
      <c r="MMA3">
        <f>'[12]Summary Report - 12 Months Endi'!MLZ2</f>
        <v>0</v>
      </c>
      <c r="MMB3">
        <f>'[12]Summary Report - 12 Months Endi'!MMA2</f>
        <v>0</v>
      </c>
      <c r="MMC3">
        <f>'[12]Summary Report - 12 Months Endi'!MMB2</f>
        <v>0</v>
      </c>
      <c r="MMD3">
        <f>'[12]Summary Report - 12 Months Endi'!MMC2</f>
        <v>0</v>
      </c>
      <c r="MME3">
        <f>'[12]Summary Report - 12 Months Endi'!MMD2</f>
        <v>0</v>
      </c>
      <c r="MMF3">
        <f>'[12]Summary Report - 12 Months Endi'!MME2</f>
        <v>0</v>
      </c>
      <c r="MMG3">
        <f>'[12]Summary Report - 12 Months Endi'!MMF2</f>
        <v>0</v>
      </c>
      <c r="MMH3">
        <f>'[12]Summary Report - 12 Months Endi'!MMG2</f>
        <v>0</v>
      </c>
      <c r="MMI3">
        <f>'[12]Summary Report - 12 Months Endi'!MMH2</f>
        <v>0</v>
      </c>
      <c r="MMJ3">
        <f>'[12]Summary Report - 12 Months Endi'!MMI2</f>
        <v>0</v>
      </c>
      <c r="MMK3">
        <f>'[12]Summary Report - 12 Months Endi'!MMJ2</f>
        <v>0</v>
      </c>
      <c r="MML3">
        <f>'[12]Summary Report - 12 Months Endi'!MMK2</f>
        <v>0</v>
      </c>
      <c r="MMM3">
        <f>'[12]Summary Report - 12 Months Endi'!MML2</f>
        <v>0</v>
      </c>
      <c r="MMN3">
        <f>'[12]Summary Report - 12 Months Endi'!MMM2</f>
        <v>0</v>
      </c>
      <c r="MMO3">
        <f>'[12]Summary Report - 12 Months Endi'!MMN2</f>
        <v>0</v>
      </c>
      <c r="MMP3">
        <f>'[12]Summary Report - 12 Months Endi'!MMO2</f>
        <v>0</v>
      </c>
      <c r="MMQ3">
        <f>'[12]Summary Report - 12 Months Endi'!MMP2</f>
        <v>0</v>
      </c>
      <c r="MMR3">
        <f>'[12]Summary Report - 12 Months Endi'!MMQ2</f>
        <v>0</v>
      </c>
      <c r="MMS3">
        <f>'[12]Summary Report - 12 Months Endi'!MMR2</f>
        <v>0</v>
      </c>
      <c r="MMT3">
        <f>'[12]Summary Report - 12 Months Endi'!MMS2</f>
        <v>0</v>
      </c>
      <c r="MMU3">
        <f>'[12]Summary Report - 12 Months Endi'!MMT2</f>
        <v>0</v>
      </c>
      <c r="MMV3">
        <f>'[12]Summary Report - 12 Months Endi'!MMU2</f>
        <v>0</v>
      </c>
      <c r="MMW3">
        <f>'[12]Summary Report - 12 Months Endi'!MMV2</f>
        <v>0</v>
      </c>
      <c r="MMX3">
        <f>'[12]Summary Report - 12 Months Endi'!MMW2</f>
        <v>0</v>
      </c>
      <c r="MMY3">
        <f>'[12]Summary Report - 12 Months Endi'!MMX2</f>
        <v>0</v>
      </c>
      <c r="MMZ3">
        <f>'[12]Summary Report - 12 Months Endi'!MMY2</f>
        <v>0</v>
      </c>
      <c r="MNA3">
        <f>'[12]Summary Report - 12 Months Endi'!MMZ2</f>
        <v>0</v>
      </c>
      <c r="MNB3">
        <f>'[12]Summary Report - 12 Months Endi'!MNA2</f>
        <v>0</v>
      </c>
      <c r="MNC3">
        <f>'[12]Summary Report - 12 Months Endi'!MNB2</f>
        <v>0</v>
      </c>
      <c r="MND3">
        <f>'[12]Summary Report - 12 Months Endi'!MNC2</f>
        <v>0</v>
      </c>
      <c r="MNE3">
        <f>'[12]Summary Report - 12 Months Endi'!MND2</f>
        <v>0</v>
      </c>
      <c r="MNF3">
        <f>'[12]Summary Report - 12 Months Endi'!MNE2</f>
        <v>0</v>
      </c>
      <c r="MNG3">
        <f>'[12]Summary Report - 12 Months Endi'!MNF2</f>
        <v>0</v>
      </c>
      <c r="MNH3">
        <f>'[12]Summary Report - 12 Months Endi'!MNG2</f>
        <v>0</v>
      </c>
      <c r="MNI3">
        <f>'[12]Summary Report - 12 Months Endi'!MNH2</f>
        <v>0</v>
      </c>
      <c r="MNJ3">
        <f>'[12]Summary Report - 12 Months Endi'!MNI2</f>
        <v>0</v>
      </c>
      <c r="MNK3">
        <f>'[12]Summary Report - 12 Months Endi'!MNJ2</f>
        <v>0</v>
      </c>
      <c r="MNL3">
        <f>'[12]Summary Report - 12 Months Endi'!MNK2</f>
        <v>0</v>
      </c>
      <c r="MNM3">
        <f>'[12]Summary Report - 12 Months Endi'!MNL2</f>
        <v>0</v>
      </c>
      <c r="MNN3">
        <f>'[12]Summary Report - 12 Months Endi'!MNM2</f>
        <v>0</v>
      </c>
      <c r="MNO3">
        <f>'[12]Summary Report - 12 Months Endi'!MNN2</f>
        <v>0</v>
      </c>
      <c r="MNP3">
        <f>'[12]Summary Report - 12 Months Endi'!MNO2</f>
        <v>0</v>
      </c>
      <c r="MNQ3">
        <f>'[12]Summary Report - 12 Months Endi'!MNP2</f>
        <v>0</v>
      </c>
      <c r="MNR3">
        <f>'[12]Summary Report - 12 Months Endi'!MNQ2</f>
        <v>0</v>
      </c>
      <c r="MNS3">
        <f>'[12]Summary Report - 12 Months Endi'!MNR2</f>
        <v>0</v>
      </c>
      <c r="MNT3">
        <f>'[12]Summary Report - 12 Months Endi'!MNS2</f>
        <v>0</v>
      </c>
      <c r="MNU3">
        <f>'[12]Summary Report - 12 Months Endi'!MNT2</f>
        <v>0</v>
      </c>
      <c r="MNV3">
        <f>'[12]Summary Report - 12 Months Endi'!MNU2</f>
        <v>0</v>
      </c>
      <c r="MNW3">
        <f>'[12]Summary Report - 12 Months Endi'!MNV2</f>
        <v>0</v>
      </c>
      <c r="MNX3">
        <f>'[12]Summary Report - 12 Months Endi'!MNW2</f>
        <v>0</v>
      </c>
      <c r="MNY3">
        <f>'[12]Summary Report - 12 Months Endi'!MNX2</f>
        <v>0</v>
      </c>
      <c r="MNZ3">
        <f>'[12]Summary Report - 12 Months Endi'!MNY2</f>
        <v>0</v>
      </c>
      <c r="MOA3">
        <f>'[12]Summary Report - 12 Months Endi'!MNZ2</f>
        <v>0</v>
      </c>
      <c r="MOB3">
        <f>'[12]Summary Report - 12 Months Endi'!MOA2</f>
        <v>0</v>
      </c>
      <c r="MOC3">
        <f>'[12]Summary Report - 12 Months Endi'!MOB2</f>
        <v>0</v>
      </c>
      <c r="MOD3">
        <f>'[12]Summary Report - 12 Months Endi'!MOC2</f>
        <v>0</v>
      </c>
      <c r="MOE3">
        <f>'[12]Summary Report - 12 Months Endi'!MOD2</f>
        <v>0</v>
      </c>
      <c r="MOF3">
        <f>'[12]Summary Report - 12 Months Endi'!MOE2</f>
        <v>0</v>
      </c>
      <c r="MOG3">
        <f>'[12]Summary Report - 12 Months Endi'!MOF2</f>
        <v>0</v>
      </c>
      <c r="MOH3">
        <f>'[12]Summary Report - 12 Months Endi'!MOG2</f>
        <v>0</v>
      </c>
      <c r="MOI3">
        <f>'[12]Summary Report - 12 Months Endi'!MOH2</f>
        <v>0</v>
      </c>
      <c r="MOJ3">
        <f>'[12]Summary Report - 12 Months Endi'!MOI2</f>
        <v>0</v>
      </c>
      <c r="MOK3">
        <f>'[12]Summary Report - 12 Months Endi'!MOJ2</f>
        <v>0</v>
      </c>
      <c r="MOL3">
        <f>'[12]Summary Report - 12 Months Endi'!MOK2</f>
        <v>0</v>
      </c>
      <c r="MOM3">
        <f>'[12]Summary Report - 12 Months Endi'!MOL2</f>
        <v>0</v>
      </c>
      <c r="MON3">
        <f>'[12]Summary Report - 12 Months Endi'!MOM2</f>
        <v>0</v>
      </c>
      <c r="MOO3">
        <f>'[12]Summary Report - 12 Months Endi'!MON2</f>
        <v>0</v>
      </c>
      <c r="MOP3">
        <f>'[12]Summary Report - 12 Months Endi'!MOO2</f>
        <v>0</v>
      </c>
      <c r="MOQ3">
        <f>'[12]Summary Report - 12 Months Endi'!MOP2</f>
        <v>0</v>
      </c>
      <c r="MOR3">
        <f>'[12]Summary Report - 12 Months Endi'!MOQ2</f>
        <v>0</v>
      </c>
      <c r="MOS3">
        <f>'[12]Summary Report - 12 Months Endi'!MOR2</f>
        <v>0</v>
      </c>
      <c r="MOT3">
        <f>'[12]Summary Report - 12 Months Endi'!MOS2</f>
        <v>0</v>
      </c>
      <c r="MOU3">
        <f>'[12]Summary Report - 12 Months Endi'!MOT2</f>
        <v>0</v>
      </c>
      <c r="MOV3">
        <f>'[12]Summary Report - 12 Months Endi'!MOU2</f>
        <v>0</v>
      </c>
      <c r="MOW3">
        <f>'[12]Summary Report - 12 Months Endi'!MOV2</f>
        <v>0</v>
      </c>
      <c r="MOX3">
        <f>'[12]Summary Report - 12 Months Endi'!MOW2</f>
        <v>0</v>
      </c>
      <c r="MOY3">
        <f>'[12]Summary Report - 12 Months Endi'!MOX2</f>
        <v>0</v>
      </c>
      <c r="MOZ3">
        <f>'[12]Summary Report - 12 Months Endi'!MOY2</f>
        <v>0</v>
      </c>
      <c r="MPA3">
        <f>'[12]Summary Report - 12 Months Endi'!MOZ2</f>
        <v>0</v>
      </c>
      <c r="MPB3">
        <f>'[12]Summary Report - 12 Months Endi'!MPA2</f>
        <v>0</v>
      </c>
      <c r="MPC3">
        <f>'[12]Summary Report - 12 Months Endi'!MPB2</f>
        <v>0</v>
      </c>
      <c r="MPD3">
        <f>'[12]Summary Report - 12 Months Endi'!MPC2</f>
        <v>0</v>
      </c>
      <c r="MPE3">
        <f>'[12]Summary Report - 12 Months Endi'!MPD2</f>
        <v>0</v>
      </c>
      <c r="MPF3">
        <f>'[12]Summary Report - 12 Months Endi'!MPE2</f>
        <v>0</v>
      </c>
      <c r="MPG3">
        <f>'[12]Summary Report - 12 Months Endi'!MPF2</f>
        <v>0</v>
      </c>
      <c r="MPH3">
        <f>'[12]Summary Report - 12 Months Endi'!MPG2</f>
        <v>0</v>
      </c>
      <c r="MPI3">
        <f>'[12]Summary Report - 12 Months Endi'!MPH2</f>
        <v>0</v>
      </c>
      <c r="MPJ3">
        <f>'[12]Summary Report - 12 Months Endi'!MPI2</f>
        <v>0</v>
      </c>
      <c r="MPK3">
        <f>'[12]Summary Report - 12 Months Endi'!MPJ2</f>
        <v>0</v>
      </c>
      <c r="MPL3">
        <f>'[12]Summary Report - 12 Months Endi'!MPK2</f>
        <v>0</v>
      </c>
      <c r="MPM3">
        <f>'[12]Summary Report - 12 Months Endi'!MPL2</f>
        <v>0</v>
      </c>
      <c r="MPN3">
        <f>'[12]Summary Report - 12 Months Endi'!MPM2</f>
        <v>0</v>
      </c>
      <c r="MPO3">
        <f>'[12]Summary Report - 12 Months Endi'!MPN2</f>
        <v>0</v>
      </c>
      <c r="MPP3">
        <f>'[12]Summary Report - 12 Months Endi'!MPO2</f>
        <v>0</v>
      </c>
      <c r="MPQ3">
        <f>'[12]Summary Report - 12 Months Endi'!MPP2</f>
        <v>0</v>
      </c>
      <c r="MPR3">
        <f>'[12]Summary Report - 12 Months Endi'!MPQ2</f>
        <v>0</v>
      </c>
      <c r="MPS3">
        <f>'[12]Summary Report - 12 Months Endi'!MPR2</f>
        <v>0</v>
      </c>
      <c r="MPT3">
        <f>'[12]Summary Report - 12 Months Endi'!MPS2</f>
        <v>0</v>
      </c>
      <c r="MPU3">
        <f>'[12]Summary Report - 12 Months Endi'!MPT2</f>
        <v>0</v>
      </c>
      <c r="MPV3">
        <f>'[12]Summary Report - 12 Months Endi'!MPU2</f>
        <v>0</v>
      </c>
      <c r="MPW3">
        <f>'[12]Summary Report - 12 Months Endi'!MPV2</f>
        <v>0</v>
      </c>
      <c r="MPX3">
        <f>'[12]Summary Report - 12 Months Endi'!MPW2</f>
        <v>0</v>
      </c>
      <c r="MPY3">
        <f>'[12]Summary Report - 12 Months Endi'!MPX2</f>
        <v>0</v>
      </c>
      <c r="MPZ3">
        <f>'[12]Summary Report - 12 Months Endi'!MPY2</f>
        <v>0</v>
      </c>
      <c r="MQA3">
        <f>'[12]Summary Report - 12 Months Endi'!MPZ2</f>
        <v>0</v>
      </c>
      <c r="MQB3">
        <f>'[12]Summary Report - 12 Months Endi'!MQA2</f>
        <v>0</v>
      </c>
      <c r="MQC3">
        <f>'[12]Summary Report - 12 Months Endi'!MQB2</f>
        <v>0</v>
      </c>
      <c r="MQD3">
        <f>'[12]Summary Report - 12 Months Endi'!MQC2</f>
        <v>0</v>
      </c>
      <c r="MQE3">
        <f>'[12]Summary Report - 12 Months Endi'!MQD2</f>
        <v>0</v>
      </c>
      <c r="MQF3">
        <f>'[12]Summary Report - 12 Months Endi'!MQE2</f>
        <v>0</v>
      </c>
      <c r="MQG3">
        <f>'[12]Summary Report - 12 Months Endi'!MQF2</f>
        <v>0</v>
      </c>
      <c r="MQH3">
        <f>'[12]Summary Report - 12 Months Endi'!MQG2</f>
        <v>0</v>
      </c>
      <c r="MQI3">
        <f>'[12]Summary Report - 12 Months Endi'!MQH2</f>
        <v>0</v>
      </c>
      <c r="MQJ3">
        <f>'[12]Summary Report - 12 Months Endi'!MQI2</f>
        <v>0</v>
      </c>
      <c r="MQK3">
        <f>'[12]Summary Report - 12 Months Endi'!MQJ2</f>
        <v>0</v>
      </c>
      <c r="MQL3">
        <f>'[12]Summary Report - 12 Months Endi'!MQK2</f>
        <v>0</v>
      </c>
      <c r="MQM3">
        <f>'[12]Summary Report - 12 Months Endi'!MQL2</f>
        <v>0</v>
      </c>
      <c r="MQN3">
        <f>'[12]Summary Report - 12 Months Endi'!MQM2</f>
        <v>0</v>
      </c>
      <c r="MQO3">
        <f>'[12]Summary Report - 12 Months Endi'!MQN2</f>
        <v>0</v>
      </c>
      <c r="MQP3">
        <f>'[12]Summary Report - 12 Months Endi'!MQO2</f>
        <v>0</v>
      </c>
      <c r="MQQ3">
        <f>'[12]Summary Report - 12 Months Endi'!MQP2</f>
        <v>0</v>
      </c>
      <c r="MQR3">
        <f>'[12]Summary Report - 12 Months Endi'!MQQ2</f>
        <v>0</v>
      </c>
      <c r="MQS3">
        <f>'[12]Summary Report - 12 Months Endi'!MQR2</f>
        <v>0</v>
      </c>
      <c r="MQT3">
        <f>'[12]Summary Report - 12 Months Endi'!MQS2</f>
        <v>0</v>
      </c>
      <c r="MQU3">
        <f>'[12]Summary Report - 12 Months Endi'!MQT2</f>
        <v>0</v>
      </c>
      <c r="MQV3">
        <f>'[12]Summary Report - 12 Months Endi'!MQU2</f>
        <v>0</v>
      </c>
      <c r="MQW3">
        <f>'[12]Summary Report - 12 Months Endi'!MQV2</f>
        <v>0</v>
      </c>
      <c r="MQX3">
        <f>'[12]Summary Report - 12 Months Endi'!MQW2</f>
        <v>0</v>
      </c>
      <c r="MQY3">
        <f>'[12]Summary Report - 12 Months Endi'!MQX2</f>
        <v>0</v>
      </c>
      <c r="MQZ3">
        <f>'[12]Summary Report - 12 Months Endi'!MQY2</f>
        <v>0</v>
      </c>
      <c r="MRA3">
        <f>'[12]Summary Report - 12 Months Endi'!MQZ2</f>
        <v>0</v>
      </c>
      <c r="MRB3">
        <f>'[12]Summary Report - 12 Months Endi'!MRA2</f>
        <v>0</v>
      </c>
      <c r="MRC3">
        <f>'[12]Summary Report - 12 Months Endi'!MRB2</f>
        <v>0</v>
      </c>
      <c r="MRD3">
        <f>'[12]Summary Report - 12 Months Endi'!MRC2</f>
        <v>0</v>
      </c>
      <c r="MRE3">
        <f>'[12]Summary Report - 12 Months Endi'!MRD2</f>
        <v>0</v>
      </c>
      <c r="MRF3">
        <f>'[12]Summary Report - 12 Months Endi'!MRE2</f>
        <v>0</v>
      </c>
      <c r="MRG3">
        <f>'[12]Summary Report - 12 Months Endi'!MRF2</f>
        <v>0</v>
      </c>
      <c r="MRH3">
        <f>'[12]Summary Report - 12 Months Endi'!MRG2</f>
        <v>0</v>
      </c>
      <c r="MRI3">
        <f>'[12]Summary Report - 12 Months Endi'!MRH2</f>
        <v>0</v>
      </c>
      <c r="MRJ3">
        <f>'[12]Summary Report - 12 Months Endi'!MRI2</f>
        <v>0</v>
      </c>
      <c r="MRK3">
        <f>'[12]Summary Report - 12 Months Endi'!MRJ2</f>
        <v>0</v>
      </c>
      <c r="MRL3">
        <f>'[12]Summary Report - 12 Months Endi'!MRK2</f>
        <v>0</v>
      </c>
      <c r="MRM3">
        <f>'[12]Summary Report - 12 Months Endi'!MRL2</f>
        <v>0</v>
      </c>
      <c r="MRN3">
        <f>'[12]Summary Report - 12 Months Endi'!MRM2</f>
        <v>0</v>
      </c>
      <c r="MRO3">
        <f>'[12]Summary Report - 12 Months Endi'!MRN2</f>
        <v>0</v>
      </c>
      <c r="MRP3">
        <f>'[12]Summary Report - 12 Months Endi'!MRO2</f>
        <v>0</v>
      </c>
      <c r="MRQ3">
        <f>'[12]Summary Report - 12 Months Endi'!MRP2</f>
        <v>0</v>
      </c>
      <c r="MRR3">
        <f>'[12]Summary Report - 12 Months Endi'!MRQ2</f>
        <v>0</v>
      </c>
      <c r="MRS3">
        <f>'[12]Summary Report - 12 Months Endi'!MRR2</f>
        <v>0</v>
      </c>
      <c r="MRT3">
        <f>'[12]Summary Report - 12 Months Endi'!MRS2</f>
        <v>0</v>
      </c>
      <c r="MRU3">
        <f>'[12]Summary Report - 12 Months Endi'!MRT2</f>
        <v>0</v>
      </c>
      <c r="MRV3">
        <f>'[12]Summary Report - 12 Months Endi'!MRU2</f>
        <v>0</v>
      </c>
      <c r="MRW3">
        <f>'[12]Summary Report - 12 Months Endi'!MRV2</f>
        <v>0</v>
      </c>
      <c r="MRX3">
        <f>'[12]Summary Report - 12 Months Endi'!MRW2</f>
        <v>0</v>
      </c>
      <c r="MRY3">
        <f>'[12]Summary Report - 12 Months Endi'!MRX2</f>
        <v>0</v>
      </c>
      <c r="MRZ3">
        <f>'[12]Summary Report - 12 Months Endi'!MRY2</f>
        <v>0</v>
      </c>
      <c r="MSA3">
        <f>'[12]Summary Report - 12 Months Endi'!MRZ2</f>
        <v>0</v>
      </c>
      <c r="MSB3">
        <f>'[12]Summary Report - 12 Months Endi'!MSA2</f>
        <v>0</v>
      </c>
      <c r="MSC3">
        <f>'[12]Summary Report - 12 Months Endi'!MSB2</f>
        <v>0</v>
      </c>
      <c r="MSD3">
        <f>'[12]Summary Report - 12 Months Endi'!MSC2</f>
        <v>0</v>
      </c>
      <c r="MSE3">
        <f>'[12]Summary Report - 12 Months Endi'!MSD2</f>
        <v>0</v>
      </c>
      <c r="MSF3">
        <f>'[12]Summary Report - 12 Months Endi'!MSE2</f>
        <v>0</v>
      </c>
      <c r="MSG3">
        <f>'[12]Summary Report - 12 Months Endi'!MSF2</f>
        <v>0</v>
      </c>
      <c r="MSH3">
        <f>'[12]Summary Report - 12 Months Endi'!MSG2</f>
        <v>0</v>
      </c>
      <c r="MSI3">
        <f>'[12]Summary Report - 12 Months Endi'!MSH2</f>
        <v>0</v>
      </c>
      <c r="MSJ3">
        <f>'[12]Summary Report - 12 Months Endi'!MSI2</f>
        <v>0</v>
      </c>
      <c r="MSK3">
        <f>'[12]Summary Report - 12 Months Endi'!MSJ2</f>
        <v>0</v>
      </c>
      <c r="MSL3">
        <f>'[12]Summary Report - 12 Months Endi'!MSK2</f>
        <v>0</v>
      </c>
      <c r="MSM3">
        <f>'[12]Summary Report - 12 Months Endi'!MSL2</f>
        <v>0</v>
      </c>
      <c r="MSN3">
        <f>'[12]Summary Report - 12 Months Endi'!MSM2</f>
        <v>0</v>
      </c>
      <c r="MSO3">
        <f>'[12]Summary Report - 12 Months Endi'!MSN2</f>
        <v>0</v>
      </c>
      <c r="MSP3">
        <f>'[12]Summary Report - 12 Months Endi'!MSO2</f>
        <v>0</v>
      </c>
      <c r="MSQ3">
        <f>'[12]Summary Report - 12 Months Endi'!MSP2</f>
        <v>0</v>
      </c>
      <c r="MSR3">
        <f>'[12]Summary Report - 12 Months Endi'!MSQ2</f>
        <v>0</v>
      </c>
      <c r="MSS3">
        <f>'[12]Summary Report - 12 Months Endi'!MSR2</f>
        <v>0</v>
      </c>
      <c r="MST3">
        <f>'[12]Summary Report - 12 Months Endi'!MSS2</f>
        <v>0</v>
      </c>
      <c r="MSU3">
        <f>'[12]Summary Report - 12 Months Endi'!MST2</f>
        <v>0</v>
      </c>
      <c r="MSV3">
        <f>'[12]Summary Report - 12 Months Endi'!MSU2</f>
        <v>0</v>
      </c>
      <c r="MSW3">
        <f>'[12]Summary Report - 12 Months Endi'!MSV2</f>
        <v>0</v>
      </c>
      <c r="MSX3">
        <f>'[12]Summary Report - 12 Months Endi'!MSW2</f>
        <v>0</v>
      </c>
      <c r="MSY3">
        <f>'[12]Summary Report - 12 Months Endi'!MSX2</f>
        <v>0</v>
      </c>
      <c r="MSZ3">
        <f>'[12]Summary Report - 12 Months Endi'!MSY2</f>
        <v>0</v>
      </c>
      <c r="MTA3">
        <f>'[12]Summary Report - 12 Months Endi'!MSZ2</f>
        <v>0</v>
      </c>
      <c r="MTB3">
        <f>'[12]Summary Report - 12 Months Endi'!MTA2</f>
        <v>0</v>
      </c>
      <c r="MTC3">
        <f>'[12]Summary Report - 12 Months Endi'!MTB2</f>
        <v>0</v>
      </c>
      <c r="MTD3">
        <f>'[12]Summary Report - 12 Months Endi'!MTC2</f>
        <v>0</v>
      </c>
      <c r="MTE3">
        <f>'[12]Summary Report - 12 Months Endi'!MTD2</f>
        <v>0</v>
      </c>
      <c r="MTF3">
        <f>'[12]Summary Report - 12 Months Endi'!MTE2</f>
        <v>0</v>
      </c>
      <c r="MTG3">
        <f>'[12]Summary Report - 12 Months Endi'!MTF2</f>
        <v>0</v>
      </c>
      <c r="MTH3">
        <f>'[12]Summary Report - 12 Months Endi'!MTG2</f>
        <v>0</v>
      </c>
      <c r="MTI3">
        <f>'[12]Summary Report - 12 Months Endi'!MTH2</f>
        <v>0</v>
      </c>
      <c r="MTJ3">
        <f>'[12]Summary Report - 12 Months Endi'!MTI2</f>
        <v>0</v>
      </c>
      <c r="MTK3">
        <f>'[12]Summary Report - 12 Months Endi'!MTJ2</f>
        <v>0</v>
      </c>
      <c r="MTL3">
        <f>'[12]Summary Report - 12 Months Endi'!MTK2</f>
        <v>0</v>
      </c>
      <c r="MTM3">
        <f>'[12]Summary Report - 12 Months Endi'!MTL2</f>
        <v>0</v>
      </c>
      <c r="MTN3">
        <f>'[12]Summary Report - 12 Months Endi'!MTM2</f>
        <v>0</v>
      </c>
      <c r="MTO3">
        <f>'[12]Summary Report - 12 Months Endi'!MTN2</f>
        <v>0</v>
      </c>
      <c r="MTP3">
        <f>'[12]Summary Report - 12 Months Endi'!MTO2</f>
        <v>0</v>
      </c>
      <c r="MTQ3">
        <f>'[12]Summary Report - 12 Months Endi'!MTP2</f>
        <v>0</v>
      </c>
      <c r="MTR3">
        <f>'[12]Summary Report - 12 Months Endi'!MTQ2</f>
        <v>0</v>
      </c>
      <c r="MTS3">
        <f>'[12]Summary Report - 12 Months Endi'!MTR2</f>
        <v>0</v>
      </c>
      <c r="MTT3">
        <f>'[12]Summary Report - 12 Months Endi'!MTS2</f>
        <v>0</v>
      </c>
      <c r="MTU3">
        <f>'[12]Summary Report - 12 Months Endi'!MTT2</f>
        <v>0</v>
      </c>
      <c r="MTV3">
        <f>'[12]Summary Report - 12 Months Endi'!MTU2</f>
        <v>0</v>
      </c>
      <c r="MTW3">
        <f>'[12]Summary Report - 12 Months Endi'!MTV2</f>
        <v>0</v>
      </c>
      <c r="MTX3">
        <f>'[12]Summary Report - 12 Months Endi'!MTW2</f>
        <v>0</v>
      </c>
      <c r="MTY3">
        <f>'[12]Summary Report - 12 Months Endi'!MTX2</f>
        <v>0</v>
      </c>
      <c r="MTZ3">
        <f>'[12]Summary Report - 12 Months Endi'!MTY2</f>
        <v>0</v>
      </c>
      <c r="MUA3">
        <f>'[12]Summary Report - 12 Months Endi'!MTZ2</f>
        <v>0</v>
      </c>
      <c r="MUB3">
        <f>'[12]Summary Report - 12 Months Endi'!MUA2</f>
        <v>0</v>
      </c>
      <c r="MUC3">
        <f>'[12]Summary Report - 12 Months Endi'!MUB2</f>
        <v>0</v>
      </c>
      <c r="MUD3">
        <f>'[12]Summary Report - 12 Months Endi'!MUC2</f>
        <v>0</v>
      </c>
      <c r="MUE3">
        <f>'[12]Summary Report - 12 Months Endi'!MUD2</f>
        <v>0</v>
      </c>
      <c r="MUF3">
        <f>'[12]Summary Report - 12 Months Endi'!MUE2</f>
        <v>0</v>
      </c>
      <c r="MUG3">
        <f>'[12]Summary Report - 12 Months Endi'!MUF2</f>
        <v>0</v>
      </c>
      <c r="MUH3">
        <f>'[12]Summary Report - 12 Months Endi'!MUG2</f>
        <v>0</v>
      </c>
      <c r="MUI3">
        <f>'[12]Summary Report - 12 Months Endi'!MUH2</f>
        <v>0</v>
      </c>
      <c r="MUJ3">
        <f>'[12]Summary Report - 12 Months Endi'!MUI2</f>
        <v>0</v>
      </c>
      <c r="MUK3">
        <f>'[12]Summary Report - 12 Months Endi'!MUJ2</f>
        <v>0</v>
      </c>
      <c r="MUL3">
        <f>'[12]Summary Report - 12 Months Endi'!MUK2</f>
        <v>0</v>
      </c>
      <c r="MUM3">
        <f>'[12]Summary Report - 12 Months Endi'!MUL2</f>
        <v>0</v>
      </c>
      <c r="MUN3">
        <f>'[12]Summary Report - 12 Months Endi'!MUM2</f>
        <v>0</v>
      </c>
      <c r="MUO3">
        <f>'[12]Summary Report - 12 Months Endi'!MUN2</f>
        <v>0</v>
      </c>
      <c r="MUP3">
        <f>'[12]Summary Report - 12 Months Endi'!MUO2</f>
        <v>0</v>
      </c>
      <c r="MUQ3">
        <f>'[12]Summary Report - 12 Months Endi'!MUP2</f>
        <v>0</v>
      </c>
      <c r="MUR3">
        <f>'[12]Summary Report - 12 Months Endi'!MUQ2</f>
        <v>0</v>
      </c>
      <c r="MUS3">
        <f>'[12]Summary Report - 12 Months Endi'!MUR2</f>
        <v>0</v>
      </c>
      <c r="MUT3">
        <f>'[12]Summary Report - 12 Months Endi'!MUS2</f>
        <v>0</v>
      </c>
      <c r="MUU3">
        <f>'[12]Summary Report - 12 Months Endi'!MUT2</f>
        <v>0</v>
      </c>
      <c r="MUV3">
        <f>'[12]Summary Report - 12 Months Endi'!MUU2</f>
        <v>0</v>
      </c>
      <c r="MUW3">
        <f>'[12]Summary Report - 12 Months Endi'!MUV2</f>
        <v>0</v>
      </c>
      <c r="MUX3">
        <f>'[12]Summary Report - 12 Months Endi'!MUW2</f>
        <v>0</v>
      </c>
      <c r="MUY3">
        <f>'[12]Summary Report - 12 Months Endi'!MUX2</f>
        <v>0</v>
      </c>
      <c r="MUZ3">
        <f>'[12]Summary Report - 12 Months Endi'!MUY2</f>
        <v>0</v>
      </c>
      <c r="MVA3">
        <f>'[12]Summary Report - 12 Months Endi'!MUZ2</f>
        <v>0</v>
      </c>
      <c r="MVB3">
        <f>'[12]Summary Report - 12 Months Endi'!MVA2</f>
        <v>0</v>
      </c>
      <c r="MVC3">
        <f>'[12]Summary Report - 12 Months Endi'!MVB2</f>
        <v>0</v>
      </c>
      <c r="MVD3">
        <f>'[12]Summary Report - 12 Months Endi'!MVC2</f>
        <v>0</v>
      </c>
      <c r="MVE3">
        <f>'[12]Summary Report - 12 Months Endi'!MVD2</f>
        <v>0</v>
      </c>
      <c r="MVF3">
        <f>'[12]Summary Report - 12 Months Endi'!MVE2</f>
        <v>0</v>
      </c>
      <c r="MVG3">
        <f>'[12]Summary Report - 12 Months Endi'!MVF2</f>
        <v>0</v>
      </c>
      <c r="MVH3">
        <f>'[12]Summary Report - 12 Months Endi'!MVG2</f>
        <v>0</v>
      </c>
      <c r="MVI3">
        <f>'[12]Summary Report - 12 Months Endi'!MVH2</f>
        <v>0</v>
      </c>
      <c r="MVJ3">
        <f>'[12]Summary Report - 12 Months Endi'!MVI2</f>
        <v>0</v>
      </c>
      <c r="MVK3">
        <f>'[12]Summary Report - 12 Months Endi'!MVJ2</f>
        <v>0</v>
      </c>
      <c r="MVL3">
        <f>'[12]Summary Report - 12 Months Endi'!MVK2</f>
        <v>0</v>
      </c>
      <c r="MVM3">
        <f>'[12]Summary Report - 12 Months Endi'!MVL2</f>
        <v>0</v>
      </c>
      <c r="MVN3">
        <f>'[12]Summary Report - 12 Months Endi'!MVM2</f>
        <v>0</v>
      </c>
      <c r="MVO3">
        <f>'[12]Summary Report - 12 Months Endi'!MVN2</f>
        <v>0</v>
      </c>
      <c r="MVP3">
        <f>'[12]Summary Report - 12 Months Endi'!MVO2</f>
        <v>0</v>
      </c>
      <c r="MVQ3">
        <f>'[12]Summary Report - 12 Months Endi'!MVP2</f>
        <v>0</v>
      </c>
      <c r="MVR3">
        <f>'[12]Summary Report - 12 Months Endi'!MVQ2</f>
        <v>0</v>
      </c>
      <c r="MVS3">
        <f>'[12]Summary Report - 12 Months Endi'!MVR2</f>
        <v>0</v>
      </c>
      <c r="MVT3">
        <f>'[12]Summary Report - 12 Months Endi'!MVS2</f>
        <v>0</v>
      </c>
      <c r="MVU3">
        <f>'[12]Summary Report - 12 Months Endi'!MVT2</f>
        <v>0</v>
      </c>
      <c r="MVV3">
        <f>'[12]Summary Report - 12 Months Endi'!MVU2</f>
        <v>0</v>
      </c>
      <c r="MVW3">
        <f>'[12]Summary Report - 12 Months Endi'!MVV2</f>
        <v>0</v>
      </c>
      <c r="MVX3">
        <f>'[12]Summary Report - 12 Months Endi'!MVW2</f>
        <v>0</v>
      </c>
      <c r="MVY3">
        <f>'[12]Summary Report - 12 Months Endi'!MVX2</f>
        <v>0</v>
      </c>
      <c r="MVZ3">
        <f>'[12]Summary Report - 12 Months Endi'!MVY2</f>
        <v>0</v>
      </c>
      <c r="MWA3">
        <f>'[12]Summary Report - 12 Months Endi'!MVZ2</f>
        <v>0</v>
      </c>
      <c r="MWB3">
        <f>'[12]Summary Report - 12 Months Endi'!MWA2</f>
        <v>0</v>
      </c>
      <c r="MWC3">
        <f>'[12]Summary Report - 12 Months Endi'!MWB2</f>
        <v>0</v>
      </c>
      <c r="MWD3">
        <f>'[12]Summary Report - 12 Months Endi'!MWC2</f>
        <v>0</v>
      </c>
      <c r="MWE3">
        <f>'[12]Summary Report - 12 Months Endi'!MWD2</f>
        <v>0</v>
      </c>
      <c r="MWF3">
        <f>'[12]Summary Report - 12 Months Endi'!MWE2</f>
        <v>0</v>
      </c>
      <c r="MWG3">
        <f>'[12]Summary Report - 12 Months Endi'!MWF2</f>
        <v>0</v>
      </c>
      <c r="MWH3">
        <f>'[12]Summary Report - 12 Months Endi'!MWG2</f>
        <v>0</v>
      </c>
      <c r="MWI3">
        <f>'[12]Summary Report - 12 Months Endi'!MWH2</f>
        <v>0</v>
      </c>
      <c r="MWJ3">
        <f>'[12]Summary Report - 12 Months Endi'!MWI2</f>
        <v>0</v>
      </c>
      <c r="MWK3">
        <f>'[12]Summary Report - 12 Months Endi'!MWJ2</f>
        <v>0</v>
      </c>
      <c r="MWL3">
        <f>'[12]Summary Report - 12 Months Endi'!MWK2</f>
        <v>0</v>
      </c>
      <c r="MWM3">
        <f>'[12]Summary Report - 12 Months Endi'!MWL2</f>
        <v>0</v>
      </c>
      <c r="MWN3">
        <f>'[12]Summary Report - 12 Months Endi'!MWM2</f>
        <v>0</v>
      </c>
      <c r="MWO3">
        <f>'[12]Summary Report - 12 Months Endi'!MWN2</f>
        <v>0</v>
      </c>
      <c r="MWP3">
        <f>'[12]Summary Report - 12 Months Endi'!MWO2</f>
        <v>0</v>
      </c>
      <c r="MWQ3">
        <f>'[12]Summary Report - 12 Months Endi'!MWP2</f>
        <v>0</v>
      </c>
      <c r="MWR3">
        <f>'[12]Summary Report - 12 Months Endi'!MWQ2</f>
        <v>0</v>
      </c>
      <c r="MWS3">
        <f>'[12]Summary Report - 12 Months Endi'!MWR2</f>
        <v>0</v>
      </c>
      <c r="MWT3">
        <f>'[12]Summary Report - 12 Months Endi'!MWS2</f>
        <v>0</v>
      </c>
      <c r="MWU3">
        <f>'[12]Summary Report - 12 Months Endi'!MWT2</f>
        <v>0</v>
      </c>
      <c r="MWV3">
        <f>'[12]Summary Report - 12 Months Endi'!MWU2</f>
        <v>0</v>
      </c>
      <c r="MWW3">
        <f>'[12]Summary Report - 12 Months Endi'!MWV2</f>
        <v>0</v>
      </c>
      <c r="MWX3">
        <f>'[12]Summary Report - 12 Months Endi'!MWW2</f>
        <v>0</v>
      </c>
      <c r="MWY3">
        <f>'[12]Summary Report - 12 Months Endi'!MWX2</f>
        <v>0</v>
      </c>
      <c r="MWZ3">
        <f>'[12]Summary Report - 12 Months Endi'!MWY2</f>
        <v>0</v>
      </c>
      <c r="MXA3">
        <f>'[12]Summary Report - 12 Months Endi'!MWZ2</f>
        <v>0</v>
      </c>
      <c r="MXB3">
        <f>'[12]Summary Report - 12 Months Endi'!MXA2</f>
        <v>0</v>
      </c>
      <c r="MXC3">
        <f>'[12]Summary Report - 12 Months Endi'!MXB2</f>
        <v>0</v>
      </c>
      <c r="MXD3">
        <f>'[12]Summary Report - 12 Months Endi'!MXC2</f>
        <v>0</v>
      </c>
      <c r="MXE3">
        <f>'[12]Summary Report - 12 Months Endi'!MXD2</f>
        <v>0</v>
      </c>
      <c r="MXF3">
        <f>'[12]Summary Report - 12 Months Endi'!MXE2</f>
        <v>0</v>
      </c>
      <c r="MXG3">
        <f>'[12]Summary Report - 12 Months Endi'!MXF2</f>
        <v>0</v>
      </c>
      <c r="MXH3">
        <f>'[12]Summary Report - 12 Months Endi'!MXG2</f>
        <v>0</v>
      </c>
      <c r="MXI3">
        <f>'[12]Summary Report - 12 Months Endi'!MXH2</f>
        <v>0</v>
      </c>
      <c r="MXJ3">
        <f>'[12]Summary Report - 12 Months Endi'!MXI2</f>
        <v>0</v>
      </c>
      <c r="MXK3">
        <f>'[12]Summary Report - 12 Months Endi'!MXJ2</f>
        <v>0</v>
      </c>
      <c r="MXL3">
        <f>'[12]Summary Report - 12 Months Endi'!MXK2</f>
        <v>0</v>
      </c>
      <c r="MXM3">
        <f>'[12]Summary Report - 12 Months Endi'!MXL2</f>
        <v>0</v>
      </c>
      <c r="MXN3">
        <f>'[12]Summary Report - 12 Months Endi'!MXM2</f>
        <v>0</v>
      </c>
      <c r="MXO3">
        <f>'[12]Summary Report - 12 Months Endi'!MXN2</f>
        <v>0</v>
      </c>
      <c r="MXP3">
        <f>'[12]Summary Report - 12 Months Endi'!MXO2</f>
        <v>0</v>
      </c>
      <c r="MXQ3">
        <f>'[12]Summary Report - 12 Months Endi'!MXP2</f>
        <v>0</v>
      </c>
      <c r="MXR3">
        <f>'[12]Summary Report - 12 Months Endi'!MXQ2</f>
        <v>0</v>
      </c>
      <c r="MXS3">
        <f>'[12]Summary Report - 12 Months Endi'!MXR2</f>
        <v>0</v>
      </c>
      <c r="MXT3">
        <f>'[12]Summary Report - 12 Months Endi'!MXS2</f>
        <v>0</v>
      </c>
      <c r="MXU3">
        <f>'[12]Summary Report - 12 Months Endi'!MXT2</f>
        <v>0</v>
      </c>
      <c r="MXV3">
        <f>'[12]Summary Report - 12 Months Endi'!MXU2</f>
        <v>0</v>
      </c>
      <c r="MXW3">
        <f>'[12]Summary Report - 12 Months Endi'!MXV2</f>
        <v>0</v>
      </c>
      <c r="MXX3">
        <f>'[12]Summary Report - 12 Months Endi'!MXW2</f>
        <v>0</v>
      </c>
      <c r="MXY3">
        <f>'[12]Summary Report - 12 Months Endi'!MXX2</f>
        <v>0</v>
      </c>
      <c r="MXZ3">
        <f>'[12]Summary Report - 12 Months Endi'!MXY2</f>
        <v>0</v>
      </c>
      <c r="MYA3">
        <f>'[12]Summary Report - 12 Months Endi'!MXZ2</f>
        <v>0</v>
      </c>
      <c r="MYB3">
        <f>'[12]Summary Report - 12 Months Endi'!MYA2</f>
        <v>0</v>
      </c>
      <c r="MYC3">
        <f>'[12]Summary Report - 12 Months Endi'!MYB2</f>
        <v>0</v>
      </c>
      <c r="MYD3">
        <f>'[12]Summary Report - 12 Months Endi'!MYC2</f>
        <v>0</v>
      </c>
      <c r="MYE3">
        <f>'[12]Summary Report - 12 Months Endi'!MYD2</f>
        <v>0</v>
      </c>
      <c r="MYF3">
        <f>'[12]Summary Report - 12 Months Endi'!MYE2</f>
        <v>0</v>
      </c>
      <c r="MYG3">
        <f>'[12]Summary Report - 12 Months Endi'!MYF2</f>
        <v>0</v>
      </c>
      <c r="MYH3">
        <f>'[12]Summary Report - 12 Months Endi'!MYG2</f>
        <v>0</v>
      </c>
      <c r="MYI3">
        <f>'[12]Summary Report - 12 Months Endi'!MYH2</f>
        <v>0</v>
      </c>
      <c r="MYJ3">
        <f>'[12]Summary Report - 12 Months Endi'!MYI2</f>
        <v>0</v>
      </c>
      <c r="MYK3">
        <f>'[12]Summary Report - 12 Months Endi'!MYJ2</f>
        <v>0</v>
      </c>
      <c r="MYL3">
        <f>'[12]Summary Report - 12 Months Endi'!MYK2</f>
        <v>0</v>
      </c>
      <c r="MYM3">
        <f>'[12]Summary Report - 12 Months Endi'!MYL2</f>
        <v>0</v>
      </c>
      <c r="MYN3">
        <f>'[12]Summary Report - 12 Months Endi'!MYM2</f>
        <v>0</v>
      </c>
      <c r="MYO3">
        <f>'[12]Summary Report - 12 Months Endi'!MYN2</f>
        <v>0</v>
      </c>
      <c r="MYP3">
        <f>'[12]Summary Report - 12 Months Endi'!MYO2</f>
        <v>0</v>
      </c>
      <c r="MYQ3">
        <f>'[12]Summary Report - 12 Months Endi'!MYP2</f>
        <v>0</v>
      </c>
      <c r="MYR3">
        <f>'[12]Summary Report - 12 Months Endi'!MYQ2</f>
        <v>0</v>
      </c>
      <c r="MYS3">
        <f>'[12]Summary Report - 12 Months Endi'!MYR2</f>
        <v>0</v>
      </c>
      <c r="MYT3">
        <f>'[12]Summary Report - 12 Months Endi'!MYS2</f>
        <v>0</v>
      </c>
      <c r="MYU3">
        <f>'[12]Summary Report - 12 Months Endi'!MYT2</f>
        <v>0</v>
      </c>
      <c r="MYV3">
        <f>'[12]Summary Report - 12 Months Endi'!MYU2</f>
        <v>0</v>
      </c>
      <c r="MYW3">
        <f>'[12]Summary Report - 12 Months Endi'!MYV2</f>
        <v>0</v>
      </c>
      <c r="MYX3">
        <f>'[12]Summary Report - 12 Months Endi'!MYW2</f>
        <v>0</v>
      </c>
      <c r="MYY3">
        <f>'[12]Summary Report - 12 Months Endi'!MYX2</f>
        <v>0</v>
      </c>
      <c r="MYZ3">
        <f>'[12]Summary Report - 12 Months Endi'!MYY2</f>
        <v>0</v>
      </c>
      <c r="MZA3">
        <f>'[12]Summary Report - 12 Months Endi'!MYZ2</f>
        <v>0</v>
      </c>
      <c r="MZB3">
        <f>'[12]Summary Report - 12 Months Endi'!MZA2</f>
        <v>0</v>
      </c>
      <c r="MZC3">
        <f>'[12]Summary Report - 12 Months Endi'!MZB2</f>
        <v>0</v>
      </c>
      <c r="MZD3">
        <f>'[12]Summary Report - 12 Months Endi'!MZC2</f>
        <v>0</v>
      </c>
      <c r="MZE3">
        <f>'[12]Summary Report - 12 Months Endi'!MZD2</f>
        <v>0</v>
      </c>
      <c r="MZF3">
        <f>'[12]Summary Report - 12 Months Endi'!MZE2</f>
        <v>0</v>
      </c>
      <c r="MZG3">
        <f>'[12]Summary Report - 12 Months Endi'!MZF2</f>
        <v>0</v>
      </c>
      <c r="MZH3">
        <f>'[12]Summary Report - 12 Months Endi'!MZG2</f>
        <v>0</v>
      </c>
      <c r="MZI3">
        <f>'[12]Summary Report - 12 Months Endi'!MZH2</f>
        <v>0</v>
      </c>
      <c r="MZJ3">
        <f>'[12]Summary Report - 12 Months Endi'!MZI2</f>
        <v>0</v>
      </c>
      <c r="MZK3">
        <f>'[12]Summary Report - 12 Months Endi'!MZJ2</f>
        <v>0</v>
      </c>
      <c r="MZL3">
        <f>'[12]Summary Report - 12 Months Endi'!MZK2</f>
        <v>0</v>
      </c>
      <c r="MZM3">
        <f>'[12]Summary Report - 12 Months Endi'!MZL2</f>
        <v>0</v>
      </c>
      <c r="MZN3">
        <f>'[12]Summary Report - 12 Months Endi'!MZM2</f>
        <v>0</v>
      </c>
      <c r="MZO3">
        <f>'[12]Summary Report - 12 Months Endi'!MZN2</f>
        <v>0</v>
      </c>
      <c r="MZP3">
        <f>'[12]Summary Report - 12 Months Endi'!MZO2</f>
        <v>0</v>
      </c>
      <c r="MZQ3">
        <f>'[12]Summary Report - 12 Months Endi'!MZP2</f>
        <v>0</v>
      </c>
      <c r="MZR3">
        <f>'[12]Summary Report - 12 Months Endi'!MZQ2</f>
        <v>0</v>
      </c>
      <c r="MZS3">
        <f>'[12]Summary Report - 12 Months Endi'!MZR2</f>
        <v>0</v>
      </c>
      <c r="MZT3">
        <f>'[12]Summary Report - 12 Months Endi'!MZS2</f>
        <v>0</v>
      </c>
      <c r="MZU3">
        <f>'[12]Summary Report - 12 Months Endi'!MZT2</f>
        <v>0</v>
      </c>
      <c r="MZV3">
        <f>'[12]Summary Report - 12 Months Endi'!MZU2</f>
        <v>0</v>
      </c>
      <c r="MZW3">
        <f>'[12]Summary Report - 12 Months Endi'!MZV2</f>
        <v>0</v>
      </c>
      <c r="MZX3">
        <f>'[12]Summary Report - 12 Months Endi'!MZW2</f>
        <v>0</v>
      </c>
      <c r="MZY3">
        <f>'[12]Summary Report - 12 Months Endi'!MZX2</f>
        <v>0</v>
      </c>
      <c r="MZZ3">
        <f>'[12]Summary Report - 12 Months Endi'!MZY2</f>
        <v>0</v>
      </c>
      <c r="NAA3">
        <f>'[12]Summary Report - 12 Months Endi'!MZZ2</f>
        <v>0</v>
      </c>
      <c r="NAB3">
        <f>'[12]Summary Report - 12 Months Endi'!NAA2</f>
        <v>0</v>
      </c>
      <c r="NAC3">
        <f>'[12]Summary Report - 12 Months Endi'!NAB2</f>
        <v>0</v>
      </c>
      <c r="NAD3">
        <f>'[12]Summary Report - 12 Months Endi'!NAC2</f>
        <v>0</v>
      </c>
      <c r="NAE3">
        <f>'[12]Summary Report - 12 Months Endi'!NAD2</f>
        <v>0</v>
      </c>
      <c r="NAF3">
        <f>'[12]Summary Report - 12 Months Endi'!NAE2</f>
        <v>0</v>
      </c>
      <c r="NAG3">
        <f>'[12]Summary Report - 12 Months Endi'!NAF2</f>
        <v>0</v>
      </c>
      <c r="NAH3">
        <f>'[12]Summary Report - 12 Months Endi'!NAG2</f>
        <v>0</v>
      </c>
      <c r="NAI3">
        <f>'[12]Summary Report - 12 Months Endi'!NAH2</f>
        <v>0</v>
      </c>
      <c r="NAJ3">
        <f>'[12]Summary Report - 12 Months Endi'!NAI2</f>
        <v>0</v>
      </c>
      <c r="NAK3">
        <f>'[12]Summary Report - 12 Months Endi'!NAJ2</f>
        <v>0</v>
      </c>
      <c r="NAL3">
        <f>'[12]Summary Report - 12 Months Endi'!NAK2</f>
        <v>0</v>
      </c>
      <c r="NAM3">
        <f>'[12]Summary Report - 12 Months Endi'!NAL2</f>
        <v>0</v>
      </c>
      <c r="NAN3">
        <f>'[12]Summary Report - 12 Months Endi'!NAM2</f>
        <v>0</v>
      </c>
      <c r="NAO3">
        <f>'[12]Summary Report - 12 Months Endi'!NAN2</f>
        <v>0</v>
      </c>
      <c r="NAP3">
        <f>'[12]Summary Report - 12 Months Endi'!NAO2</f>
        <v>0</v>
      </c>
      <c r="NAQ3">
        <f>'[12]Summary Report - 12 Months Endi'!NAP2</f>
        <v>0</v>
      </c>
      <c r="NAR3">
        <f>'[12]Summary Report - 12 Months Endi'!NAQ2</f>
        <v>0</v>
      </c>
      <c r="NAS3">
        <f>'[12]Summary Report - 12 Months Endi'!NAR2</f>
        <v>0</v>
      </c>
      <c r="NAT3">
        <f>'[12]Summary Report - 12 Months Endi'!NAS2</f>
        <v>0</v>
      </c>
      <c r="NAU3">
        <f>'[12]Summary Report - 12 Months Endi'!NAT2</f>
        <v>0</v>
      </c>
      <c r="NAV3">
        <f>'[12]Summary Report - 12 Months Endi'!NAU2</f>
        <v>0</v>
      </c>
      <c r="NAW3">
        <f>'[12]Summary Report - 12 Months Endi'!NAV2</f>
        <v>0</v>
      </c>
      <c r="NAX3">
        <f>'[12]Summary Report - 12 Months Endi'!NAW2</f>
        <v>0</v>
      </c>
      <c r="NAY3">
        <f>'[12]Summary Report - 12 Months Endi'!NAX2</f>
        <v>0</v>
      </c>
      <c r="NAZ3">
        <f>'[12]Summary Report - 12 Months Endi'!NAY2</f>
        <v>0</v>
      </c>
      <c r="NBA3">
        <f>'[12]Summary Report - 12 Months Endi'!NAZ2</f>
        <v>0</v>
      </c>
      <c r="NBB3">
        <f>'[12]Summary Report - 12 Months Endi'!NBA2</f>
        <v>0</v>
      </c>
      <c r="NBC3">
        <f>'[12]Summary Report - 12 Months Endi'!NBB2</f>
        <v>0</v>
      </c>
      <c r="NBD3">
        <f>'[12]Summary Report - 12 Months Endi'!NBC2</f>
        <v>0</v>
      </c>
      <c r="NBE3">
        <f>'[12]Summary Report - 12 Months Endi'!NBD2</f>
        <v>0</v>
      </c>
      <c r="NBF3">
        <f>'[12]Summary Report - 12 Months Endi'!NBE2</f>
        <v>0</v>
      </c>
      <c r="NBG3">
        <f>'[12]Summary Report - 12 Months Endi'!NBF2</f>
        <v>0</v>
      </c>
      <c r="NBH3">
        <f>'[12]Summary Report - 12 Months Endi'!NBG2</f>
        <v>0</v>
      </c>
      <c r="NBI3">
        <f>'[12]Summary Report - 12 Months Endi'!NBH2</f>
        <v>0</v>
      </c>
      <c r="NBJ3">
        <f>'[12]Summary Report - 12 Months Endi'!NBI2</f>
        <v>0</v>
      </c>
      <c r="NBK3">
        <f>'[12]Summary Report - 12 Months Endi'!NBJ2</f>
        <v>0</v>
      </c>
      <c r="NBL3">
        <f>'[12]Summary Report - 12 Months Endi'!NBK2</f>
        <v>0</v>
      </c>
      <c r="NBM3">
        <f>'[12]Summary Report - 12 Months Endi'!NBL2</f>
        <v>0</v>
      </c>
      <c r="NBN3">
        <f>'[12]Summary Report - 12 Months Endi'!NBM2</f>
        <v>0</v>
      </c>
      <c r="NBO3">
        <f>'[12]Summary Report - 12 Months Endi'!NBN2</f>
        <v>0</v>
      </c>
      <c r="NBP3">
        <f>'[12]Summary Report - 12 Months Endi'!NBO2</f>
        <v>0</v>
      </c>
      <c r="NBQ3">
        <f>'[12]Summary Report - 12 Months Endi'!NBP2</f>
        <v>0</v>
      </c>
      <c r="NBR3">
        <f>'[12]Summary Report - 12 Months Endi'!NBQ2</f>
        <v>0</v>
      </c>
      <c r="NBS3">
        <f>'[12]Summary Report - 12 Months Endi'!NBR2</f>
        <v>0</v>
      </c>
      <c r="NBT3">
        <f>'[12]Summary Report - 12 Months Endi'!NBS2</f>
        <v>0</v>
      </c>
      <c r="NBU3">
        <f>'[12]Summary Report - 12 Months Endi'!NBT2</f>
        <v>0</v>
      </c>
      <c r="NBV3">
        <f>'[12]Summary Report - 12 Months Endi'!NBU2</f>
        <v>0</v>
      </c>
      <c r="NBW3">
        <f>'[12]Summary Report - 12 Months Endi'!NBV2</f>
        <v>0</v>
      </c>
      <c r="NBX3">
        <f>'[12]Summary Report - 12 Months Endi'!NBW2</f>
        <v>0</v>
      </c>
      <c r="NBY3">
        <f>'[12]Summary Report - 12 Months Endi'!NBX2</f>
        <v>0</v>
      </c>
      <c r="NBZ3">
        <f>'[12]Summary Report - 12 Months Endi'!NBY2</f>
        <v>0</v>
      </c>
      <c r="NCA3">
        <f>'[12]Summary Report - 12 Months Endi'!NBZ2</f>
        <v>0</v>
      </c>
      <c r="NCB3">
        <f>'[12]Summary Report - 12 Months Endi'!NCA2</f>
        <v>0</v>
      </c>
      <c r="NCC3">
        <f>'[12]Summary Report - 12 Months Endi'!NCB2</f>
        <v>0</v>
      </c>
      <c r="NCD3">
        <f>'[12]Summary Report - 12 Months Endi'!NCC2</f>
        <v>0</v>
      </c>
      <c r="NCE3">
        <f>'[12]Summary Report - 12 Months Endi'!NCD2</f>
        <v>0</v>
      </c>
      <c r="NCF3">
        <f>'[12]Summary Report - 12 Months Endi'!NCE2</f>
        <v>0</v>
      </c>
      <c r="NCG3">
        <f>'[12]Summary Report - 12 Months Endi'!NCF2</f>
        <v>0</v>
      </c>
      <c r="NCH3">
        <f>'[12]Summary Report - 12 Months Endi'!NCG2</f>
        <v>0</v>
      </c>
      <c r="NCI3">
        <f>'[12]Summary Report - 12 Months Endi'!NCH2</f>
        <v>0</v>
      </c>
      <c r="NCJ3">
        <f>'[12]Summary Report - 12 Months Endi'!NCI2</f>
        <v>0</v>
      </c>
      <c r="NCK3">
        <f>'[12]Summary Report - 12 Months Endi'!NCJ2</f>
        <v>0</v>
      </c>
      <c r="NCL3">
        <f>'[12]Summary Report - 12 Months Endi'!NCK2</f>
        <v>0</v>
      </c>
      <c r="NCM3">
        <f>'[12]Summary Report - 12 Months Endi'!NCL2</f>
        <v>0</v>
      </c>
      <c r="NCN3">
        <f>'[12]Summary Report - 12 Months Endi'!NCM2</f>
        <v>0</v>
      </c>
      <c r="NCO3">
        <f>'[12]Summary Report - 12 Months Endi'!NCN2</f>
        <v>0</v>
      </c>
      <c r="NCP3">
        <f>'[12]Summary Report - 12 Months Endi'!NCO2</f>
        <v>0</v>
      </c>
      <c r="NCQ3">
        <f>'[12]Summary Report - 12 Months Endi'!NCP2</f>
        <v>0</v>
      </c>
      <c r="NCR3">
        <f>'[12]Summary Report - 12 Months Endi'!NCQ2</f>
        <v>0</v>
      </c>
      <c r="NCS3">
        <f>'[12]Summary Report - 12 Months Endi'!NCR2</f>
        <v>0</v>
      </c>
      <c r="NCT3">
        <f>'[12]Summary Report - 12 Months Endi'!NCS2</f>
        <v>0</v>
      </c>
      <c r="NCU3">
        <f>'[12]Summary Report - 12 Months Endi'!NCT2</f>
        <v>0</v>
      </c>
      <c r="NCV3">
        <f>'[12]Summary Report - 12 Months Endi'!NCU2</f>
        <v>0</v>
      </c>
      <c r="NCW3">
        <f>'[12]Summary Report - 12 Months Endi'!NCV2</f>
        <v>0</v>
      </c>
      <c r="NCX3">
        <f>'[12]Summary Report - 12 Months Endi'!NCW2</f>
        <v>0</v>
      </c>
      <c r="NCY3">
        <f>'[12]Summary Report - 12 Months Endi'!NCX2</f>
        <v>0</v>
      </c>
      <c r="NCZ3">
        <f>'[12]Summary Report - 12 Months Endi'!NCY2</f>
        <v>0</v>
      </c>
      <c r="NDA3">
        <f>'[12]Summary Report - 12 Months Endi'!NCZ2</f>
        <v>0</v>
      </c>
      <c r="NDB3">
        <f>'[12]Summary Report - 12 Months Endi'!NDA2</f>
        <v>0</v>
      </c>
      <c r="NDC3">
        <f>'[12]Summary Report - 12 Months Endi'!NDB2</f>
        <v>0</v>
      </c>
      <c r="NDD3">
        <f>'[12]Summary Report - 12 Months Endi'!NDC2</f>
        <v>0</v>
      </c>
      <c r="NDE3">
        <f>'[12]Summary Report - 12 Months Endi'!NDD2</f>
        <v>0</v>
      </c>
      <c r="NDF3">
        <f>'[12]Summary Report - 12 Months Endi'!NDE2</f>
        <v>0</v>
      </c>
      <c r="NDG3">
        <f>'[12]Summary Report - 12 Months Endi'!NDF2</f>
        <v>0</v>
      </c>
      <c r="NDH3">
        <f>'[12]Summary Report - 12 Months Endi'!NDG2</f>
        <v>0</v>
      </c>
      <c r="NDI3">
        <f>'[12]Summary Report - 12 Months Endi'!NDH2</f>
        <v>0</v>
      </c>
      <c r="NDJ3">
        <f>'[12]Summary Report - 12 Months Endi'!NDI2</f>
        <v>0</v>
      </c>
      <c r="NDK3">
        <f>'[12]Summary Report - 12 Months Endi'!NDJ2</f>
        <v>0</v>
      </c>
      <c r="NDL3">
        <f>'[12]Summary Report - 12 Months Endi'!NDK2</f>
        <v>0</v>
      </c>
      <c r="NDM3">
        <f>'[12]Summary Report - 12 Months Endi'!NDL2</f>
        <v>0</v>
      </c>
      <c r="NDN3">
        <f>'[12]Summary Report - 12 Months Endi'!NDM2</f>
        <v>0</v>
      </c>
      <c r="NDO3">
        <f>'[12]Summary Report - 12 Months Endi'!NDN2</f>
        <v>0</v>
      </c>
      <c r="NDP3">
        <f>'[12]Summary Report - 12 Months Endi'!NDO2</f>
        <v>0</v>
      </c>
      <c r="NDQ3">
        <f>'[12]Summary Report - 12 Months Endi'!NDP2</f>
        <v>0</v>
      </c>
      <c r="NDR3">
        <f>'[12]Summary Report - 12 Months Endi'!NDQ2</f>
        <v>0</v>
      </c>
      <c r="NDS3">
        <f>'[12]Summary Report - 12 Months Endi'!NDR2</f>
        <v>0</v>
      </c>
      <c r="NDT3">
        <f>'[12]Summary Report - 12 Months Endi'!NDS2</f>
        <v>0</v>
      </c>
      <c r="NDU3">
        <f>'[12]Summary Report - 12 Months Endi'!NDT2</f>
        <v>0</v>
      </c>
      <c r="NDV3">
        <f>'[12]Summary Report - 12 Months Endi'!NDU2</f>
        <v>0</v>
      </c>
      <c r="NDW3">
        <f>'[12]Summary Report - 12 Months Endi'!NDV2</f>
        <v>0</v>
      </c>
      <c r="NDX3">
        <f>'[12]Summary Report - 12 Months Endi'!NDW2</f>
        <v>0</v>
      </c>
      <c r="NDY3">
        <f>'[12]Summary Report - 12 Months Endi'!NDX2</f>
        <v>0</v>
      </c>
      <c r="NDZ3">
        <f>'[12]Summary Report - 12 Months Endi'!NDY2</f>
        <v>0</v>
      </c>
      <c r="NEA3">
        <f>'[12]Summary Report - 12 Months Endi'!NDZ2</f>
        <v>0</v>
      </c>
      <c r="NEB3">
        <f>'[12]Summary Report - 12 Months Endi'!NEA2</f>
        <v>0</v>
      </c>
      <c r="NEC3">
        <f>'[12]Summary Report - 12 Months Endi'!NEB2</f>
        <v>0</v>
      </c>
      <c r="NED3">
        <f>'[12]Summary Report - 12 Months Endi'!NEC2</f>
        <v>0</v>
      </c>
      <c r="NEE3">
        <f>'[12]Summary Report - 12 Months Endi'!NED2</f>
        <v>0</v>
      </c>
      <c r="NEF3">
        <f>'[12]Summary Report - 12 Months Endi'!NEE2</f>
        <v>0</v>
      </c>
      <c r="NEG3">
        <f>'[12]Summary Report - 12 Months Endi'!NEF2</f>
        <v>0</v>
      </c>
      <c r="NEH3">
        <f>'[12]Summary Report - 12 Months Endi'!NEG2</f>
        <v>0</v>
      </c>
      <c r="NEI3">
        <f>'[12]Summary Report - 12 Months Endi'!NEH2</f>
        <v>0</v>
      </c>
      <c r="NEJ3">
        <f>'[12]Summary Report - 12 Months Endi'!NEI2</f>
        <v>0</v>
      </c>
      <c r="NEK3">
        <f>'[12]Summary Report - 12 Months Endi'!NEJ2</f>
        <v>0</v>
      </c>
      <c r="NEL3">
        <f>'[12]Summary Report - 12 Months Endi'!NEK2</f>
        <v>0</v>
      </c>
      <c r="NEM3">
        <f>'[12]Summary Report - 12 Months Endi'!NEL2</f>
        <v>0</v>
      </c>
      <c r="NEN3">
        <f>'[12]Summary Report - 12 Months Endi'!NEM2</f>
        <v>0</v>
      </c>
      <c r="NEO3">
        <f>'[12]Summary Report - 12 Months Endi'!NEN2</f>
        <v>0</v>
      </c>
      <c r="NEP3">
        <f>'[12]Summary Report - 12 Months Endi'!NEO2</f>
        <v>0</v>
      </c>
      <c r="NEQ3">
        <f>'[12]Summary Report - 12 Months Endi'!NEP2</f>
        <v>0</v>
      </c>
      <c r="NER3">
        <f>'[12]Summary Report - 12 Months Endi'!NEQ2</f>
        <v>0</v>
      </c>
      <c r="NES3">
        <f>'[12]Summary Report - 12 Months Endi'!NER2</f>
        <v>0</v>
      </c>
      <c r="NET3">
        <f>'[12]Summary Report - 12 Months Endi'!NES2</f>
        <v>0</v>
      </c>
      <c r="NEU3">
        <f>'[12]Summary Report - 12 Months Endi'!NET2</f>
        <v>0</v>
      </c>
      <c r="NEV3">
        <f>'[12]Summary Report - 12 Months Endi'!NEU2</f>
        <v>0</v>
      </c>
      <c r="NEW3">
        <f>'[12]Summary Report - 12 Months Endi'!NEV2</f>
        <v>0</v>
      </c>
      <c r="NEX3">
        <f>'[12]Summary Report - 12 Months Endi'!NEW2</f>
        <v>0</v>
      </c>
      <c r="NEY3">
        <f>'[12]Summary Report - 12 Months Endi'!NEX2</f>
        <v>0</v>
      </c>
      <c r="NEZ3">
        <f>'[12]Summary Report - 12 Months Endi'!NEY2</f>
        <v>0</v>
      </c>
      <c r="NFA3">
        <f>'[12]Summary Report - 12 Months Endi'!NEZ2</f>
        <v>0</v>
      </c>
      <c r="NFB3">
        <f>'[12]Summary Report - 12 Months Endi'!NFA2</f>
        <v>0</v>
      </c>
      <c r="NFC3">
        <f>'[12]Summary Report - 12 Months Endi'!NFB2</f>
        <v>0</v>
      </c>
      <c r="NFD3">
        <f>'[12]Summary Report - 12 Months Endi'!NFC2</f>
        <v>0</v>
      </c>
      <c r="NFE3">
        <f>'[12]Summary Report - 12 Months Endi'!NFD2</f>
        <v>0</v>
      </c>
      <c r="NFF3">
        <f>'[12]Summary Report - 12 Months Endi'!NFE2</f>
        <v>0</v>
      </c>
      <c r="NFG3">
        <f>'[12]Summary Report - 12 Months Endi'!NFF2</f>
        <v>0</v>
      </c>
      <c r="NFH3">
        <f>'[12]Summary Report - 12 Months Endi'!NFG2</f>
        <v>0</v>
      </c>
      <c r="NFI3">
        <f>'[12]Summary Report - 12 Months Endi'!NFH2</f>
        <v>0</v>
      </c>
      <c r="NFJ3">
        <f>'[12]Summary Report - 12 Months Endi'!NFI2</f>
        <v>0</v>
      </c>
      <c r="NFK3">
        <f>'[12]Summary Report - 12 Months Endi'!NFJ2</f>
        <v>0</v>
      </c>
      <c r="NFL3">
        <f>'[12]Summary Report - 12 Months Endi'!NFK2</f>
        <v>0</v>
      </c>
      <c r="NFM3">
        <f>'[12]Summary Report - 12 Months Endi'!NFL2</f>
        <v>0</v>
      </c>
      <c r="NFN3">
        <f>'[12]Summary Report - 12 Months Endi'!NFM2</f>
        <v>0</v>
      </c>
      <c r="NFO3">
        <f>'[12]Summary Report - 12 Months Endi'!NFN2</f>
        <v>0</v>
      </c>
      <c r="NFP3">
        <f>'[12]Summary Report - 12 Months Endi'!NFO2</f>
        <v>0</v>
      </c>
      <c r="NFQ3">
        <f>'[12]Summary Report - 12 Months Endi'!NFP2</f>
        <v>0</v>
      </c>
      <c r="NFR3">
        <f>'[12]Summary Report - 12 Months Endi'!NFQ2</f>
        <v>0</v>
      </c>
      <c r="NFS3">
        <f>'[12]Summary Report - 12 Months Endi'!NFR2</f>
        <v>0</v>
      </c>
      <c r="NFT3">
        <f>'[12]Summary Report - 12 Months Endi'!NFS2</f>
        <v>0</v>
      </c>
      <c r="NFU3">
        <f>'[12]Summary Report - 12 Months Endi'!NFT2</f>
        <v>0</v>
      </c>
      <c r="NFV3">
        <f>'[12]Summary Report - 12 Months Endi'!NFU2</f>
        <v>0</v>
      </c>
      <c r="NFW3">
        <f>'[12]Summary Report - 12 Months Endi'!NFV2</f>
        <v>0</v>
      </c>
      <c r="NFX3">
        <f>'[12]Summary Report - 12 Months Endi'!NFW2</f>
        <v>0</v>
      </c>
      <c r="NFY3">
        <f>'[12]Summary Report - 12 Months Endi'!NFX2</f>
        <v>0</v>
      </c>
      <c r="NFZ3">
        <f>'[12]Summary Report - 12 Months Endi'!NFY2</f>
        <v>0</v>
      </c>
      <c r="NGA3">
        <f>'[12]Summary Report - 12 Months Endi'!NFZ2</f>
        <v>0</v>
      </c>
      <c r="NGB3">
        <f>'[12]Summary Report - 12 Months Endi'!NGA2</f>
        <v>0</v>
      </c>
      <c r="NGC3">
        <f>'[12]Summary Report - 12 Months Endi'!NGB2</f>
        <v>0</v>
      </c>
      <c r="NGD3">
        <f>'[12]Summary Report - 12 Months Endi'!NGC2</f>
        <v>0</v>
      </c>
      <c r="NGE3">
        <f>'[12]Summary Report - 12 Months Endi'!NGD2</f>
        <v>0</v>
      </c>
      <c r="NGF3">
        <f>'[12]Summary Report - 12 Months Endi'!NGE2</f>
        <v>0</v>
      </c>
      <c r="NGG3">
        <f>'[12]Summary Report - 12 Months Endi'!NGF2</f>
        <v>0</v>
      </c>
      <c r="NGH3">
        <f>'[12]Summary Report - 12 Months Endi'!NGG2</f>
        <v>0</v>
      </c>
      <c r="NGI3">
        <f>'[12]Summary Report - 12 Months Endi'!NGH2</f>
        <v>0</v>
      </c>
      <c r="NGJ3">
        <f>'[12]Summary Report - 12 Months Endi'!NGI2</f>
        <v>0</v>
      </c>
      <c r="NGK3">
        <f>'[12]Summary Report - 12 Months Endi'!NGJ2</f>
        <v>0</v>
      </c>
      <c r="NGL3">
        <f>'[12]Summary Report - 12 Months Endi'!NGK2</f>
        <v>0</v>
      </c>
      <c r="NGM3">
        <f>'[12]Summary Report - 12 Months Endi'!NGL2</f>
        <v>0</v>
      </c>
      <c r="NGN3">
        <f>'[12]Summary Report - 12 Months Endi'!NGM2</f>
        <v>0</v>
      </c>
      <c r="NGO3">
        <f>'[12]Summary Report - 12 Months Endi'!NGN2</f>
        <v>0</v>
      </c>
      <c r="NGP3">
        <f>'[12]Summary Report - 12 Months Endi'!NGO2</f>
        <v>0</v>
      </c>
      <c r="NGQ3">
        <f>'[12]Summary Report - 12 Months Endi'!NGP2</f>
        <v>0</v>
      </c>
      <c r="NGR3">
        <f>'[12]Summary Report - 12 Months Endi'!NGQ2</f>
        <v>0</v>
      </c>
      <c r="NGS3">
        <f>'[12]Summary Report - 12 Months Endi'!NGR2</f>
        <v>0</v>
      </c>
      <c r="NGT3">
        <f>'[12]Summary Report - 12 Months Endi'!NGS2</f>
        <v>0</v>
      </c>
      <c r="NGU3">
        <f>'[12]Summary Report - 12 Months Endi'!NGT2</f>
        <v>0</v>
      </c>
      <c r="NGV3">
        <f>'[12]Summary Report - 12 Months Endi'!NGU2</f>
        <v>0</v>
      </c>
      <c r="NGW3">
        <f>'[12]Summary Report - 12 Months Endi'!NGV2</f>
        <v>0</v>
      </c>
      <c r="NGX3">
        <f>'[12]Summary Report - 12 Months Endi'!NGW2</f>
        <v>0</v>
      </c>
      <c r="NGY3">
        <f>'[12]Summary Report - 12 Months Endi'!NGX2</f>
        <v>0</v>
      </c>
      <c r="NGZ3">
        <f>'[12]Summary Report - 12 Months Endi'!NGY2</f>
        <v>0</v>
      </c>
      <c r="NHA3">
        <f>'[12]Summary Report - 12 Months Endi'!NGZ2</f>
        <v>0</v>
      </c>
      <c r="NHB3">
        <f>'[12]Summary Report - 12 Months Endi'!NHA2</f>
        <v>0</v>
      </c>
      <c r="NHC3">
        <f>'[12]Summary Report - 12 Months Endi'!NHB2</f>
        <v>0</v>
      </c>
      <c r="NHD3">
        <f>'[12]Summary Report - 12 Months Endi'!NHC2</f>
        <v>0</v>
      </c>
      <c r="NHE3">
        <f>'[12]Summary Report - 12 Months Endi'!NHD2</f>
        <v>0</v>
      </c>
      <c r="NHF3">
        <f>'[12]Summary Report - 12 Months Endi'!NHE2</f>
        <v>0</v>
      </c>
      <c r="NHG3">
        <f>'[12]Summary Report - 12 Months Endi'!NHF2</f>
        <v>0</v>
      </c>
      <c r="NHH3">
        <f>'[12]Summary Report - 12 Months Endi'!NHG2</f>
        <v>0</v>
      </c>
      <c r="NHI3">
        <f>'[12]Summary Report - 12 Months Endi'!NHH2</f>
        <v>0</v>
      </c>
      <c r="NHJ3">
        <f>'[12]Summary Report - 12 Months Endi'!NHI2</f>
        <v>0</v>
      </c>
      <c r="NHK3">
        <f>'[12]Summary Report - 12 Months Endi'!NHJ2</f>
        <v>0</v>
      </c>
      <c r="NHL3">
        <f>'[12]Summary Report - 12 Months Endi'!NHK2</f>
        <v>0</v>
      </c>
      <c r="NHM3">
        <f>'[12]Summary Report - 12 Months Endi'!NHL2</f>
        <v>0</v>
      </c>
      <c r="NHN3">
        <f>'[12]Summary Report - 12 Months Endi'!NHM2</f>
        <v>0</v>
      </c>
      <c r="NHO3">
        <f>'[12]Summary Report - 12 Months Endi'!NHN2</f>
        <v>0</v>
      </c>
      <c r="NHP3">
        <f>'[12]Summary Report - 12 Months Endi'!NHO2</f>
        <v>0</v>
      </c>
      <c r="NHQ3">
        <f>'[12]Summary Report - 12 Months Endi'!NHP2</f>
        <v>0</v>
      </c>
      <c r="NHR3">
        <f>'[12]Summary Report - 12 Months Endi'!NHQ2</f>
        <v>0</v>
      </c>
      <c r="NHS3">
        <f>'[12]Summary Report - 12 Months Endi'!NHR2</f>
        <v>0</v>
      </c>
      <c r="NHT3">
        <f>'[12]Summary Report - 12 Months Endi'!NHS2</f>
        <v>0</v>
      </c>
      <c r="NHU3">
        <f>'[12]Summary Report - 12 Months Endi'!NHT2</f>
        <v>0</v>
      </c>
      <c r="NHV3">
        <f>'[12]Summary Report - 12 Months Endi'!NHU2</f>
        <v>0</v>
      </c>
      <c r="NHW3">
        <f>'[12]Summary Report - 12 Months Endi'!NHV2</f>
        <v>0</v>
      </c>
      <c r="NHX3">
        <f>'[12]Summary Report - 12 Months Endi'!NHW2</f>
        <v>0</v>
      </c>
      <c r="NHY3">
        <f>'[12]Summary Report - 12 Months Endi'!NHX2</f>
        <v>0</v>
      </c>
      <c r="NHZ3">
        <f>'[12]Summary Report - 12 Months Endi'!NHY2</f>
        <v>0</v>
      </c>
      <c r="NIA3">
        <f>'[12]Summary Report - 12 Months Endi'!NHZ2</f>
        <v>0</v>
      </c>
      <c r="NIB3">
        <f>'[12]Summary Report - 12 Months Endi'!NIA2</f>
        <v>0</v>
      </c>
      <c r="NIC3">
        <f>'[12]Summary Report - 12 Months Endi'!NIB2</f>
        <v>0</v>
      </c>
      <c r="NID3">
        <f>'[12]Summary Report - 12 Months Endi'!NIC2</f>
        <v>0</v>
      </c>
      <c r="NIE3">
        <f>'[12]Summary Report - 12 Months Endi'!NID2</f>
        <v>0</v>
      </c>
      <c r="NIF3">
        <f>'[12]Summary Report - 12 Months Endi'!NIE2</f>
        <v>0</v>
      </c>
      <c r="NIG3">
        <f>'[12]Summary Report - 12 Months Endi'!NIF2</f>
        <v>0</v>
      </c>
      <c r="NIH3">
        <f>'[12]Summary Report - 12 Months Endi'!NIG2</f>
        <v>0</v>
      </c>
      <c r="NII3">
        <f>'[12]Summary Report - 12 Months Endi'!NIH2</f>
        <v>0</v>
      </c>
      <c r="NIJ3">
        <f>'[12]Summary Report - 12 Months Endi'!NII2</f>
        <v>0</v>
      </c>
      <c r="NIK3">
        <f>'[12]Summary Report - 12 Months Endi'!NIJ2</f>
        <v>0</v>
      </c>
      <c r="NIL3">
        <f>'[12]Summary Report - 12 Months Endi'!NIK2</f>
        <v>0</v>
      </c>
      <c r="NIM3">
        <f>'[12]Summary Report - 12 Months Endi'!NIL2</f>
        <v>0</v>
      </c>
      <c r="NIN3">
        <f>'[12]Summary Report - 12 Months Endi'!NIM2</f>
        <v>0</v>
      </c>
      <c r="NIO3">
        <f>'[12]Summary Report - 12 Months Endi'!NIN2</f>
        <v>0</v>
      </c>
      <c r="NIP3">
        <f>'[12]Summary Report - 12 Months Endi'!NIO2</f>
        <v>0</v>
      </c>
      <c r="NIQ3">
        <f>'[12]Summary Report - 12 Months Endi'!NIP2</f>
        <v>0</v>
      </c>
      <c r="NIR3">
        <f>'[12]Summary Report - 12 Months Endi'!NIQ2</f>
        <v>0</v>
      </c>
      <c r="NIS3">
        <f>'[12]Summary Report - 12 Months Endi'!NIR2</f>
        <v>0</v>
      </c>
      <c r="NIT3">
        <f>'[12]Summary Report - 12 Months Endi'!NIS2</f>
        <v>0</v>
      </c>
      <c r="NIU3">
        <f>'[12]Summary Report - 12 Months Endi'!NIT2</f>
        <v>0</v>
      </c>
      <c r="NIV3">
        <f>'[12]Summary Report - 12 Months Endi'!NIU2</f>
        <v>0</v>
      </c>
      <c r="NIW3">
        <f>'[12]Summary Report - 12 Months Endi'!NIV2</f>
        <v>0</v>
      </c>
      <c r="NIX3">
        <f>'[12]Summary Report - 12 Months Endi'!NIW2</f>
        <v>0</v>
      </c>
      <c r="NIY3">
        <f>'[12]Summary Report - 12 Months Endi'!NIX2</f>
        <v>0</v>
      </c>
      <c r="NIZ3">
        <f>'[12]Summary Report - 12 Months Endi'!NIY2</f>
        <v>0</v>
      </c>
      <c r="NJA3">
        <f>'[12]Summary Report - 12 Months Endi'!NIZ2</f>
        <v>0</v>
      </c>
      <c r="NJB3">
        <f>'[12]Summary Report - 12 Months Endi'!NJA2</f>
        <v>0</v>
      </c>
      <c r="NJC3">
        <f>'[12]Summary Report - 12 Months Endi'!NJB2</f>
        <v>0</v>
      </c>
      <c r="NJD3">
        <f>'[12]Summary Report - 12 Months Endi'!NJC2</f>
        <v>0</v>
      </c>
      <c r="NJE3">
        <f>'[12]Summary Report - 12 Months Endi'!NJD2</f>
        <v>0</v>
      </c>
      <c r="NJF3">
        <f>'[12]Summary Report - 12 Months Endi'!NJE2</f>
        <v>0</v>
      </c>
      <c r="NJG3">
        <f>'[12]Summary Report - 12 Months Endi'!NJF2</f>
        <v>0</v>
      </c>
      <c r="NJH3">
        <f>'[12]Summary Report - 12 Months Endi'!NJG2</f>
        <v>0</v>
      </c>
      <c r="NJI3">
        <f>'[12]Summary Report - 12 Months Endi'!NJH2</f>
        <v>0</v>
      </c>
      <c r="NJJ3">
        <f>'[12]Summary Report - 12 Months Endi'!NJI2</f>
        <v>0</v>
      </c>
      <c r="NJK3">
        <f>'[12]Summary Report - 12 Months Endi'!NJJ2</f>
        <v>0</v>
      </c>
      <c r="NJL3">
        <f>'[12]Summary Report - 12 Months Endi'!NJK2</f>
        <v>0</v>
      </c>
      <c r="NJM3">
        <f>'[12]Summary Report - 12 Months Endi'!NJL2</f>
        <v>0</v>
      </c>
      <c r="NJN3">
        <f>'[12]Summary Report - 12 Months Endi'!NJM2</f>
        <v>0</v>
      </c>
      <c r="NJO3">
        <f>'[12]Summary Report - 12 Months Endi'!NJN2</f>
        <v>0</v>
      </c>
      <c r="NJP3">
        <f>'[12]Summary Report - 12 Months Endi'!NJO2</f>
        <v>0</v>
      </c>
      <c r="NJQ3">
        <f>'[12]Summary Report - 12 Months Endi'!NJP2</f>
        <v>0</v>
      </c>
      <c r="NJR3">
        <f>'[12]Summary Report - 12 Months Endi'!NJQ2</f>
        <v>0</v>
      </c>
      <c r="NJS3">
        <f>'[12]Summary Report - 12 Months Endi'!NJR2</f>
        <v>0</v>
      </c>
      <c r="NJT3">
        <f>'[12]Summary Report - 12 Months Endi'!NJS2</f>
        <v>0</v>
      </c>
      <c r="NJU3">
        <f>'[12]Summary Report - 12 Months Endi'!NJT2</f>
        <v>0</v>
      </c>
      <c r="NJV3">
        <f>'[12]Summary Report - 12 Months Endi'!NJU2</f>
        <v>0</v>
      </c>
      <c r="NJW3">
        <f>'[12]Summary Report - 12 Months Endi'!NJV2</f>
        <v>0</v>
      </c>
      <c r="NJX3">
        <f>'[12]Summary Report - 12 Months Endi'!NJW2</f>
        <v>0</v>
      </c>
      <c r="NJY3">
        <f>'[12]Summary Report - 12 Months Endi'!NJX2</f>
        <v>0</v>
      </c>
      <c r="NJZ3">
        <f>'[12]Summary Report - 12 Months Endi'!NJY2</f>
        <v>0</v>
      </c>
      <c r="NKA3">
        <f>'[12]Summary Report - 12 Months Endi'!NJZ2</f>
        <v>0</v>
      </c>
      <c r="NKB3">
        <f>'[12]Summary Report - 12 Months Endi'!NKA2</f>
        <v>0</v>
      </c>
      <c r="NKC3">
        <f>'[12]Summary Report - 12 Months Endi'!NKB2</f>
        <v>0</v>
      </c>
      <c r="NKD3">
        <f>'[12]Summary Report - 12 Months Endi'!NKC2</f>
        <v>0</v>
      </c>
      <c r="NKE3">
        <f>'[12]Summary Report - 12 Months Endi'!NKD2</f>
        <v>0</v>
      </c>
      <c r="NKF3">
        <f>'[12]Summary Report - 12 Months Endi'!NKE2</f>
        <v>0</v>
      </c>
      <c r="NKG3">
        <f>'[12]Summary Report - 12 Months Endi'!NKF2</f>
        <v>0</v>
      </c>
      <c r="NKH3">
        <f>'[12]Summary Report - 12 Months Endi'!NKG2</f>
        <v>0</v>
      </c>
      <c r="NKI3">
        <f>'[12]Summary Report - 12 Months Endi'!NKH2</f>
        <v>0</v>
      </c>
      <c r="NKJ3">
        <f>'[12]Summary Report - 12 Months Endi'!NKI2</f>
        <v>0</v>
      </c>
      <c r="NKK3">
        <f>'[12]Summary Report - 12 Months Endi'!NKJ2</f>
        <v>0</v>
      </c>
      <c r="NKL3">
        <f>'[12]Summary Report - 12 Months Endi'!NKK2</f>
        <v>0</v>
      </c>
      <c r="NKM3">
        <f>'[12]Summary Report - 12 Months Endi'!NKL2</f>
        <v>0</v>
      </c>
      <c r="NKN3">
        <f>'[12]Summary Report - 12 Months Endi'!NKM2</f>
        <v>0</v>
      </c>
      <c r="NKO3">
        <f>'[12]Summary Report - 12 Months Endi'!NKN2</f>
        <v>0</v>
      </c>
      <c r="NKP3">
        <f>'[12]Summary Report - 12 Months Endi'!NKO2</f>
        <v>0</v>
      </c>
      <c r="NKQ3">
        <f>'[12]Summary Report - 12 Months Endi'!NKP2</f>
        <v>0</v>
      </c>
      <c r="NKR3">
        <f>'[12]Summary Report - 12 Months Endi'!NKQ2</f>
        <v>0</v>
      </c>
      <c r="NKS3">
        <f>'[12]Summary Report - 12 Months Endi'!NKR2</f>
        <v>0</v>
      </c>
      <c r="NKT3">
        <f>'[12]Summary Report - 12 Months Endi'!NKS2</f>
        <v>0</v>
      </c>
      <c r="NKU3">
        <f>'[12]Summary Report - 12 Months Endi'!NKT2</f>
        <v>0</v>
      </c>
      <c r="NKV3">
        <f>'[12]Summary Report - 12 Months Endi'!NKU2</f>
        <v>0</v>
      </c>
      <c r="NKW3">
        <f>'[12]Summary Report - 12 Months Endi'!NKV2</f>
        <v>0</v>
      </c>
      <c r="NKX3">
        <f>'[12]Summary Report - 12 Months Endi'!NKW2</f>
        <v>0</v>
      </c>
      <c r="NKY3">
        <f>'[12]Summary Report - 12 Months Endi'!NKX2</f>
        <v>0</v>
      </c>
      <c r="NKZ3">
        <f>'[12]Summary Report - 12 Months Endi'!NKY2</f>
        <v>0</v>
      </c>
      <c r="NLA3">
        <f>'[12]Summary Report - 12 Months Endi'!NKZ2</f>
        <v>0</v>
      </c>
      <c r="NLB3">
        <f>'[12]Summary Report - 12 Months Endi'!NLA2</f>
        <v>0</v>
      </c>
      <c r="NLC3">
        <f>'[12]Summary Report - 12 Months Endi'!NLB2</f>
        <v>0</v>
      </c>
      <c r="NLD3">
        <f>'[12]Summary Report - 12 Months Endi'!NLC2</f>
        <v>0</v>
      </c>
      <c r="NLE3">
        <f>'[12]Summary Report - 12 Months Endi'!NLD2</f>
        <v>0</v>
      </c>
      <c r="NLF3">
        <f>'[12]Summary Report - 12 Months Endi'!NLE2</f>
        <v>0</v>
      </c>
      <c r="NLG3">
        <f>'[12]Summary Report - 12 Months Endi'!NLF2</f>
        <v>0</v>
      </c>
      <c r="NLH3">
        <f>'[12]Summary Report - 12 Months Endi'!NLG2</f>
        <v>0</v>
      </c>
      <c r="NLI3">
        <f>'[12]Summary Report - 12 Months Endi'!NLH2</f>
        <v>0</v>
      </c>
      <c r="NLJ3">
        <f>'[12]Summary Report - 12 Months Endi'!NLI2</f>
        <v>0</v>
      </c>
      <c r="NLK3">
        <f>'[12]Summary Report - 12 Months Endi'!NLJ2</f>
        <v>0</v>
      </c>
      <c r="NLL3">
        <f>'[12]Summary Report - 12 Months Endi'!NLK2</f>
        <v>0</v>
      </c>
      <c r="NLM3">
        <f>'[12]Summary Report - 12 Months Endi'!NLL2</f>
        <v>0</v>
      </c>
      <c r="NLN3">
        <f>'[12]Summary Report - 12 Months Endi'!NLM2</f>
        <v>0</v>
      </c>
      <c r="NLO3">
        <f>'[12]Summary Report - 12 Months Endi'!NLN2</f>
        <v>0</v>
      </c>
      <c r="NLP3">
        <f>'[12]Summary Report - 12 Months Endi'!NLO2</f>
        <v>0</v>
      </c>
      <c r="NLQ3">
        <f>'[12]Summary Report - 12 Months Endi'!NLP2</f>
        <v>0</v>
      </c>
      <c r="NLR3">
        <f>'[12]Summary Report - 12 Months Endi'!NLQ2</f>
        <v>0</v>
      </c>
      <c r="NLS3">
        <f>'[12]Summary Report - 12 Months Endi'!NLR2</f>
        <v>0</v>
      </c>
      <c r="NLT3">
        <f>'[12]Summary Report - 12 Months Endi'!NLS2</f>
        <v>0</v>
      </c>
      <c r="NLU3">
        <f>'[12]Summary Report - 12 Months Endi'!NLT2</f>
        <v>0</v>
      </c>
      <c r="NLV3">
        <f>'[12]Summary Report - 12 Months Endi'!NLU2</f>
        <v>0</v>
      </c>
      <c r="NLW3">
        <f>'[12]Summary Report - 12 Months Endi'!NLV2</f>
        <v>0</v>
      </c>
      <c r="NLX3">
        <f>'[12]Summary Report - 12 Months Endi'!NLW2</f>
        <v>0</v>
      </c>
      <c r="NLY3">
        <f>'[12]Summary Report - 12 Months Endi'!NLX2</f>
        <v>0</v>
      </c>
      <c r="NLZ3">
        <f>'[12]Summary Report - 12 Months Endi'!NLY2</f>
        <v>0</v>
      </c>
      <c r="NMA3">
        <f>'[12]Summary Report - 12 Months Endi'!NLZ2</f>
        <v>0</v>
      </c>
      <c r="NMB3">
        <f>'[12]Summary Report - 12 Months Endi'!NMA2</f>
        <v>0</v>
      </c>
      <c r="NMC3">
        <f>'[12]Summary Report - 12 Months Endi'!NMB2</f>
        <v>0</v>
      </c>
      <c r="NMD3">
        <f>'[12]Summary Report - 12 Months Endi'!NMC2</f>
        <v>0</v>
      </c>
      <c r="NME3">
        <f>'[12]Summary Report - 12 Months Endi'!NMD2</f>
        <v>0</v>
      </c>
      <c r="NMF3">
        <f>'[12]Summary Report - 12 Months Endi'!NME2</f>
        <v>0</v>
      </c>
      <c r="NMG3">
        <f>'[12]Summary Report - 12 Months Endi'!NMF2</f>
        <v>0</v>
      </c>
      <c r="NMH3">
        <f>'[12]Summary Report - 12 Months Endi'!NMG2</f>
        <v>0</v>
      </c>
      <c r="NMI3">
        <f>'[12]Summary Report - 12 Months Endi'!NMH2</f>
        <v>0</v>
      </c>
      <c r="NMJ3">
        <f>'[12]Summary Report - 12 Months Endi'!NMI2</f>
        <v>0</v>
      </c>
      <c r="NMK3">
        <f>'[12]Summary Report - 12 Months Endi'!NMJ2</f>
        <v>0</v>
      </c>
      <c r="NML3">
        <f>'[12]Summary Report - 12 Months Endi'!NMK2</f>
        <v>0</v>
      </c>
      <c r="NMM3">
        <f>'[12]Summary Report - 12 Months Endi'!NML2</f>
        <v>0</v>
      </c>
      <c r="NMN3">
        <f>'[12]Summary Report - 12 Months Endi'!NMM2</f>
        <v>0</v>
      </c>
      <c r="NMO3">
        <f>'[12]Summary Report - 12 Months Endi'!NMN2</f>
        <v>0</v>
      </c>
      <c r="NMP3">
        <f>'[12]Summary Report - 12 Months Endi'!NMO2</f>
        <v>0</v>
      </c>
      <c r="NMQ3">
        <f>'[12]Summary Report - 12 Months Endi'!NMP2</f>
        <v>0</v>
      </c>
      <c r="NMR3">
        <f>'[12]Summary Report - 12 Months Endi'!NMQ2</f>
        <v>0</v>
      </c>
      <c r="NMS3">
        <f>'[12]Summary Report - 12 Months Endi'!NMR2</f>
        <v>0</v>
      </c>
      <c r="NMT3">
        <f>'[12]Summary Report - 12 Months Endi'!NMS2</f>
        <v>0</v>
      </c>
      <c r="NMU3">
        <f>'[12]Summary Report - 12 Months Endi'!NMT2</f>
        <v>0</v>
      </c>
      <c r="NMV3">
        <f>'[12]Summary Report - 12 Months Endi'!NMU2</f>
        <v>0</v>
      </c>
      <c r="NMW3">
        <f>'[12]Summary Report - 12 Months Endi'!NMV2</f>
        <v>0</v>
      </c>
      <c r="NMX3">
        <f>'[12]Summary Report - 12 Months Endi'!NMW2</f>
        <v>0</v>
      </c>
      <c r="NMY3">
        <f>'[12]Summary Report - 12 Months Endi'!NMX2</f>
        <v>0</v>
      </c>
      <c r="NMZ3">
        <f>'[12]Summary Report - 12 Months Endi'!NMY2</f>
        <v>0</v>
      </c>
      <c r="NNA3">
        <f>'[12]Summary Report - 12 Months Endi'!NMZ2</f>
        <v>0</v>
      </c>
      <c r="NNB3">
        <f>'[12]Summary Report - 12 Months Endi'!NNA2</f>
        <v>0</v>
      </c>
      <c r="NNC3">
        <f>'[12]Summary Report - 12 Months Endi'!NNB2</f>
        <v>0</v>
      </c>
      <c r="NND3">
        <f>'[12]Summary Report - 12 Months Endi'!NNC2</f>
        <v>0</v>
      </c>
      <c r="NNE3">
        <f>'[12]Summary Report - 12 Months Endi'!NND2</f>
        <v>0</v>
      </c>
      <c r="NNF3">
        <f>'[12]Summary Report - 12 Months Endi'!NNE2</f>
        <v>0</v>
      </c>
      <c r="NNG3">
        <f>'[12]Summary Report - 12 Months Endi'!NNF2</f>
        <v>0</v>
      </c>
      <c r="NNH3">
        <f>'[12]Summary Report - 12 Months Endi'!NNG2</f>
        <v>0</v>
      </c>
      <c r="NNI3">
        <f>'[12]Summary Report - 12 Months Endi'!NNH2</f>
        <v>0</v>
      </c>
      <c r="NNJ3">
        <f>'[12]Summary Report - 12 Months Endi'!NNI2</f>
        <v>0</v>
      </c>
      <c r="NNK3">
        <f>'[12]Summary Report - 12 Months Endi'!NNJ2</f>
        <v>0</v>
      </c>
      <c r="NNL3">
        <f>'[12]Summary Report - 12 Months Endi'!NNK2</f>
        <v>0</v>
      </c>
      <c r="NNM3">
        <f>'[12]Summary Report - 12 Months Endi'!NNL2</f>
        <v>0</v>
      </c>
      <c r="NNN3">
        <f>'[12]Summary Report - 12 Months Endi'!NNM2</f>
        <v>0</v>
      </c>
      <c r="NNO3">
        <f>'[12]Summary Report - 12 Months Endi'!NNN2</f>
        <v>0</v>
      </c>
      <c r="NNP3">
        <f>'[12]Summary Report - 12 Months Endi'!NNO2</f>
        <v>0</v>
      </c>
      <c r="NNQ3">
        <f>'[12]Summary Report - 12 Months Endi'!NNP2</f>
        <v>0</v>
      </c>
      <c r="NNR3">
        <f>'[12]Summary Report - 12 Months Endi'!NNQ2</f>
        <v>0</v>
      </c>
      <c r="NNS3">
        <f>'[12]Summary Report - 12 Months Endi'!NNR2</f>
        <v>0</v>
      </c>
      <c r="NNT3">
        <f>'[12]Summary Report - 12 Months Endi'!NNS2</f>
        <v>0</v>
      </c>
      <c r="NNU3">
        <f>'[12]Summary Report - 12 Months Endi'!NNT2</f>
        <v>0</v>
      </c>
      <c r="NNV3">
        <f>'[12]Summary Report - 12 Months Endi'!NNU2</f>
        <v>0</v>
      </c>
      <c r="NNW3">
        <f>'[12]Summary Report - 12 Months Endi'!NNV2</f>
        <v>0</v>
      </c>
      <c r="NNX3">
        <f>'[12]Summary Report - 12 Months Endi'!NNW2</f>
        <v>0</v>
      </c>
      <c r="NNY3">
        <f>'[12]Summary Report - 12 Months Endi'!NNX2</f>
        <v>0</v>
      </c>
      <c r="NNZ3">
        <f>'[12]Summary Report - 12 Months Endi'!NNY2</f>
        <v>0</v>
      </c>
      <c r="NOA3">
        <f>'[12]Summary Report - 12 Months Endi'!NNZ2</f>
        <v>0</v>
      </c>
      <c r="NOB3">
        <f>'[12]Summary Report - 12 Months Endi'!NOA2</f>
        <v>0</v>
      </c>
      <c r="NOC3">
        <f>'[12]Summary Report - 12 Months Endi'!NOB2</f>
        <v>0</v>
      </c>
      <c r="NOD3">
        <f>'[12]Summary Report - 12 Months Endi'!NOC2</f>
        <v>0</v>
      </c>
      <c r="NOE3">
        <f>'[12]Summary Report - 12 Months Endi'!NOD2</f>
        <v>0</v>
      </c>
      <c r="NOF3">
        <f>'[12]Summary Report - 12 Months Endi'!NOE2</f>
        <v>0</v>
      </c>
      <c r="NOG3">
        <f>'[12]Summary Report - 12 Months Endi'!NOF2</f>
        <v>0</v>
      </c>
      <c r="NOH3">
        <f>'[12]Summary Report - 12 Months Endi'!NOG2</f>
        <v>0</v>
      </c>
      <c r="NOI3">
        <f>'[12]Summary Report - 12 Months Endi'!NOH2</f>
        <v>0</v>
      </c>
      <c r="NOJ3">
        <f>'[12]Summary Report - 12 Months Endi'!NOI2</f>
        <v>0</v>
      </c>
      <c r="NOK3">
        <f>'[12]Summary Report - 12 Months Endi'!NOJ2</f>
        <v>0</v>
      </c>
      <c r="NOL3">
        <f>'[12]Summary Report - 12 Months Endi'!NOK2</f>
        <v>0</v>
      </c>
      <c r="NOM3">
        <f>'[12]Summary Report - 12 Months Endi'!NOL2</f>
        <v>0</v>
      </c>
      <c r="NON3">
        <f>'[12]Summary Report - 12 Months Endi'!NOM2</f>
        <v>0</v>
      </c>
      <c r="NOO3">
        <f>'[12]Summary Report - 12 Months Endi'!NON2</f>
        <v>0</v>
      </c>
      <c r="NOP3">
        <f>'[12]Summary Report - 12 Months Endi'!NOO2</f>
        <v>0</v>
      </c>
      <c r="NOQ3">
        <f>'[12]Summary Report - 12 Months Endi'!NOP2</f>
        <v>0</v>
      </c>
      <c r="NOR3">
        <f>'[12]Summary Report - 12 Months Endi'!NOQ2</f>
        <v>0</v>
      </c>
      <c r="NOS3">
        <f>'[12]Summary Report - 12 Months Endi'!NOR2</f>
        <v>0</v>
      </c>
      <c r="NOT3">
        <f>'[12]Summary Report - 12 Months Endi'!NOS2</f>
        <v>0</v>
      </c>
      <c r="NOU3">
        <f>'[12]Summary Report - 12 Months Endi'!NOT2</f>
        <v>0</v>
      </c>
      <c r="NOV3">
        <f>'[12]Summary Report - 12 Months Endi'!NOU2</f>
        <v>0</v>
      </c>
      <c r="NOW3">
        <f>'[12]Summary Report - 12 Months Endi'!NOV2</f>
        <v>0</v>
      </c>
      <c r="NOX3">
        <f>'[12]Summary Report - 12 Months Endi'!NOW2</f>
        <v>0</v>
      </c>
      <c r="NOY3">
        <f>'[12]Summary Report - 12 Months Endi'!NOX2</f>
        <v>0</v>
      </c>
      <c r="NOZ3">
        <f>'[12]Summary Report - 12 Months Endi'!NOY2</f>
        <v>0</v>
      </c>
      <c r="NPA3">
        <f>'[12]Summary Report - 12 Months Endi'!NOZ2</f>
        <v>0</v>
      </c>
      <c r="NPB3">
        <f>'[12]Summary Report - 12 Months Endi'!NPA2</f>
        <v>0</v>
      </c>
      <c r="NPC3">
        <f>'[12]Summary Report - 12 Months Endi'!NPB2</f>
        <v>0</v>
      </c>
      <c r="NPD3">
        <f>'[12]Summary Report - 12 Months Endi'!NPC2</f>
        <v>0</v>
      </c>
      <c r="NPE3">
        <f>'[12]Summary Report - 12 Months Endi'!NPD2</f>
        <v>0</v>
      </c>
      <c r="NPF3">
        <f>'[12]Summary Report - 12 Months Endi'!NPE2</f>
        <v>0</v>
      </c>
      <c r="NPG3">
        <f>'[12]Summary Report - 12 Months Endi'!NPF2</f>
        <v>0</v>
      </c>
      <c r="NPH3">
        <f>'[12]Summary Report - 12 Months Endi'!NPG2</f>
        <v>0</v>
      </c>
      <c r="NPI3">
        <f>'[12]Summary Report - 12 Months Endi'!NPH2</f>
        <v>0</v>
      </c>
      <c r="NPJ3">
        <f>'[12]Summary Report - 12 Months Endi'!NPI2</f>
        <v>0</v>
      </c>
      <c r="NPK3">
        <f>'[12]Summary Report - 12 Months Endi'!NPJ2</f>
        <v>0</v>
      </c>
      <c r="NPL3">
        <f>'[12]Summary Report - 12 Months Endi'!NPK2</f>
        <v>0</v>
      </c>
      <c r="NPM3">
        <f>'[12]Summary Report - 12 Months Endi'!NPL2</f>
        <v>0</v>
      </c>
      <c r="NPN3">
        <f>'[12]Summary Report - 12 Months Endi'!NPM2</f>
        <v>0</v>
      </c>
      <c r="NPO3">
        <f>'[12]Summary Report - 12 Months Endi'!NPN2</f>
        <v>0</v>
      </c>
      <c r="NPP3">
        <f>'[12]Summary Report - 12 Months Endi'!NPO2</f>
        <v>0</v>
      </c>
      <c r="NPQ3">
        <f>'[12]Summary Report - 12 Months Endi'!NPP2</f>
        <v>0</v>
      </c>
      <c r="NPR3">
        <f>'[12]Summary Report - 12 Months Endi'!NPQ2</f>
        <v>0</v>
      </c>
      <c r="NPS3">
        <f>'[12]Summary Report - 12 Months Endi'!NPR2</f>
        <v>0</v>
      </c>
      <c r="NPT3">
        <f>'[12]Summary Report - 12 Months Endi'!NPS2</f>
        <v>0</v>
      </c>
      <c r="NPU3">
        <f>'[12]Summary Report - 12 Months Endi'!NPT2</f>
        <v>0</v>
      </c>
      <c r="NPV3">
        <f>'[12]Summary Report - 12 Months Endi'!NPU2</f>
        <v>0</v>
      </c>
      <c r="NPW3">
        <f>'[12]Summary Report - 12 Months Endi'!NPV2</f>
        <v>0</v>
      </c>
      <c r="NPX3">
        <f>'[12]Summary Report - 12 Months Endi'!NPW2</f>
        <v>0</v>
      </c>
      <c r="NPY3">
        <f>'[12]Summary Report - 12 Months Endi'!NPX2</f>
        <v>0</v>
      </c>
      <c r="NPZ3">
        <f>'[12]Summary Report - 12 Months Endi'!NPY2</f>
        <v>0</v>
      </c>
      <c r="NQA3">
        <f>'[12]Summary Report - 12 Months Endi'!NPZ2</f>
        <v>0</v>
      </c>
      <c r="NQB3">
        <f>'[12]Summary Report - 12 Months Endi'!NQA2</f>
        <v>0</v>
      </c>
      <c r="NQC3">
        <f>'[12]Summary Report - 12 Months Endi'!NQB2</f>
        <v>0</v>
      </c>
      <c r="NQD3">
        <f>'[12]Summary Report - 12 Months Endi'!NQC2</f>
        <v>0</v>
      </c>
      <c r="NQE3">
        <f>'[12]Summary Report - 12 Months Endi'!NQD2</f>
        <v>0</v>
      </c>
      <c r="NQF3">
        <f>'[12]Summary Report - 12 Months Endi'!NQE2</f>
        <v>0</v>
      </c>
      <c r="NQG3">
        <f>'[12]Summary Report - 12 Months Endi'!NQF2</f>
        <v>0</v>
      </c>
      <c r="NQH3">
        <f>'[12]Summary Report - 12 Months Endi'!NQG2</f>
        <v>0</v>
      </c>
      <c r="NQI3">
        <f>'[12]Summary Report - 12 Months Endi'!NQH2</f>
        <v>0</v>
      </c>
      <c r="NQJ3">
        <f>'[12]Summary Report - 12 Months Endi'!NQI2</f>
        <v>0</v>
      </c>
      <c r="NQK3">
        <f>'[12]Summary Report - 12 Months Endi'!NQJ2</f>
        <v>0</v>
      </c>
      <c r="NQL3">
        <f>'[12]Summary Report - 12 Months Endi'!NQK2</f>
        <v>0</v>
      </c>
      <c r="NQM3">
        <f>'[12]Summary Report - 12 Months Endi'!NQL2</f>
        <v>0</v>
      </c>
      <c r="NQN3">
        <f>'[12]Summary Report - 12 Months Endi'!NQM2</f>
        <v>0</v>
      </c>
      <c r="NQO3">
        <f>'[12]Summary Report - 12 Months Endi'!NQN2</f>
        <v>0</v>
      </c>
      <c r="NQP3">
        <f>'[12]Summary Report - 12 Months Endi'!NQO2</f>
        <v>0</v>
      </c>
      <c r="NQQ3">
        <f>'[12]Summary Report - 12 Months Endi'!NQP2</f>
        <v>0</v>
      </c>
      <c r="NQR3">
        <f>'[12]Summary Report - 12 Months Endi'!NQQ2</f>
        <v>0</v>
      </c>
      <c r="NQS3">
        <f>'[12]Summary Report - 12 Months Endi'!NQR2</f>
        <v>0</v>
      </c>
      <c r="NQT3">
        <f>'[12]Summary Report - 12 Months Endi'!NQS2</f>
        <v>0</v>
      </c>
      <c r="NQU3">
        <f>'[12]Summary Report - 12 Months Endi'!NQT2</f>
        <v>0</v>
      </c>
      <c r="NQV3">
        <f>'[12]Summary Report - 12 Months Endi'!NQU2</f>
        <v>0</v>
      </c>
      <c r="NQW3">
        <f>'[12]Summary Report - 12 Months Endi'!NQV2</f>
        <v>0</v>
      </c>
      <c r="NQX3">
        <f>'[12]Summary Report - 12 Months Endi'!NQW2</f>
        <v>0</v>
      </c>
      <c r="NQY3">
        <f>'[12]Summary Report - 12 Months Endi'!NQX2</f>
        <v>0</v>
      </c>
      <c r="NQZ3">
        <f>'[12]Summary Report - 12 Months Endi'!NQY2</f>
        <v>0</v>
      </c>
      <c r="NRA3">
        <f>'[12]Summary Report - 12 Months Endi'!NQZ2</f>
        <v>0</v>
      </c>
      <c r="NRB3">
        <f>'[12]Summary Report - 12 Months Endi'!NRA2</f>
        <v>0</v>
      </c>
      <c r="NRC3">
        <f>'[12]Summary Report - 12 Months Endi'!NRB2</f>
        <v>0</v>
      </c>
      <c r="NRD3">
        <f>'[12]Summary Report - 12 Months Endi'!NRC2</f>
        <v>0</v>
      </c>
      <c r="NRE3">
        <f>'[12]Summary Report - 12 Months Endi'!NRD2</f>
        <v>0</v>
      </c>
      <c r="NRF3">
        <f>'[12]Summary Report - 12 Months Endi'!NRE2</f>
        <v>0</v>
      </c>
      <c r="NRG3">
        <f>'[12]Summary Report - 12 Months Endi'!NRF2</f>
        <v>0</v>
      </c>
      <c r="NRH3">
        <f>'[12]Summary Report - 12 Months Endi'!NRG2</f>
        <v>0</v>
      </c>
      <c r="NRI3">
        <f>'[12]Summary Report - 12 Months Endi'!NRH2</f>
        <v>0</v>
      </c>
      <c r="NRJ3">
        <f>'[12]Summary Report - 12 Months Endi'!NRI2</f>
        <v>0</v>
      </c>
      <c r="NRK3">
        <f>'[12]Summary Report - 12 Months Endi'!NRJ2</f>
        <v>0</v>
      </c>
      <c r="NRL3">
        <f>'[12]Summary Report - 12 Months Endi'!NRK2</f>
        <v>0</v>
      </c>
      <c r="NRM3">
        <f>'[12]Summary Report - 12 Months Endi'!NRL2</f>
        <v>0</v>
      </c>
      <c r="NRN3">
        <f>'[12]Summary Report - 12 Months Endi'!NRM2</f>
        <v>0</v>
      </c>
      <c r="NRO3">
        <f>'[12]Summary Report - 12 Months Endi'!NRN2</f>
        <v>0</v>
      </c>
      <c r="NRP3">
        <f>'[12]Summary Report - 12 Months Endi'!NRO2</f>
        <v>0</v>
      </c>
      <c r="NRQ3">
        <f>'[12]Summary Report - 12 Months Endi'!NRP2</f>
        <v>0</v>
      </c>
      <c r="NRR3">
        <f>'[12]Summary Report - 12 Months Endi'!NRQ2</f>
        <v>0</v>
      </c>
      <c r="NRS3">
        <f>'[12]Summary Report - 12 Months Endi'!NRR2</f>
        <v>0</v>
      </c>
      <c r="NRT3">
        <f>'[12]Summary Report - 12 Months Endi'!NRS2</f>
        <v>0</v>
      </c>
      <c r="NRU3">
        <f>'[12]Summary Report - 12 Months Endi'!NRT2</f>
        <v>0</v>
      </c>
      <c r="NRV3">
        <f>'[12]Summary Report - 12 Months Endi'!NRU2</f>
        <v>0</v>
      </c>
      <c r="NRW3">
        <f>'[12]Summary Report - 12 Months Endi'!NRV2</f>
        <v>0</v>
      </c>
      <c r="NRX3">
        <f>'[12]Summary Report - 12 Months Endi'!NRW2</f>
        <v>0</v>
      </c>
      <c r="NRY3">
        <f>'[12]Summary Report - 12 Months Endi'!NRX2</f>
        <v>0</v>
      </c>
      <c r="NRZ3">
        <f>'[12]Summary Report - 12 Months Endi'!NRY2</f>
        <v>0</v>
      </c>
      <c r="NSA3">
        <f>'[12]Summary Report - 12 Months Endi'!NRZ2</f>
        <v>0</v>
      </c>
      <c r="NSB3">
        <f>'[12]Summary Report - 12 Months Endi'!NSA2</f>
        <v>0</v>
      </c>
      <c r="NSC3">
        <f>'[12]Summary Report - 12 Months Endi'!NSB2</f>
        <v>0</v>
      </c>
      <c r="NSD3">
        <f>'[12]Summary Report - 12 Months Endi'!NSC2</f>
        <v>0</v>
      </c>
      <c r="NSE3">
        <f>'[12]Summary Report - 12 Months Endi'!NSD2</f>
        <v>0</v>
      </c>
      <c r="NSF3">
        <f>'[12]Summary Report - 12 Months Endi'!NSE2</f>
        <v>0</v>
      </c>
      <c r="NSG3">
        <f>'[12]Summary Report - 12 Months Endi'!NSF2</f>
        <v>0</v>
      </c>
      <c r="NSH3">
        <f>'[12]Summary Report - 12 Months Endi'!NSG2</f>
        <v>0</v>
      </c>
      <c r="NSI3">
        <f>'[12]Summary Report - 12 Months Endi'!NSH2</f>
        <v>0</v>
      </c>
      <c r="NSJ3">
        <f>'[12]Summary Report - 12 Months Endi'!NSI2</f>
        <v>0</v>
      </c>
      <c r="NSK3">
        <f>'[12]Summary Report - 12 Months Endi'!NSJ2</f>
        <v>0</v>
      </c>
      <c r="NSL3">
        <f>'[12]Summary Report - 12 Months Endi'!NSK2</f>
        <v>0</v>
      </c>
      <c r="NSM3">
        <f>'[12]Summary Report - 12 Months Endi'!NSL2</f>
        <v>0</v>
      </c>
      <c r="NSN3">
        <f>'[12]Summary Report - 12 Months Endi'!NSM2</f>
        <v>0</v>
      </c>
      <c r="NSO3">
        <f>'[12]Summary Report - 12 Months Endi'!NSN2</f>
        <v>0</v>
      </c>
      <c r="NSP3">
        <f>'[12]Summary Report - 12 Months Endi'!NSO2</f>
        <v>0</v>
      </c>
      <c r="NSQ3">
        <f>'[12]Summary Report - 12 Months Endi'!NSP2</f>
        <v>0</v>
      </c>
      <c r="NSR3">
        <f>'[12]Summary Report - 12 Months Endi'!NSQ2</f>
        <v>0</v>
      </c>
      <c r="NSS3">
        <f>'[12]Summary Report - 12 Months Endi'!NSR2</f>
        <v>0</v>
      </c>
      <c r="NST3">
        <f>'[12]Summary Report - 12 Months Endi'!NSS2</f>
        <v>0</v>
      </c>
      <c r="NSU3">
        <f>'[12]Summary Report - 12 Months Endi'!NST2</f>
        <v>0</v>
      </c>
      <c r="NSV3">
        <f>'[12]Summary Report - 12 Months Endi'!NSU2</f>
        <v>0</v>
      </c>
      <c r="NSW3">
        <f>'[12]Summary Report - 12 Months Endi'!NSV2</f>
        <v>0</v>
      </c>
      <c r="NSX3">
        <f>'[12]Summary Report - 12 Months Endi'!NSW2</f>
        <v>0</v>
      </c>
      <c r="NSY3">
        <f>'[12]Summary Report - 12 Months Endi'!NSX2</f>
        <v>0</v>
      </c>
      <c r="NSZ3">
        <f>'[12]Summary Report - 12 Months Endi'!NSY2</f>
        <v>0</v>
      </c>
      <c r="NTA3">
        <f>'[12]Summary Report - 12 Months Endi'!NSZ2</f>
        <v>0</v>
      </c>
      <c r="NTB3">
        <f>'[12]Summary Report - 12 Months Endi'!NTA2</f>
        <v>0</v>
      </c>
      <c r="NTC3">
        <f>'[12]Summary Report - 12 Months Endi'!NTB2</f>
        <v>0</v>
      </c>
      <c r="NTD3">
        <f>'[12]Summary Report - 12 Months Endi'!NTC2</f>
        <v>0</v>
      </c>
      <c r="NTE3">
        <f>'[12]Summary Report - 12 Months Endi'!NTD2</f>
        <v>0</v>
      </c>
      <c r="NTF3">
        <f>'[12]Summary Report - 12 Months Endi'!NTE2</f>
        <v>0</v>
      </c>
      <c r="NTG3">
        <f>'[12]Summary Report - 12 Months Endi'!NTF2</f>
        <v>0</v>
      </c>
      <c r="NTH3">
        <f>'[12]Summary Report - 12 Months Endi'!NTG2</f>
        <v>0</v>
      </c>
      <c r="NTI3">
        <f>'[12]Summary Report - 12 Months Endi'!NTH2</f>
        <v>0</v>
      </c>
      <c r="NTJ3">
        <f>'[12]Summary Report - 12 Months Endi'!NTI2</f>
        <v>0</v>
      </c>
      <c r="NTK3">
        <f>'[12]Summary Report - 12 Months Endi'!NTJ2</f>
        <v>0</v>
      </c>
      <c r="NTL3">
        <f>'[12]Summary Report - 12 Months Endi'!NTK2</f>
        <v>0</v>
      </c>
      <c r="NTM3">
        <f>'[12]Summary Report - 12 Months Endi'!NTL2</f>
        <v>0</v>
      </c>
      <c r="NTN3">
        <f>'[12]Summary Report - 12 Months Endi'!NTM2</f>
        <v>0</v>
      </c>
      <c r="NTO3">
        <f>'[12]Summary Report - 12 Months Endi'!NTN2</f>
        <v>0</v>
      </c>
      <c r="NTP3">
        <f>'[12]Summary Report - 12 Months Endi'!NTO2</f>
        <v>0</v>
      </c>
      <c r="NTQ3">
        <f>'[12]Summary Report - 12 Months Endi'!NTP2</f>
        <v>0</v>
      </c>
      <c r="NTR3">
        <f>'[12]Summary Report - 12 Months Endi'!NTQ2</f>
        <v>0</v>
      </c>
      <c r="NTS3">
        <f>'[12]Summary Report - 12 Months Endi'!NTR2</f>
        <v>0</v>
      </c>
      <c r="NTT3">
        <f>'[12]Summary Report - 12 Months Endi'!NTS2</f>
        <v>0</v>
      </c>
      <c r="NTU3">
        <f>'[12]Summary Report - 12 Months Endi'!NTT2</f>
        <v>0</v>
      </c>
      <c r="NTV3">
        <f>'[12]Summary Report - 12 Months Endi'!NTU2</f>
        <v>0</v>
      </c>
      <c r="NTW3">
        <f>'[12]Summary Report - 12 Months Endi'!NTV2</f>
        <v>0</v>
      </c>
      <c r="NTX3">
        <f>'[12]Summary Report - 12 Months Endi'!NTW2</f>
        <v>0</v>
      </c>
      <c r="NTY3">
        <f>'[12]Summary Report - 12 Months Endi'!NTX2</f>
        <v>0</v>
      </c>
      <c r="NTZ3">
        <f>'[12]Summary Report - 12 Months Endi'!NTY2</f>
        <v>0</v>
      </c>
      <c r="NUA3">
        <f>'[12]Summary Report - 12 Months Endi'!NTZ2</f>
        <v>0</v>
      </c>
      <c r="NUB3">
        <f>'[12]Summary Report - 12 Months Endi'!NUA2</f>
        <v>0</v>
      </c>
      <c r="NUC3">
        <f>'[12]Summary Report - 12 Months Endi'!NUB2</f>
        <v>0</v>
      </c>
      <c r="NUD3">
        <f>'[12]Summary Report - 12 Months Endi'!NUC2</f>
        <v>0</v>
      </c>
      <c r="NUE3">
        <f>'[12]Summary Report - 12 Months Endi'!NUD2</f>
        <v>0</v>
      </c>
      <c r="NUF3">
        <f>'[12]Summary Report - 12 Months Endi'!NUE2</f>
        <v>0</v>
      </c>
      <c r="NUG3">
        <f>'[12]Summary Report - 12 Months Endi'!NUF2</f>
        <v>0</v>
      </c>
      <c r="NUH3">
        <f>'[12]Summary Report - 12 Months Endi'!NUG2</f>
        <v>0</v>
      </c>
      <c r="NUI3">
        <f>'[12]Summary Report - 12 Months Endi'!NUH2</f>
        <v>0</v>
      </c>
      <c r="NUJ3">
        <f>'[12]Summary Report - 12 Months Endi'!NUI2</f>
        <v>0</v>
      </c>
      <c r="NUK3">
        <f>'[12]Summary Report - 12 Months Endi'!NUJ2</f>
        <v>0</v>
      </c>
      <c r="NUL3">
        <f>'[12]Summary Report - 12 Months Endi'!NUK2</f>
        <v>0</v>
      </c>
      <c r="NUM3">
        <f>'[12]Summary Report - 12 Months Endi'!NUL2</f>
        <v>0</v>
      </c>
      <c r="NUN3">
        <f>'[12]Summary Report - 12 Months Endi'!NUM2</f>
        <v>0</v>
      </c>
      <c r="NUO3">
        <f>'[12]Summary Report - 12 Months Endi'!NUN2</f>
        <v>0</v>
      </c>
      <c r="NUP3">
        <f>'[12]Summary Report - 12 Months Endi'!NUO2</f>
        <v>0</v>
      </c>
      <c r="NUQ3">
        <f>'[12]Summary Report - 12 Months Endi'!NUP2</f>
        <v>0</v>
      </c>
      <c r="NUR3">
        <f>'[12]Summary Report - 12 Months Endi'!NUQ2</f>
        <v>0</v>
      </c>
      <c r="NUS3">
        <f>'[12]Summary Report - 12 Months Endi'!NUR2</f>
        <v>0</v>
      </c>
      <c r="NUT3">
        <f>'[12]Summary Report - 12 Months Endi'!NUS2</f>
        <v>0</v>
      </c>
      <c r="NUU3">
        <f>'[12]Summary Report - 12 Months Endi'!NUT2</f>
        <v>0</v>
      </c>
      <c r="NUV3">
        <f>'[12]Summary Report - 12 Months Endi'!NUU2</f>
        <v>0</v>
      </c>
      <c r="NUW3">
        <f>'[12]Summary Report - 12 Months Endi'!NUV2</f>
        <v>0</v>
      </c>
      <c r="NUX3">
        <f>'[12]Summary Report - 12 Months Endi'!NUW2</f>
        <v>0</v>
      </c>
      <c r="NUY3">
        <f>'[12]Summary Report - 12 Months Endi'!NUX2</f>
        <v>0</v>
      </c>
      <c r="NUZ3">
        <f>'[12]Summary Report - 12 Months Endi'!NUY2</f>
        <v>0</v>
      </c>
      <c r="NVA3">
        <f>'[12]Summary Report - 12 Months Endi'!NUZ2</f>
        <v>0</v>
      </c>
      <c r="NVB3">
        <f>'[12]Summary Report - 12 Months Endi'!NVA2</f>
        <v>0</v>
      </c>
      <c r="NVC3">
        <f>'[12]Summary Report - 12 Months Endi'!NVB2</f>
        <v>0</v>
      </c>
      <c r="NVD3">
        <f>'[12]Summary Report - 12 Months Endi'!NVC2</f>
        <v>0</v>
      </c>
      <c r="NVE3">
        <f>'[12]Summary Report - 12 Months Endi'!NVD2</f>
        <v>0</v>
      </c>
      <c r="NVF3">
        <f>'[12]Summary Report - 12 Months Endi'!NVE2</f>
        <v>0</v>
      </c>
      <c r="NVG3">
        <f>'[12]Summary Report - 12 Months Endi'!NVF2</f>
        <v>0</v>
      </c>
      <c r="NVH3">
        <f>'[12]Summary Report - 12 Months Endi'!NVG2</f>
        <v>0</v>
      </c>
      <c r="NVI3">
        <f>'[12]Summary Report - 12 Months Endi'!NVH2</f>
        <v>0</v>
      </c>
      <c r="NVJ3">
        <f>'[12]Summary Report - 12 Months Endi'!NVI2</f>
        <v>0</v>
      </c>
      <c r="NVK3">
        <f>'[12]Summary Report - 12 Months Endi'!NVJ2</f>
        <v>0</v>
      </c>
      <c r="NVL3">
        <f>'[12]Summary Report - 12 Months Endi'!NVK2</f>
        <v>0</v>
      </c>
      <c r="NVM3">
        <f>'[12]Summary Report - 12 Months Endi'!NVL2</f>
        <v>0</v>
      </c>
      <c r="NVN3">
        <f>'[12]Summary Report - 12 Months Endi'!NVM2</f>
        <v>0</v>
      </c>
      <c r="NVO3">
        <f>'[12]Summary Report - 12 Months Endi'!NVN2</f>
        <v>0</v>
      </c>
      <c r="NVP3">
        <f>'[12]Summary Report - 12 Months Endi'!NVO2</f>
        <v>0</v>
      </c>
      <c r="NVQ3">
        <f>'[12]Summary Report - 12 Months Endi'!NVP2</f>
        <v>0</v>
      </c>
      <c r="NVR3">
        <f>'[12]Summary Report - 12 Months Endi'!NVQ2</f>
        <v>0</v>
      </c>
      <c r="NVS3">
        <f>'[12]Summary Report - 12 Months Endi'!NVR2</f>
        <v>0</v>
      </c>
      <c r="NVT3">
        <f>'[12]Summary Report - 12 Months Endi'!NVS2</f>
        <v>0</v>
      </c>
      <c r="NVU3">
        <f>'[12]Summary Report - 12 Months Endi'!NVT2</f>
        <v>0</v>
      </c>
      <c r="NVV3">
        <f>'[12]Summary Report - 12 Months Endi'!NVU2</f>
        <v>0</v>
      </c>
      <c r="NVW3">
        <f>'[12]Summary Report - 12 Months Endi'!NVV2</f>
        <v>0</v>
      </c>
      <c r="NVX3">
        <f>'[12]Summary Report - 12 Months Endi'!NVW2</f>
        <v>0</v>
      </c>
      <c r="NVY3">
        <f>'[12]Summary Report - 12 Months Endi'!NVX2</f>
        <v>0</v>
      </c>
      <c r="NVZ3">
        <f>'[12]Summary Report - 12 Months Endi'!NVY2</f>
        <v>0</v>
      </c>
      <c r="NWA3">
        <f>'[12]Summary Report - 12 Months Endi'!NVZ2</f>
        <v>0</v>
      </c>
      <c r="NWB3">
        <f>'[12]Summary Report - 12 Months Endi'!NWA2</f>
        <v>0</v>
      </c>
      <c r="NWC3">
        <f>'[12]Summary Report - 12 Months Endi'!NWB2</f>
        <v>0</v>
      </c>
      <c r="NWD3">
        <f>'[12]Summary Report - 12 Months Endi'!NWC2</f>
        <v>0</v>
      </c>
      <c r="NWE3">
        <f>'[12]Summary Report - 12 Months Endi'!NWD2</f>
        <v>0</v>
      </c>
      <c r="NWF3">
        <f>'[12]Summary Report - 12 Months Endi'!NWE2</f>
        <v>0</v>
      </c>
      <c r="NWG3">
        <f>'[12]Summary Report - 12 Months Endi'!NWF2</f>
        <v>0</v>
      </c>
      <c r="NWH3">
        <f>'[12]Summary Report - 12 Months Endi'!NWG2</f>
        <v>0</v>
      </c>
      <c r="NWI3">
        <f>'[12]Summary Report - 12 Months Endi'!NWH2</f>
        <v>0</v>
      </c>
      <c r="NWJ3">
        <f>'[12]Summary Report - 12 Months Endi'!NWI2</f>
        <v>0</v>
      </c>
      <c r="NWK3">
        <f>'[12]Summary Report - 12 Months Endi'!NWJ2</f>
        <v>0</v>
      </c>
      <c r="NWL3">
        <f>'[12]Summary Report - 12 Months Endi'!NWK2</f>
        <v>0</v>
      </c>
      <c r="NWM3">
        <f>'[12]Summary Report - 12 Months Endi'!NWL2</f>
        <v>0</v>
      </c>
      <c r="NWN3">
        <f>'[12]Summary Report - 12 Months Endi'!NWM2</f>
        <v>0</v>
      </c>
      <c r="NWO3">
        <f>'[12]Summary Report - 12 Months Endi'!NWN2</f>
        <v>0</v>
      </c>
      <c r="NWP3">
        <f>'[12]Summary Report - 12 Months Endi'!NWO2</f>
        <v>0</v>
      </c>
      <c r="NWQ3">
        <f>'[12]Summary Report - 12 Months Endi'!NWP2</f>
        <v>0</v>
      </c>
      <c r="NWR3">
        <f>'[12]Summary Report - 12 Months Endi'!NWQ2</f>
        <v>0</v>
      </c>
      <c r="NWS3">
        <f>'[12]Summary Report - 12 Months Endi'!NWR2</f>
        <v>0</v>
      </c>
      <c r="NWT3">
        <f>'[12]Summary Report - 12 Months Endi'!NWS2</f>
        <v>0</v>
      </c>
      <c r="NWU3">
        <f>'[12]Summary Report - 12 Months Endi'!NWT2</f>
        <v>0</v>
      </c>
      <c r="NWV3">
        <f>'[12]Summary Report - 12 Months Endi'!NWU2</f>
        <v>0</v>
      </c>
      <c r="NWW3">
        <f>'[12]Summary Report - 12 Months Endi'!NWV2</f>
        <v>0</v>
      </c>
      <c r="NWX3">
        <f>'[12]Summary Report - 12 Months Endi'!NWW2</f>
        <v>0</v>
      </c>
      <c r="NWY3">
        <f>'[12]Summary Report - 12 Months Endi'!NWX2</f>
        <v>0</v>
      </c>
      <c r="NWZ3">
        <f>'[12]Summary Report - 12 Months Endi'!NWY2</f>
        <v>0</v>
      </c>
      <c r="NXA3">
        <f>'[12]Summary Report - 12 Months Endi'!NWZ2</f>
        <v>0</v>
      </c>
      <c r="NXB3">
        <f>'[12]Summary Report - 12 Months Endi'!NXA2</f>
        <v>0</v>
      </c>
      <c r="NXC3">
        <f>'[12]Summary Report - 12 Months Endi'!NXB2</f>
        <v>0</v>
      </c>
      <c r="NXD3">
        <f>'[12]Summary Report - 12 Months Endi'!NXC2</f>
        <v>0</v>
      </c>
      <c r="NXE3">
        <f>'[12]Summary Report - 12 Months Endi'!NXD2</f>
        <v>0</v>
      </c>
      <c r="NXF3">
        <f>'[12]Summary Report - 12 Months Endi'!NXE2</f>
        <v>0</v>
      </c>
      <c r="NXG3">
        <f>'[12]Summary Report - 12 Months Endi'!NXF2</f>
        <v>0</v>
      </c>
      <c r="NXH3">
        <f>'[12]Summary Report - 12 Months Endi'!NXG2</f>
        <v>0</v>
      </c>
      <c r="NXI3">
        <f>'[12]Summary Report - 12 Months Endi'!NXH2</f>
        <v>0</v>
      </c>
      <c r="NXJ3">
        <f>'[12]Summary Report - 12 Months Endi'!NXI2</f>
        <v>0</v>
      </c>
      <c r="NXK3">
        <f>'[12]Summary Report - 12 Months Endi'!NXJ2</f>
        <v>0</v>
      </c>
      <c r="NXL3">
        <f>'[12]Summary Report - 12 Months Endi'!NXK2</f>
        <v>0</v>
      </c>
      <c r="NXM3">
        <f>'[12]Summary Report - 12 Months Endi'!NXL2</f>
        <v>0</v>
      </c>
      <c r="NXN3">
        <f>'[12]Summary Report - 12 Months Endi'!NXM2</f>
        <v>0</v>
      </c>
      <c r="NXO3">
        <f>'[12]Summary Report - 12 Months Endi'!NXN2</f>
        <v>0</v>
      </c>
      <c r="NXP3">
        <f>'[12]Summary Report - 12 Months Endi'!NXO2</f>
        <v>0</v>
      </c>
      <c r="NXQ3">
        <f>'[12]Summary Report - 12 Months Endi'!NXP2</f>
        <v>0</v>
      </c>
      <c r="NXR3">
        <f>'[12]Summary Report - 12 Months Endi'!NXQ2</f>
        <v>0</v>
      </c>
      <c r="NXS3">
        <f>'[12]Summary Report - 12 Months Endi'!NXR2</f>
        <v>0</v>
      </c>
      <c r="NXT3">
        <f>'[12]Summary Report - 12 Months Endi'!NXS2</f>
        <v>0</v>
      </c>
      <c r="NXU3">
        <f>'[12]Summary Report - 12 Months Endi'!NXT2</f>
        <v>0</v>
      </c>
      <c r="NXV3">
        <f>'[12]Summary Report - 12 Months Endi'!NXU2</f>
        <v>0</v>
      </c>
      <c r="NXW3">
        <f>'[12]Summary Report - 12 Months Endi'!NXV2</f>
        <v>0</v>
      </c>
      <c r="NXX3">
        <f>'[12]Summary Report - 12 Months Endi'!NXW2</f>
        <v>0</v>
      </c>
      <c r="NXY3">
        <f>'[12]Summary Report - 12 Months Endi'!NXX2</f>
        <v>0</v>
      </c>
      <c r="NXZ3">
        <f>'[12]Summary Report - 12 Months Endi'!NXY2</f>
        <v>0</v>
      </c>
      <c r="NYA3">
        <f>'[12]Summary Report - 12 Months Endi'!NXZ2</f>
        <v>0</v>
      </c>
      <c r="NYB3">
        <f>'[12]Summary Report - 12 Months Endi'!NYA2</f>
        <v>0</v>
      </c>
      <c r="NYC3">
        <f>'[12]Summary Report - 12 Months Endi'!NYB2</f>
        <v>0</v>
      </c>
      <c r="NYD3">
        <f>'[12]Summary Report - 12 Months Endi'!NYC2</f>
        <v>0</v>
      </c>
      <c r="NYE3">
        <f>'[12]Summary Report - 12 Months Endi'!NYD2</f>
        <v>0</v>
      </c>
      <c r="NYF3">
        <f>'[12]Summary Report - 12 Months Endi'!NYE2</f>
        <v>0</v>
      </c>
      <c r="NYG3">
        <f>'[12]Summary Report - 12 Months Endi'!NYF2</f>
        <v>0</v>
      </c>
      <c r="NYH3">
        <f>'[12]Summary Report - 12 Months Endi'!NYG2</f>
        <v>0</v>
      </c>
      <c r="NYI3">
        <f>'[12]Summary Report - 12 Months Endi'!NYH2</f>
        <v>0</v>
      </c>
      <c r="NYJ3">
        <f>'[12]Summary Report - 12 Months Endi'!NYI2</f>
        <v>0</v>
      </c>
      <c r="NYK3">
        <f>'[12]Summary Report - 12 Months Endi'!NYJ2</f>
        <v>0</v>
      </c>
      <c r="NYL3">
        <f>'[12]Summary Report - 12 Months Endi'!NYK2</f>
        <v>0</v>
      </c>
      <c r="NYM3">
        <f>'[12]Summary Report - 12 Months Endi'!NYL2</f>
        <v>0</v>
      </c>
      <c r="NYN3">
        <f>'[12]Summary Report - 12 Months Endi'!NYM2</f>
        <v>0</v>
      </c>
      <c r="NYO3">
        <f>'[12]Summary Report - 12 Months Endi'!NYN2</f>
        <v>0</v>
      </c>
      <c r="NYP3">
        <f>'[12]Summary Report - 12 Months Endi'!NYO2</f>
        <v>0</v>
      </c>
      <c r="NYQ3">
        <f>'[12]Summary Report - 12 Months Endi'!NYP2</f>
        <v>0</v>
      </c>
      <c r="NYR3">
        <f>'[12]Summary Report - 12 Months Endi'!NYQ2</f>
        <v>0</v>
      </c>
      <c r="NYS3">
        <f>'[12]Summary Report - 12 Months Endi'!NYR2</f>
        <v>0</v>
      </c>
      <c r="NYT3">
        <f>'[12]Summary Report - 12 Months Endi'!NYS2</f>
        <v>0</v>
      </c>
      <c r="NYU3">
        <f>'[12]Summary Report - 12 Months Endi'!NYT2</f>
        <v>0</v>
      </c>
      <c r="NYV3">
        <f>'[12]Summary Report - 12 Months Endi'!NYU2</f>
        <v>0</v>
      </c>
      <c r="NYW3">
        <f>'[12]Summary Report - 12 Months Endi'!NYV2</f>
        <v>0</v>
      </c>
      <c r="NYX3">
        <f>'[12]Summary Report - 12 Months Endi'!NYW2</f>
        <v>0</v>
      </c>
      <c r="NYY3">
        <f>'[12]Summary Report - 12 Months Endi'!NYX2</f>
        <v>0</v>
      </c>
      <c r="NYZ3">
        <f>'[12]Summary Report - 12 Months Endi'!NYY2</f>
        <v>0</v>
      </c>
      <c r="NZA3">
        <f>'[12]Summary Report - 12 Months Endi'!NYZ2</f>
        <v>0</v>
      </c>
      <c r="NZB3">
        <f>'[12]Summary Report - 12 Months Endi'!NZA2</f>
        <v>0</v>
      </c>
      <c r="NZC3">
        <f>'[12]Summary Report - 12 Months Endi'!NZB2</f>
        <v>0</v>
      </c>
      <c r="NZD3">
        <f>'[12]Summary Report - 12 Months Endi'!NZC2</f>
        <v>0</v>
      </c>
      <c r="NZE3">
        <f>'[12]Summary Report - 12 Months Endi'!NZD2</f>
        <v>0</v>
      </c>
      <c r="NZF3">
        <f>'[12]Summary Report - 12 Months Endi'!NZE2</f>
        <v>0</v>
      </c>
      <c r="NZG3">
        <f>'[12]Summary Report - 12 Months Endi'!NZF2</f>
        <v>0</v>
      </c>
      <c r="NZH3">
        <f>'[12]Summary Report - 12 Months Endi'!NZG2</f>
        <v>0</v>
      </c>
      <c r="NZI3">
        <f>'[12]Summary Report - 12 Months Endi'!NZH2</f>
        <v>0</v>
      </c>
      <c r="NZJ3">
        <f>'[12]Summary Report - 12 Months Endi'!NZI2</f>
        <v>0</v>
      </c>
      <c r="NZK3">
        <f>'[12]Summary Report - 12 Months Endi'!NZJ2</f>
        <v>0</v>
      </c>
      <c r="NZL3">
        <f>'[12]Summary Report - 12 Months Endi'!NZK2</f>
        <v>0</v>
      </c>
      <c r="NZM3">
        <f>'[12]Summary Report - 12 Months Endi'!NZL2</f>
        <v>0</v>
      </c>
      <c r="NZN3">
        <f>'[12]Summary Report - 12 Months Endi'!NZM2</f>
        <v>0</v>
      </c>
      <c r="NZO3">
        <f>'[12]Summary Report - 12 Months Endi'!NZN2</f>
        <v>0</v>
      </c>
      <c r="NZP3">
        <f>'[12]Summary Report - 12 Months Endi'!NZO2</f>
        <v>0</v>
      </c>
      <c r="NZQ3">
        <f>'[12]Summary Report - 12 Months Endi'!NZP2</f>
        <v>0</v>
      </c>
      <c r="NZR3">
        <f>'[12]Summary Report - 12 Months Endi'!NZQ2</f>
        <v>0</v>
      </c>
      <c r="NZS3">
        <f>'[12]Summary Report - 12 Months Endi'!NZR2</f>
        <v>0</v>
      </c>
      <c r="NZT3">
        <f>'[12]Summary Report - 12 Months Endi'!NZS2</f>
        <v>0</v>
      </c>
      <c r="NZU3">
        <f>'[12]Summary Report - 12 Months Endi'!NZT2</f>
        <v>0</v>
      </c>
      <c r="NZV3">
        <f>'[12]Summary Report - 12 Months Endi'!NZU2</f>
        <v>0</v>
      </c>
      <c r="NZW3">
        <f>'[12]Summary Report - 12 Months Endi'!NZV2</f>
        <v>0</v>
      </c>
      <c r="NZX3">
        <f>'[12]Summary Report - 12 Months Endi'!NZW2</f>
        <v>0</v>
      </c>
      <c r="NZY3">
        <f>'[12]Summary Report - 12 Months Endi'!NZX2</f>
        <v>0</v>
      </c>
      <c r="NZZ3">
        <f>'[12]Summary Report - 12 Months Endi'!NZY2</f>
        <v>0</v>
      </c>
      <c r="OAA3">
        <f>'[12]Summary Report - 12 Months Endi'!NZZ2</f>
        <v>0</v>
      </c>
      <c r="OAB3">
        <f>'[12]Summary Report - 12 Months Endi'!OAA2</f>
        <v>0</v>
      </c>
      <c r="OAC3">
        <f>'[12]Summary Report - 12 Months Endi'!OAB2</f>
        <v>0</v>
      </c>
      <c r="OAD3">
        <f>'[12]Summary Report - 12 Months Endi'!OAC2</f>
        <v>0</v>
      </c>
      <c r="OAE3">
        <f>'[12]Summary Report - 12 Months Endi'!OAD2</f>
        <v>0</v>
      </c>
      <c r="OAF3">
        <f>'[12]Summary Report - 12 Months Endi'!OAE2</f>
        <v>0</v>
      </c>
      <c r="OAG3">
        <f>'[12]Summary Report - 12 Months Endi'!OAF2</f>
        <v>0</v>
      </c>
      <c r="OAH3">
        <f>'[12]Summary Report - 12 Months Endi'!OAG2</f>
        <v>0</v>
      </c>
      <c r="OAI3">
        <f>'[12]Summary Report - 12 Months Endi'!OAH2</f>
        <v>0</v>
      </c>
      <c r="OAJ3">
        <f>'[12]Summary Report - 12 Months Endi'!OAI2</f>
        <v>0</v>
      </c>
      <c r="OAK3">
        <f>'[12]Summary Report - 12 Months Endi'!OAJ2</f>
        <v>0</v>
      </c>
      <c r="OAL3">
        <f>'[12]Summary Report - 12 Months Endi'!OAK2</f>
        <v>0</v>
      </c>
      <c r="OAM3">
        <f>'[12]Summary Report - 12 Months Endi'!OAL2</f>
        <v>0</v>
      </c>
      <c r="OAN3">
        <f>'[12]Summary Report - 12 Months Endi'!OAM2</f>
        <v>0</v>
      </c>
      <c r="OAO3">
        <f>'[12]Summary Report - 12 Months Endi'!OAN2</f>
        <v>0</v>
      </c>
      <c r="OAP3">
        <f>'[12]Summary Report - 12 Months Endi'!OAO2</f>
        <v>0</v>
      </c>
      <c r="OAQ3">
        <f>'[12]Summary Report - 12 Months Endi'!OAP2</f>
        <v>0</v>
      </c>
      <c r="OAR3">
        <f>'[12]Summary Report - 12 Months Endi'!OAQ2</f>
        <v>0</v>
      </c>
      <c r="OAS3">
        <f>'[12]Summary Report - 12 Months Endi'!OAR2</f>
        <v>0</v>
      </c>
      <c r="OAT3">
        <f>'[12]Summary Report - 12 Months Endi'!OAS2</f>
        <v>0</v>
      </c>
      <c r="OAU3">
        <f>'[12]Summary Report - 12 Months Endi'!OAT2</f>
        <v>0</v>
      </c>
      <c r="OAV3">
        <f>'[12]Summary Report - 12 Months Endi'!OAU2</f>
        <v>0</v>
      </c>
      <c r="OAW3">
        <f>'[12]Summary Report - 12 Months Endi'!OAV2</f>
        <v>0</v>
      </c>
      <c r="OAX3">
        <f>'[12]Summary Report - 12 Months Endi'!OAW2</f>
        <v>0</v>
      </c>
      <c r="OAY3">
        <f>'[12]Summary Report - 12 Months Endi'!OAX2</f>
        <v>0</v>
      </c>
      <c r="OAZ3">
        <f>'[12]Summary Report - 12 Months Endi'!OAY2</f>
        <v>0</v>
      </c>
      <c r="OBA3">
        <f>'[12]Summary Report - 12 Months Endi'!OAZ2</f>
        <v>0</v>
      </c>
      <c r="OBB3">
        <f>'[12]Summary Report - 12 Months Endi'!OBA2</f>
        <v>0</v>
      </c>
      <c r="OBC3">
        <f>'[12]Summary Report - 12 Months Endi'!OBB2</f>
        <v>0</v>
      </c>
      <c r="OBD3">
        <f>'[12]Summary Report - 12 Months Endi'!OBC2</f>
        <v>0</v>
      </c>
      <c r="OBE3">
        <f>'[12]Summary Report - 12 Months Endi'!OBD2</f>
        <v>0</v>
      </c>
      <c r="OBF3">
        <f>'[12]Summary Report - 12 Months Endi'!OBE2</f>
        <v>0</v>
      </c>
      <c r="OBG3">
        <f>'[12]Summary Report - 12 Months Endi'!OBF2</f>
        <v>0</v>
      </c>
      <c r="OBH3">
        <f>'[12]Summary Report - 12 Months Endi'!OBG2</f>
        <v>0</v>
      </c>
      <c r="OBI3">
        <f>'[12]Summary Report - 12 Months Endi'!OBH2</f>
        <v>0</v>
      </c>
      <c r="OBJ3">
        <f>'[12]Summary Report - 12 Months Endi'!OBI2</f>
        <v>0</v>
      </c>
      <c r="OBK3">
        <f>'[12]Summary Report - 12 Months Endi'!OBJ2</f>
        <v>0</v>
      </c>
      <c r="OBL3">
        <f>'[12]Summary Report - 12 Months Endi'!OBK2</f>
        <v>0</v>
      </c>
      <c r="OBM3">
        <f>'[12]Summary Report - 12 Months Endi'!OBL2</f>
        <v>0</v>
      </c>
      <c r="OBN3">
        <f>'[12]Summary Report - 12 Months Endi'!OBM2</f>
        <v>0</v>
      </c>
      <c r="OBO3">
        <f>'[12]Summary Report - 12 Months Endi'!OBN2</f>
        <v>0</v>
      </c>
      <c r="OBP3">
        <f>'[12]Summary Report - 12 Months Endi'!OBO2</f>
        <v>0</v>
      </c>
      <c r="OBQ3">
        <f>'[12]Summary Report - 12 Months Endi'!OBP2</f>
        <v>0</v>
      </c>
      <c r="OBR3">
        <f>'[12]Summary Report - 12 Months Endi'!OBQ2</f>
        <v>0</v>
      </c>
      <c r="OBS3">
        <f>'[12]Summary Report - 12 Months Endi'!OBR2</f>
        <v>0</v>
      </c>
      <c r="OBT3">
        <f>'[12]Summary Report - 12 Months Endi'!OBS2</f>
        <v>0</v>
      </c>
      <c r="OBU3">
        <f>'[12]Summary Report - 12 Months Endi'!OBT2</f>
        <v>0</v>
      </c>
      <c r="OBV3">
        <f>'[12]Summary Report - 12 Months Endi'!OBU2</f>
        <v>0</v>
      </c>
      <c r="OBW3">
        <f>'[12]Summary Report - 12 Months Endi'!OBV2</f>
        <v>0</v>
      </c>
      <c r="OBX3">
        <f>'[12]Summary Report - 12 Months Endi'!OBW2</f>
        <v>0</v>
      </c>
      <c r="OBY3">
        <f>'[12]Summary Report - 12 Months Endi'!OBX2</f>
        <v>0</v>
      </c>
      <c r="OBZ3">
        <f>'[12]Summary Report - 12 Months Endi'!OBY2</f>
        <v>0</v>
      </c>
      <c r="OCA3">
        <f>'[12]Summary Report - 12 Months Endi'!OBZ2</f>
        <v>0</v>
      </c>
      <c r="OCB3">
        <f>'[12]Summary Report - 12 Months Endi'!OCA2</f>
        <v>0</v>
      </c>
      <c r="OCC3">
        <f>'[12]Summary Report - 12 Months Endi'!OCB2</f>
        <v>0</v>
      </c>
      <c r="OCD3">
        <f>'[12]Summary Report - 12 Months Endi'!OCC2</f>
        <v>0</v>
      </c>
      <c r="OCE3">
        <f>'[12]Summary Report - 12 Months Endi'!OCD2</f>
        <v>0</v>
      </c>
      <c r="OCF3">
        <f>'[12]Summary Report - 12 Months Endi'!OCE2</f>
        <v>0</v>
      </c>
      <c r="OCG3">
        <f>'[12]Summary Report - 12 Months Endi'!OCF2</f>
        <v>0</v>
      </c>
      <c r="OCH3">
        <f>'[12]Summary Report - 12 Months Endi'!OCG2</f>
        <v>0</v>
      </c>
      <c r="OCI3">
        <f>'[12]Summary Report - 12 Months Endi'!OCH2</f>
        <v>0</v>
      </c>
      <c r="OCJ3">
        <f>'[12]Summary Report - 12 Months Endi'!OCI2</f>
        <v>0</v>
      </c>
      <c r="OCK3">
        <f>'[12]Summary Report - 12 Months Endi'!OCJ2</f>
        <v>0</v>
      </c>
      <c r="OCL3">
        <f>'[12]Summary Report - 12 Months Endi'!OCK2</f>
        <v>0</v>
      </c>
      <c r="OCM3">
        <f>'[12]Summary Report - 12 Months Endi'!OCL2</f>
        <v>0</v>
      </c>
      <c r="OCN3">
        <f>'[12]Summary Report - 12 Months Endi'!OCM2</f>
        <v>0</v>
      </c>
      <c r="OCO3">
        <f>'[12]Summary Report - 12 Months Endi'!OCN2</f>
        <v>0</v>
      </c>
      <c r="OCP3">
        <f>'[12]Summary Report - 12 Months Endi'!OCO2</f>
        <v>0</v>
      </c>
      <c r="OCQ3">
        <f>'[12]Summary Report - 12 Months Endi'!OCP2</f>
        <v>0</v>
      </c>
      <c r="OCR3">
        <f>'[12]Summary Report - 12 Months Endi'!OCQ2</f>
        <v>0</v>
      </c>
      <c r="OCS3">
        <f>'[12]Summary Report - 12 Months Endi'!OCR2</f>
        <v>0</v>
      </c>
      <c r="OCT3">
        <f>'[12]Summary Report - 12 Months Endi'!OCS2</f>
        <v>0</v>
      </c>
      <c r="OCU3">
        <f>'[12]Summary Report - 12 Months Endi'!OCT2</f>
        <v>0</v>
      </c>
      <c r="OCV3">
        <f>'[12]Summary Report - 12 Months Endi'!OCU2</f>
        <v>0</v>
      </c>
      <c r="OCW3">
        <f>'[12]Summary Report - 12 Months Endi'!OCV2</f>
        <v>0</v>
      </c>
      <c r="OCX3">
        <f>'[12]Summary Report - 12 Months Endi'!OCW2</f>
        <v>0</v>
      </c>
      <c r="OCY3">
        <f>'[12]Summary Report - 12 Months Endi'!OCX2</f>
        <v>0</v>
      </c>
      <c r="OCZ3">
        <f>'[12]Summary Report - 12 Months Endi'!OCY2</f>
        <v>0</v>
      </c>
      <c r="ODA3">
        <f>'[12]Summary Report - 12 Months Endi'!OCZ2</f>
        <v>0</v>
      </c>
      <c r="ODB3">
        <f>'[12]Summary Report - 12 Months Endi'!ODA2</f>
        <v>0</v>
      </c>
      <c r="ODC3">
        <f>'[12]Summary Report - 12 Months Endi'!ODB2</f>
        <v>0</v>
      </c>
      <c r="ODD3">
        <f>'[12]Summary Report - 12 Months Endi'!ODC2</f>
        <v>0</v>
      </c>
      <c r="ODE3">
        <f>'[12]Summary Report - 12 Months Endi'!ODD2</f>
        <v>0</v>
      </c>
      <c r="ODF3">
        <f>'[12]Summary Report - 12 Months Endi'!ODE2</f>
        <v>0</v>
      </c>
      <c r="ODG3">
        <f>'[12]Summary Report - 12 Months Endi'!ODF2</f>
        <v>0</v>
      </c>
      <c r="ODH3">
        <f>'[12]Summary Report - 12 Months Endi'!ODG2</f>
        <v>0</v>
      </c>
      <c r="ODI3">
        <f>'[12]Summary Report - 12 Months Endi'!ODH2</f>
        <v>0</v>
      </c>
      <c r="ODJ3">
        <f>'[12]Summary Report - 12 Months Endi'!ODI2</f>
        <v>0</v>
      </c>
      <c r="ODK3">
        <f>'[12]Summary Report - 12 Months Endi'!ODJ2</f>
        <v>0</v>
      </c>
      <c r="ODL3">
        <f>'[12]Summary Report - 12 Months Endi'!ODK2</f>
        <v>0</v>
      </c>
      <c r="ODM3">
        <f>'[12]Summary Report - 12 Months Endi'!ODL2</f>
        <v>0</v>
      </c>
      <c r="ODN3">
        <f>'[12]Summary Report - 12 Months Endi'!ODM2</f>
        <v>0</v>
      </c>
      <c r="ODO3">
        <f>'[12]Summary Report - 12 Months Endi'!ODN2</f>
        <v>0</v>
      </c>
      <c r="ODP3">
        <f>'[12]Summary Report - 12 Months Endi'!ODO2</f>
        <v>0</v>
      </c>
      <c r="ODQ3">
        <f>'[12]Summary Report - 12 Months Endi'!ODP2</f>
        <v>0</v>
      </c>
      <c r="ODR3">
        <f>'[12]Summary Report - 12 Months Endi'!ODQ2</f>
        <v>0</v>
      </c>
      <c r="ODS3">
        <f>'[12]Summary Report - 12 Months Endi'!ODR2</f>
        <v>0</v>
      </c>
      <c r="ODT3">
        <f>'[12]Summary Report - 12 Months Endi'!ODS2</f>
        <v>0</v>
      </c>
      <c r="ODU3">
        <f>'[12]Summary Report - 12 Months Endi'!ODT2</f>
        <v>0</v>
      </c>
      <c r="ODV3">
        <f>'[12]Summary Report - 12 Months Endi'!ODU2</f>
        <v>0</v>
      </c>
      <c r="ODW3">
        <f>'[12]Summary Report - 12 Months Endi'!ODV2</f>
        <v>0</v>
      </c>
      <c r="ODX3">
        <f>'[12]Summary Report - 12 Months Endi'!ODW2</f>
        <v>0</v>
      </c>
      <c r="ODY3">
        <f>'[12]Summary Report - 12 Months Endi'!ODX2</f>
        <v>0</v>
      </c>
      <c r="ODZ3">
        <f>'[12]Summary Report - 12 Months Endi'!ODY2</f>
        <v>0</v>
      </c>
      <c r="OEA3">
        <f>'[12]Summary Report - 12 Months Endi'!ODZ2</f>
        <v>0</v>
      </c>
      <c r="OEB3">
        <f>'[12]Summary Report - 12 Months Endi'!OEA2</f>
        <v>0</v>
      </c>
      <c r="OEC3">
        <f>'[12]Summary Report - 12 Months Endi'!OEB2</f>
        <v>0</v>
      </c>
      <c r="OED3">
        <f>'[12]Summary Report - 12 Months Endi'!OEC2</f>
        <v>0</v>
      </c>
      <c r="OEE3">
        <f>'[12]Summary Report - 12 Months Endi'!OED2</f>
        <v>0</v>
      </c>
      <c r="OEF3">
        <f>'[12]Summary Report - 12 Months Endi'!OEE2</f>
        <v>0</v>
      </c>
      <c r="OEG3">
        <f>'[12]Summary Report - 12 Months Endi'!OEF2</f>
        <v>0</v>
      </c>
      <c r="OEH3">
        <f>'[12]Summary Report - 12 Months Endi'!OEG2</f>
        <v>0</v>
      </c>
      <c r="OEI3">
        <f>'[12]Summary Report - 12 Months Endi'!OEH2</f>
        <v>0</v>
      </c>
      <c r="OEJ3">
        <f>'[12]Summary Report - 12 Months Endi'!OEI2</f>
        <v>0</v>
      </c>
      <c r="OEK3">
        <f>'[12]Summary Report - 12 Months Endi'!OEJ2</f>
        <v>0</v>
      </c>
      <c r="OEL3">
        <f>'[12]Summary Report - 12 Months Endi'!OEK2</f>
        <v>0</v>
      </c>
      <c r="OEM3">
        <f>'[12]Summary Report - 12 Months Endi'!OEL2</f>
        <v>0</v>
      </c>
      <c r="OEN3">
        <f>'[12]Summary Report - 12 Months Endi'!OEM2</f>
        <v>0</v>
      </c>
      <c r="OEO3">
        <f>'[12]Summary Report - 12 Months Endi'!OEN2</f>
        <v>0</v>
      </c>
      <c r="OEP3">
        <f>'[12]Summary Report - 12 Months Endi'!OEO2</f>
        <v>0</v>
      </c>
      <c r="OEQ3">
        <f>'[12]Summary Report - 12 Months Endi'!OEP2</f>
        <v>0</v>
      </c>
      <c r="OER3">
        <f>'[12]Summary Report - 12 Months Endi'!OEQ2</f>
        <v>0</v>
      </c>
      <c r="OES3">
        <f>'[12]Summary Report - 12 Months Endi'!OER2</f>
        <v>0</v>
      </c>
      <c r="OET3">
        <f>'[12]Summary Report - 12 Months Endi'!OES2</f>
        <v>0</v>
      </c>
      <c r="OEU3">
        <f>'[12]Summary Report - 12 Months Endi'!OET2</f>
        <v>0</v>
      </c>
      <c r="OEV3">
        <f>'[12]Summary Report - 12 Months Endi'!OEU2</f>
        <v>0</v>
      </c>
      <c r="OEW3">
        <f>'[12]Summary Report - 12 Months Endi'!OEV2</f>
        <v>0</v>
      </c>
      <c r="OEX3">
        <f>'[12]Summary Report - 12 Months Endi'!OEW2</f>
        <v>0</v>
      </c>
      <c r="OEY3">
        <f>'[12]Summary Report - 12 Months Endi'!OEX2</f>
        <v>0</v>
      </c>
      <c r="OEZ3">
        <f>'[12]Summary Report - 12 Months Endi'!OEY2</f>
        <v>0</v>
      </c>
      <c r="OFA3">
        <f>'[12]Summary Report - 12 Months Endi'!OEZ2</f>
        <v>0</v>
      </c>
      <c r="OFB3">
        <f>'[12]Summary Report - 12 Months Endi'!OFA2</f>
        <v>0</v>
      </c>
      <c r="OFC3">
        <f>'[12]Summary Report - 12 Months Endi'!OFB2</f>
        <v>0</v>
      </c>
      <c r="OFD3">
        <f>'[12]Summary Report - 12 Months Endi'!OFC2</f>
        <v>0</v>
      </c>
      <c r="OFE3">
        <f>'[12]Summary Report - 12 Months Endi'!OFD2</f>
        <v>0</v>
      </c>
      <c r="OFF3">
        <f>'[12]Summary Report - 12 Months Endi'!OFE2</f>
        <v>0</v>
      </c>
      <c r="OFG3">
        <f>'[12]Summary Report - 12 Months Endi'!OFF2</f>
        <v>0</v>
      </c>
      <c r="OFH3">
        <f>'[12]Summary Report - 12 Months Endi'!OFG2</f>
        <v>0</v>
      </c>
      <c r="OFI3">
        <f>'[12]Summary Report - 12 Months Endi'!OFH2</f>
        <v>0</v>
      </c>
      <c r="OFJ3">
        <f>'[12]Summary Report - 12 Months Endi'!OFI2</f>
        <v>0</v>
      </c>
      <c r="OFK3">
        <f>'[12]Summary Report - 12 Months Endi'!OFJ2</f>
        <v>0</v>
      </c>
      <c r="OFL3">
        <f>'[12]Summary Report - 12 Months Endi'!OFK2</f>
        <v>0</v>
      </c>
      <c r="OFM3">
        <f>'[12]Summary Report - 12 Months Endi'!OFL2</f>
        <v>0</v>
      </c>
      <c r="OFN3">
        <f>'[12]Summary Report - 12 Months Endi'!OFM2</f>
        <v>0</v>
      </c>
      <c r="OFO3">
        <f>'[12]Summary Report - 12 Months Endi'!OFN2</f>
        <v>0</v>
      </c>
      <c r="OFP3">
        <f>'[12]Summary Report - 12 Months Endi'!OFO2</f>
        <v>0</v>
      </c>
      <c r="OFQ3">
        <f>'[12]Summary Report - 12 Months Endi'!OFP2</f>
        <v>0</v>
      </c>
      <c r="OFR3">
        <f>'[12]Summary Report - 12 Months Endi'!OFQ2</f>
        <v>0</v>
      </c>
      <c r="OFS3">
        <f>'[12]Summary Report - 12 Months Endi'!OFR2</f>
        <v>0</v>
      </c>
      <c r="OFT3">
        <f>'[12]Summary Report - 12 Months Endi'!OFS2</f>
        <v>0</v>
      </c>
      <c r="OFU3">
        <f>'[12]Summary Report - 12 Months Endi'!OFT2</f>
        <v>0</v>
      </c>
      <c r="OFV3">
        <f>'[12]Summary Report - 12 Months Endi'!OFU2</f>
        <v>0</v>
      </c>
      <c r="OFW3">
        <f>'[12]Summary Report - 12 Months Endi'!OFV2</f>
        <v>0</v>
      </c>
      <c r="OFX3">
        <f>'[12]Summary Report - 12 Months Endi'!OFW2</f>
        <v>0</v>
      </c>
      <c r="OFY3">
        <f>'[12]Summary Report - 12 Months Endi'!OFX2</f>
        <v>0</v>
      </c>
      <c r="OFZ3">
        <f>'[12]Summary Report - 12 Months Endi'!OFY2</f>
        <v>0</v>
      </c>
      <c r="OGA3">
        <f>'[12]Summary Report - 12 Months Endi'!OFZ2</f>
        <v>0</v>
      </c>
      <c r="OGB3">
        <f>'[12]Summary Report - 12 Months Endi'!OGA2</f>
        <v>0</v>
      </c>
      <c r="OGC3">
        <f>'[12]Summary Report - 12 Months Endi'!OGB2</f>
        <v>0</v>
      </c>
      <c r="OGD3">
        <f>'[12]Summary Report - 12 Months Endi'!OGC2</f>
        <v>0</v>
      </c>
      <c r="OGE3">
        <f>'[12]Summary Report - 12 Months Endi'!OGD2</f>
        <v>0</v>
      </c>
      <c r="OGF3">
        <f>'[12]Summary Report - 12 Months Endi'!OGE2</f>
        <v>0</v>
      </c>
      <c r="OGG3">
        <f>'[12]Summary Report - 12 Months Endi'!OGF2</f>
        <v>0</v>
      </c>
      <c r="OGH3">
        <f>'[12]Summary Report - 12 Months Endi'!OGG2</f>
        <v>0</v>
      </c>
      <c r="OGI3">
        <f>'[12]Summary Report - 12 Months Endi'!OGH2</f>
        <v>0</v>
      </c>
      <c r="OGJ3">
        <f>'[12]Summary Report - 12 Months Endi'!OGI2</f>
        <v>0</v>
      </c>
      <c r="OGK3">
        <f>'[12]Summary Report - 12 Months Endi'!OGJ2</f>
        <v>0</v>
      </c>
      <c r="OGL3">
        <f>'[12]Summary Report - 12 Months Endi'!OGK2</f>
        <v>0</v>
      </c>
      <c r="OGM3">
        <f>'[12]Summary Report - 12 Months Endi'!OGL2</f>
        <v>0</v>
      </c>
      <c r="OGN3">
        <f>'[12]Summary Report - 12 Months Endi'!OGM2</f>
        <v>0</v>
      </c>
      <c r="OGO3">
        <f>'[12]Summary Report - 12 Months Endi'!OGN2</f>
        <v>0</v>
      </c>
      <c r="OGP3">
        <f>'[12]Summary Report - 12 Months Endi'!OGO2</f>
        <v>0</v>
      </c>
      <c r="OGQ3">
        <f>'[12]Summary Report - 12 Months Endi'!OGP2</f>
        <v>0</v>
      </c>
      <c r="OGR3">
        <f>'[12]Summary Report - 12 Months Endi'!OGQ2</f>
        <v>0</v>
      </c>
      <c r="OGS3">
        <f>'[12]Summary Report - 12 Months Endi'!OGR2</f>
        <v>0</v>
      </c>
      <c r="OGT3">
        <f>'[12]Summary Report - 12 Months Endi'!OGS2</f>
        <v>0</v>
      </c>
      <c r="OGU3">
        <f>'[12]Summary Report - 12 Months Endi'!OGT2</f>
        <v>0</v>
      </c>
      <c r="OGV3">
        <f>'[12]Summary Report - 12 Months Endi'!OGU2</f>
        <v>0</v>
      </c>
      <c r="OGW3">
        <f>'[12]Summary Report - 12 Months Endi'!OGV2</f>
        <v>0</v>
      </c>
      <c r="OGX3">
        <f>'[12]Summary Report - 12 Months Endi'!OGW2</f>
        <v>0</v>
      </c>
      <c r="OGY3">
        <f>'[12]Summary Report - 12 Months Endi'!OGX2</f>
        <v>0</v>
      </c>
      <c r="OGZ3">
        <f>'[12]Summary Report - 12 Months Endi'!OGY2</f>
        <v>0</v>
      </c>
      <c r="OHA3">
        <f>'[12]Summary Report - 12 Months Endi'!OGZ2</f>
        <v>0</v>
      </c>
      <c r="OHB3">
        <f>'[12]Summary Report - 12 Months Endi'!OHA2</f>
        <v>0</v>
      </c>
      <c r="OHC3">
        <f>'[12]Summary Report - 12 Months Endi'!OHB2</f>
        <v>0</v>
      </c>
      <c r="OHD3">
        <f>'[12]Summary Report - 12 Months Endi'!OHC2</f>
        <v>0</v>
      </c>
      <c r="OHE3">
        <f>'[12]Summary Report - 12 Months Endi'!OHD2</f>
        <v>0</v>
      </c>
      <c r="OHF3">
        <f>'[12]Summary Report - 12 Months Endi'!OHE2</f>
        <v>0</v>
      </c>
      <c r="OHG3">
        <f>'[12]Summary Report - 12 Months Endi'!OHF2</f>
        <v>0</v>
      </c>
      <c r="OHH3">
        <f>'[12]Summary Report - 12 Months Endi'!OHG2</f>
        <v>0</v>
      </c>
      <c r="OHI3">
        <f>'[12]Summary Report - 12 Months Endi'!OHH2</f>
        <v>0</v>
      </c>
      <c r="OHJ3">
        <f>'[12]Summary Report - 12 Months Endi'!OHI2</f>
        <v>0</v>
      </c>
      <c r="OHK3">
        <f>'[12]Summary Report - 12 Months Endi'!OHJ2</f>
        <v>0</v>
      </c>
      <c r="OHL3">
        <f>'[12]Summary Report - 12 Months Endi'!OHK2</f>
        <v>0</v>
      </c>
      <c r="OHM3">
        <f>'[12]Summary Report - 12 Months Endi'!OHL2</f>
        <v>0</v>
      </c>
      <c r="OHN3">
        <f>'[12]Summary Report - 12 Months Endi'!OHM2</f>
        <v>0</v>
      </c>
      <c r="OHO3">
        <f>'[12]Summary Report - 12 Months Endi'!OHN2</f>
        <v>0</v>
      </c>
      <c r="OHP3">
        <f>'[12]Summary Report - 12 Months Endi'!OHO2</f>
        <v>0</v>
      </c>
      <c r="OHQ3">
        <f>'[12]Summary Report - 12 Months Endi'!OHP2</f>
        <v>0</v>
      </c>
      <c r="OHR3">
        <f>'[12]Summary Report - 12 Months Endi'!OHQ2</f>
        <v>0</v>
      </c>
      <c r="OHS3">
        <f>'[12]Summary Report - 12 Months Endi'!OHR2</f>
        <v>0</v>
      </c>
      <c r="OHT3">
        <f>'[12]Summary Report - 12 Months Endi'!OHS2</f>
        <v>0</v>
      </c>
      <c r="OHU3">
        <f>'[12]Summary Report - 12 Months Endi'!OHT2</f>
        <v>0</v>
      </c>
      <c r="OHV3">
        <f>'[12]Summary Report - 12 Months Endi'!OHU2</f>
        <v>0</v>
      </c>
      <c r="OHW3">
        <f>'[12]Summary Report - 12 Months Endi'!OHV2</f>
        <v>0</v>
      </c>
      <c r="OHX3">
        <f>'[12]Summary Report - 12 Months Endi'!OHW2</f>
        <v>0</v>
      </c>
      <c r="OHY3">
        <f>'[12]Summary Report - 12 Months Endi'!OHX2</f>
        <v>0</v>
      </c>
      <c r="OHZ3">
        <f>'[12]Summary Report - 12 Months Endi'!OHY2</f>
        <v>0</v>
      </c>
      <c r="OIA3">
        <f>'[12]Summary Report - 12 Months Endi'!OHZ2</f>
        <v>0</v>
      </c>
      <c r="OIB3">
        <f>'[12]Summary Report - 12 Months Endi'!OIA2</f>
        <v>0</v>
      </c>
      <c r="OIC3">
        <f>'[12]Summary Report - 12 Months Endi'!OIB2</f>
        <v>0</v>
      </c>
      <c r="OID3">
        <f>'[12]Summary Report - 12 Months Endi'!OIC2</f>
        <v>0</v>
      </c>
      <c r="OIE3">
        <f>'[12]Summary Report - 12 Months Endi'!OID2</f>
        <v>0</v>
      </c>
      <c r="OIF3">
        <f>'[12]Summary Report - 12 Months Endi'!OIE2</f>
        <v>0</v>
      </c>
      <c r="OIG3">
        <f>'[12]Summary Report - 12 Months Endi'!OIF2</f>
        <v>0</v>
      </c>
      <c r="OIH3">
        <f>'[12]Summary Report - 12 Months Endi'!OIG2</f>
        <v>0</v>
      </c>
      <c r="OII3">
        <f>'[12]Summary Report - 12 Months Endi'!OIH2</f>
        <v>0</v>
      </c>
      <c r="OIJ3">
        <f>'[12]Summary Report - 12 Months Endi'!OII2</f>
        <v>0</v>
      </c>
      <c r="OIK3">
        <f>'[12]Summary Report - 12 Months Endi'!OIJ2</f>
        <v>0</v>
      </c>
      <c r="OIL3">
        <f>'[12]Summary Report - 12 Months Endi'!OIK2</f>
        <v>0</v>
      </c>
      <c r="OIM3">
        <f>'[12]Summary Report - 12 Months Endi'!OIL2</f>
        <v>0</v>
      </c>
      <c r="OIN3">
        <f>'[12]Summary Report - 12 Months Endi'!OIM2</f>
        <v>0</v>
      </c>
      <c r="OIO3">
        <f>'[12]Summary Report - 12 Months Endi'!OIN2</f>
        <v>0</v>
      </c>
      <c r="OIP3">
        <f>'[12]Summary Report - 12 Months Endi'!OIO2</f>
        <v>0</v>
      </c>
      <c r="OIQ3">
        <f>'[12]Summary Report - 12 Months Endi'!OIP2</f>
        <v>0</v>
      </c>
      <c r="OIR3">
        <f>'[12]Summary Report - 12 Months Endi'!OIQ2</f>
        <v>0</v>
      </c>
      <c r="OIS3">
        <f>'[12]Summary Report - 12 Months Endi'!OIR2</f>
        <v>0</v>
      </c>
      <c r="OIT3">
        <f>'[12]Summary Report - 12 Months Endi'!OIS2</f>
        <v>0</v>
      </c>
      <c r="OIU3">
        <f>'[12]Summary Report - 12 Months Endi'!OIT2</f>
        <v>0</v>
      </c>
      <c r="OIV3">
        <f>'[12]Summary Report - 12 Months Endi'!OIU2</f>
        <v>0</v>
      </c>
      <c r="OIW3">
        <f>'[12]Summary Report - 12 Months Endi'!OIV2</f>
        <v>0</v>
      </c>
      <c r="OIX3">
        <f>'[12]Summary Report - 12 Months Endi'!OIW2</f>
        <v>0</v>
      </c>
      <c r="OIY3">
        <f>'[12]Summary Report - 12 Months Endi'!OIX2</f>
        <v>0</v>
      </c>
      <c r="OIZ3">
        <f>'[12]Summary Report - 12 Months Endi'!OIY2</f>
        <v>0</v>
      </c>
      <c r="OJA3">
        <f>'[12]Summary Report - 12 Months Endi'!OIZ2</f>
        <v>0</v>
      </c>
      <c r="OJB3">
        <f>'[12]Summary Report - 12 Months Endi'!OJA2</f>
        <v>0</v>
      </c>
      <c r="OJC3">
        <f>'[12]Summary Report - 12 Months Endi'!OJB2</f>
        <v>0</v>
      </c>
      <c r="OJD3">
        <f>'[12]Summary Report - 12 Months Endi'!OJC2</f>
        <v>0</v>
      </c>
      <c r="OJE3">
        <f>'[12]Summary Report - 12 Months Endi'!OJD2</f>
        <v>0</v>
      </c>
      <c r="OJF3">
        <f>'[12]Summary Report - 12 Months Endi'!OJE2</f>
        <v>0</v>
      </c>
      <c r="OJG3">
        <f>'[12]Summary Report - 12 Months Endi'!OJF2</f>
        <v>0</v>
      </c>
      <c r="OJH3">
        <f>'[12]Summary Report - 12 Months Endi'!OJG2</f>
        <v>0</v>
      </c>
      <c r="OJI3">
        <f>'[12]Summary Report - 12 Months Endi'!OJH2</f>
        <v>0</v>
      </c>
      <c r="OJJ3">
        <f>'[12]Summary Report - 12 Months Endi'!OJI2</f>
        <v>0</v>
      </c>
      <c r="OJK3">
        <f>'[12]Summary Report - 12 Months Endi'!OJJ2</f>
        <v>0</v>
      </c>
      <c r="OJL3">
        <f>'[12]Summary Report - 12 Months Endi'!OJK2</f>
        <v>0</v>
      </c>
      <c r="OJM3">
        <f>'[12]Summary Report - 12 Months Endi'!OJL2</f>
        <v>0</v>
      </c>
      <c r="OJN3">
        <f>'[12]Summary Report - 12 Months Endi'!OJM2</f>
        <v>0</v>
      </c>
      <c r="OJO3">
        <f>'[12]Summary Report - 12 Months Endi'!OJN2</f>
        <v>0</v>
      </c>
      <c r="OJP3">
        <f>'[12]Summary Report - 12 Months Endi'!OJO2</f>
        <v>0</v>
      </c>
      <c r="OJQ3">
        <f>'[12]Summary Report - 12 Months Endi'!OJP2</f>
        <v>0</v>
      </c>
      <c r="OJR3">
        <f>'[12]Summary Report - 12 Months Endi'!OJQ2</f>
        <v>0</v>
      </c>
      <c r="OJS3">
        <f>'[12]Summary Report - 12 Months Endi'!OJR2</f>
        <v>0</v>
      </c>
      <c r="OJT3">
        <f>'[12]Summary Report - 12 Months Endi'!OJS2</f>
        <v>0</v>
      </c>
      <c r="OJU3">
        <f>'[12]Summary Report - 12 Months Endi'!OJT2</f>
        <v>0</v>
      </c>
      <c r="OJV3">
        <f>'[12]Summary Report - 12 Months Endi'!OJU2</f>
        <v>0</v>
      </c>
      <c r="OJW3">
        <f>'[12]Summary Report - 12 Months Endi'!OJV2</f>
        <v>0</v>
      </c>
      <c r="OJX3">
        <f>'[12]Summary Report - 12 Months Endi'!OJW2</f>
        <v>0</v>
      </c>
      <c r="OJY3">
        <f>'[12]Summary Report - 12 Months Endi'!OJX2</f>
        <v>0</v>
      </c>
      <c r="OJZ3">
        <f>'[12]Summary Report - 12 Months Endi'!OJY2</f>
        <v>0</v>
      </c>
      <c r="OKA3">
        <f>'[12]Summary Report - 12 Months Endi'!OJZ2</f>
        <v>0</v>
      </c>
      <c r="OKB3">
        <f>'[12]Summary Report - 12 Months Endi'!OKA2</f>
        <v>0</v>
      </c>
      <c r="OKC3">
        <f>'[12]Summary Report - 12 Months Endi'!OKB2</f>
        <v>0</v>
      </c>
      <c r="OKD3">
        <f>'[12]Summary Report - 12 Months Endi'!OKC2</f>
        <v>0</v>
      </c>
      <c r="OKE3">
        <f>'[12]Summary Report - 12 Months Endi'!OKD2</f>
        <v>0</v>
      </c>
      <c r="OKF3">
        <f>'[12]Summary Report - 12 Months Endi'!OKE2</f>
        <v>0</v>
      </c>
      <c r="OKG3">
        <f>'[12]Summary Report - 12 Months Endi'!OKF2</f>
        <v>0</v>
      </c>
      <c r="OKH3">
        <f>'[12]Summary Report - 12 Months Endi'!OKG2</f>
        <v>0</v>
      </c>
      <c r="OKI3">
        <f>'[12]Summary Report - 12 Months Endi'!OKH2</f>
        <v>0</v>
      </c>
      <c r="OKJ3">
        <f>'[12]Summary Report - 12 Months Endi'!OKI2</f>
        <v>0</v>
      </c>
      <c r="OKK3">
        <f>'[12]Summary Report - 12 Months Endi'!OKJ2</f>
        <v>0</v>
      </c>
      <c r="OKL3">
        <f>'[12]Summary Report - 12 Months Endi'!OKK2</f>
        <v>0</v>
      </c>
      <c r="OKM3">
        <f>'[12]Summary Report - 12 Months Endi'!OKL2</f>
        <v>0</v>
      </c>
      <c r="OKN3">
        <f>'[12]Summary Report - 12 Months Endi'!OKM2</f>
        <v>0</v>
      </c>
      <c r="OKO3">
        <f>'[12]Summary Report - 12 Months Endi'!OKN2</f>
        <v>0</v>
      </c>
      <c r="OKP3">
        <f>'[12]Summary Report - 12 Months Endi'!OKO2</f>
        <v>0</v>
      </c>
      <c r="OKQ3">
        <f>'[12]Summary Report - 12 Months Endi'!OKP2</f>
        <v>0</v>
      </c>
      <c r="OKR3">
        <f>'[12]Summary Report - 12 Months Endi'!OKQ2</f>
        <v>0</v>
      </c>
      <c r="OKS3">
        <f>'[12]Summary Report - 12 Months Endi'!OKR2</f>
        <v>0</v>
      </c>
      <c r="OKT3">
        <f>'[12]Summary Report - 12 Months Endi'!OKS2</f>
        <v>0</v>
      </c>
      <c r="OKU3">
        <f>'[12]Summary Report - 12 Months Endi'!OKT2</f>
        <v>0</v>
      </c>
      <c r="OKV3">
        <f>'[12]Summary Report - 12 Months Endi'!OKU2</f>
        <v>0</v>
      </c>
      <c r="OKW3">
        <f>'[12]Summary Report - 12 Months Endi'!OKV2</f>
        <v>0</v>
      </c>
      <c r="OKX3">
        <f>'[12]Summary Report - 12 Months Endi'!OKW2</f>
        <v>0</v>
      </c>
      <c r="OKY3">
        <f>'[12]Summary Report - 12 Months Endi'!OKX2</f>
        <v>0</v>
      </c>
      <c r="OKZ3">
        <f>'[12]Summary Report - 12 Months Endi'!OKY2</f>
        <v>0</v>
      </c>
      <c r="OLA3">
        <f>'[12]Summary Report - 12 Months Endi'!OKZ2</f>
        <v>0</v>
      </c>
      <c r="OLB3">
        <f>'[12]Summary Report - 12 Months Endi'!OLA2</f>
        <v>0</v>
      </c>
      <c r="OLC3">
        <f>'[12]Summary Report - 12 Months Endi'!OLB2</f>
        <v>0</v>
      </c>
      <c r="OLD3">
        <f>'[12]Summary Report - 12 Months Endi'!OLC2</f>
        <v>0</v>
      </c>
      <c r="OLE3">
        <f>'[12]Summary Report - 12 Months Endi'!OLD2</f>
        <v>0</v>
      </c>
      <c r="OLF3">
        <f>'[12]Summary Report - 12 Months Endi'!OLE2</f>
        <v>0</v>
      </c>
      <c r="OLG3">
        <f>'[12]Summary Report - 12 Months Endi'!OLF2</f>
        <v>0</v>
      </c>
      <c r="OLH3">
        <f>'[12]Summary Report - 12 Months Endi'!OLG2</f>
        <v>0</v>
      </c>
      <c r="OLI3">
        <f>'[12]Summary Report - 12 Months Endi'!OLH2</f>
        <v>0</v>
      </c>
      <c r="OLJ3">
        <f>'[12]Summary Report - 12 Months Endi'!OLI2</f>
        <v>0</v>
      </c>
      <c r="OLK3">
        <f>'[12]Summary Report - 12 Months Endi'!OLJ2</f>
        <v>0</v>
      </c>
      <c r="OLL3">
        <f>'[12]Summary Report - 12 Months Endi'!OLK2</f>
        <v>0</v>
      </c>
      <c r="OLM3">
        <f>'[12]Summary Report - 12 Months Endi'!OLL2</f>
        <v>0</v>
      </c>
      <c r="OLN3">
        <f>'[12]Summary Report - 12 Months Endi'!OLM2</f>
        <v>0</v>
      </c>
      <c r="OLO3">
        <f>'[12]Summary Report - 12 Months Endi'!OLN2</f>
        <v>0</v>
      </c>
      <c r="OLP3">
        <f>'[12]Summary Report - 12 Months Endi'!OLO2</f>
        <v>0</v>
      </c>
      <c r="OLQ3">
        <f>'[12]Summary Report - 12 Months Endi'!OLP2</f>
        <v>0</v>
      </c>
      <c r="OLR3">
        <f>'[12]Summary Report - 12 Months Endi'!OLQ2</f>
        <v>0</v>
      </c>
      <c r="OLS3">
        <f>'[12]Summary Report - 12 Months Endi'!OLR2</f>
        <v>0</v>
      </c>
      <c r="OLT3">
        <f>'[12]Summary Report - 12 Months Endi'!OLS2</f>
        <v>0</v>
      </c>
      <c r="OLU3">
        <f>'[12]Summary Report - 12 Months Endi'!OLT2</f>
        <v>0</v>
      </c>
      <c r="OLV3">
        <f>'[12]Summary Report - 12 Months Endi'!OLU2</f>
        <v>0</v>
      </c>
      <c r="OLW3">
        <f>'[12]Summary Report - 12 Months Endi'!OLV2</f>
        <v>0</v>
      </c>
      <c r="OLX3">
        <f>'[12]Summary Report - 12 Months Endi'!OLW2</f>
        <v>0</v>
      </c>
      <c r="OLY3">
        <f>'[12]Summary Report - 12 Months Endi'!OLX2</f>
        <v>0</v>
      </c>
      <c r="OLZ3">
        <f>'[12]Summary Report - 12 Months Endi'!OLY2</f>
        <v>0</v>
      </c>
      <c r="OMA3">
        <f>'[12]Summary Report - 12 Months Endi'!OLZ2</f>
        <v>0</v>
      </c>
      <c r="OMB3">
        <f>'[12]Summary Report - 12 Months Endi'!OMA2</f>
        <v>0</v>
      </c>
      <c r="OMC3">
        <f>'[12]Summary Report - 12 Months Endi'!OMB2</f>
        <v>0</v>
      </c>
      <c r="OMD3">
        <f>'[12]Summary Report - 12 Months Endi'!OMC2</f>
        <v>0</v>
      </c>
      <c r="OME3">
        <f>'[12]Summary Report - 12 Months Endi'!OMD2</f>
        <v>0</v>
      </c>
      <c r="OMF3">
        <f>'[12]Summary Report - 12 Months Endi'!OME2</f>
        <v>0</v>
      </c>
      <c r="OMG3">
        <f>'[12]Summary Report - 12 Months Endi'!OMF2</f>
        <v>0</v>
      </c>
      <c r="OMH3">
        <f>'[12]Summary Report - 12 Months Endi'!OMG2</f>
        <v>0</v>
      </c>
      <c r="OMI3">
        <f>'[12]Summary Report - 12 Months Endi'!OMH2</f>
        <v>0</v>
      </c>
      <c r="OMJ3">
        <f>'[12]Summary Report - 12 Months Endi'!OMI2</f>
        <v>0</v>
      </c>
      <c r="OMK3">
        <f>'[12]Summary Report - 12 Months Endi'!OMJ2</f>
        <v>0</v>
      </c>
      <c r="OML3">
        <f>'[12]Summary Report - 12 Months Endi'!OMK2</f>
        <v>0</v>
      </c>
      <c r="OMM3">
        <f>'[12]Summary Report - 12 Months Endi'!OML2</f>
        <v>0</v>
      </c>
      <c r="OMN3">
        <f>'[12]Summary Report - 12 Months Endi'!OMM2</f>
        <v>0</v>
      </c>
      <c r="OMO3">
        <f>'[12]Summary Report - 12 Months Endi'!OMN2</f>
        <v>0</v>
      </c>
      <c r="OMP3">
        <f>'[12]Summary Report - 12 Months Endi'!OMO2</f>
        <v>0</v>
      </c>
      <c r="OMQ3">
        <f>'[12]Summary Report - 12 Months Endi'!OMP2</f>
        <v>0</v>
      </c>
      <c r="OMR3">
        <f>'[12]Summary Report - 12 Months Endi'!OMQ2</f>
        <v>0</v>
      </c>
      <c r="OMS3">
        <f>'[12]Summary Report - 12 Months Endi'!OMR2</f>
        <v>0</v>
      </c>
      <c r="OMT3">
        <f>'[12]Summary Report - 12 Months Endi'!OMS2</f>
        <v>0</v>
      </c>
      <c r="OMU3">
        <f>'[12]Summary Report - 12 Months Endi'!OMT2</f>
        <v>0</v>
      </c>
      <c r="OMV3">
        <f>'[12]Summary Report - 12 Months Endi'!OMU2</f>
        <v>0</v>
      </c>
      <c r="OMW3">
        <f>'[12]Summary Report - 12 Months Endi'!OMV2</f>
        <v>0</v>
      </c>
      <c r="OMX3">
        <f>'[12]Summary Report - 12 Months Endi'!OMW2</f>
        <v>0</v>
      </c>
      <c r="OMY3">
        <f>'[12]Summary Report - 12 Months Endi'!OMX2</f>
        <v>0</v>
      </c>
      <c r="OMZ3">
        <f>'[12]Summary Report - 12 Months Endi'!OMY2</f>
        <v>0</v>
      </c>
      <c r="ONA3">
        <f>'[12]Summary Report - 12 Months Endi'!OMZ2</f>
        <v>0</v>
      </c>
      <c r="ONB3">
        <f>'[12]Summary Report - 12 Months Endi'!ONA2</f>
        <v>0</v>
      </c>
      <c r="ONC3">
        <f>'[12]Summary Report - 12 Months Endi'!ONB2</f>
        <v>0</v>
      </c>
      <c r="OND3">
        <f>'[12]Summary Report - 12 Months Endi'!ONC2</f>
        <v>0</v>
      </c>
      <c r="ONE3">
        <f>'[12]Summary Report - 12 Months Endi'!OND2</f>
        <v>0</v>
      </c>
      <c r="ONF3">
        <f>'[12]Summary Report - 12 Months Endi'!ONE2</f>
        <v>0</v>
      </c>
      <c r="ONG3">
        <f>'[12]Summary Report - 12 Months Endi'!ONF2</f>
        <v>0</v>
      </c>
      <c r="ONH3">
        <f>'[12]Summary Report - 12 Months Endi'!ONG2</f>
        <v>0</v>
      </c>
      <c r="ONI3">
        <f>'[12]Summary Report - 12 Months Endi'!ONH2</f>
        <v>0</v>
      </c>
      <c r="ONJ3">
        <f>'[12]Summary Report - 12 Months Endi'!ONI2</f>
        <v>0</v>
      </c>
      <c r="ONK3">
        <f>'[12]Summary Report - 12 Months Endi'!ONJ2</f>
        <v>0</v>
      </c>
      <c r="ONL3">
        <f>'[12]Summary Report - 12 Months Endi'!ONK2</f>
        <v>0</v>
      </c>
      <c r="ONM3">
        <f>'[12]Summary Report - 12 Months Endi'!ONL2</f>
        <v>0</v>
      </c>
      <c r="ONN3">
        <f>'[12]Summary Report - 12 Months Endi'!ONM2</f>
        <v>0</v>
      </c>
      <c r="ONO3">
        <f>'[12]Summary Report - 12 Months Endi'!ONN2</f>
        <v>0</v>
      </c>
      <c r="ONP3">
        <f>'[12]Summary Report - 12 Months Endi'!ONO2</f>
        <v>0</v>
      </c>
      <c r="ONQ3">
        <f>'[12]Summary Report - 12 Months Endi'!ONP2</f>
        <v>0</v>
      </c>
      <c r="ONR3">
        <f>'[12]Summary Report - 12 Months Endi'!ONQ2</f>
        <v>0</v>
      </c>
      <c r="ONS3">
        <f>'[12]Summary Report - 12 Months Endi'!ONR2</f>
        <v>0</v>
      </c>
      <c r="ONT3">
        <f>'[12]Summary Report - 12 Months Endi'!ONS2</f>
        <v>0</v>
      </c>
      <c r="ONU3">
        <f>'[12]Summary Report - 12 Months Endi'!ONT2</f>
        <v>0</v>
      </c>
      <c r="ONV3">
        <f>'[12]Summary Report - 12 Months Endi'!ONU2</f>
        <v>0</v>
      </c>
      <c r="ONW3">
        <f>'[12]Summary Report - 12 Months Endi'!ONV2</f>
        <v>0</v>
      </c>
      <c r="ONX3">
        <f>'[12]Summary Report - 12 Months Endi'!ONW2</f>
        <v>0</v>
      </c>
      <c r="ONY3">
        <f>'[12]Summary Report - 12 Months Endi'!ONX2</f>
        <v>0</v>
      </c>
      <c r="ONZ3">
        <f>'[12]Summary Report - 12 Months Endi'!ONY2</f>
        <v>0</v>
      </c>
      <c r="OOA3">
        <f>'[12]Summary Report - 12 Months Endi'!ONZ2</f>
        <v>0</v>
      </c>
      <c r="OOB3">
        <f>'[12]Summary Report - 12 Months Endi'!OOA2</f>
        <v>0</v>
      </c>
      <c r="OOC3">
        <f>'[12]Summary Report - 12 Months Endi'!OOB2</f>
        <v>0</v>
      </c>
      <c r="OOD3">
        <f>'[12]Summary Report - 12 Months Endi'!OOC2</f>
        <v>0</v>
      </c>
      <c r="OOE3">
        <f>'[12]Summary Report - 12 Months Endi'!OOD2</f>
        <v>0</v>
      </c>
      <c r="OOF3">
        <f>'[12]Summary Report - 12 Months Endi'!OOE2</f>
        <v>0</v>
      </c>
      <c r="OOG3">
        <f>'[12]Summary Report - 12 Months Endi'!OOF2</f>
        <v>0</v>
      </c>
      <c r="OOH3">
        <f>'[12]Summary Report - 12 Months Endi'!OOG2</f>
        <v>0</v>
      </c>
      <c r="OOI3">
        <f>'[12]Summary Report - 12 Months Endi'!OOH2</f>
        <v>0</v>
      </c>
      <c r="OOJ3">
        <f>'[12]Summary Report - 12 Months Endi'!OOI2</f>
        <v>0</v>
      </c>
      <c r="OOK3">
        <f>'[12]Summary Report - 12 Months Endi'!OOJ2</f>
        <v>0</v>
      </c>
      <c r="OOL3">
        <f>'[12]Summary Report - 12 Months Endi'!OOK2</f>
        <v>0</v>
      </c>
      <c r="OOM3">
        <f>'[12]Summary Report - 12 Months Endi'!OOL2</f>
        <v>0</v>
      </c>
      <c r="OON3">
        <f>'[12]Summary Report - 12 Months Endi'!OOM2</f>
        <v>0</v>
      </c>
      <c r="OOO3">
        <f>'[12]Summary Report - 12 Months Endi'!OON2</f>
        <v>0</v>
      </c>
      <c r="OOP3">
        <f>'[12]Summary Report - 12 Months Endi'!OOO2</f>
        <v>0</v>
      </c>
      <c r="OOQ3">
        <f>'[12]Summary Report - 12 Months Endi'!OOP2</f>
        <v>0</v>
      </c>
      <c r="OOR3">
        <f>'[12]Summary Report - 12 Months Endi'!OOQ2</f>
        <v>0</v>
      </c>
      <c r="OOS3">
        <f>'[12]Summary Report - 12 Months Endi'!OOR2</f>
        <v>0</v>
      </c>
      <c r="OOT3">
        <f>'[12]Summary Report - 12 Months Endi'!OOS2</f>
        <v>0</v>
      </c>
      <c r="OOU3">
        <f>'[12]Summary Report - 12 Months Endi'!OOT2</f>
        <v>0</v>
      </c>
      <c r="OOV3">
        <f>'[12]Summary Report - 12 Months Endi'!OOU2</f>
        <v>0</v>
      </c>
      <c r="OOW3">
        <f>'[12]Summary Report - 12 Months Endi'!OOV2</f>
        <v>0</v>
      </c>
      <c r="OOX3">
        <f>'[12]Summary Report - 12 Months Endi'!OOW2</f>
        <v>0</v>
      </c>
      <c r="OOY3">
        <f>'[12]Summary Report - 12 Months Endi'!OOX2</f>
        <v>0</v>
      </c>
      <c r="OOZ3">
        <f>'[12]Summary Report - 12 Months Endi'!OOY2</f>
        <v>0</v>
      </c>
      <c r="OPA3">
        <f>'[12]Summary Report - 12 Months Endi'!OOZ2</f>
        <v>0</v>
      </c>
      <c r="OPB3">
        <f>'[12]Summary Report - 12 Months Endi'!OPA2</f>
        <v>0</v>
      </c>
      <c r="OPC3">
        <f>'[12]Summary Report - 12 Months Endi'!OPB2</f>
        <v>0</v>
      </c>
      <c r="OPD3">
        <f>'[12]Summary Report - 12 Months Endi'!OPC2</f>
        <v>0</v>
      </c>
      <c r="OPE3">
        <f>'[12]Summary Report - 12 Months Endi'!OPD2</f>
        <v>0</v>
      </c>
      <c r="OPF3">
        <f>'[12]Summary Report - 12 Months Endi'!OPE2</f>
        <v>0</v>
      </c>
      <c r="OPG3">
        <f>'[12]Summary Report - 12 Months Endi'!OPF2</f>
        <v>0</v>
      </c>
      <c r="OPH3">
        <f>'[12]Summary Report - 12 Months Endi'!OPG2</f>
        <v>0</v>
      </c>
      <c r="OPI3">
        <f>'[12]Summary Report - 12 Months Endi'!OPH2</f>
        <v>0</v>
      </c>
      <c r="OPJ3">
        <f>'[12]Summary Report - 12 Months Endi'!OPI2</f>
        <v>0</v>
      </c>
      <c r="OPK3">
        <f>'[12]Summary Report - 12 Months Endi'!OPJ2</f>
        <v>0</v>
      </c>
      <c r="OPL3">
        <f>'[12]Summary Report - 12 Months Endi'!OPK2</f>
        <v>0</v>
      </c>
      <c r="OPM3">
        <f>'[12]Summary Report - 12 Months Endi'!OPL2</f>
        <v>0</v>
      </c>
      <c r="OPN3">
        <f>'[12]Summary Report - 12 Months Endi'!OPM2</f>
        <v>0</v>
      </c>
      <c r="OPO3">
        <f>'[12]Summary Report - 12 Months Endi'!OPN2</f>
        <v>0</v>
      </c>
      <c r="OPP3">
        <f>'[12]Summary Report - 12 Months Endi'!OPO2</f>
        <v>0</v>
      </c>
      <c r="OPQ3">
        <f>'[12]Summary Report - 12 Months Endi'!OPP2</f>
        <v>0</v>
      </c>
      <c r="OPR3">
        <f>'[12]Summary Report - 12 Months Endi'!OPQ2</f>
        <v>0</v>
      </c>
      <c r="OPS3">
        <f>'[12]Summary Report - 12 Months Endi'!OPR2</f>
        <v>0</v>
      </c>
      <c r="OPT3">
        <f>'[12]Summary Report - 12 Months Endi'!OPS2</f>
        <v>0</v>
      </c>
      <c r="OPU3">
        <f>'[12]Summary Report - 12 Months Endi'!OPT2</f>
        <v>0</v>
      </c>
      <c r="OPV3">
        <f>'[12]Summary Report - 12 Months Endi'!OPU2</f>
        <v>0</v>
      </c>
      <c r="OPW3">
        <f>'[12]Summary Report - 12 Months Endi'!OPV2</f>
        <v>0</v>
      </c>
      <c r="OPX3">
        <f>'[12]Summary Report - 12 Months Endi'!OPW2</f>
        <v>0</v>
      </c>
      <c r="OPY3">
        <f>'[12]Summary Report - 12 Months Endi'!OPX2</f>
        <v>0</v>
      </c>
      <c r="OPZ3">
        <f>'[12]Summary Report - 12 Months Endi'!OPY2</f>
        <v>0</v>
      </c>
      <c r="OQA3">
        <f>'[12]Summary Report - 12 Months Endi'!OPZ2</f>
        <v>0</v>
      </c>
      <c r="OQB3">
        <f>'[12]Summary Report - 12 Months Endi'!OQA2</f>
        <v>0</v>
      </c>
      <c r="OQC3">
        <f>'[12]Summary Report - 12 Months Endi'!OQB2</f>
        <v>0</v>
      </c>
      <c r="OQD3">
        <f>'[12]Summary Report - 12 Months Endi'!OQC2</f>
        <v>0</v>
      </c>
      <c r="OQE3">
        <f>'[12]Summary Report - 12 Months Endi'!OQD2</f>
        <v>0</v>
      </c>
      <c r="OQF3">
        <f>'[12]Summary Report - 12 Months Endi'!OQE2</f>
        <v>0</v>
      </c>
      <c r="OQG3">
        <f>'[12]Summary Report - 12 Months Endi'!OQF2</f>
        <v>0</v>
      </c>
      <c r="OQH3">
        <f>'[12]Summary Report - 12 Months Endi'!OQG2</f>
        <v>0</v>
      </c>
      <c r="OQI3">
        <f>'[12]Summary Report - 12 Months Endi'!OQH2</f>
        <v>0</v>
      </c>
      <c r="OQJ3">
        <f>'[12]Summary Report - 12 Months Endi'!OQI2</f>
        <v>0</v>
      </c>
      <c r="OQK3">
        <f>'[12]Summary Report - 12 Months Endi'!OQJ2</f>
        <v>0</v>
      </c>
      <c r="OQL3">
        <f>'[12]Summary Report - 12 Months Endi'!OQK2</f>
        <v>0</v>
      </c>
      <c r="OQM3">
        <f>'[12]Summary Report - 12 Months Endi'!OQL2</f>
        <v>0</v>
      </c>
      <c r="OQN3">
        <f>'[12]Summary Report - 12 Months Endi'!OQM2</f>
        <v>0</v>
      </c>
      <c r="OQO3">
        <f>'[12]Summary Report - 12 Months Endi'!OQN2</f>
        <v>0</v>
      </c>
      <c r="OQP3">
        <f>'[12]Summary Report - 12 Months Endi'!OQO2</f>
        <v>0</v>
      </c>
      <c r="OQQ3">
        <f>'[12]Summary Report - 12 Months Endi'!OQP2</f>
        <v>0</v>
      </c>
      <c r="OQR3">
        <f>'[12]Summary Report - 12 Months Endi'!OQQ2</f>
        <v>0</v>
      </c>
      <c r="OQS3">
        <f>'[12]Summary Report - 12 Months Endi'!OQR2</f>
        <v>0</v>
      </c>
      <c r="OQT3">
        <f>'[12]Summary Report - 12 Months Endi'!OQS2</f>
        <v>0</v>
      </c>
      <c r="OQU3">
        <f>'[12]Summary Report - 12 Months Endi'!OQT2</f>
        <v>0</v>
      </c>
      <c r="OQV3">
        <f>'[12]Summary Report - 12 Months Endi'!OQU2</f>
        <v>0</v>
      </c>
      <c r="OQW3">
        <f>'[12]Summary Report - 12 Months Endi'!OQV2</f>
        <v>0</v>
      </c>
      <c r="OQX3">
        <f>'[12]Summary Report - 12 Months Endi'!OQW2</f>
        <v>0</v>
      </c>
      <c r="OQY3">
        <f>'[12]Summary Report - 12 Months Endi'!OQX2</f>
        <v>0</v>
      </c>
      <c r="OQZ3">
        <f>'[12]Summary Report - 12 Months Endi'!OQY2</f>
        <v>0</v>
      </c>
      <c r="ORA3">
        <f>'[12]Summary Report - 12 Months Endi'!OQZ2</f>
        <v>0</v>
      </c>
      <c r="ORB3">
        <f>'[12]Summary Report - 12 Months Endi'!ORA2</f>
        <v>0</v>
      </c>
      <c r="ORC3">
        <f>'[12]Summary Report - 12 Months Endi'!ORB2</f>
        <v>0</v>
      </c>
      <c r="ORD3">
        <f>'[12]Summary Report - 12 Months Endi'!ORC2</f>
        <v>0</v>
      </c>
      <c r="ORE3">
        <f>'[12]Summary Report - 12 Months Endi'!ORD2</f>
        <v>0</v>
      </c>
      <c r="ORF3">
        <f>'[12]Summary Report - 12 Months Endi'!ORE2</f>
        <v>0</v>
      </c>
      <c r="ORG3">
        <f>'[12]Summary Report - 12 Months Endi'!ORF2</f>
        <v>0</v>
      </c>
      <c r="ORH3">
        <f>'[12]Summary Report - 12 Months Endi'!ORG2</f>
        <v>0</v>
      </c>
      <c r="ORI3">
        <f>'[12]Summary Report - 12 Months Endi'!ORH2</f>
        <v>0</v>
      </c>
      <c r="ORJ3">
        <f>'[12]Summary Report - 12 Months Endi'!ORI2</f>
        <v>0</v>
      </c>
      <c r="ORK3">
        <f>'[12]Summary Report - 12 Months Endi'!ORJ2</f>
        <v>0</v>
      </c>
      <c r="ORL3">
        <f>'[12]Summary Report - 12 Months Endi'!ORK2</f>
        <v>0</v>
      </c>
      <c r="ORM3">
        <f>'[12]Summary Report - 12 Months Endi'!ORL2</f>
        <v>0</v>
      </c>
      <c r="ORN3">
        <f>'[12]Summary Report - 12 Months Endi'!ORM2</f>
        <v>0</v>
      </c>
      <c r="ORO3">
        <f>'[12]Summary Report - 12 Months Endi'!ORN2</f>
        <v>0</v>
      </c>
      <c r="ORP3">
        <f>'[12]Summary Report - 12 Months Endi'!ORO2</f>
        <v>0</v>
      </c>
      <c r="ORQ3">
        <f>'[12]Summary Report - 12 Months Endi'!ORP2</f>
        <v>0</v>
      </c>
      <c r="ORR3">
        <f>'[12]Summary Report - 12 Months Endi'!ORQ2</f>
        <v>0</v>
      </c>
      <c r="ORS3">
        <f>'[12]Summary Report - 12 Months Endi'!ORR2</f>
        <v>0</v>
      </c>
      <c r="ORT3">
        <f>'[12]Summary Report - 12 Months Endi'!ORS2</f>
        <v>0</v>
      </c>
      <c r="ORU3">
        <f>'[12]Summary Report - 12 Months Endi'!ORT2</f>
        <v>0</v>
      </c>
      <c r="ORV3">
        <f>'[12]Summary Report - 12 Months Endi'!ORU2</f>
        <v>0</v>
      </c>
      <c r="ORW3">
        <f>'[12]Summary Report - 12 Months Endi'!ORV2</f>
        <v>0</v>
      </c>
      <c r="ORX3">
        <f>'[12]Summary Report - 12 Months Endi'!ORW2</f>
        <v>0</v>
      </c>
      <c r="ORY3">
        <f>'[12]Summary Report - 12 Months Endi'!ORX2</f>
        <v>0</v>
      </c>
      <c r="ORZ3">
        <f>'[12]Summary Report - 12 Months Endi'!ORY2</f>
        <v>0</v>
      </c>
      <c r="OSA3">
        <f>'[12]Summary Report - 12 Months Endi'!ORZ2</f>
        <v>0</v>
      </c>
      <c r="OSB3">
        <f>'[12]Summary Report - 12 Months Endi'!OSA2</f>
        <v>0</v>
      </c>
      <c r="OSC3">
        <f>'[12]Summary Report - 12 Months Endi'!OSB2</f>
        <v>0</v>
      </c>
      <c r="OSD3">
        <f>'[12]Summary Report - 12 Months Endi'!OSC2</f>
        <v>0</v>
      </c>
      <c r="OSE3">
        <f>'[12]Summary Report - 12 Months Endi'!OSD2</f>
        <v>0</v>
      </c>
      <c r="OSF3">
        <f>'[12]Summary Report - 12 Months Endi'!OSE2</f>
        <v>0</v>
      </c>
      <c r="OSG3">
        <f>'[12]Summary Report - 12 Months Endi'!OSF2</f>
        <v>0</v>
      </c>
      <c r="OSH3">
        <f>'[12]Summary Report - 12 Months Endi'!OSG2</f>
        <v>0</v>
      </c>
      <c r="OSI3">
        <f>'[12]Summary Report - 12 Months Endi'!OSH2</f>
        <v>0</v>
      </c>
      <c r="OSJ3">
        <f>'[12]Summary Report - 12 Months Endi'!OSI2</f>
        <v>0</v>
      </c>
      <c r="OSK3">
        <f>'[12]Summary Report - 12 Months Endi'!OSJ2</f>
        <v>0</v>
      </c>
      <c r="OSL3">
        <f>'[12]Summary Report - 12 Months Endi'!OSK2</f>
        <v>0</v>
      </c>
      <c r="OSM3">
        <f>'[12]Summary Report - 12 Months Endi'!OSL2</f>
        <v>0</v>
      </c>
      <c r="OSN3">
        <f>'[12]Summary Report - 12 Months Endi'!OSM2</f>
        <v>0</v>
      </c>
      <c r="OSO3">
        <f>'[12]Summary Report - 12 Months Endi'!OSN2</f>
        <v>0</v>
      </c>
      <c r="OSP3">
        <f>'[12]Summary Report - 12 Months Endi'!OSO2</f>
        <v>0</v>
      </c>
      <c r="OSQ3">
        <f>'[12]Summary Report - 12 Months Endi'!OSP2</f>
        <v>0</v>
      </c>
      <c r="OSR3">
        <f>'[12]Summary Report - 12 Months Endi'!OSQ2</f>
        <v>0</v>
      </c>
      <c r="OSS3">
        <f>'[12]Summary Report - 12 Months Endi'!OSR2</f>
        <v>0</v>
      </c>
      <c r="OST3">
        <f>'[12]Summary Report - 12 Months Endi'!OSS2</f>
        <v>0</v>
      </c>
      <c r="OSU3">
        <f>'[12]Summary Report - 12 Months Endi'!OST2</f>
        <v>0</v>
      </c>
      <c r="OSV3">
        <f>'[12]Summary Report - 12 Months Endi'!OSU2</f>
        <v>0</v>
      </c>
      <c r="OSW3">
        <f>'[12]Summary Report - 12 Months Endi'!OSV2</f>
        <v>0</v>
      </c>
      <c r="OSX3">
        <f>'[12]Summary Report - 12 Months Endi'!OSW2</f>
        <v>0</v>
      </c>
      <c r="OSY3">
        <f>'[12]Summary Report - 12 Months Endi'!OSX2</f>
        <v>0</v>
      </c>
      <c r="OSZ3">
        <f>'[12]Summary Report - 12 Months Endi'!OSY2</f>
        <v>0</v>
      </c>
      <c r="OTA3">
        <f>'[12]Summary Report - 12 Months Endi'!OSZ2</f>
        <v>0</v>
      </c>
      <c r="OTB3">
        <f>'[12]Summary Report - 12 Months Endi'!OTA2</f>
        <v>0</v>
      </c>
      <c r="OTC3">
        <f>'[12]Summary Report - 12 Months Endi'!OTB2</f>
        <v>0</v>
      </c>
      <c r="OTD3">
        <f>'[12]Summary Report - 12 Months Endi'!OTC2</f>
        <v>0</v>
      </c>
      <c r="OTE3">
        <f>'[12]Summary Report - 12 Months Endi'!OTD2</f>
        <v>0</v>
      </c>
      <c r="OTF3">
        <f>'[12]Summary Report - 12 Months Endi'!OTE2</f>
        <v>0</v>
      </c>
      <c r="OTG3">
        <f>'[12]Summary Report - 12 Months Endi'!OTF2</f>
        <v>0</v>
      </c>
      <c r="OTH3">
        <f>'[12]Summary Report - 12 Months Endi'!OTG2</f>
        <v>0</v>
      </c>
      <c r="OTI3">
        <f>'[12]Summary Report - 12 Months Endi'!OTH2</f>
        <v>0</v>
      </c>
      <c r="OTJ3">
        <f>'[12]Summary Report - 12 Months Endi'!OTI2</f>
        <v>0</v>
      </c>
      <c r="OTK3">
        <f>'[12]Summary Report - 12 Months Endi'!OTJ2</f>
        <v>0</v>
      </c>
      <c r="OTL3">
        <f>'[12]Summary Report - 12 Months Endi'!OTK2</f>
        <v>0</v>
      </c>
      <c r="OTM3">
        <f>'[12]Summary Report - 12 Months Endi'!OTL2</f>
        <v>0</v>
      </c>
      <c r="OTN3">
        <f>'[12]Summary Report - 12 Months Endi'!OTM2</f>
        <v>0</v>
      </c>
      <c r="OTO3">
        <f>'[12]Summary Report - 12 Months Endi'!OTN2</f>
        <v>0</v>
      </c>
      <c r="OTP3">
        <f>'[12]Summary Report - 12 Months Endi'!OTO2</f>
        <v>0</v>
      </c>
      <c r="OTQ3">
        <f>'[12]Summary Report - 12 Months Endi'!OTP2</f>
        <v>0</v>
      </c>
      <c r="OTR3">
        <f>'[12]Summary Report - 12 Months Endi'!OTQ2</f>
        <v>0</v>
      </c>
      <c r="OTS3">
        <f>'[12]Summary Report - 12 Months Endi'!OTR2</f>
        <v>0</v>
      </c>
      <c r="OTT3">
        <f>'[12]Summary Report - 12 Months Endi'!OTS2</f>
        <v>0</v>
      </c>
      <c r="OTU3">
        <f>'[12]Summary Report - 12 Months Endi'!OTT2</f>
        <v>0</v>
      </c>
      <c r="OTV3">
        <f>'[12]Summary Report - 12 Months Endi'!OTU2</f>
        <v>0</v>
      </c>
      <c r="OTW3">
        <f>'[12]Summary Report - 12 Months Endi'!OTV2</f>
        <v>0</v>
      </c>
      <c r="OTX3">
        <f>'[12]Summary Report - 12 Months Endi'!OTW2</f>
        <v>0</v>
      </c>
      <c r="OTY3">
        <f>'[12]Summary Report - 12 Months Endi'!OTX2</f>
        <v>0</v>
      </c>
      <c r="OTZ3">
        <f>'[12]Summary Report - 12 Months Endi'!OTY2</f>
        <v>0</v>
      </c>
      <c r="OUA3">
        <f>'[12]Summary Report - 12 Months Endi'!OTZ2</f>
        <v>0</v>
      </c>
      <c r="OUB3">
        <f>'[12]Summary Report - 12 Months Endi'!OUA2</f>
        <v>0</v>
      </c>
      <c r="OUC3">
        <f>'[12]Summary Report - 12 Months Endi'!OUB2</f>
        <v>0</v>
      </c>
      <c r="OUD3">
        <f>'[12]Summary Report - 12 Months Endi'!OUC2</f>
        <v>0</v>
      </c>
      <c r="OUE3">
        <f>'[12]Summary Report - 12 Months Endi'!OUD2</f>
        <v>0</v>
      </c>
      <c r="OUF3">
        <f>'[12]Summary Report - 12 Months Endi'!OUE2</f>
        <v>0</v>
      </c>
      <c r="OUG3">
        <f>'[12]Summary Report - 12 Months Endi'!OUF2</f>
        <v>0</v>
      </c>
      <c r="OUH3">
        <f>'[12]Summary Report - 12 Months Endi'!OUG2</f>
        <v>0</v>
      </c>
      <c r="OUI3">
        <f>'[12]Summary Report - 12 Months Endi'!OUH2</f>
        <v>0</v>
      </c>
      <c r="OUJ3">
        <f>'[12]Summary Report - 12 Months Endi'!OUI2</f>
        <v>0</v>
      </c>
      <c r="OUK3">
        <f>'[12]Summary Report - 12 Months Endi'!OUJ2</f>
        <v>0</v>
      </c>
      <c r="OUL3">
        <f>'[12]Summary Report - 12 Months Endi'!OUK2</f>
        <v>0</v>
      </c>
      <c r="OUM3">
        <f>'[12]Summary Report - 12 Months Endi'!OUL2</f>
        <v>0</v>
      </c>
      <c r="OUN3">
        <f>'[12]Summary Report - 12 Months Endi'!OUM2</f>
        <v>0</v>
      </c>
      <c r="OUO3">
        <f>'[12]Summary Report - 12 Months Endi'!OUN2</f>
        <v>0</v>
      </c>
      <c r="OUP3">
        <f>'[12]Summary Report - 12 Months Endi'!OUO2</f>
        <v>0</v>
      </c>
      <c r="OUQ3">
        <f>'[12]Summary Report - 12 Months Endi'!OUP2</f>
        <v>0</v>
      </c>
      <c r="OUR3">
        <f>'[12]Summary Report - 12 Months Endi'!OUQ2</f>
        <v>0</v>
      </c>
      <c r="OUS3">
        <f>'[12]Summary Report - 12 Months Endi'!OUR2</f>
        <v>0</v>
      </c>
      <c r="OUT3">
        <f>'[12]Summary Report - 12 Months Endi'!OUS2</f>
        <v>0</v>
      </c>
      <c r="OUU3">
        <f>'[12]Summary Report - 12 Months Endi'!OUT2</f>
        <v>0</v>
      </c>
      <c r="OUV3">
        <f>'[12]Summary Report - 12 Months Endi'!OUU2</f>
        <v>0</v>
      </c>
      <c r="OUW3">
        <f>'[12]Summary Report - 12 Months Endi'!OUV2</f>
        <v>0</v>
      </c>
      <c r="OUX3">
        <f>'[12]Summary Report - 12 Months Endi'!OUW2</f>
        <v>0</v>
      </c>
      <c r="OUY3">
        <f>'[12]Summary Report - 12 Months Endi'!OUX2</f>
        <v>0</v>
      </c>
      <c r="OUZ3">
        <f>'[12]Summary Report - 12 Months Endi'!OUY2</f>
        <v>0</v>
      </c>
      <c r="OVA3">
        <f>'[12]Summary Report - 12 Months Endi'!OUZ2</f>
        <v>0</v>
      </c>
      <c r="OVB3">
        <f>'[12]Summary Report - 12 Months Endi'!OVA2</f>
        <v>0</v>
      </c>
      <c r="OVC3">
        <f>'[12]Summary Report - 12 Months Endi'!OVB2</f>
        <v>0</v>
      </c>
      <c r="OVD3">
        <f>'[12]Summary Report - 12 Months Endi'!OVC2</f>
        <v>0</v>
      </c>
      <c r="OVE3">
        <f>'[12]Summary Report - 12 Months Endi'!OVD2</f>
        <v>0</v>
      </c>
      <c r="OVF3">
        <f>'[12]Summary Report - 12 Months Endi'!OVE2</f>
        <v>0</v>
      </c>
      <c r="OVG3">
        <f>'[12]Summary Report - 12 Months Endi'!OVF2</f>
        <v>0</v>
      </c>
      <c r="OVH3">
        <f>'[12]Summary Report - 12 Months Endi'!OVG2</f>
        <v>0</v>
      </c>
      <c r="OVI3">
        <f>'[12]Summary Report - 12 Months Endi'!OVH2</f>
        <v>0</v>
      </c>
      <c r="OVJ3">
        <f>'[12]Summary Report - 12 Months Endi'!OVI2</f>
        <v>0</v>
      </c>
      <c r="OVK3">
        <f>'[12]Summary Report - 12 Months Endi'!OVJ2</f>
        <v>0</v>
      </c>
      <c r="OVL3">
        <f>'[12]Summary Report - 12 Months Endi'!OVK2</f>
        <v>0</v>
      </c>
      <c r="OVM3">
        <f>'[12]Summary Report - 12 Months Endi'!OVL2</f>
        <v>0</v>
      </c>
      <c r="OVN3">
        <f>'[12]Summary Report - 12 Months Endi'!OVM2</f>
        <v>0</v>
      </c>
      <c r="OVO3">
        <f>'[12]Summary Report - 12 Months Endi'!OVN2</f>
        <v>0</v>
      </c>
      <c r="OVP3">
        <f>'[12]Summary Report - 12 Months Endi'!OVO2</f>
        <v>0</v>
      </c>
      <c r="OVQ3">
        <f>'[12]Summary Report - 12 Months Endi'!OVP2</f>
        <v>0</v>
      </c>
      <c r="OVR3">
        <f>'[12]Summary Report - 12 Months Endi'!OVQ2</f>
        <v>0</v>
      </c>
      <c r="OVS3">
        <f>'[12]Summary Report - 12 Months Endi'!OVR2</f>
        <v>0</v>
      </c>
      <c r="OVT3">
        <f>'[12]Summary Report - 12 Months Endi'!OVS2</f>
        <v>0</v>
      </c>
      <c r="OVU3">
        <f>'[12]Summary Report - 12 Months Endi'!OVT2</f>
        <v>0</v>
      </c>
      <c r="OVV3">
        <f>'[12]Summary Report - 12 Months Endi'!OVU2</f>
        <v>0</v>
      </c>
      <c r="OVW3">
        <f>'[12]Summary Report - 12 Months Endi'!OVV2</f>
        <v>0</v>
      </c>
      <c r="OVX3">
        <f>'[12]Summary Report - 12 Months Endi'!OVW2</f>
        <v>0</v>
      </c>
      <c r="OVY3">
        <f>'[12]Summary Report - 12 Months Endi'!OVX2</f>
        <v>0</v>
      </c>
      <c r="OVZ3">
        <f>'[12]Summary Report - 12 Months Endi'!OVY2</f>
        <v>0</v>
      </c>
      <c r="OWA3">
        <f>'[12]Summary Report - 12 Months Endi'!OVZ2</f>
        <v>0</v>
      </c>
      <c r="OWB3">
        <f>'[12]Summary Report - 12 Months Endi'!OWA2</f>
        <v>0</v>
      </c>
      <c r="OWC3">
        <f>'[12]Summary Report - 12 Months Endi'!OWB2</f>
        <v>0</v>
      </c>
      <c r="OWD3">
        <f>'[12]Summary Report - 12 Months Endi'!OWC2</f>
        <v>0</v>
      </c>
      <c r="OWE3">
        <f>'[12]Summary Report - 12 Months Endi'!OWD2</f>
        <v>0</v>
      </c>
      <c r="OWF3">
        <f>'[12]Summary Report - 12 Months Endi'!OWE2</f>
        <v>0</v>
      </c>
      <c r="OWG3">
        <f>'[12]Summary Report - 12 Months Endi'!OWF2</f>
        <v>0</v>
      </c>
      <c r="OWH3">
        <f>'[12]Summary Report - 12 Months Endi'!OWG2</f>
        <v>0</v>
      </c>
      <c r="OWI3">
        <f>'[12]Summary Report - 12 Months Endi'!OWH2</f>
        <v>0</v>
      </c>
      <c r="OWJ3">
        <f>'[12]Summary Report - 12 Months Endi'!OWI2</f>
        <v>0</v>
      </c>
      <c r="OWK3">
        <f>'[12]Summary Report - 12 Months Endi'!OWJ2</f>
        <v>0</v>
      </c>
      <c r="OWL3">
        <f>'[12]Summary Report - 12 Months Endi'!OWK2</f>
        <v>0</v>
      </c>
      <c r="OWM3">
        <f>'[12]Summary Report - 12 Months Endi'!OWL2</f>
        <v>0</v>
      </c>
      <c r="OWN3">
        <f>'[12]Summary Report - 12 Months Endi'!OWM2</f>
        <v>0</v>
      </c>
      <c r="OWO3">
        <f>'[12]Summary Report - 12 Months Endi'!OWN2</f>
        <v>0</v>
      </c>
      <c r="OWP3">
        <f>'[12]Summary Report - 12 Months Endi'!OWO2</f>
        <v>0</v>
      </c>
      <c r="OWQ3">
        <f>'[12]Summary Report - 12 Months Endi'!OWP2</f>
        <v>0</v>
      </c>
      <c r="OWR3">
        <f>'[12]Summary Report - 12 Months Endi'!OWQ2</f>
        <v>0</v>
      </c>
      <c r="OWS3">
        <f>'[12]Summary Report - 12 Months Endi'!OWR2</f>
        <v>0</v>
      </c>
      <c r="OWT3">
        <f>'[12]Summary Report - 12 Months Endi'!OWS2</f>
        <v>0</v>
      </c>
      <c r="OWU3">
        <f>'[12]Summary Report - 12 Months Endi'!OWT2</f>
        <v>0</v>
      </c>
      <c r="OWV3">
        <f>'[12]Summary Report - 12 Months Endi'!OWU2</f>
        <v>0</v>
      </c>
      <c r="OWW3">
        <f>'[12]Summary Report - 12 Months Endi'!OWV2</f>
        <v>0</v>
      </c>
      <c r="OWX3">
        <f>'[12]Summary Report - 12 Months Endi'!OWW2</f>
        <v>0</v>
      </c>
      <c r="OWY3">
        <f>'[12]Summary Report - 12 Months Endi'!OWX2</f>
        <v>0</v>
      </c>
      <c r="OWZ3">
        <f>'[12]Summary Report - 12 Months Endi'!OWY2</f>
        <v>0</v>
      </c>
      <c r="OXA3">
        <f>'[12]Summary Report - 12 Months Endi'!OWZ2</f>
        <v>0</v>
      </c>
      <c r="OXB3">
        <f>'[12]Summary Report - 12 Months Endi'!OXA2</f>
        <v>0</v>
      </c>
      <c r="OXC3">
        <f>'[12]Summary Report - 12 Months Endi'!OXB2</f>
        <v>0</v>
      </c>
      <c r="OXD3">
        <f>'[12]Summary Report - 12 Months Endi'!OXC2</f>
        <v>0</v>
      </c>
      <c r="OXE3">
        <f>'[12]Summary Report - 12 Months Endi'!OXD2</f>
        <v>0</v>
      </c>
      <c r="OXF3">
        <f>'[12]Summary Report - 12 Months Endi'!OXE2</f>
        <v>0</v>
      </c>
      <c r="OXG3">
        <f>'[12]Summary Report - 12 Months Endi'!OXF2</f>
        <v>0</v>
      </c>
      <c r="OXH3">
        <f>'[12]Summary Report - 12 Months Endi'!OXG2</f>
        <v>0</v>
      </c>
      <c r="OXI3">
        <f>'[12]Summary Report - 12 Months Endi'!OXH2</f>
        <v>0</v>
      </c>
      <c r="OXJ3">
        <f>'[12]Summary Report - 12 Months Endi'!OXI2</f>
        <v>0</v>
      </c>
      <c r="OXK3">
        <f>'[12]Summary Report - 12 Months Endi'!OXJ2</f>
        <v>0</v>
      </c>
      <c r="OXL3">
        <f>'[12]Summary Report - 12 Months Endi'!OXK2</f>
        <v>0</v>
      </c>
      <c r="OXM3">
        <f>'[12]Summary Report - 12 Months Endi'!OXL2</f>
        <v>0</v>
      </c>
      <c r="OXN3">
        <f>'[12]Summary Report - 12 Months Endi'!OXM2</f>
        <v>0</v>
      </c>
      <c r="OXO3">
        <f>'[12]Summary Report - 12 Months Endi'!OXN2</f>
        <v>0</v>
      </c>
      <c r="OXP3">
        <f>'[12]Summary Report - 12 Months Endi'!OXO2</f>
        <v>0</v>
      </c>
      <c r="OXQ3">
        <f>'[12]Summary Report - 12 Months Endi'!OXP2</f>
        <v>0</v>
      </c>
      <c r="OXR3">
        <f>'[12]Summary Report - 12 Months Endi'!OXQ2</f>
        <v>0</v>
      </c>
      <c r="OXS3">
        <f>'[12]Summary Report - 12 Months Endi'!OXR2</f>
        <v>0</v>
      </c>
      <c r="OXT3">
        <f>'[12]Summary Report - 12 Months Endi'!OXS2</f>
        <v>0</v>
      </c>
      <c r="OXU3">
        <f>'[12]Summary Report - 12 Months Endi'!OXT2</f>
        <v>0</v>
      </c>
      <c r="OXV3">
        <f>'[12]Summary Report - 12 Months Endi'!OXU2</f>
        <v>0</v>
      </c>
      <c r="OXW3">
        <f>'[12]Summary Report - 12 Months Endi'!OXV2</f>
        <v>0</v>
      </c>
      <c r="OXX3">
        <f>'[12]Summary Report - 12 Months Endi'!OXW2</f>
        <v>0</v>
      </c>
      <c r="OXY3">
        <f>'[12]Summary Report - 12 Months Endi'!OXX2</f>
        <v>0</v>
      </c>
      <c r="OXZ3">
        <f>'[12]Summary Report - 12 Months Endi'!OXY2</f>
        <v>0</v>
      </c>
      <c r="OYA3">
        <f>'[12]Summary Report - 12 Months Endi'!OXZ2</f>
        <v>0</v>
      </c>
      <c r="OYB3">
        <f>'[12]Summary Report - 12 Months Endi'!OYA2</f>
        <v>0</v>
      </c>
      <c r="OYC3">
        <f>'[12]Summary Report - 12 Months Endi'!OYB2</f>
        <v>0</v>
      </c>
      <c r="OYD3">
        <f>'[12]Summary Report - 12 Months Endi'!OYC2</f>
        <v>0</v>
      </c>
      <c r="OYE3">
        <f>'[12]Summary Report - 12 Months Endi'!OYD2</f>
        <v>0</v>
      </c>
      <c r="OYF3">
        <f>'[12]Summary Report - 12 Months Endi'!OYE2</f>
        <v>0</v>
      </c>
      <c r="OYG3">
        <f>'[12]Summary Report - 12 Months Endi'!OYF2</f>
        <v>0</v>
      </c>
      <c r="OYH3">
        <f>'[12]Summary Report - 12 Months Endi'!OYG2</f>
        <v>0</v>
      </c>
      <c r="OYI3">
        <f>'[12]Summary Report - 12 Months Endi'!OYH2</f>
        <v>0</v>
      </c>
      <c r="OYJ3">
        <f>'[12]Summary Report - 12 Months Endi'!OYI2</f>
        <v>0</v>
      </c>
      <c r="OYK3">
        <f>'[12]Summary Report - 12 Months Endi'!OYJ2</f>
        <v>0</v>
      </c>
      <c r="OYL3">
        <f>'[12]Summary Report - 12 Months Endi'!OYK2</f>
        <v>0</v>
      </c>
      <c r="OYM3">
        <f>'[12]Summary Report - 12 Months Endi'!OYL2</f>
        <v>0</v>
      </c>
      <c r="OYN3">
        <f>'[12]Summary Report - 12 Months Endi'!OYM2</f>
        <v>0</v>
      </c>
      <c r="OYO3">
        <f>'[12]Summary Report - 12 Months Endi'!OYN2</f>
        <v>0</v>
      </c>
      <c r="OYP3">
        <f>'[12]Summary Report - 12 Months Endi'!OYO2</f>
        <v>0</v>
      </c>
      <c r="OYQ3">
        <f>'[12]Summary Report - 12 Months Endi'!OYP2</f>
        <v>0</v>
      </c>
      <c r="OYR3">
        <f>'[12]Summary Report - 12 Months Endi'!OYQ2</f>
        <v>0</v>
      </c>
      <c r="OYS3">
        <f>'[12]Summary Report - 12 Months Endi'!OYR2</f>
        <v>0</v>
      </c>
      <c r="OYT3">
        <f>'[12]Summary Report - 12 Months Endi'!OYS2</f>
        <v>0</v>
      </c>
      <c r="OYU3">
        <f>'[12]Summary Report - 12 Months Endi'!OYT2</f>
        <v>0</v>
      </c>
      <c r="OYV3">
        <f>'[12]Summary Report - 12 Months Endi'!OYU2</f>
        <v>0</v>
      </c>
      <c r="OYW3">
        <f>'[12]Summary Report - 12 Months Endi'!OYV2</f>
        <v>0</v>
      </c>
      <c r="OYX3">
        <f>'[12]Summary Report - 12 Months Endi'!OYW2</f>
        <v>0</v>
      </c>
      <c r="OYY3">
        <f>'[12]Summary Report - 12 Months Endi'!OYX2</f>
        <v>0</v>
      </c>
      <c r="OYZ3">
        <f>'[12]Summary Report - 12 Months Endi'!OYY2</f>
        <v>0</v>
      </c>
      <c r="OZA3">
        <f>'[12]Summary Report - 12 Months Endi'!OYZ2</f>
        <v>0</v>
      </c>
      <c r="OZB3">
        <f>'[12]Summary Report - 12 Months Endi'!OZA2</f>
        <v>0</v>
      </c>
      <c r="OZC3">
        <f>'[12]Summary Report - 12 Months Endi'!OZB2</f>
        <v>0</v>
      </c>
      <c r="OZD3">
        <f>'[12]Summary Report - 12 Months Endi'!OZC2</f>
        <v>0</v>
      </c>
      <c r="OZE3">
        <f>'[12]Summary Report - 12 Months Endi'!OZD2</f>
        <v>0</v>
      </c>
      <c r="OZF3">
        <f>'[12]Summary Report - 12 Months Endi'!OZE2</f>
        <v>0</v>
      </c>
      <c r="OZG3">
        <f>'[12]Summary Report - 12 Months Endi'!OZF2</f>
        <v>0</v>
      </c>
      <c r="OZH3">
        <f>'[12]Summary Report - 12 Months Endi'!OZG2</f>
        <v>0</v>
      </c>
      <c r="OZI3">
        <f>'[12]Summary Report - 12 Months Endi'!OZH2</f>
        <v>0</v>
      </c>
      <c r="OZJ3">
        <f>'[12]Summary Report - 12 Months Endi'!OZI2</f>
        <v>0</v>
      </c>
      <c r="OZK3">
        <f>'[12]Summary Report - 12 Months Endi'!OZJ2</f>
        <v>0</v>
      </c>
      <c r="OZL3">
        <f>'[12]Summary Report - 12 Months Endi'!OZK2</f>
        <v>0</v>
      </c>
      <c r="OZM3">
        <f>'[12]Summary Report - 12 Months Endi'!OZL2</f>
        <v>0</v>
      </c>
      <c r="OZN3">
        <f>'[12]Summary Report - 12 Months Endi'!OZM2</f>
        <v>0</v>
      </c>
      <c r="OZO3">
        <f>'[12]Summary Report - 12 Months Endi'!OZN2</f>
        <v>0</v>
      </c>
      <c r="OZP3">
        <f>'[12]Summary Report - 12 Months Endi'!OZO2</f>
        <v>0</v>
      </c>
      <c r="OZQ3">
        <f>'[12]Summary Report - 12 Months Endi'!OZP2</f>
        <v>0</v>
      </c>
      <c r="OZR3">
        <f>'[12]Summary Report - 12 Months Endi'!OZQ2</f>
        <v>0</v>
      </c>
      <c r="OZS3">
        <f>'[12]Summary Report - 12 Months Endi'!OZR2</f>
        <v>0</v>
      </c>
      <c r="OZT3">
        <f>'[12]Summary Report - 12 Months Endi'!OZS2</f>
        <v>0</v>
      </c>
      <c r="OZU3">
        <f>'[12]Summary Report - 12 Months Endi'!OZT2</f>
        <v>0</v>
      </c>
      <c r="OZV3">
        <f>'[12]Summary Report - 12 Months Endi'!OZU2</f>
        <v>0</v>
      </c>
      <c r="OZW3">
        <f>'[12]Summary Report - 12 Months Endi'!OZV2</f>
        <v>0</v>
      </c>
      <c r="OZX3">
        <f>'[12]Summary Report - 12 Months Endi'!OZW2</f>
        <v>0</v>
      </c>
      <c r="OZY3">
        <f>'[12]Summary Report - 12 Months Endi'!OZX2</f>
        <v>0</v>
      </c>
      <c r="OZZ3">
        <f>'[12]Summary Report - 12 Months Endi'!OZY2</f>
        <v>0</v>
      </c>
      <c r="PAA3">
        <f>'[12]Summary Report - 12 Months Endi'!OZZ2</f>
        <v>0</v>
      </c>
      <c r="PAB3">
        <f>'[12]Summary Report - 12 Months Endi'!PAA2</f>
        <v>0</v>
      </c>
      <c r="PAC3">
        <f>'[12]Summary Report - 12 Months Endi'!PAB2</f>
        <v>0</v>
      </c>
      <c r="PAD3">
        <f>'[12]Summary Report - 12 Months Endi'!PAC2</f>
        <v>0</v>
      </c>
      <c r="PAE3">
        <f>'[12]Summary Report - 12 Months Endi'!PAD2</f>
        <v>0</v>
      </c>
      <c r="PAF3">
        <f>'[12]Summary Report - 12 Months Endi'!PAE2</f>
        <v>0</v>
      </c>
      <c r="PAG3">
        <f>'[12]Summary Report - 12 Months Endi'!PAF2</f>
        <v>0</v>
      </c>
      <c r="PAH3">
        <f>'[12]Summary Report - 12 Months Endi'!PAG2</f>
        <v>0</v>
      </c>
      <c r="PAI3">
        <f>'[12]Summary Report - 12 Months Endi'!PAH2</f>
        <v>0</v>
      </c>
      <c r="PAJ3">
        <f>'[12]Summary Report - 12 Months Endi'!PAI2</f>
        <v>0</v>
      </c>
      <c r="PAK3">
        <f>'[12]Summary Report - 12 Months Endi'!PAJ2</f>
        <v>0</v>
      </c>
      <c r="PAL3">
        <f>'[12]Summary Report - 12 Months Endi'!PAK2</f>
        <v>0</v>
      </c>
      <c r="PAM3">
        <f>'[12]Summary Report - 12 Months Endi'!PAL2</f>
        <v>0</v>
      </c>
      <c r="PAN3">
        <f>'[12]Summary Report - 12 Months Endi'!PAM2</f>
        <v>0</v>
      </c>
      <c r="PAO3">
        <f>'[12]Summary Report - 12 Months Endi'!PAN2</f>
        <v>0</v>
      </c>
      <c r="PAP3">
        <f>'[12]Summary Report - 12 Months Endi'!PAO2</f>
        <v>0</v>
      </c>
      <c r="PAQ3">
        <f>'[12]Summary Report - 12 Months Endi'!PAP2</f>
        <v>0</v>
      </c>
      <c r="PAR3">
        <f>'[12]Summary Report - 12 Months Endi'!PAQ2</f>
        <v>0</v>
      </c>
      <c r="PAS3">
        <f>'[12]Summary Report - 12 Months Endi'!PAR2</f>
        <v>0</v>
      </c>
      <c r="PAT3">
        <f>'[12]Summary Report - 12 Months Endi'!PAS2</f>
        <v>0</v>
      </c>
      <c r="PAU3">
        <f>'[12]Summary Report - 12 Months Endi'!PAT2</f>
        <v>0</v>
      </c>
      <c r="PAV3">
        <f>'[12]Summary Report - 12 Months Endi'!PAU2</f>
        <v>0</v>
      </c>
      <c r="PAW3">
        <f>'[12]Summary Report - 12 Months Endi'!PAV2</f>
        <v>0</v>
      </c>
      <c r="PAX3">
        <f>'[12]Summary Report - 12 Months Endi'!PAW2</f>
        <v>0</v>
      </c>
      <c r="PAY3">
        <f>'[12]Summary Report - 12 Months Endi'!PAX2</f>
        <v>0</v>
      </c>
      <c r="PAZ3">
        <f>'[12]Summary Report - 12 Months Endi'!PAY2</f>
        <v>0</v>
      </c>
      <c r="PBA3">
        <f>'[12]Summary Report - 12 Months Endi'!PAZ2</f>
        <v>0</v>
      </c>
      <c r="PBB3">
        <f>'[12]Summary Report - 12 Months Endi'!PBA2</f>
        <v>0</v>
      </c>
      <c r="PBC3">
        <f>'[12]Summary Report - 12 Months Endi'!PBB2</f>
        <v>0</v>
      </c>
      <c r="PBD3">
        <f>'[12]Summary Report - 12 Months Endi'!PBC2</f>
        <v>0</v>
      </c>
      <c r="PBE3">
        <f>'[12]Summary Report - 12 Months Endi'!PBD2</f>
        <v>0</v>
      </c>
      <c r="PBF3">
        <f>'[12]Summary Report - 12 Months Endi'!PBE2</f>
        <v>0</v>
      </c>
      <c r="PBG3">
        <f>'[12]Summary Report - 12 Months Endi'!PBF2</f>
        <v>0</v>
      </c>
      <c r="PBH3">
        <f>'[12]Summary Report - 12 Months Endi'!PBG2</f>
        <v>0</v>
      </c>
      <c r="PBI3">
        <f>'[12]Summary Report - 12 Months Endi'!PBH2</f>
        <v>0</v>
      </c>
      <c r="PBJ3">
        <f>'[12]Summary Report - 12 Months Endi'!PBI2</f>
        <v>0</v>
      </c>
      <c r="PBK3">
        <f>'[12]Summary Report - 12 Months Endi'!PBJ2</f>
        <v>0</v>
      </c>
      <c r="PBL3">
        <f>'[12]Summary Report - 12 Months Endi'!PBK2</f>
        <v>0</v>
      </c>
      <c r="PBM3">
        <f>'[12]Summary Report - 12 Months Endi'!PBL2</f>
        <v>0</v>
      </c>
      <c r="PBN3">
        <f>'[12]Summary Report - 12 Months Endi'!PBM2</f>
        <v>0</v>
      </c>
      <c r="PBO3">
        <f>'[12]Summary Report - 12 Months Endi'!PBN2</f>
        <v>0</v>
      </c>
      <c r="PBP3">
        <f>'[12]Summary Report - 12 Months Endi'!PBO2</f>
        <v>0</v>
      </c>
      <c r="PBQ3">
        <f>'[12]Summary Report - 12 Months Endi'!PBP2</f>
        <v>0</v>
      </c>
      <c r="PBR3">
        <f>'[12]Summary Report - 12 Months Endi'!PBQ2</f>
        <v>0</v>
      </c>
      <c r="PBS3">
        <f>'[12]Summary Report - 12 Months Endi'!PBR2</f>
        <v>0</v>
      </c>
      <c r="PBT3">
        <f>'[12]Summary Report - 12 Months Endi'!PBS2</f>
        <v>0</v>
      </c>
      <c r="PBU3">
        <f>'[12]Summary Report - 12 Months Endi'!PBT2</f>
        <v>0</v>
      </c>
      <c r="PBV3">
        <f>'[12]Summary Report - 12 Months Endi'!PBU2</f>
        <v>0</v>
      </c>
      <c r="PBW3">
        <f>'[12]Summary Report - 12 Months Endi'!PBV2</f>
        <v>0</v>
      </c>
      <c r="PBX3">
        <f>'[12]Summary Report - 12 Months Endi'!PBW2</f>
        <v>0</v>
      </c>
      <c r="PBY3">
        <f>'[12]Summary Report - 12 Months Endi'!PBX2</f>
        <v>0</v>
      </c>
      <c r="PBZ3">
        <f>'[12]Summary Report - 12 Months Endi'!PBY2</f>
        <v>0</v>
      </c>
      <c r="PCA3">
        <f>'[12]Summary Report - 12 Months Endi'!PBZ2</f>
        <v>0</v>
      </c>
      <c r="PCB3">
        <f>'[12]Summary Report - 12 Months Endi'!PCA2</f>
        <v>0</v>
      </c>
      <c r="PCC3">
        <f>'[12]Summary Report - 12 Months Endi'!PCB2</f>
        <v>0</v>
      </c>
      <c r="PCD3">
        <f>'[12]Summary Report - 12 Months Endi'!PCC2</f>
        <v>0</v>
      </c>
      <c r="PCE3">
        <f>'[12]Summary Report - 12 Months Endi'!PCD2</f>
        <v>0</v>
      </c>
      <c r="PCF3">
        <f>'[12]Summary Report - 12 Months Endi'!PCE2</f>
        <v>0</v>
      </c>
      <c r="PCG3">
        <f>'[12]Summary Report - 12 Months Endi'!PCF2</f>
        <v>0</v>
      </c>
      <c r="PCH3">
        <f>'[12]Summary Report - 12 Months Endi'!PCG2</f>
        <v>0</v>
      </c>
      <c r="PCI3">
        <f>'[12]Summary Report - 12 Months Endi'!PCH2</f>
        <v>0</v>
      </c>
      <c r="PCJ3">
        <f>'[12]Summary Report - 12 Months Endi'!PCI2</f>
        <v>0</v>
      </c>
      <c r="PCK3">
        <f>'[12]Summary Report - 12 Months Endi'!PCJ2</f>
        <v>0</v>
      </c>
      <c r="PCL3">
        <f>'[12]Summary Report - 12 Months Endi'!PCK2</f>
        <v>0</v>
      </c>
      <c r="PCM3">
        <f>'[12]Summary Report - 12 Months Endi'!PCL2</f>
        <v>0</v>
      </c>
      <c r="PCN3">
        <f>'[12]Summary Report - 12 Months Endi'!PCM2</f>
        <v>0</v>
      </c>
      <c r="PCO3">
        <f>'[12]Summary Report - 12 Months Endi'!PCN2</f>
        <v>0</v>
      </c>
      <c r="PCP3">
        <f>'[12]Summary Report - 12 Months Endi'!PCO2</f>
        <v>0</v>
      </c>
      <c r="PCQ3">
        <f>'[12]Summary Report - 12 Months Endi'!PCP2</f>
        <v>0</v>
      </c>
      <c r="PCR3">
        <f>'[12]Summary Report - 12 Months Endi'!PCQ2</f>
        <v>0</v>
      </c>
      <c r="PCS3">
        <f>'[12]Summary Report - 12 Months Endi'!PCR2</f>
        <v>0</v>
      </c>
      <c r="PCT3">
        <f>'[12]Summary Report - 12 Months Endi'!PCS2</f>
        <v>0</v>
      </c>
      <c r="PCU3">
        <f>'[12]Summary Report - 12 Months Endi'!PCT2</f>
        <v>0</v>
      </c>
      <c r="PCV3">
        <f>'[12]Summary Report - 12 Months Endi'!PCU2</f>
        <v>0</v>
      </c>
      <c r="PCW3">
        <f>'[12]Summary Report - 12 Months Endi'!PCV2</f>
        <v>0</v>
      </c>
      <c r="PCX3">
        <f>'[12]Summary Report - 12 Months Endi'!PCW2</f>
        <v>0</v>
      </c>
      <c r="PCY3">
        <f>'[12]Summary Report - 12 Months Endi'!PCX2</f>
        <v>0</v>
      </c>
      <c r="PCZ3">
        <f>'[12]Summary Report - 12 Months Endi'!PCY2</f>
        <v>0</v>
      </c>
      <c r="PDA3">
        <f>'[12]Summary Report - 12 Months Endi'!PCZ2</f>
        <v>0</v>
      </c>
      <c r="PDB3">
        <f>'[12]Summary Report - 12 Months Endi'!PDA2</f>
        <v>0</v>
      </c>
      <c r="PDC3">
        <f>'[12]Summary Report - 12 Months Endi'!PDB2</f>
        <v>0</v>
      </c>
      <c r="PDD3">
        <f>'[12]Summary Report - 12 Months Endi'!PDC2</f>
        <v>0</v>
      </c>
      <c r="PDE3">
        <f>'[12]Summary Report - 12 Months Endi'!PDD2</f>
        <v>0</v>
      </c>
      <c r="PDF3">
        <f>'[12]Summary Report - 12 Months Endi'!PDE2</f>
        <v>0</v>
      </c>
      <c r="PDG3">
        <f>'[12]Summary Report - 12 Months Endi'!PDF2</f>
        <v>0</v>
      </c>
      <c r="PDH3">
        <f>'[12]Summary Report - 12 Months Endi'!PDG2</f>
        <v>0</v>
      </c>
      <c r="PDI3">
        <f>'[12]Summary Report - 12 Months Endi'!PDH2</f>
        <v>0</v>
      </c>
      <c r="PDJ3">
        <f>'[12]Summary Report - 12 Months Endi'!PDI2</f>
        <v>0</v>
      </c>
      <c r="PDK3">
        <f>'[12]Summary Report - 12 Months Endi'!PDJ2</f>
        <v>0</v>
      </c>
      <c r="PDL3">
        <f>'[12]Summary Report - 12 Months Endi'!PDK2</f>
        <v>0</v>
      </c>
      <c r="PDM3">
        <f>'[12]Summary Report - 12 Months Endi'!PDL2</f>
        <v>0</v>
      </c>
      <c r="PDN3">
        <f>'[12]Summary Report - 12 Months Endi'!PDM2</f>
        <v>0</v>
      </c>
      <c r="PDO3">
        <f>'[12]Summary Report - 12 Months Endi'!PDN2</f>
        <v>0</v>
      </c>
      <c r="PDP3">
        <f>'[12]Summary Report - 12 Months Endi'!PDO2</f>
        <v>0</v>
      </c>
      <c r="PDQ3">
        <f>'[12]Summary Report - 12 Months Endi'!PDP2</f>
        <v>0</v>
      </c>
      <c r="PDR3">
        <f>'[12]Summary Report - 12 Months Endi'!PDQ2</f>
        <v>0</v>
      </c>
      <c r="PDS3">
        <f>'[12]Summary Report - 12 Months Endi'!PDR2</f>
        <v>0</v>
      </c>
      <c r="PDT3">
        <f>'[12]Summary Report - 12 Months Endi'!PDS2</f>
        <v>0</v>
      </c>
      <c r="PDU3">
        <f>'[12]Summary Report - 12 Months Endi'!PDT2</f>
        <v>0</v>
      </c>
      <c r="PDV3">
        <f>'[12]Summary Report - 12 Months Endi'!PDU2</f>
        <v>0</v>
      </c>
      <c r="PDW3">
        <f>'[12]Summary Report - 12 Months Endi'!PDV2</f>
        <v>0</v>
      </c>
      <c r="PDX3">
        <f>'[12]Summary Report - 12 Months Endi'!PDW2</f>
        <v>0</v>
      </c>
      <c r="PDY3">
        <f>'[12]Summary Report - 12 Months Endi'!PDX2</f>
        <v>0</v>
      </c>
      <c r="PDZ3">
        <f>'[12]Summary Report - 12 Months Endi'!PDY2</f>
        <v>0</v>
      </c>
      <c r="PEA3">
        <f>'[12]Summary Report - 12 Months Endi'!PDZ2</f>
        <v>0</v>
      </c>
      <c r="PEB3">
        <f>'[12]Summary Report - 12 Months Endi'!PEA2</f>
        <v>0</v>
      </c>
      <c r="PEC3">
        <f>'[12]Summary Report - 12 Months Endi'!PEB2</f>
        <v>0</v>
      </c>
      <c r="PED3">
        <f>'[12]Summary Report - 12 Months Endi'!PEC2</f>
        <v>0</v>
      </c>
      <c r="PEE3">
        <f>'[12]Summary Report - 12 Months Endi'!PED2</f>
        <v>0</v>
      </c>
      <c r="PEF3">
        <f>'[12]Summary Report - 12 Months Endi'!PEE2</f>
        <v>0</v>
      </c>
      <c r="PEG3">
        <f>'[12]Summary Report - 12 Months Endi'!PEF2</f>
        <v>0</v>
      </c>
      <c r="PEH3">
        <f>'[12]Summary Report - 12 Months Endi'!PEG2</f>
        <v>0</v>
      </c>
      <c r="PEI3">
        <f>'[12]Summary Report - 12 Months Endi'!PEH2</f>
        <v>0</v>
      </c>
      <c r="PEJ3">
        <f>'[12]Summary Report - 12 Months Endi'!PEI2</f>
        <v>0</v>
      </c>
      <c r="PEK3">
        <f>'[12]Summary Report - 12 Months Endi'!PEJ2</f>
        <v>0</v>
      </c>
      <c r="PEL3">
        <f>'[12]Summary Report - 12 Months Endi'!PEK2</f>
        <v>0</v>
      </c>
      <c r="PEM3">
        <f>'[12]Summary Report - 12 Months Endi'!PEL2</f>
        <v>0</v>
      </c>
      <c r="PEN3">
        <f>'[12]Summary Report - 12 Months Endi'!PEM2</f>
        <v>0</v>
      </c>
      <c r="PEO3">
        <f>'[12]Summary Report - 12 Months Endi'!PEN2</f>
        <v>0</v>
      </c>
      <c r="PEP3">
        <f>'[12]Summary Report - 12 Months Endi'!PEO2</f>
        <v>0</v>
      </c>
      <c r="PEQ3">
        <f>'[12]Summary Report - 12 Months Endi'!PEP2</f>
        <v>0</v>
      </c>
      <c r="PER3">
        <f>'[12]Summary Report - 12 Months Endi'!PEQ2</f>
        <v>0</v>
      </c>
      <c r="PES3">
        <f>'[12]Summary Report - 12 Months Endi'!PER2</f>
        <v>0</v>
      </c>
      <c r="PET3">
        <f>'[12]Summary Report - 12 Months Endi'!PES2</f>
        <v>0</v>
      </c>
      <c r="PEU3">
        <f>'[12]Summary Report - 12 Months Endi'!PET2</f>
        <v>0</v>
      </c>
      <c r="PEV3">
        <f>'[12]Summary Report - 12 Months Endi'!PEU2</f>
        <v>0</v>
      </c>
      <c r="PEW3">
        <f>'[12]Summary Report - 12 Months Endi'!PEV2</f>
        <v>0</v>
      </c>
      <c r="PEX3">
        <f>'[12]Summary Report - 12 Months Endi'!PEW2</f>
        <v>0</v>
      </c>
      <c r="PEY3">
        <f>'[12]Summary Report - 12 Months Endi'!PEX2</f>
        <v>0</v>
      </c>
      <c r="PEZ3">
        <f>'[12]Summary Report - 12 Months Endi'!PEY2</f>
        <v>0</v>
      </c>
      <c r="PFA3">
        <f>'[12]Summary Report - 12 Months Endi'!PEZ2</f>
        <v>0</v>
      </c>
      <c r="PFB3">
        <f>'[12]Summary Report - 12 Months Endi'!PFA2</f>
        <v>0</v>
      </c>
      <c r="PFC3">
        <f>'[12]Summary Report - 12 Months Endi'!PFB2</f>
        <v>0</v>
      </c>
      <c r="PFD3">
        <f>'[12]Summary Report - 12 Months Endi'!PFC2</f>
        <v>0</v>
      </c>
      <c r="PFE3">
        <f>'[12]Summary Report - 12 Months Endi'!PFD2</f>
        <v>0</v>
      </c>
      <c r="PFF3">
        <f>'[12]Summary Report - 12 Months Endi'!PFE2</f>
        <v>0</v>
      </c>
      <c r="PFG3">
        <f>'[12]Summary Report - 12 Months Endi'!PFF2</f>
        <v>0</v>
      </c>
      <c r="PFH3">
        <f>'[12]Summary Report - 12 Months Endi'!PFG2</f>
        <v>0</v>
      </c>
      <c r="PFI3">
        <f>'[12]Summary Report - 12 Months Endi'!PFH2</f>
        <v>0</v>
      </c>
      <c r="PFJ3">
        <f>'[12]Summary Report - 12 Months Endi'!PFI2</f>
        <v>0</v>
      </c>
      <c r="PFK3">
        <f>'[12]Summary Report - 12 Months Endi'!PFJ2</f>
        <v>0</v>
      </c>
      <c r="PFL3">
        <f>'[12]Summary Report - 12 Months Endi'!PFK2</f>
        <v>0</v>
      </c>
      <c r="PFM3">
        <f>'[12]Summary Report - 12 Months Endi'!PFL2</f>
        <v>0</v>
      </c>
      <c r="PFN3">
        <f>'[12]Summary Report - 12 Months Endi'!PFM2</f>
        <v>0</v>
      </c>
      <c r="PFO3">
        <f>'[12]Summary Report - 12 Months Endi'!PFN2</f>
        <v>0</v>
      </c>
      <c r="PFP3">
        <f>'[12]Summary Report - 12 Months Endi'!PFO2</f>
        <v>0</v>
      </c>
      <c r="PFQ3">
        <f>'[12]Summary Report - 12 Months Endi'!PFP2</f>
        <v>0</v>
      </c>
      <c r="PFR3">
        <f>'[12]Summary Report - 12 Months Endi'!PFQ2</f>
        <v>0</v>
      </c>
      <c r="PFS3">
        <f>'[12]Summary Report - 12 Months Endi'!PFR2</f>
        <v>0</v>
      </c>
      <c r="PFT3">
        <f>'[12]Summary Report - 12 Months Endi'!PFS2</f>
        <v>0</v>
      </c>
      <c r="PFU3">
        <f>'[12]Summary Report - 12 Months Endi'!PFT2</f>
        <v>0</v>
      </c>
      <c r="PFV3">
        <f>'[12]Summary Report - 12 Months Endi'!PFU2</f>
        <v>0</v>
      </c>
      <c r="PFW3">
        <f>'[12]Summary Report - 12 Months Endi'!PFV2</f>
        <v>0</v>
      </c>
      <c r="PFX3">
        <f>'[12]Summary Report - 12 Months Endi'!PFW2</f>
        <v>0</v>
      </c>
      <c r="PFY3">
        <f>'[12]Summary Report - 12 Months Endi'!PFX2</f>
        <v>0</v>
      </c>
      <c r="PFZ3">
        <f>'[12]Summary Report - 12 Months Endi'!PFY2</f>
        <v>0</v>
      </c>
      <c r="PGA3">
        <f>'[12]Summary Report - 12 Months Endi'!PFZ2</f>
        <v>0</v>
      </c>
      <c r="PGB3">
        <f>'[12]Summary Report - 12 Months Endi'!PGA2</f>
        <v>0</v>
      </c>
      <c r="PGC3">
        <f>'[12]Summary Report - 12 Months Endi'!PGB2</f>
        <v>0</v>
      </c>
      <c r="PGD3">
        <f>'[12]Summary Report - 12 Months Endi'!PGC2</f>
        <v>0</v>
      </c>
      <c r="PGE3">
        <f>'[12]Summary Report - 12 Months Endi'!PGD2</f>
        <v>0</v>
      </c>
      <c r="PGF3">
        <f>'[12]Summary Report - 12 Months Endi'!PGE2</f>
        <v>0</v>
      </c>
      <c r="PGG3">
        <f>'[12]Summary Report - 12 Months Endi'!PGF2</f>
        <v>0</v>
      </c>
      <c r="PGH3">
        <f>'[12]Summary Report - 12 Months Endi'!PGG2</f>
        <v>0</v>
      </c>
      <c r="PGI3">
        <f>'[12]Summary Report - 12 Months Endi'!PGH2</f>
        <v>0</v>
      </c>
      <c r="PGJ3">
        <f>'[12]Summary Report - 12 Months Endi'!PGI2</f>
        <v>0</v>
      </c>
      <c r="PGK3">
        <f>'[12]Summary Report - 12 Months Endi'!PGJ2</f>
        <v>0</v>
      </c>
      <c r="PGL3">
        <f>'[12]Summary Report - 12 Months Endi'!PGK2</f>
        <v>0</v>
      </c>
      <c r="PGM3">
        <f>'[12]Summary Report - 12 Months Endi'!PGL2</f>
        <v>0</v>
      </c>
      <c r="PGN3">
        <f>'[12]Summary Report - 12 Months Endi'!PGM2</f>
        <v>0</v>
      </c>
      <c r="PGO3">
        <f>'[12]Summary Report - 12 Months Endi'!PGN2</f>
        <v>0</v>
      </c>
      <c r="PGP3">
        <f>'[12]Summary Report - 12 Months Endi'!PGO2</f>
        <v>0</v>
      </c>
      <c r="PGQ3">
        <f>'[12]Summary Report - 12 Months Endi'!PGP2</f>
        <v>0</v>
      </c>
      <c r="PGR3">
        <f>'[12]Summary Report - 12 Months Endi'!PGQ2</f>
        <v>0</v>
      </c>
      <c r="PGS3">
        <f>'[12]Summary Report - 12 Months Endi'!PGR2</f>
        <v>0</v>
      </c>
      <c r="PGT3">
        <f>'[12]Summary Report - 12 Months Endi'!PGS2</f>
        <v>0</v>
      </c>
      <c r="PGU3">
        <f>'[12]Summary Report - 12 Months Endi'!PGT2</f>
        <v>0</v>
      </c>
      <c r="PGV3">
        <f>'[12]Summary Report - 12 Months Endi'!PGU2</f>
        <v>0</v>
      </c>
      <c r="PGW3">
        <f>'[12]Summary Report - 12 Months Endi'!PGV2</f>
        <v>0</v>
      </c>
      <c r="PGX3">
        <f>'[12]Summary Report - 12 Months Endi'!PGW2</f>
        <v>0</v>
      </c>
      <c r="PGY3">
        <f>'[12]Summary Report - 12 Months Endi'!PGX2</f>
        <v>0</v>
      </c>
      <c r="PGZ3">
        <f>'[12]Summary Report - 12 Months Endi'!PGY2</f>
        <v>0</v>
      </c>
      <c r="PHA3">
        <f>'[12]Summary Report - 12 Months Endi'!PGZ2</f>
        <v>0</v>
      </c>
      <c r="PHB3">
        <f>'[12]Summary Report - 12 Months Endi'!PHA2</f>
        <v>0</v>
      </c>
      <c r="PHC3">
        <f>'[12]Summary Report - 12 Months Endi'!PHB2</f>
        <v>0</v>
      </c>
      <c r="PHD3">
        <f>'[12]Summary Report - 12 Months Endi'!PHC2</f>
        <v>0</v>
      </c>
      <c r="PHE3">
        <f>'[12]Summary Report - 12 Months Endi'!PHD2</f>
        <v>0</v>
      </c>
      <c r="PHF3">
        <f>'[12]Summary Report - 12 Months Endi'!PHE2</f>
        <v>0</v>
      </c>
      <c r="PHG3">
        <f>'[12]Summary Report - 12 Months Endi'!PHF2</f>
        <v>0</v>
      </c>
      <c r="PHH3">
        <f>'[12]Summary Report - 12 Months Endi'!PHG2</f>
        <v>0</v>
      </c>
      <c r="PHI3">
        <f>'[12]Summary Report - 12 Months Endi'!PHH2</f>
        <v>0</v>
      </c>
      <c r="PHJ3">
        <f>'[12]Summary Report - 12 Months Endi'!PHI2</f>
        <v>0</v>
      </c>
      <c r="PHK3">
        <f>'[12]Summary Report - 12 Months Endi'!PHJ2</f>
        <v>0</v>
      </c>
      <c r="PHL3">
        <f>'[12]Summary Report - 12 Months Endi'!PHK2</f>
        <v>0</v>
      </c>
      <c r="PHM3">
        <f>'[12]Summary Report - 12 Months Endi'!PHL2</f>
        <v>0</v>
      </c>
      <c r="PHN3">
        <f>'[12]Summary Report - 12 Months Endi'!PHM2</f>
        <v>0</v>
      </c>
      <c r="PHO3">
        <f>'[12]Summary Report - 12 Months Endi'!PHN2</f>
        <v>0</v>
      </c>
      <c r="PHP3">
        <f>'[12]Summary Report - 12 Months Endi'!PHO2</f>
        <v>0</v>
      </c>
      <c r="PHQ3">
        <f>'[12]Summary Report - 12 Months Endi'!PHP2</f>
        <v>0</v>
      </c>
      <c r="PHR3">
        <f>'[12]Summary Report - 12 Months Endi'!PHQ2</f>
        <v>0</v>
      </c>
      <c r="PHS3">
        <f>'[12]Summary Report - 12 Months Endi'!PHR2</f>
        <v>0</v>
      </c>
      <c r="PHT3">
        <f>'[12]Summary Report - 12 Months Endi'!PHS2</f>
        <v>0</v>
      </c>
      <c r="PHU3">
        <f>'[12]Summary Report - 12 Months Endi'!PHT2</f>
        <v>0</v>
      </c>
      <c r="PHV3">
        <f>'[12]Summary Report - 12 Months Endi'!PHU2</f>
        <v>0</v>
      </c>
      <c r="PHW3">
        <f>'[12]Summary Report - 12 Months Endi'!PHV2</f>
        <v>0</v>
      </c>
      <c r="PHX3">
        <f>'[12]Summary Report - 12 Months Endi'!PHW2</f>
        <v>0</v>
      </c>
      <c r="PHY3">
        <f>'[12]Summary Report - 12 Months Endi'!PHX2</f>
        <v>0</v>
      </c>
      <c r="PHZ3">
        <f>'[12]Summary Report - 12 Months Endi'!PHY2</f>
        <v>0</v>
      </c>
      <c r="PIA3">
        <f>'[12]Summary Report - 12 Months Endi'!PHZ2</f>
        <v>0</v>
      </c>
      <c r="PIB3">
        <f>'[12]Summary Report - 12 Months Endi'!PIA2</f>
        <v>0</v>
      </c>
      <c r="PIC3">
        <f>'[12]Summary Report - 12 Months Endi'!PIB2</f>
        <v>0</v>
      </c>
      <c r="PID3">
        <f>'[12]Summary Report - 12 Months Endi'!PIC2</f>
        <v>0</v>
      </c>
      <c r="PIE3">
        <f>'[12]Summary Report - 12 Months Endi'!PID2</f>
        <v>0</v>
      </c>
      <c r="PIF3">
        <f>'[12]Summary Report - 12 Months Endi'!PIE2</f>
        <v>0</v>
      </c>
      <c r="PIG3">
        <f>'[12]Summary Report - 12 Months Endi'!PIF2</f>
        <v>0</v>
      </c>
      <c r="PIH3">
        <f>'[12]Summary Report - 12 Months Endi'!PIG2</f>
        <v>0</v>
      </c>
      <c r="PII3">
        <f>'[12]Summary Report - 12 Months Endi'!PIH2</f>
        <v>0</v>
      </c>
      <c r="PIJ3">
        <f>'[12]Summary Report - 12 Months Endi'!PII2</f>
        <v>0</v>
      </c>
      <c r="PIK3">
        <f>'[12]Summary Report - 12 Months Endi'!PIJ2</f>
        <v>0</v>
      </c>
      <c r="PIL3">
        <f>'[12]Summary Report - 12 Months Endi'!PIK2</f>
        <v>0</v>
      </c>
      <c r="PIM3">
        <f>'[12]Summary Report - 12 Months Endi'!PIL2</f>
        <v>0</v>
      </c>
      <c r="PIN3">
        <f>'[12]Summary Report - 12 Months Endi'!PIM2</f>
        <v>0</v>
      </c>
      <c r="PIO3">
        <f>'[12]Summary Report - 12 Months Endi'!PIN2</f>
        <v>0</v>
      </c>
      <c r="PIP3">
        <f>'[12]Summary Report - 12 Months Endi'!PIO2</f>
        <v>0</v>
      </c>
      <c r="PIQ3">
        <f>'[12]Summary Report - 12 Months Endi'!PIP2</f>
        <v>0</v>
      </c>
      <c r="PIR3">
        <f>'[12]Summary Report - 12 Months Endi'!PIQ2</f>
        <v>0</v>
      </c>
      <c r="PIS3">
        <f>'[12]Summary Report - 12 Months Endi'!PIR2</f>
        <v>0</v>
      </c>
      <c r="PIT3">
        <f>'[12]Summary Report - 12 Months Endi'!PIS2</f>
        <v>0</v>
      </c>
      <c r="PIU3">
        <f>'[12]Summary Report - 12 Months Endi'!PIT2</f>
        <v>0</v>
      </c>
      <c r="PIV3">
        <f>'[12]Summary Report - 12 Months Endi'!PIU2</f>
        <v>0</v>
      </c>
      <c r="PIW3">
        <f>'[12]Summary Report - 12 Months Endi'!PIV2</f>
        <v>0</v>
      </c>
      <c r="PIX3">
        <f>'[12]Summary Report - 12 Months Endi'!PIW2</f>
        <v>0</v>
      </c>
      <c r="PIY3">
        <f>'[12]Summary Report - 12 Months Endi'!PIX2</f>
        <v>0</v>
      </c>
      <c r="PIZ3">
        <f>'[12]Summary Report - 12 Months Endi'!PIY2</f>
        <v>0</v>
      </c>
      <c r="PJA3">
        <f>'[12]Summary Report - 12 Months Endi'!PIZ2</f>
        <v>0</v>
      </c>
      <c r="PJB3">
        <f>'[12]Summary Report - 12 Months Endi'!PJA2</f>
        <v>0</v>
      </c>
      <c r="PJC3">
        <f>'[12]Summary Report - 12 Months Endi'!PJB2</f>
        <v>0</v>
      </c>
      <c r="PJD3">
        <f>'[12]Summary Report - 12 Months Endi'!PJC2</f>
        <v>0</v>
      </c>
      <c r="PJE3">
        <f>'[12]Summary Report - 12 Months Endi'!PJD2</f>
        <v>0</v>
      </c>
      <c r="PJF3">
        <f>'[12]Summary Report - 12 Months Endi'!PJE2</f>
        <v>0</v>
      </c>
      <c r="PJG3">
        <f>'[12]Summary Report - 12 Months Endi'!PJF2</f>
        <v>0</v>
      </c>
      <c r="PJH3">
        <f>'[12]Summary Report - 12 Months Endi'!PJG2</f>
        <v>0</v>
      </c>
      <c r="PJI3">
        <f>'[12]Summary Report - 12 Months Endi'!PJH2</f>
        <v>0</v>
      </c>
      <c r="PJJ3">
        <f>'[12]Summary Report - 12 Months Endi'!PJI2</f>
        <v>0</v>
      </c>
      <c r="PJK3">
        <f>'[12]Summary Report - 12 Months Endi'!PJJ2</f>
        <v>0</v>
      </c>
      <c r="PJL3">
        <f>'[12]Summary Report - 12 Months Endi'!PJK2</f>
        <v>0</v>
      </c>
      <c r="PJM3">
        <f>'[12]Summary Report - 12 Months Endi'!PJL2</f>
        <v>0</v>
      </c>
      <c r="PJN3">
        <f>'[12]Summary Report - 12 Months Endi'!PJM2</f>
        <v>0</v>
      </c>
      <c r="PJO3">
        <f>'[12]Summary Report - 12 Months Endi'!PJN2</f>
        <v>0</v>
      </c>
      <c r="PJP3">
        <f>'[12]Summary Report - 12 Months Endi'!PJO2</f>
        <v>0</v>
      </c>
      <c r="PJQ3">
        <f>'[12]Summary Report - 12 Months Endi'!PJP2</f>
        <v>0</v>
      </c>
      <c r="PJR3">
        <f>'[12]Summary Report - 12 Months Endi'!PJQ2</f>
        <v>0</v>
      </c>
      <c r="PJS3">
        <f>'[12]Summary Report - 12 Months Endi'!PJR2</f>
        <v>0</v>
      </c>
      <c r="PJT3">
        <f>'[12]Summary Report - 12 Months Endi'!PJS2</f>
        <v>0</v>
      </c>
      <c r="PJU3">
        <f>'[12]Summary Report - 12 Months Endi'!PJT2</f>
        <v>0</v>
      </c>
      <c r="PJV3">
        <f>'[12]Summary Report - 12 Months Endi'!PJU2</f>
        <v>0</v>
      </c>
      <c r="PJW3">
        <f>'[12]Summary Report - 12 Months Endi'!PJV2</f>
        <v>0</v>
      </c>
      <c r="PJX3">
        <f>'[12]Summary Report - 12 Months Endi'!PJW2</f>
        <v>0</v>
      </c>
      <c r="PJY3">
        <f>'[12]Summary Report - 12 Months Endi'!PJX2</f>
        <v>0</v>
      </c>
      <c r="PJZ3">
        <f>'[12]Summary Report - 12 Months Endi'!PJY2</f>
        <v>0</v>
      </c>
      <c r="PKA3">
        <f>'[12]Summary Report - 12 Months Endi'!PJZ2</f>
        <v>0</v>
      </c>
      <c r="PKB3">
        <f>'[12]Summary Report - 12 Months Endi'!PKA2</f>
        <v>0</v>
      </c>
      <c r="PKC3">
        <f>'[12]Summary Report - 12 Months Endi'!PKB2</f>
        <v>0</v>
      </c>
      <c r="PKD3">
        <f>'[12]Summary Report - 12 Months Endi'!PKC2</f>
        <v>0</v>
      </c>
      <c r="PKE3">
        <f>'[12]Summary Report - 12 Months Endi'!PKD2</f>
        <v>0</v>
      </c>
      <c r="PKF3">
        <f>'[12]Summary Report - 12 Months Endi'!PKE2</f>
        <v>0</v>
      </c>
      <c r="PKG3">
        <f>'[12]Summary Report - 12 Months Endi'!PKF2</f>
        <v>0</v>
      </c>
      <c r="PKH3">
        <f>'[12]Summary Report - 12 Months Endi'!PKG2</f>
        <v>0</v>
      </c>
      <c r="PKI3">
        <f>'[12]Summary Report - 12 Months Endi'!PKH2</f>
        <v>0</v>
      </c>
      <c r="PKJ3">
        <f>'[12]Summary Report - 12 Months Endi'!PKI2</f>
        <v>0</v>
      </c>
      <c r="PKK3">
        <f>'[12]Summary Report - 12 Months Endi'!PKJ2</f>
        <v>0</v>
      </c>
      <c r="PKL3">
        <f>'[12]Summary Report - 12 Months Endi'!PKK2</f>
        <v>0</v>
      </c>
      <c r="PKM3">
        <f>'[12]Summary Report - 12 Months Endi'!PKL2</f>
        <v>0</v>
      </c>
      <c r="PKN3">
        <f>'[12]Summary Report - 12 Months Endi'!PKM2</f>
        <v>0</v>
      </c>
      <c r="PKO3">
        <f>'[12]Summary Report - 12 Months Endi'!PKN2</f>
        <v>0</v>
      </c>
      <c r="PKP3">
        <f>'[12]Summary Report - 12 Months Endi'!PKO2</f>
        <v>0</v>
      </c>
      <c r="PKQ3">
        <f>'[12]Summary Report - 12 Months Endi'!PKP2</f>
        <v>0</v>
      </c>
      <c r="PKR3">
        <f>'[12]Summary Report - 12 Months Endi'!PKQ2</f>
        <v>0</v>
      </c>
      <c r="PKS3">
        <f>'[12]Summary Report - 12 Months Endi'!PKR2</f>
        <v>0</v>
      </c>
      <c r="PKT3">
        <f>'[12]Summary Report - 12 Months Endi'!PKS2</f>
        <v>0</v>
      </c>
      <c r="PKU3">
        <f>'[12]Summary Report - 12 Months Endi'!PKT2</f>
        <v>0</v>
      </c>
      <c r="PKV3">
        <f>'[12]Summary Report - 12 Months Endi'!PKU2</f>
        <v>0</v>
      </c>
      <c r="PKW3">
        <f>'[12]Summary Report - 12 Months Endi'!PKV2</f>
        <v>0</v>
      </c>
      <c r="PKX3">
        <f>'[12]Summary Report - 12 Months Endi'!PKW2</f>
        <v>0</v>
      </c>
      <c r="PKY3">
        <f>'[12]Summary Report - 12 Months Endi'!PKX2</f>
        <v>0</v>
      </c>
      <c r="PKZ3">
        <f>'[12]Summary Report - 12 Months Endi'!PKY2</f>
        <v>0</v>
      </c>
      <c r="PLA3">
        <f>'[12]Summary Report - 12 Months Endi'!PKZ2</f>
        <v>0</v>
      </c>
      <c r="PLB3">
        <f>'[12]Summary Report - 12 Months Endi'!PLA2</f>
        <v>0</v>
      </c>
      <c r="PLC3">
        <f>'[12]Summary Report - 12 Months Endi'!PLB2</f>
        <v>0</v>
      </c>
      <c r="PLD3">
        <f>'[12]Summary Report - 12 Months Endi'!PLC2</f>
        <v>0</v>
      </c>
      <c r="PLE3">
        <f>'[12]Summary Report - 12 Months Endi'!PLD2</f>
        <v>0</v>
      </c>
      <c r="PLF3">
        <f>'[12]Summary Report - 12 Months Endi'!PLE2</f>
        <v>0</v>
      </c>
      <c r="PLG3">
        <f>'[12]Summary Report - 12 Months Endi'!PLF2</f>
        <v>0</v>
      </c>
      <c r="PLH3">
        <f>'[12]Summary Report - 12 Months Endi'!PLG2</f>
        <v>0</v>
      </c>
      <c r="PLI3">
        <f>'[12]Summary Report - 12 Months Endi'!PLH2</f>
        <v>0</v>
      </c>
      <c r="PLJ3">
        <f>'[12]Summary Report - 12 Months Endi'!PLI2</f>
        <v>0</v>
      </c>
      <c r="PLK3">
        <f>'[12]Summary Report - 12 Months Endi'!PLJ2</f>
        <v>0</v>
      </c>
      <c r="PLL3">
        <f>'[12]Summary Report - 12 Months Endi'!PLK2</f>
        <v>0</v>
      </c>
      <c r="PLM3">
        <f>'[12]Summary Report - 12 Months Endi'!PLL2</f>
        <v>0</v>
      </c>
      <c r="PLN3">
        <f>'[12]Summary Report - 12 Months Endi'!PLM2</f>
        <v>0</v>
      </c>
      <c r="PLO3">
        <f>'[12]Summary Report - 12 Months Endi'!PLN2</f>
        <v>0</v>
      </c>
      <c r="PLP3">
        <f>'[12]Summary Report - 12 Months Endi'!PLO2</f>
        <v>0</v>
      </c>
      <c r="PLQ3">
        <f>'[12]Summary Report - 12 Months Endi'!PLP2</f>
        <v>0</v>
      </c>
      <c r="PLR3">
        <f>'[12]Summary Report - 12 Months Endi'!PLQ2</f>
        <v>0</v>
      </c>
      <c r="PLS3">
        <f>'[12]Summary Report - 12 Months Endi'!PLR2</f>
        <v>0</v>
      </c>
      <c r="PLT3">
        <f>'[12]Summary Report - 12 Months Endi'!PLS2</f>
        <v>0</v>
      </c>
      <c r="PLU3">
        <f>'[12]Summary Report - 12 Months Endi'!PLT2</f>
        <v>0</v>
      </c>
      <c r="PLV3">
        <f>'[12]Summary Report - 12 Months Endi'!PLU2</f>
        <v>0</v>
      </c>
      <c r="PLW3">
        <f>'[12]Summary Report - 12 Months Endi'!PLV2</f>
        <v>0</v>
      </c>
      <c r="PLX3">
        <f>'[12]Summary Report - 12 Months Endi'!PLW2</f>
        <v>0</v>
      </c>
      <c r="PLY3">
        <f>'[12]Summary Report - 12 Months Endi'!PLX2</f>
        <v>0</v>
      </c>
      <c r="PLZ3">
        <f>'[12]Summary Report - 12 Months Endi'!PLY2</f>
        <v>0</v>
      </c>
      <c r="PMA3">
        <f>'[12]Summary Report - 12 Months Endi'!PLZ2</f>
        <v>0</v>
      </c>
      <c r="PMB3">
        <f>'[12]Summary Report - 12 Months Endi'!PMA2</f>
        <v>0</v>
      </c>
      <c r="PMC3">
        <f>'[12]Summary Report - 12 Months Endi'!PMB2</f>
        <v>0</v>
      </c>
      <c r="PMD3">
        <f>'[12]Summary Report - 12 Months Endi'!PMC2</f>
        <v>0</v>
      </c>
      <c r="PME3">
        <f>'[12]Summary Report - 12 Months Endi'!PMD2</f>
        <v>0</v>
      </c>
      <c r="PMF3">
        <f>'[12]Summary Report - 12 Months Endi'!PME2</f>
        <v>0</v>
      </c>
      <c r="PMG3">
        <f>'[12]Summary Report - 12 Months Endi'!PMF2</f>
        <v>0</v>
      </c>
      <c r="PMH3">
        <f>'[12]Summary Report - 12 Months Endi'!PMG2</f>
        <v>0</v>
      </c>
      <c r="PMI3">
        <f>'[12]Summary Report - 12 Months Endi'!PMH2</f>
        <v>0</v>
      </c>
      <c r="PMJ3">
        <f>'[12]Summary Report - 12 Months Endi'!PMI2</f>
        <v>0</v>
      </c>
      <c r="PMK3">
        <f>'[12]Summary Report - 12 Months Endi'!PMJ2</f>
        <v>0</v>
      </c>
      <c r="PML3">
        <f>'[12]Summary Report - 12 Months Endi'!PMK2</f>
        <v>0</v>
      </c>
      <c r="PMM3">
        <f>'[12]Summary Report - 12 Months Endi'!PML2</f>
        <v>0</v>
      </c>
      <c r="PMN3">
        <f>'[12]Summary Report - 12 Months Endi'!PMM2</f>
        <v>0</v>
      </c>
      <c r="PMO3">
        <f>'[12]Summary Report - 12 Months Endi'!PMN2</f>
        <v>0</v>
      </c>
      <c r="PMP3">
        <f>'[12]Summary Report - 12 Months Endi'!PMO2</f>
        <v>0</v>
      </c>
      <c r="PMQ3">
        <f>'[12]Summary Report - 12 Months Endi'!PMP2</f>
        <v>0</v>
      </c>
      <c r="PMR3">
        <f>'[12]Summary Report - 12 Months Endi'!PMQ2</f>
        <v>0</v>
      </c>
      <c r="PMS3">
        <f>'[12]Summary Report - 12 Months Endi'!PMR2</f>
        <v>0</v>
      </c>
      <c r="PMT3">
        <f>'[12]Summary Report - 12 Months Endi'!PMS2</f>
        <v>0</v>
      </c>
      <c r="PMU3">
        <f>'[12]Summary Report - 12 Months Endi'!PMT2</f>
        <v>0</v>
      </c>
      <c r="PMV3">
        <f>'[12]Summary Report - 12 Months Endi'!PMU2</f>
        <v>0</v>
      </c>
      <c r="PMW3">
        <f>'[12]Summary Report - 12 Months Endi'!PMV2</f>
        <v>0</v>
      </c>
      <c r="PMX3">
        <f>'[12]Summary Report - 12 Months Endi'!PMW2</f>
        <v>0</v>
      </c>
      <c r="PMY3">
        <f>'[12]Summary Report - 12 Months Endi'!PMX2</f>
        <v>0</v>
      </c>
      <c r="PMZ3">
        <f>'[12]Summary Report - 12 Months Endi'!PMY2</f>
        <v>0</v>
      </c>
      <c r="PNA3">
        <f>'[12]Summary Report - 12 Months Endi'!PMZ2</f>
        <v>0</v>
      </c>
      <c r="PNB3">
        <f>'[12]Summary Report - 12 Months Endi'!PNA2</f>
        <v>0</v>
      </c>
      <c r="PNC3">
        <f>'[12]Summary Report - 12 Months Endi'!PNB2</f>
        <v>0</v>
      </c>
      <c r="PND3">
        <f>'[12]Summary Report - 12 Months Endi'!PNC2</f>
        <v>0</v>
      </c>
      <c r="PNE3">
        <f>'[12]Summary Report - 12 Months Endi'!PND2</f>
        <v>0</v>
      </c>
      <c r="PNF3">
        <f>'[12]Summary Report - 12 Months Endi'!PNE2</f>
        <v>0</v>
      </c>
      <c r="PNG3">
        <f>'[12]Summary Report - 12 Months Endi'!PNF2</f>
        <v>0</v>
      </c>
      <c r="PNH3">
        <f>'[12]Summary Report - 12 Months Endi'!PNG2</f>
        <v>0</v>
      </c>
      <c r="PNI3">
        <f>'[12]Summary Report - 12 Months Endi'!PNH2</f>
        <v>0</v>
      </c>
      <c r="PNJ3">
        <f>'[12]Summary Report - 12 Months Endi'!PNI2</f>
        <v>0</v>
      </c>
      <c r="PNK3">
        <f>'[12]Summary Report - 12 Months Endi'!PNJ2</f>
        <v>0</v>
      </c>
      <c r="PNL3">
        <f>'[12]Summary Report - 12 Months Endi'!PNK2</f>
        <v>0</v>
      </c>
      <c r="PNM3">
        <f>'[12]Summary Report - 12 Months Endi'!PNL2</f>
        <v>0</v>
      </c>
      <c r="PNN3">
        <f>'[12]Summary Report - 12 Months Endi'!PNM2</f>
        <v>0</v>
      </c>
      <c r="PNO3">
        <f>'[12]Summary Report - 12 Months Endi'!PNN2</f>
        <v>0</v>
      </c>
      <c r="PNP3">
        <f>'[12]Summary Report - 12 Months Endi'!PNO2</f>
        <v>0</v>
      </c>
      <c r="PNQ3">
        <f>'[12]Summary Report - 12 Months Endi'!PNP2</f>
        <v>0</v>
      </c>
      <c r="PNR3">
        <f>'[12]Summary Report - 12 Months Endi'!PNQ2</f>
        <v>0</v>
      </c>
      <c r="PNS3">
        <f>'[12]Summary Report - 12 Months Endi'!PNR2</f>
        <v>0</v>
      </c>
      <c r="PNT3">
        <f>'[12]Summary Report - 12 Months Endi'!PNS2</f>
        <v>0</v>
      </c>
      <c r="PNU3">
        <f>'[12]Summary Report - 12 Months Endi'!PNT2</f>
        <v>0</v>
      </c>
      <c r="PNV3">
        <f>'[12]Summary Report - 12 Months Endi'!PNU2</f>
        <v>0</v>
      </c>
      <c r="PNW3">
        <f>'[12]Summary Report - 12 Months Endi'!PNV2</f>
        <v>0</v>
      </c>
      <c r="PNX3">
        <f>'[12]Summary Report - 12 Months Endi'!PNW2</f>
        <v>0</v>
      </c>
      <c r="PNY3">
        <f>'[12]Summary Report - 12 Months Endi'!PNX2</f>
        <v>0</v>
      </c>
      <c r="PNZ3">
        <f>'[12]Summary Report - 12 Months Endi'!PNY2</f>
        <v>0</v>
      </c>
      <c r="POA3">
        <f>'[12]Summary Report - 12 Months Endi'!PNZ2</f>
        <v>0</v>
      </c>
      <c r="POB3">
        <f>'[12]Summary Report - 12 Months Endi'!POA2</f>
        <v>0</v>
      </c>
      <c r="POC3">
        <f>'[12]Summary Report - 12 Months Endi'!POB2</f>
        <v>0</v>
      </c>
      <c r="POD3">
        <f>'[12]Summary Report - 12 Months Endi'!POC2</f>
        <v>0</v>
      </c>
      <c r="POE3">
        <f>'[12]Summary Report - 12 Months Endi'!POD2</f>
        <v>0</v>
      </c>
      <c r="POF3">
        <f>'[12]Summary Report - 12 Months Endi'!POE2</f>
        <v>0</v>
      </c>
      <c r="POG3">
        <f>'[12]Summary Report - 12 Months Endi'!POF2</f>
        <v>0</v>
      </c>
      <c r="POH3">
        <f>'[12]Summary Report - 12 Months Endi'!POG2</f>
        <v>0</v>
      </c>
      <c r="POI3">
        <f>'[12]Summary Report - 12 Months Endi'!POH2</f>
        <v>0</v>
      </c>
      <c r="POJ3">
        <f>'[12]Summary Report - 12 Months Endi'!POI2</f>
        <v>0</v>
      </c>
      <c r="POK3">
        <f>'[12]Summary Report - 12 Months Endi'!POJ2</f>
        <v>0</v>
      </c>
      <c r="POL3">
        <f>'[12]Summary Report - 12 Months Endi'!POK2</f>
        <v>0</v>
      </c>
      <c r="POM3">
        <f>'[12]Summary Report - 12 Months Endi'!POL2</f>
        <v>0</v>
      </c>
      <c r="PON3">
        <f>'[12]Summary Report - 12 Months Endi'!POM2</f>
        <v>0</v>
      </c>
      <c r="POO3">
        <f>'[12]Summary Report - 12 Months Endi'!PON2</f>
        <v>0</v>
      </c>
      <c r="POP3">
        <f>'[12]Summary Report - 12 Months Endi'!POO2</f>
        <v>0</v>
      </c>
      <c r="POQ3">
        <f>'[12]Summary Report - 12 Months Endi'!POP2</f>
        <v>0</v>
      </c>
      <c r="POR3">
        <f>'[12]Summary Report - 12 Months Endi'!POQ2</f>
        <v>0</v>
      </c>
      <c r="POS3">
        <f>'[12]Summary Report - 12 Months Endi'!POR2</f>
        <v>0</v>
      </c>
      <c r="POT3">
        <f>'[12]Summary Report - 12 Months Endi'!POS2</f>
        <v>0</v>
      </c>
      <c r="POU3">
        <f>'[12]Summary Report - 12 Months Endi'!POT2</f>
        <v>0</v>
      </c>
      <c r="POV3">
        <f>'[12]Summary Report - 12 Months Endi'!POU2</f>
        <v>0</v>
      </c>
      <c r="POW3">
        <f>'[12]Summary Report - 12 Months Endi'!POV2</f>
        <v>0</v>
      </c>
      <c r="POX3">
        <f>'[12]Summary Report - 12 Months Endi'!POW2</f>
        <v>0</v>
      </c>
      <c r="POY3">
        <f>'[12]Summary Report - 12 Months Endi'!POX2</f>
        <v>0</v>
      </c>
      <c r="POZ3">
        <f>'[12]Summary Report - 12 Months Endi'!POY2</f>
        <v>0</v>
      </c>
      <c r="PPA3">
        <f>'[12]Summary Report - 12 Months Endi'!POZ2</f>
        <v>0</v>
      </c>
      <c r="PPB3">
        <f>'[12]Summary Report - 12 Months Endi'!PPA2</f>
        <v>0</v>
      </c>
      <c r="PPC3">
        <f>'[12]Summary Report - 12 Months Endi'!PPB2</f>
        <v>0</v>
      </c>
      <c r="PPD3">
        <f>'[12]Summary Report - 12 Months Endi'!PPC2</f>
        <v>0</v>
      </c>
      <c r="PPE3">
        <f>'[12]Summary Report - 12 Months Endi'!PPD2</f>
        <v>0</v>
      </c>
      <c r="PPF3">
        <f>'[12]Summary Report - 12 Months Endi'!PPE2</f>
        <v>0</v>
      </c>
      <c r="PPG3">
        <f>'[12]Summary Report - 12 Months Endi'!PPF2</f>
        <v>0</v>
      </c>
      <c r="PPH3">
        <f>'[12]Summary Report - 12 Months Endi'!PPG2</f>
        <v>0</v>
      </c>
      <c r="PPI3">
        <f>'[12]Summary Report - 12 Months Endi'!PPH2</f>
        <v>0</v>
      </c>
      <c r="PPJ3">
        <f>'[12]Summary Report - 12 Months Endi'!PPI2</f>
        <v>0</v>
      </c>
      <c r="PPK3">
        <f>'[12]Summary Report - 12 Months Endi'!PPJ2</f>
        <v>0</v>
      </c>
      <c r="PPL3">
        <f>'[12]Summary Report - 12 Months Endi'!PPK2</f>
        <v>0</v>
      </c>
      <c r="PPM3">
        <f>'[12]Summary Report - 12 Months Endi'!PPL2</f>
        <v>0</v>
      </c>
      <c r="PPN3">
        <f>'[12]Summary Report - 12 Months Endi'!PPM2</f>
        <v>0</v>
      </c>
      <c r="PPO3">
        <f>'[12]Summary Report - 12 Months Endi'!PPN2</f>
        <v>0</v>
      </c>
      <c r="PPP3">
        <f>'[12]Summary Report - 12 Months Endi'!PPO2</f>
        <v>0</v>
      </c>
      <c r="PPQ3">
        <f>'[12]Summary Report - 12 Months Endi'!PPP2</f>
        <v>0</v>
      </c>
      <c r="PPR3">
        <f>'[12]Summary Report - 12 Months Endi'!PPQ2</f>
        <v>0</v>
      </c>
      <c r="PPS3">
        <f>'[12]Summary Report - 12 Months Endi'!PPR2</f>
        <v>0</v>
      </c>
      <c r="PPT3">
        <f>'[12]Summary Report - 12 Months Endi'!PPS2</f>
        <v>0</v>
      </c>
      <c r="PPU3">
        <f>'[12]Summary Report - 12 Months Endi'!PPT2</f>
        <v>0</v>
      </c>
      <c r="PPV3">
        <f>'[12]Summary Report - 12 Months Endi'!PPU2</f>
        <v>0</v>
      </c>
      <c r="PPW3">
        <f>'[12]Summary Report - 12 Months Endi'!PPV2</f>
        <v>0</v>
      </c>
      <c r="PPX3">
        <f>'[12]Summary Report - 12 Months Endi'!PPW2</f>
        <v>0</v>
      </c>
      <c r="PPY3">
        <f>'[12]Summary Report - 12 Months Endi'!PPX2</f>
        <v>0</v>
      </c>
      <c r="PPZ3">
        <f>'[12]Summary Report - 12 Months Endi'!PPY2</f>
        <v>0</v>
      </c>
      <c r="PQA3">
        <f>'[12]Summary Report - 12 Months Endi'!PPZ2</f>
        <v>0</v>
      </c>
      <c r="PQB3">
        <f>'[12]Summary Report - 12 Months Endi'!PQA2</f>
        <v>0</v>
      </c>
      <c r="PQC3">
        <f>'[12]Summary Report - 12 Months Endi'!PQB2</f>
        <v>0</v>
      </c>
      <c r="PQD3">
        <f>'[12]Summary Report - 12 Months Endi'!PQC2</f>
        <v>0</v>
      </c>
      <c r="PQE3">
        <f>'[12]Summary Report - 12 Months Endi'!PQD2</f>
        <v>0</v>
      </c>
      <c r="PQF3">
        <f>'[12]Summary Report - 12 Months Endi'!PQE2</f>
        <v>0</v>
      </c>
      <c r="PQG3">
        <f>'[12]Summary Report - 12 Months Endi'!PQF2</f>
        <v>0</v>
      </c>
      <c r="PQH3">
        <f>'[12]Summary Report - 12 Months Endi'!PQG2</f>
        <v>0</v>
      </c>
      <c r="PQI3">
        <f>'[12]Summary Report - 12 Months Endi'!PQH2</f>
        <v>0</v>
      </c>
      <c r="PQJ3">
        <f>'[12]Summary Report - 12 Months Endi'!PQI2</f>
        <v>0</v>
      </c>
      <c r="PQK3">
        <f>'[12]Summary Report - 12 Months Endi'!PQJ2</f>
        <v>0</v>
      </c>
      <c r="PQL3">
        <f>'[12]Summary Report - 12 Months Endi'!PQK2</f>
        <v>0</v>
      </c>
      <c r="PQM3">
        <f>'[12]Summary Report - 12 Months Endi'!PQL2</f>
        <v>0</v>
      </c>
      <c r="PQN3">
        <f>'[12]Summary Report - 12 Months Endi'!PQM2</f>
        <v>0</v>
      </c>
      <c r="PQO3">
        <f>'[12]Summary Report - 12 Months Endi'!PQN2</f>
        <v>0</v>
      </c>
      <c r="PQP3">
        <f>'[12]Summary Report - 12 Months Endi'!PQO2</f>
        <v>0</v>
      </c>
      <c r="PQQ3">
        <f>'[12]Summary Report - 12 Months Endi'!PQP2</f>
        <v>0</v>
      </c>
      <c r="PQR3">
        <f>'[12]Summary Report - 12 Months Endi'!PQQ2</f>
        <v>0</v>
      </c>
      <c r="PQS3">
        <f>'[12]Summary Report - 12 Months Endi'!PQR2</f>
        <v>0</v>
      </c>
      <c r="PQT3">
        <f>'[12]Summary Report - 12 Months Endi'!PQS2</f>
        <v>0</v>
      </c>
      <c r="PQU3">
        <f>'[12]Summary Report - 12 Months Endi'!PQT2</f>
        <v>0</v>
      </c>
      <c r="PQV3">
        <f>'[12]Summary Report - 12 Months Endi'!PQU2</f>
        <v>0</v>
      </c>
      <c r="PQW3">
        <f>'[12]Summary Report - 12 Months Endi'!PQV2</f>
        <v>0</v>
      </c>
      <c r="PQX3">
        <f>'[12]Summary Report - 12 Months Endi'!PQW2</f>
        <v>0</v>
      </c>
      <c r="PQY3">
        <f>'[12]Summary Report - 12 Months Endi'!PQX2</f>
        <v>0</v>
      </c>
      <c r="PQZ3">
        <f>'[12]Summary Report - 12 Months Endi'!PQY2</f>
        <v>0</v>
      </c>
      <c r="PRA3">
        <f>'[12]Summary Report - 12 Months Endi'!PQZ2</f>
        <v>0</v>
      </c>
      <c r="PRB3">
        <f>'[12]Summary Report - 12 Months Endi'!PRA2</f>
        <v>0</v>
      </c>
      <c r="PRC3">
        <f>'[12]Summary Report - 12 Months Endi'!PRB2</f>
        <v>0</v>
      </c>
      <c r="PRD3">
        <f>'[12]Summary Report - 12 Months Endi'!PRC2</f>
        <v>0</v>
      </c>
      <c r="PRE3">
        <f>'[12]Summary Report - 12 Months Endi'!PRD2</f>
        <v>0</v>
      </c>
      <c r="PRF3">
        <f>'[12]Summary Report - 12 Months Endi'!PRE2</f>
        <v>0</v>
      </c>
      <c r="PRG3">
        <f>'[12]Summary Report - 12 Months Endi'!PRF2</f>
        <v>0</v>
      </c>
      <c r="PRH3">
        <f>'[12]Summary Report - 12 Months Endi'!PRG2</f>
        <v>0</v>
      </c>
      <c r="PRI3">
        <f>'[12]Summary Report - 12 Months Endi'!PRH2</f>
        <v>0</v>
      </c>
      <c r="PRJ3">
        <f>'[12]Summary Report - 12 Months Endi'!PRI2</f>
        <v>0</v>
      </c>
      <c r="PRK3">
        <f>'[12]Summary Report - 12 Months Endi'!PRJ2</f>
        <v>0</v>
      </c>
      <c r="PRL3">
        <f>'[12]Summary Report - 12 Months Endi'!PRK2</f>
        <v>0</v>
      </c>
      <c r="PRM3">
        <f>'[12]Summary Report - 12 Months Endi'!PRL2</f>
        <v>0</v>
      </c>
      <c r="PRN3">
        <f>'[12]Summary Report - 12 Months Endi'!PRM2</f>
        <v>0</v>
      </c>
      <c r="PRO3">
        <f>'[12]Summary Report - 12 Months Endi'!PRN2</f>
        <v>0</v>
      </c>
      <c r="PRP3">
        <f>'[12]Summary Report - 12 Months Endi'!PRO2</f>
        <v>0</v>
      </c>
      <c r="PRQ3">
        <f>'[12]Summary Report - 12 Months Endi'!PRP2</f>
        <v>0</v>
      </c>
      <c r="PRR3">
        <f>'[12]Summary Report - 12 Months Endi'!PRQ2</f>
        <v>0</v>
      </c>
      <c r="PRS3">
        <f>'[12]Summary Report - 12 Months Endi'!PRR2</f>
        <v>0</v>
      </c>
      <c r="PRT3">
        <f>'[12]Summary Report - 12 Months Endi'!PRS2</f>
        <v>0</v>
      </c>
      <c r="PRU3">
        <f>'[12]Summary Report - 12 Months Endi'!PRT2</f>
        <v>0</v>
      </c>
      <c r="PRV3">
        <f>'[12]Summary Report - 12 Months Endi'!PRU2</f>
        <v>0</v>
      </c>
      <c r="PRW3">
        <f>'[12]Summary Report - 12 Months Endi'!PRV2</f>
        <v>0</v>
      </c>
      <c r="PRX3">
        <f>'[12]Summary Report - 12 Months Endi'!PRW2</f>
        <v>0</v>
      </c>
      <c r="PRY3">
        <f>'[12]Summary Report - 12 Months Endi'!PRX2</f>
        <v>0</v>
      </c>
      <c r="PRZ3">
        <f>'[12]Summary Report - 12 Months Endi'!PRY2</f>
        <v>0</v>
      </c>
      <c r="PSA3">
        <f>'[12]Summary Report - 12 Months Endi'!PRZ2</f>
        <v>0</v>
      </c>
      <c r="PSB3">
        <f>'[12]Summary Report - 12 Months Endi'!PSA2</f>
        <v>0</v>
      </c>
      <c r="PSC3">
        <f>'[12]Summary Report - 12 Months Endi'!PSB2</f>
        <v>0</v>
      </c>
      <c r="PSD3">
        <f>'[12]Summary Report - 12 Months Endi'!PSC2</f>
        <v>0</v>
      </c>
      <c r="PSE3">
        <f>'[12]Summary Report - 12 Months Endi'!PSD2</f>
        <v>0</v>
      </c>
      <c r="PSF3">
        <f>'[12]Summary Report - 12 Months Endi'!PSE2</f>
        <v>0</v>
      </c>
      <c r="PSG3">
        <f>'[12]Summary Report - 12 Months Endi'!PSF2</f>
        <v>0</v>
      </c>
      <c r="PSH3">
        <f>'[12]Summary Report - 12 Months Endi'!PSG2</f>
        <v>0</v>
      </c>
      <c r="PSI3">
        <f>'[12]Summary Report - 12 Months Endi'!PSH2</f>
        <v>0</v>
      </c>
      <c r="PSJ3">
        <f>'[12]Summary Report - 12 Months Endi'!PSI2</f>
        <v>0</v>
      </c>
      <c r="PSK3">
        <f>'[12]Summary Report - 12 Months Endi'!PSJ2</f>
        <v>0</v>
      </c>
      <c r="PSL3">
        <f>'[12]Summary Report - 12 Months Endi'!PSK2</f>
        <v>0</v>
      </c>
      <c r="PSM3">
        <f>'[12]Summary Report - 12 Months Endi'!PSL2</f>
        <v>0</v>
      </c>
      <c r="PSN3">
        <f>'[12]Summary Report - 12 Months Endi'!PSM2</f>
        <v>0</v>
      </c>
      <c r="PSO3">
        <f>'[12]Summary Report - 12 Months Endi'!PSN2</f>
        <v>0</v>
      </c>
      <c r="PSP3">
        <f>'[12]Summary Report - 12 Months Endi'!PSO2</f>
        <v>0</v>
      </c>
      <c r="PSQ3">
        <f>'[12]Summary Report - 12 Months Endi'!PSP2</f>
        <v>0</v>
      </c>
      <c r="PSR3">
        <f>'[12]Summary Report - 12 Months Endi'!PSQ2</f>
        <v>0</v>
      </c>
      <c r="PSS3">
        <f>'[12]Summary Report - 12 Months Endi'!PSR2</f>
        <v>0</v>
      </c>
      <c r="PST3">
        <f>'[12]Summary Report - 12 Months Endi'!PSS2</f>
        <v>0</v>
      </c>
      <c r="PSU3">
        <f>'[12]Summary Report - 12 Months Endi'!PST2</f>
        <v>0</v>
      </c>
      <c r="PSV3">
        <f>'[12]Summary Report - 12 Months Endi'!PSU2</f>
        <v>0</v>
      </c>
      <c r="PSW3">
        <f>'[12]Summary Report - 12 Months Endi'!PSV2</f>
        <v>0</v>
      </c>
      <c r="PSX3">
        <f>'[12]Summary Report - 12 Months Endi'!PSW2</f>
        <v>0</v>
      </c>
      <c r="PSY3">
        <f>'[12]Summary Report - 12 Months Endi'!PSX2</f>
        <v>0</v>
      </c>
      <c r="PSZ3">
        <f>'[12]Summary Report - 12 Months Endi'!PSY2</f>
        <v>0</v>
      </c>
      <c r="PTA3">
        <f>'[12]Summary Report - 12 Months Endi'!PSZ2</f>
        <v>0</v>
      </c>
      <c r="PTB3">
        <f>'[12]Summary Report - 12 Months Endi'!PTA2</f>
        <v>0</v>
      </c>
      <c r="PTC3">
        <f>'[12]Summary Report - 12 Months Endi'!PTB2</f>
        <v>0</v>
      </c>
      <c r="PTD3">
        <f>'[12]Summary Report - 12 Months Endi'!PTC2</f>
        <v>0</v>
      </c>
      <c r="PTE3">
        <f>'[12]Summary Report - 12 Months Endi'!PTD2</f>
        <v>0</v>
      </c>
      <c r="PTF3">
        <f>'[12]Summary Report - 12 Months Endi'!PTE2</f>
        <v>0</v>
      </c>
      <c r="PTG3">
        <f>'[12]Summary Report - 12 Months Endi'!PTF2</f>
        <v>0</v>
      </c>
      <c r="PTH3">
        <f>'[12]Summary Report - 12 Months Endi'!PTG2</f>
        <v>0</v>
      </c>
      <c r="PTI3">
        <f>'[12]Summary Report - 12 Months Endi'!PTH2</f>
        <v>0</v>
      </c>
      <c r="PTJ3">
        <f>'[12]Summary Report - 12 Months Endi'!PTI2</f>
        <v>0</v>
      </c>
      <c r="PTK3">
        <f>'[12]Summary Report - 12 Months Endi'!PTJ2</f>
        <v>0</v>
      </c>
      <c r="PTL3">
        <f>'[12]Summary Report - 12 Months Endi'!PTK2</f>
        <v>0</v>
      </c>
      <c r="PTM3">
        <f>'[12]Summary Report - 12 Months Endi'!PTL2</f>
        <v>0</v>
      </c>
      <c r="PTN3">
        <f>'[12]Summary Report - 12 Months Endi'!PTM2</f>
        <v>0</v>
      </c>
      <c r="PTO3">
        <f>'[12]Summary Report - 12 Months Endi'!PTN2</f>
        <v>0</v>
      </c>
      <c r="PTP3">
        <f>'[12]Summary Report - 12 Months Endi'!PTO2</f>
        <v>0</v>
      </c>
      <c r="PTQ3">
        <f>'[12]Summary Report - 12 Months Endi'!PTP2</f>
        <v>0</v>
      </c>
      <c r="PTR3">
        <f>'[12]Summary Report - 12 Months Endi'!PTQ2</f>
        <v>0</v>
      </c>
      <c r="PTS3">
        <f>'[12]Summary Report - 12 Months Endi'!PTR2</f>
        <v>0</v>
      </c>
      <c r="PTT3">
        <f>'[12]Summary Report - 12 Months Endi'!PTS2</f>
        <v>0</v>
      </c>
      <c r="PTU3">
        <f>'[12]Summary Report - 12 Months Endi'!PTT2</f>
        <v>0</v>
      </c>
      <c r="PTV3">
        <f>'[12]Summary Report - 12 Months Endi'!PTU2</f>
        <v>0</v>
      </c>
      <c r="PTW3">
        <f>'[12]Summary Report - 12 Months Endi'!PTV2</f>
        <v>0</v>
      </c>
      <c r="PTX3">
        <f>'[12]Summary Report - 12 Months Endi'!PTW2</f>
        <v>0</v>
      </c>
      <c r="PTY3">
        <f>'[12]Summary Report - 12 Months Endi'!PTX2</f>
        <v>0</v>
      </c>
      <c r="PTZ3">
        <f>'[12]Summary Report - 12 Months Endi'!PTY2</f>
        <v>0</v>
      </c>
      <c r="PUA3">
        <f>'[12]Summary Report - 12 Months Endi'!PTZ2</f>
        <v>0</v>
      </c>
      <c r="PUB3">
        <f>'[12]Summary Report - 12 Months Endi'!PUA2</f>
        <v>0</v>
      </c>
      <c r="PUC3">
        <f>'[12]Summary Report - 12 Months Endi'!PUB2</f>
        <v>0</v>
      </c>
      <c r="PUD3">
        <f>'[12]Summary Report - 12 Months Endi'!PUC2</f>
        <v>0</v>
      </c>
      <c r="PUE3">
        <f>'[12]Summary Report - 12 Months Endi'!PUD2</f>
        <v>0</v>
      </c>
      <c r="PUF3">
        <f>'[12]Summary Report - 12 Months Endi'!PUE2</f>
        <v>0</v>
      </c>
      <c r="PUG3">
        <f>'[12]Summary Report - 12 Months Endi'!PUF2</f>
        <v>0</v>
      </c>
      <c r="PUH3">
        <f>'[12]Summary Report - 12 Months Endi'!PUG2</f>
        <v>0</v>
      </c>
      <c r="PUI3">
        <f>'[12]Summary Report - 12 Months Endi'!PUH2</f>
        <v>0</v>
      </c>
      <c r="PUJ3">
        <f>'[12]Summary Report - 12 Months Endi'!PUI2</f>
        <v>0</v>
      </c>
      <c r="PUK3">
        <f>'[12]Summary Report - 12 Months Endi'!PUJ2</f>
        <v>0</v>
      </c>
      <c r="PUL3">
        <f>'[12]Summary Report - 12 Months Endi'!PUK2</f>
        <v>0</v>
      </c>
      <c r="PUM3">
        <f>'[12]Summary Report - 12 Months Endi'!PUL2</f>
        <v>0</v>
      </c>
      <c r="PUN3">
        <f>'[12]Summary Report - 12 Months Endi'!PUM2</f>
        <v>0</v>
      </c>
      <c r="PUO3">
        <f>'[12]Summary Report - 12 Months Endi'!PUN2</f>
        <v>0</v>
      </c>
      <c r="PUP3">
        <f>'[12]Summary Report - 12 Months Endi'!PUO2</f>
        <v>0</v>
      </c>
      <c r="PUQ3">
        <f>'[12]Summary Report - 12 Months Endi'!PUP2</f>
        <v>0</v>
      </c>
      <c r="PUR3">
        <f>'[12]Summary Report - 12 Months Endi'!PUQ2</f>
        <v>0</v>
      </c>
      <c r="PUS3">
        <f>'[12]Summary Report - 12 Months Endi'!PUR2</f>
        <v>0</v>
      </c>
      <c r="PUT3">
        <f>'[12]Summary Report - 12 Months Endi'!PUS2</f>
        <v>0</v>
      </c>
      <c r="PUU3">
        <f>'[12]Summary Report - 12 Months Endi'!PUT2</f>
        <v>0</v>
      </c>
      <c r="PUV3">
        <f>'[12]Summary Report - 12 Months Endi'!PUU2</f>
        <v>0</v>
      </c>
      <c r="PUW3">
        <f>'[12]Summary Report - 12 Months Endi'!PUV2</f>
        <v>0</v>
      </c>
      <c r="PUX3">
        <f>'[12]Summary Report - 12 Months Endi'!PUW2</f>
        <v>0</v>
      </c>
      <c r="PUY3">
        <f>'[12]Summary Report - 12 Months Endi'!PUX2</f>
        <v>0</v>
      </c>
      <c r="PUZ3">
        <f>'[12]Summary Report - 12 Months Endi'!PUY2</f>
        <v>0</v>
      </c>
      <c r="PVA3">
        <f>'[12]Summary Report - 12 Months Endi'!PUZ2</f>
        <v>0</v>
      </c>
      <c r="PVB3">
        <f>'[12]Summary Report - 12 Months Endi'!PVA2</f>
        <v>0</v>
      </c>
      <c r="PVC3">
        <f>'[12]Summary Report - 12 Months Endi'!PVB2</f>
        <v>0</v>
      </c>
      <c r="PVD3">
        <f>'[12]Summary Report - 12 Months Endi'!PVC2</f>
        <v>0</v>
      </c>
      <c r="PVE3">
        <f>'[12]Summary Report - 12 Months Endi'!PVD2</f>
        <v>0</v>
      </c>
      <c r="PVF3">
        <f>'[12]Summary Report - 12 Months Endi'!PVE2</f>
        <v>0</v>
      </c>
      <c r="PVG3">
        <f>'[12]Summary Report - 12 Months Endi'!PVF2</f>
        <v>0</v>
      </c>
      <c r="PVH3">
        <f>'[12]Summary Report - 12 Months Endi'!PVG2</f>
        <v>0</v>
      </c>
      <c r="PVI3">
        <f>'[12]Summary Report - 12 Months Endi'!PVH2</f>
        <v>0</v>
      </c>
      <c r="PVJ3">
        <f>'[12]Summary Report - 12 Months Endi'!PVI2</f>
        <v>0</v>
      </c>
      <c r="PVK3">
        <f>'[12]Summary Report - 12 Months Endi'!PVJ2</f>
        <v>0</v>
      </c>
      <c r="PVL3">
        <f>'[12]Summary Report - 12 Months Endi'!PVK2</f>
        <v>0</v>
      </c>
      <c r="PVM3">
        <f>'[12]Summary Report - 12 Months Endi'!PVL2</f>
        <v>0</v>
      </c>
      <c r="PVN3">
        <f>'[12]Summary Report - 12 Months Endi'!PVM2</f>
        <v>0</v>
      </c>
      <c r="PVO3">
        <f>'[12]Summary Report - 12 Months Endi'!PVN2</f>
        <v>0</v>
      </c>
      <c r="PVP3">
        <f>'[12]Summary Report - 12 Months Endi'!PVO2</f>
        <v>0</v>
      </c>
      <c r="PVQ3">
        <f>'[12]Summary Report - 12 Months Endi'!PVP2</f>
        <v>0</v>
      </c>
      <c r="PVR3">
        <f>'[12]Summary Report - 12 Months Endi'!PVQ2</f>
        <v>0</v>
      </c>
      <c r="PVS3">
        <f>'[12]Summary Report - 12 Months Endi'!PVR2</f>
        <v>0</v>
      </c>
      <c r="PVT3">
        <f>'[12]Summary Report - 12 Months Endi'!PVS2</f>
        <v>0</v>
      </c>
      <c r="PVU3">
        <f>'[12]Summary Report - 12 Months Endi'!PVT2</f>
        <v>0</v>
      </c>
      <c r="PVV3">
        <f>'[12]Summary Report - 12 Months Endi'!PVU2</f>
        <v>0</v>
      </c>
      <c r="PVW3">
        <f>'[12]Summary Report - 12 Months Endi'!PVV2</f>
        <v>0</v>
      </c>
      <c r="PVX3">
        <f>'[12]Summary Report - 12 Months Endi'!PVW2</f>
        <v>0</v>
      </c>
      <c r="PVY3">
        <f>'[12]Summary Report - 12 Months Endi'!PVX2</f>
        <v>0</v>
      </c>
      <c r="PVZ3">
        <f>'[12]Summary Report - 12 Months Endi'!PVY2</f>
        <v>0</v>
      </c>
      <c r="PWA3">
        <f>'[12]Summary Report - 12 Months Endi'!PVZ2</f>
        <v>0</v>
      </c>
      <c r="PWB3">
        <f>'[12]Summary Report - 12 Months Endi'!PWA2</f>
        <v>0</v>
      </c>
      <c r="PWC3">
        <f>'[12]Summary Report - 12 Months Endi'!PWB2</f>
        <v>0</v>
      </c>
      <c r="PWD3">
        <f>'[12]Summary Report - 12 Months Endi'!PWC2</f>
        <v>0</v>
      </c>
      <c r="PWE3">
        <f>'[12]Summary Report - 12 Months Endi'!PWD2</f>
        <v>0</v>
      </c>
      <c r="PWF3">
        <f>'[12]Summary Report - 12 Months Endi'!PWE2</f>
        <v>0</v>
      </c>
      <c r="PWG3">
        <f>'[12]Summary Report - 12 Months Endi'!PWF2</f>
        <v>0</v>
      </c>
      <c r="PWH3">
        <f>'[12]Summary Report - 12 Months Endi'!PWG2</f>
        <v>0</v>
      </c>
      <c r="PWI3">
        <f>'[12]Summary Report - 12 Months Endi'!PWH2</f>
        <v>0</v>
      </c>
      <c r="PWJ3">
        <f>'[12]Summary Report - 12 Months Endi'!PWI2</f>
        <v>0</v>
      </c>
      <c r="PWK3">
        <f>'[12]Summary Report - 12 Months Endi'!PWJ2</f>
        <v>0</v>
      </c>
      <c r="PWL3">
        <f>'[12]Summary Report - 12 Months Endi'!PWK2</f>
        <v>0</v>
      </c>
      <c r="PWM3">
        <f>'[12]Summary Report - 12 Months Endi'!PWL2</f>
        <v>0</v>
      </c>
      <c r="PWN3">
        <f>'[12]Summary Report - 12 Months Endi'!PWM2</f>
        <v>0</v>
      </c>
      <c r="PWO3">
        <f>'[12]Summary Report - 12 Months Endi'!PWN2</f>
        <v>0</v>
      </c>
      <c r="PWP3">
        <f>'[12]Summary Report - 12 Months Endi'!PWO2</f>
        <v>0</v>
      </c>
      <c r="PWQ3">
        <f>'[12]Summary Report - 12 Months Endi'!PWP2</f>
        <v>0</v>
      </c>
      <c r="PWR3">
        <f>'[12]Summary Report - 12 Months Endi'!PWQ2</f>
        <v>0</v>
      </c>
      <c r="PWS3">
        <f>'[12]Summary Report - 12 Months Endi'!PWR2</f>
        <v>0</v>
      </c>
      <c r="PWT3">
        <f>'[12]Summary Report - 12 Months Endi'!PWS2</f>
        <v>0</v>
      </c>
      <c r="PWU3">
        <f>'[12]Summary Report - 12 Months Endi'!PWT2</f>
        <v>0</v>
      </c>
      <c r="PWV3">
        <f>'[12]Summary Report - 12 Months Endi'!PWU2</f>
        <v>0</v>
      </c>
      <c r="PWW3">
        <f>'[12]Summary Report - 12 Months Endi'!PWV2</f>
        <v>0</v>
      </c>
      <c r="PWX3">
        <f>'[12]Summary Report - 12 Months Endi'!PWW2</f>
        <v>0</v>
      </c>
      <c r="PWY3">
        <f>'[12]Summary Report - 12 Months Endi'!PWX2</f>
        <v>0</v>
      </c>
      <c r="PWZ3">
        <f>'[12]Summary Report - 12 Months Endi'!PWY2</f>
        <v>0</v>
      </c>
      <c r="PXA3">
        <f>'[12]Summary Report - 12 Months Endi'!PWZ2</f>
        <v>0</v>
      </c>
      <c r="PXB3">
        <f>'[12]Summary Report - 12 Months Endi'!PXA2</f>
        <v>0</v>
      </c>
      <c r="PXC3">
        <f>'[12]Summary Report - 12 Months Endi'!PXB2</f>
        <v>0</v>
      </c>
      <c r="PXD3">
        <f>'[12]Summary Report - 12 Months Endi'!PXC2</f>
        <v>0</v>
      </c>
      <c r="PXE3">
        <f>'[12]Summary Report - 12 Months Endi'!PXD2</f>
        <v>0</v>
      </c>
      <c r="PXF3">
        <f>'[12]Summary Report - 12 Months Endi'!PXE2</f>
        <v>0</v>
      </c>
      <c r="PXG3">
        <f>'[12]Summary Report - 12 Months Endi'!PXF2</f>
        <v>0</v>
      </c>
      <c r="PXH3">
        <f>'[12]Summary Report - 12 Months Endi'!PXG2</f>
        <v>0</v>
      </c>
      <c r="PXI3">
        <f>'[12]Summary Report - 12 Months Endi'!PXH2</f>
        <v>0</v>
      </c>
      <c r="PXJ3">
        <f>'[12]Summary Report - 12 Months Endi'!PXI2</f>
        <v>0</v>
      </c>
      <c r="PXK3">
        <f>'[12]Summary Report - 12 Months Endi'!PXJ2</f>
        <v>0</v>
      </c>
      <c r="PXL3">
        <f>'[12]Summary Report - 12 Months Endi'!PXK2</f>
        <v>0</v>
      </c>
      <c r="PXM3">
        <f>'[12]Summary Report - 12 Months Endi'!PXL2</f>
        <v>0</v>
      </c>
      <c r="PXN3">
        <f>'[12]Summary Report - 12 Months Endi'!PXM2</f>
        <v>0</v>
      </c>
      <c r="PXO3">
        <f>'[12]Summary Report - 12 Months Endi'!PXN2</f>
        <v>0</v>
      </c>
      <c r="PXP3">
        <f>'[12]Summary Report - 12 Months Endi'!PXO2</f>
        <v>0</v>
      </c>
      <c r="PXQ3">
        <f>'[12]Summary Report - 12 Months Endi'!PXP2</f>
        <v>0</v>
      </c>
      <c r="PXR3">
        <f>'[12]Summary Report - 12 Months Endi'!PXQ2</f>
        <v>0</v>
      </c>
      <c r="PXS3">
        <f>'[12]Summary Report - 12 Months Endi'!PXR2</f>
        <v>0</v>
      </c>
      <c r="PXT3">
        <f>'[12]Summary Report - 12 Months Endi'!PXS2</f>
        <v>0</v>
      </c>
      <c r="PXU3">
        <f>'[12]Summary Report - 12 Months Endi'!PXT2</f>
        <v>0</v>
      </c>
      <c r="PXV3">
        <f>'[12]Summary Report - 12 Months Endi'!PXU2</f>
        <v>0</v>
      </c>
      <c r="PXW3">
        <f>'[12]Summary Report - 12 Months Endi'!PXV2</f>
        <v>0</v>
      </c>
      <c r="PXX3">
        <f>'[12]Summary Report - 12 Months Endi'!PXW2</f>
        <v>0</v>
      </c>
      <c r="PXY3">
        <f>'[12]Summary Report - 12 Months Endi'!PXX2</f>
        <v>0</v>
      </c>
      <c r="PXZ3">
        <f>'[12]Summary Report - 12 Months Endi'!PXY2</f>
        <v>0</v>
      </c>
      <c r="PYA3">
        <f>'[12]Summary Report - 12 Months Endi'!PXZ2</f>
        <v>0</v>
      </c>
      <c r="PYB3">
        <f>'[12]Summary Report - 12 Months Endi'!PYA2</f>
        <v>0</v>
      </c>
      <c r="PYC3">
        <f>'[12]Summary Report - 12 Months Endi'!PYB2</f>
        <v>0</v>
      </c>
      <c r="PYD3">
        <f>'[12]Summary Report - 12 Months Endi'!PYC2</f>
        <v>0</v>
      </c>
      <c r="PYE3">
        <f>'[12]Summary Report - 12 Months Endi'!PYD2</f>
        <v>0</v>
      </c>
      <c r="PYF3">
        <f>'[12]Summary Report - 12 Months Endi'!PYE2</f>
        <v>0</v>
      </c>
      <c r="PYG3">
        <f>'[12]Summary Report - 12 Months Endi'!PYF2</f>
        <v>0</v>
      </c>
      <c r="PYH3">
        <f>'[12]Summary Report - 12 Months Endi'!PYG2</f>
        <v>0</v>
      </c>
      <c r="PYI3">
        <f>'[12]Summary Report - 12 Months Endi'!PYH2</f>
        <v>0</v>
      </c>
      <c r="PYJ3">
        <f>'[12]Summary Report - 12 Months Endi'!PYI2</f>
        <v>0</v>
      </c>
      <c r="PYK3">
        <f>'[12]Summary Report - 12 Months Endi'!PYJ2</f>
        <v>0</v>
      </c>
      <c r="PYL3">
        <f>'[12]Summary Report - 12 Months Endi'!PYK2</f>
        <v>0</v>
      </c>
      <c r="PYM3">
        <f>'[12]Summary Report - 12 Months Endi'!PYL2</f>
        <v>0</v>
      </c>
      <c r="PYN3">
        <f>'[12]Summary Report - 12 Months Endi'!PYM2</f>
        <v>0</v>
      </c>
      <c r="PYO3">
        <f>'[12]Summary Report - 12 Months Endi'!PYN2</f>
        <v>0</v>
      </c>
      <c r="PYP3">
        <f>'[12]Summary Report - 12 Months Endi'!PYO2</f>
        <v>0</v>
      </c>
      <c r="PYQ3">
        <f>'[12]Summary Report - 12 Months Endi'!PYP2</f>
        <v>0</v>
      </c>
      <c r="PYR3">
        <f>'[12]Summary Report - 12 Months Endi'!PYQ2</f>
        <v>0</v>
      </c>
      <c r="PYS3">
        <f>'[12]Summary Report - 12 Months Endi'!PYR2</f>
        <v>0</v>
      </c>
      <c r="PYT3">
        <f>'[12]Summary Report - 12 Months Endi'!PYS2</f>
        <v>0</v>
      </c>
      <c r="PYU3">
        <f>'[12]Summary Report - 12 Months Endi'!PYT2</f>
        <v>0</v>
      </c>
      <c r="PYV3">
        <f>'[12]Summary Report - 12 Months Endi'!PYU2</f>
        <v>0</v>
      </c>
      <c r="PYW3">
        <f>'[12]Summary Report - 12 Months Endi'!PYV2</f>
        <v>0</v>
      </c>
      <c r="PYX3">
        <f>'[12]Summary Report - 12 Months Endi'!PYW2</f>
        <v>0</v>
      </c>
      <c r="PYY3">
        <f>'[12]Summary Report - 12 Months Endi'!PYX2</f>
        <v>0</v>
      </c>
      <c r="PYZ3">
        <f>'[12]Summary Report - 12 Months Endi'!PYY2</f>
        <v>0</v>
      </c>
      <c r="PZA3">
        <f>'[12]Summary Report - 12 Months Endi'!PYZ2</f>
        <v>0</v>
      </c>
      <c r="PZB3">
        <f>'[12]Summary Report - 12 Months Endi'!PZA2</f>
        <v>0</v>
      </c>
      <c r="PZC3">
        <f>'[12]Summary Report - 12 Months Endi'!PZB2</f>
        <v>0</v>
      </c>
      <c r="PZD3">
        <f>'[12]Summary Report - 12 Months Endi'!PZC2</f>
        <v>0</v>
      </c>
      <c r="PZE3">
        <f>'[12]Summary Report - 12 Months Endi'!PZD2</f>
        <v>0</v>
      </c>
      <c r="PZF3">
        <f>'[12]Summary Report - 12 Months Endi'!PZE2</f>
        <v>0</v>
      </c>
      <c r="PZG3">
        <f>'[12]Summary Report - 12 Months Endi'!PZF2</f>
        <v>0</v>
      </c>
      <c r="PZH3">
        <f>'[12]Summary Report - 12 Months Endi'!PZG2</f>
        <v>0</v>
      </c>
      <c r="PZI3">
        <f>'[12]Summary Report - 12 Months Endi'!PZH2</f>
        <v>0</v>
      </c>
      <c r="PZJ3">
        <f>'[12]Summary Report - 12 Months Endi'!PZI2</f>
        <v>0</v>
      </c>
      <c r="PZK3">
        <f>'[12]Summary Report - 12 Months Endi'!PZJ2</f>
        <v>0</v>
      </c>
      <c r="PZL3">
        <f>'[12]Summary Report - 12 Months Endi'!PZK2</f>
        <v>0</v>
      </c>
      <c r="PZM3">
        <f>'[12]Summary Report - 12 Months Endi'!PZL2</f>
        <v>0</v>
      </c>
      <c r="PZN3">
        <f>'[12]Summary Report - 12 Months Endi'!PZM2</f>
        <v>0</v>
      </c>
      <c r="PZO3">
        <f>'[12]Summary Report - 12 Months Endi'!PZN2</f>
        <v>0</v>
      </c>
      <c r="PZP3">
        <f>'[12]Summary Report - 12 Months Endi'!PZO2</f>
        <v>0</v>
      </c>
      <c r="PZQ3">
        <f>'[12]Summary Report - 12 Months Endi'!PZP2</f>
        <v>0</v>
      </c>
      <c r="PZR3">
        <f>'[12]Summary Report - 12 Months Endi'!PZQ2</f>
        <v>0</v>
      </c>
      <c r="PZS3">
        <f>'[12]Summary Report - 12 Months Endi'!PZR2</f>
        <v>0</v>
      </c>
      <c r="PZT3">
        <f>'[12]Summary Report - 12 Months Endi'!PZS2</f>
        <v>0</v>
      </c>
      <c r="PZU3">
        <f>'[12]Summary Report - 12 Months Endi'!PZT2</f>
        <v>0</v>
      </c>
      <c r="PZV3">
        <f>'[12]Summary Report - 12 Months Endi'!PZU2</f>
        <v>0</v>
      </c>
      <c r="PZW3">
        <f>'[12]Summary Report - 12 Months Endi'!PZV2</f>
        <v>0</v>
      </c>
      <c r="PZX3">
        <f>'[12]Summary Report - 12 Months Endi'!PZW2</f>
        <v>0</v>
      </c>
      <c r="PZY3">
        <f>'[12]Summary Report - 12 Months Endi'!PZX2</f>
        <v>0</v>
      </c>
      <c r="PZZ3">
        <f>'[12]Summary Report - 12 Months Endi'!PZY2</f>
        <v>0</v>
      </c>
      <c r="QAA3">
        <f>'[12]Summary Report - 12 Months Endi'!PZZ2</f>
        <v>0</v>
      </c>
      <c r="QAB3">
        <f>'[12]Summary Report - 12 Months Endi'!QAA2</f>
        <v>0</v>
      </c>
      <c r="QAC3">
        <f>'[12]Summary Report - 12 Months Endi'!QAB2</f>
        <v>0</v>
      </c>
      <c r="QAD3">
        <f>'[12]Summary Report - 12 Months Endi'!QAC2</f>
        <v>0</v>
      </c>
      <c r="QAE3">
        <f>'[12]Summary Report - 12 Months Endi'!QAD2</f>
        <v>0</v>
      </c>
      <c r="QAF3">
        <f>'[12]Summary Report - 12 Months Endi'!QAE2</f>
        <v>0</v>
      </c>
      <c r="QAG3">
        <f>'[12]Summary Report - 12 Months Endi'!QAF2</f>
        <v>0</v>
      </c>
      <c r="QAH3">
        <f>'[12]Summary Report - 12 Months Endi'!QAG2</f>
        <v>0</v>
      </c>
      <c r="QAI3">
        <f>'[12]Summary Report - 12 Months Endi'!QAH2</f>
        <v>0</v>
      </c>
      <c r="QAJ3">
        <f>'[12]Summary Report - 12 Months Endi'!QAI2</f>
        <v>0</v>
      </c>
      <c r="QAK3">
        <f>'[12]Summary Report - 12 Months Endi'!QAJ2</f>
        <v>0</v>
      </c>
      <c r="QAL3">
        <f>'[12]Summary Report - 12 Months Endi'!QAK2</f>
        <v>0</v>
      </c>
      <c r="QAM3">
        <f>'[12]Summary Report - 12 Months Endi'!QAL2</f>
        <v>0</v>
      </c>
      <c r="QAN3">
        <f>'[12]Summary Report - 12 Months Endi'!QAM2</f>
        <v>0</v>
      </c>
      <c r="QAO3">
        <f>'[12]Summary Report - 12 Months Endi'!QAN2</f>
        <v>0</v>
      </c>
      <c r="QAP3">
        <f>'[12]Summary Report - 12 Months Endi'!QAO2</f>
        <v>0</v>
      </c>
      <c r="QAQ3">
        <f>'[12]Summary Report - 12 Months Endi'!QAP2</f>
        <v>0</v>
      </c>
      <c r="QAR3">
        <f>'[12]Summary Report - 12 Months Endi'!QAQ2</f>
        <v>0</v>
      </c>
      <c r="QAS3">
        <f>'[12]Summary Report - 12 Months Endi'!QAR2</f>
        <v>0</v>
      </c>
      <c r="QAT3">
        <f>'[12]Summary Report - 12 Months Endi'!QAS2</f>
        <v>0</v>
      </c>
      <c r="QAU3">
        <f>'[12]Summary Report - 12 Months Endi'!QAT2</f>
        <v>0</v>
      </c>
      <c r="QAV3">
        <f>'[12]Summary Report - 12 Months Endi'!QAU2</f>
        <v>0</v>
      </c>
      <c r="QAW3">
        <f>'[12]Summary Report - 12 Months Endi'!QAV2</f>
        <v>0</v>
      </c>
      <c r="QAX3">
        <f>'[12]Summary Report - 12 Months Endi'!QAW2</f>
        <v>0</v>
      </c>
      <c r="QAY3">
        <f>'[12]Summary Report - 12 Months Endi'!QAX2</f>
        <v>0</v>
      </c>
      <c r="QAZ3">
        <f>'[12]Summary Report - 12 Months Endi'!QAY2</f>
        <v>0</v>
      </c>
      <c r="QBA3">
        <f>'[12]Summary Report - 12 Months Endi'!QAZ2</f>
        <v>0</v>
      </c>
      <c r="QBB3">
        <f>'[12]Summary Report - 12 Months Endi'!QBA2</f>
        <v>0</v>
      </c>
      <c r="QBC3">
        <f>'[12]Summary Report - 12 Months Endi'!QBB2</f>
        <v>0</v>
      </c>
      <c r="QBD3">
        <f>'[12]Summary Report - 12 Months Endi'!QBC2</f>
        <v>0</v>
      </c>
      <c r="QBE3">
        <f>'[12]Summary Report - 12 Months Endi'!QBD2</f>
        <v>0</v>
      </c>
      <c r="QBF3">
        <f>'[12]Summary Report - 12 Months Endi'!QBE2</f>
        <v>0</v>
      </c>
      <c r="QBG3">
        <f>'[12]Summary Report - 12 Months Endi'!QBF2</f>
        <v>0</v>
      </c>
      <c r="QBH3">
        <f>'[12]Summary Report - 12 Months Endi'!QBG2</f>
        <v>0</v>
      </c>
      <c r="QBI3">
        <f>'[12]Summary Report - 12 Months Endi'!QBH2</f>
        <v>0</v>
      </c>
      <c r="QBJ3">
        <f>'[12]Summary Report - 12 Months Endi'!QBI2</f>
        <v>0</v>
      </c>
      <c r="QBK3">
        <f>'[12]Summary Report - 12 Months Endi'!QBJ2</f>
        <v>0</v>
      </c>
      <c r="QBL3">
        <f>'[12]Summary Report - 12 Months Endi'!QBK2</f>
        <v>0</v>
      </c>
      <c r="QBM3">
        <f>'[12]Summary Report - 12 Months Endi'!QBL2</f>
        <v>0</v>
      </c>
      <c r="QBN3">
        <f>'[12]Summary Report - 12 Months Endi'!QBM2</f>
        <v>0</v>
      </c>
      <c r="QBO3">
        <f>'[12]Summary Report - 12 Months Endi'!QBN2</f>
        <v>0</v>
      </c>
      <c r="QBP3">
        <f>'[12]Summary Report - 12 Months Endi'!QBO2</f>
        <v>0</v>
      </c>
      <c r="QBQ3">
        <f>'[12]Summary Report - 12 Months Endi'!QBP2</f>
        <v>0</v>
      </c>
      <c r="QBR3">
        <f>'[12]Summary Report - 12 Months Endi'!QBQ2</f>
        <v>0</v>
      </c>
      <c r="QBS3">
        <f>'[12]Summary Report - 12 Months Endi'!QBR2</f>
        <v>0</v>
      </c>
      <c r="QBT3">
        <f>'[12]Summary Report - 12 Months Endi'!QBS2</f>
        <v>0</v>
      </c>
      <c r="QBU3">
        <f>'[12]Summary Report - 12 Months Endi'!QBT2</f>
        <v>0</v>
      </c>
      <c r="QBV3">
        <f>'[12]Summary Report - 12 Months Endi'!QBU2</f>
        <v>0</v>
      </c>
      <c r="QBW3">
        <f>'[12]Summary Report - 12 Months Endi'!QBV2</f>
        <v>0</v>
      </c>
      <c r="QBX3">
        <f>'[12]Summary Report - 12 Months Endi'!QBW2</f>
        <v>0</v>
      </c>
      <c r="QBY3">
        <f>'[12]Summary Report - 12 Months Endi'!QBX2</f>
        <v>0</v>
      </c>
      <c r="QBZ3">
        <f>'[12]Summary Report - 12 Months Endi'!QBY2</f>
        <v>0</v>
      </c>
      <c r="QCA3">
        <f>'[12]Summary Report - 12 Months Endi'!QBZ2</f>
        <v>0</v>
      </c>
      <c r="QCB3">
        <f>'[12]Summary Report - 12 Months Endi'!QCA2</f>
        <v>0</v>
      </c>
      <c r="QCC3">
        <f>'[12]Summary Report - 12 Months Endi'!QCB2</f>
        <v>0</v>
      </c>
      <c r="QCD3">
        <f>'[12]Summary Report - 12 Months Endi'!QCC2</f>
        <v>0</v>
      </c>
      <c r="QCE3">
        <f>'[12]Summary Report - 12 Months Endi'!QCD2</f>
        <v>0</v>
      </c>
      <c r="QCF3">
        <f>'[12]Summary Report - 12 Months Endi'!QCE2</f>
        <v>0</v>
      </c>
      <c r="QCG3">
        <f>'[12]Summary Report - 12 Months Endi'!QCF2</f>
        <v>0</v>
      </c>
      <c r="QCH3">
        <f>'[12]Summary Report - 12 Months Endi'!QCG2</f>
        <v>0</v>
      </c>
      <c r="QCI3">
        <f>'[12]Summary Report - 12 Months Endi'!QCH2</f>
        <v>0</v>
      </c>
      <c r="QCJ3">
        <f>'[12]Summary Report - 12 Months Endi'!QCI2</f>
        <v>0</v>
      </c>
      <c r="QCK3">
        <f>'[12]Summary Report - 12 Months Endi'!QCJ2</f>
        <v>0</v>
      </c>
      <c r="QCL3">
        <f>'[12]Summary Report - 12 Months Endi'!QCK2</f>
        <v>0</v>
      </c>
      <c r="QCM3">
        <f>'[12]Summary Report - 12 Months Endi'!QCL2</f>
        <v>0</v>
      </c>
      <c r="QCN3">
        <f>'[12]Summary Report - 12 Months Endi'!QCM2</f>
        <v>0</v>
      </c>
      <c r="QCO3">
        <f>'[12]Summary Report - 12 Months Endi'!QCN2</f>
        <v>0</v>
      </c>
      <c r="QCP3">
        <f>'[12]Summary Report - 12 Months Endi'!QCO2</f>
        <v>0</v>
      </c>
      <c r="QCQ3">
        <f>'[12]Summary Report - 12 Months Endi'!QCP2</f>
        <v>0</v>
      </c>
      <c r="QCR3">
        <f>'[12]Summary Report - 12 Months Endi'!QCQ2</f>
        <v>0</v>
      </c>
      <c r="QCS3">
        <f>'[12]Summary Report - 12 Months Endi'!QCR2</f>
        <v>0</v>
      </c>
      <c r="QCT3">
        <f>'[12]Summary Report - 12 Months Endi'!QCS2</f>
        <v>0</v>
      </c>
      <c r="QCU3">
        <f>'[12]Summary Report - 12 Months Endi'!QCT2</f>
        <v>0</v>
      </c>
      <c r="QCV3">
        <f>'[12]Summary Report - 12 Months Endi'!QCU2</f>
        <v>0</v>
      </c>
      <c r="QCW3">
        <f>'[12]Summary Report - 12 Months Endi'!QCV2</f>
        <v>0</v>
      </c>
      <c r="QCX3">
        <f>'[12]Summary Report - 12 Months Endi'!QCW2</f>
        <v>0</v>
      </c>
      <c r="QCY3">
        <f>'[12]Summary Report - 12 Months Endi'!QCX2</f>
        <v>0</v>
      </c>
      <c r="QCZ3">
        <f>'[12]Summary Report - 12 Months Endi'!QCY2</f>
        <v>0</v>
      </c>
      <c r="QDA3">
        <f>'[12]Summary Report - 12 Months Endi'!QCZ2</f>
        <v>0</v>
      </c>
      <c r="QDB3">
        <f>'[12]Summary Report - 12 Months Endi'!QDA2</f>
        <v>0</v>
      </c>
      <c r="QDC3">
        <f>'[12]Summary Report - 12 Months Endi'!QDB2</f>
        <v>0</v>
      </c>
      <c r="QDD3">
        <f>'[12]Summary Report - 12 Months Endi'!QDC2</f>
        <v>0</v>
      </c>
      <c r="QDE3">
        <f>'[12]Summary Report - 12 Months Endi'!QDD2</f>
        <v>0</v>
      </c>
      <c r="QDF3">
        <f>'[12]Summary Report - 12 Months Endi'!QDE2</f>
        <v>0</v>
      </c>
      <c r="QDG3">
        <f>'[12]Summary Report - 12 Months Endi'!QDF2</f>
        <v>0</v>
      </c>
      <c r="QDH3">
        <f>'[12]Summary Report - 12 Months Endi'!QDG2</f>
        <v>0</v>
      </c>
      <c r="QDI3">
        <f>'[12]Summary Report - 12 Months Endi'!QDH2</f>
        <v>0</v>
      </c>
      <c r="QDJ3">
        <f>'[12]Summary Report - 12 Months Endi'!QDI2</f>
        <v>0</v>
      </c>
      <c r="QDK3">
        <f>'[12]Summary Report - 12 Months Endi'!QDJ2</f>
        <v>0</v>
      </c>
      <c r="QDL3">
        <f>'[12]Summary Report - 12 Months Endi'!QDK2</f>
        <v>0</v>
      </c>
      <c r="QDM3">
        <f>'[12]Summary Report - 12 Months Endi'!QDL2</f>
        <v>0</v>
      </c>
      <c r="QDN3">
        <f>'[12]Summary Report - 12 Months Endi'!QDM2</f>
        <v>0</v>
      </c>
      <c r="QDO3">
        <f>'[12]Summary Report - 12 Months Endi'!QDN2</f>
        <v>0</v>
      </c>
      <c r="QDP3">
        <f>'[12]Summary Report - 12 Months Endi'!QDO2</f>
        <v>0</v>
      </c>
      <c r="QDQ3">
        <f>'[12]Summary Report - 12 Months Endi'!QDP2</f>
        <v>0</v>
      </c>
      <c r="QDR3">
        <f>'[12]Summary Report - 12 Months Endi'!QDQ2</f>
        <v>0</v>
      </c>
      <c r="QDS3">
        <f>'[12]Summary Report - 12 Months Endi'!QDR2</f>
        <v>0</v>
      </c>
      <c r="QDT3">
        <f>'[12]Summary Report - 12 Months Endi'!QDS2</f>
        <v>0</v>
      </c>
      <c r="QDU3">
        <f>'[12]Summary Report - 12 Months Endi'!QDT2</f>
        <v>0</v>
      </c>
      <c r="QDV3">
        <f>'[12]Summary Report - 12 Months Endi'!QDU2</f>
        <v>0</v>
      </c>
      <c r="QDW3">
        <f>'[12]Summary Report - 12 Months Endi'!QDV2</f>
        <v>0</v>
      </c>
      <c r="QDX3">
        <f>'[12]Summary Report - 12 Months Endi'!QDW2</f>
        <v>0</v>
      </c>
      <c r="QDY3">
        <f>'[12]Summary Report - 12 Months Endi'!QDX2</f>
        <v>0</v>
      </c>
      <c r="QDZ3">
        <f>'[12]Summary Report - 12 Months Endi'!QDY2</f>
        <v>0</v>
      </c>
      <c r="QEA3">
        <f>'[12]Summary Report - 12 Months Endi'!QDZ2</f>
        <v>0</v>
      </c>
      <c r="QEB3">
        <f>'[12]Summary Report - 12 Months Endi'!QEA2</f>
        <v>0</v>
      </c>
      <c r="QEC3">
        <f>'[12]Summary Report - 12 Months Endi'!QEB2</f>
        <v>0</v>
      </c>
      <c r="QED3">
        <f>'[12]Summary Report - 12 Months Endi'!QEC2</f>
        <v>0</v>
      </c>
      <c r="QEE3">
        <f>'[12]Summary Report - 12 Months Endi'!QED2</f>
        <v>0</v>
      </c>
      <c r="QEF3">
        <f>'[12]Summary Report - 12 Months Endi'!QEE2</f>
        <v>0</v>
      </c>
      <c r="QEG3">
        <f>'[12]Summary Report - 12 Months Endi'!QEF2</f>
        <v>0</v>
      </c>
      <c r="QEH3">
        <f>'[12]Summary Report - 12 Months Endi'!QEG2</f>
        <v>0</v>
      </c>
      <c r="QEI3">
        <f>'[12]Summary Report - 12 Months Endi'!QEH2</f>
        <v>0</v>
      </c>
      <c r="QEJ3">
        <f>'[12]Summary Report - 12 Months Endi'!QEI2</f>
        <v>0</v>
      </c>
      <c r="QEK3">
        <f>'[12]Summary Report - 12 Months Endi'!QEJ2</f>
        <v>0</v>
      </c>
      <c r="QEL3">
        <f>'[12]Summary Report - 12 Months Endi'!QEK2</f>
        <v>0</v>
      </c>
      <c r="QEM3">
        <f>'[12]Summary Report - 12 Months Endi'!QEL2</f>
        <v>0</v>
      </c>
      <c r="QEN3">
        <f>'[12]Summary Report - 12 Months Endi'!QEM2</f>
        <v>0</v>
      </c>
      <c r="QEO3">
        <f>'[12]Summary Report - 12 Months Endi'!QEN2</f>
        <v>0</v>
      </c>
      <c r="QEP3">
        <f>'[12]Summary Report - 12 Months Endi'!QEO2</f>
        <v>0</v>
      </c>
      <c r="QEQ3">
        <f>'[12]Summary Report - 12 Months Endi'!QEP2</f>
        <v>0</v>
      </c>
      <c r="QER3">
        <f>'[12]Summary Report - 12 Months Endi'!QEQ2</f>
        <v>0</v>
      </c>
      <c r="QES3">
        <f>'[12]Summary Report - 12 Months Endi'!QER2</f>
        <v>0</v>
      </c>
      <c r="QET3">
        <f>'[12]Summary Report - 12 Months Endi'!QES2</f>
        <v>0</v>
      </c>
      <c r="QEU3">
        <f>'[12]Summary Report - 12 Months Endi'!QET2</f>
        <v>0</v>
      </c>
      <c r="QEV3">
        <f>'[12]Summary Report - 12 Months Endi'!QEU2</f>
        <v>0</v>
      </c>
      <c r="QEW3">
        <f>'[12]Summary Report - 12 Months Endi'!QEV2</f>
        <v>0</v>
      </c>
      <c r="QEX3">
        <f>'[12]Summary Report - 12 Months Endi'!QEW2</f>
        <v>0</v>
      </c>
      <c r="QEY3">
        <f>'[12]Summary Report - 12 Months Endi'!QEX2</f>
        <v>0</v>
      </c>
      <c r="QEZ3">
        <f>'[12]Summary Report - 12 Months Endi'!QEY2</f>
        <v>0</v>
      </c>
      <c r="QFA3">
        <f>'[12]Summary Report - 12 Months Endi'!QEZ2</f>
        <v>0</v>
      </c>
      <c r="QFB3">
        <f>'[12]Summary Report - 12 Months Endi'!QFA2</f>
        <v>0</v>
      </c>
      <c r="QFC3">
        <f>'[12]Summary Report - 12 Months Endi'!QFB2</f>
        <v>0</v>
      </c>
      <c r="QFD3">
        <f>'[12]Summary Report - 12 Months Endi'!QFC2</f>
        <v>0</v>
      </c>
      <c r="QFE3">
        <f>'[12]Summary Report - 12 Months Endi'!QFD2</f>
        <v>0</v>
      </c>
      <c r="QFF3">
        <f>'[12]Summary Report - 12 Months Endi'!QFE2</f>
        <v>0</v>
      </c>
      <c r="QFG3">
        <f>'[12]Summary Report - 12 Months Endi'!QFF2</f>
        <v>0</v>
      </c>
      <c r="QFH3">
        <f>'[12]Summary Report - 12 Months Endi'!QFG2</f>
        <v>0</v>
      </c>
      <c r="QFI3">
        <f>'[12]Summary Report - 12 Months Endi'!QFH2</f>
        <v>0</v>
      </c>
      <c r="QFJ3">
        <f>'[12]Summary Report - 12 Months Endi'!QFI2</f>
        <v>0</v>
      </c>
      <c r="QFK3">
        <f>'[12]Summary Report - 12 Months Endi'!QFJ2</f>
        <v>0</v>
      </c>
      <c r="QFL3">
        <f>'[12]Summary Report - 12 Months Endi'!QFK2</f>
        <v>0</v>
      </c>
      <c r="QFM3">
        <f>'[12]Summary Report - 12 Months Endi'!QFL2</f>
        <v>0</v>
      </c>
      <c r="QFN3">
        <f>'[12]Summary Report - 12 Months Endi'!QFM2</f>
        <v>0</v>
      </c>
      <c r="QFO3">
        <f>'[12]Summary Report - 12 Months Endi'!QFN2</f>
        <v>0</v>
      </c>
      <c r="QFP3">
        <f>'[12]Summary Report - 12 Months Endi'!QFO2</f>
        <v>0</v>
      </c>
      <c r="QFQ3">
        <f>'[12]Summary Report - 12 Months Endi'!QFP2</f>
        <v>0</v>
      </c>
      <c r="QFR3">
        <f>'[12]Summary Report - 12 Months Endi'!QFQ2</f>
        <v>0</v>
      </c>
      <c r="QFS3">
        <f>'[12]Summary Report - 12 Months Endi'!QFR2</f>
        <v>0</v>
      </c>
      <c r="QFT3">
        <f>'[12]Summary Report - 12 Months Endi'!QFS2</f>
        <v>0</v>
      </c>
      <c r="QFU3">
        <f>'[12]Summary Report - 12 Months Endi'!QFT2</f>
        <v>0</v>
      </c>
      <c r="QFV3">
        <f>'[12]Summary Report - 12 Months Endi'!QFU2</f>
        <v>0</v>
      </c>
      <c r="QFW3">
        <f>'[12]Summary Report - 12 Months Endi'!QFV2</f>
        <v>0</v>
      </c>
      <c r="QFX3">
        <f>'[12]Summary Report - 12 Months Endi'!QFW2</f>
        <v>0</v>
      </c>
      <c r="QFY3">
        <f>'[12]Summary Report - 12 Months Endi'!QFX2</f>
        <v>0</v>
      </c>
      <c r="QFZ3">
        <f>'[12]Summary Report - 12 Months Endi'!QFY2</f>
        <v>0</v>
      </c>
      <c r="QGA3">
        <f>'[12]Summary Report - 12 Months Endi'!QFZ2</f>
        <v>0</v>
      </c>
      <c r="QGB3">
        <f>'[12]Summary Report - 12 Months Endi'!QGA2</f>
        <v>0</v>
      </c>
      <c r="QGC3">
        <f>'[12]Summary Report - 12 Months Endi'!QGB2</f>
        <v>0</v>
      </c>
      <c r="QGD3">
        <f>'[12]Summary Report - 12 Months Endi'!QGC2</f>
        <v>0</v>
      </c>
      <c r="QGE3">
        <f>'[12]Summary Report - 12 Months Endi'!QGD2</f>
        <v>0</v>
      </c>
      <c r="QGF3">
        <f>'[12]Summary Report - 12 Months Endi'!QGE2</f>
        <v>0</v>
      </c>
      <c r="QGG3">
        <f>'[12]Summary Report - 12 Months Endi'!QGF2</f>
        <v>0</v>
      </c>
      <c r="QGH3">
        <f>'[12]Summary Report - 12 Months Endi'!QGG2</f>
        <v>0</v>
      </c>
      <c r="QGI3">
        <f>'[12]Summary Report - 12 Months Endi'!QGH2</f>
        <v>0</v>
      </c>
      <c r="QGJ3">
        <f>'[12]Summary Report - 12 Months Endi'!QGI2</f>
        <v>0</v>
      </c>
      <c r="QGK3">
        <f>'[12]Summary Report - 12 Months Endi'!QGJ2</f>
        <v>0</v>
      </c>
      <c r="QGL3">
        <f>'[12]Summary Report - 12 Months Endi'!QGK2</f>
        <v>0</v>
      </c>
      <c r="QGM3">
        <f>'[12]Summary Report - 12 Months Endi'!QGL2</f>
        <v>0</v>
      </c>
      <c r="QGN3">
        <f>'[12]Summary Report - 12 Months Endi'!QGM2</f>
        <v>0</v>
      </c>
      <c r="QGO3">
        <f>'[12]Summary Report - 12 Months Endi'!QGN2</f>
        <v>0</v>
      </c>
      <c r="QGP3">
        <f>'[12]Summary Report - 12 Months Endi'!QGO2</f>
        <v>0</v>
      </c>
      <c r="QGQ3">
        <f>'[12]Summary Report - 12 Months Endi'!QGP2</f>
        <v>0</v>
      </c>
      <c r="QGR3">
        <f>'[12]Summary Report - 12 Months Endi'!QGQ2</f>
        <v>0</v>
      </c>
      <c r="QGS3">
        <f>'[12]Summary Report - 12 Months Endi'!QGR2</f>
        <v>0</v>
      </c>
      <c r="QGT3">
        <f>'[12]Summary Report - 12 Months Endi'!QGS2</f>
        <v>0</v>
      </c>
      <c r="QGU3">
        <f>'[12]Summary Report - 12 Months Endi'!QGT2</f>
        <v>0</v>
      </c>
      <c r="QGV3">
        <f>'[12]Summary Report - 12 Months Endi'!QGU2</f>
        <v>0</v>
      </c>
      <c r="QGW3">
        <f>'[12]Summary Report - 12 Months Endi'!QGV2</f>
        <v>0</v>
      </c>
      <c r="QGX3">
        <f>'[12]Summary Report - 12 Months Endi'!QGW2</f>
        <v>0</v>
      </c>
      <c r="QGY3">
        <f>'[12]Summary Report - 12 Months Endi'!QGX2</f>
        <v>0</v>
      </c>
      <c r="QGZ3">
        <f>'[12]Summary Report - 12 Months Endi'!QGY2</f>
        <v>0</v>
      </c>
      <c r="QHA3">
        <f>'[12]Summary Report - 12 Months Endi'!QGZ2</f>
        <v>0</v>
      </c>
      <c r="QHB3">
        <f>'[12]Summary Report - 12 Months Endi'!QHA2</f>
        <v>0</v>
      </c>
      <c r="QHC3">
        <f>'[12]Summary Report - 12 Months Endi'!QHB2</f>
        <v>0</v>
      </c>
      <c r="QHD3">
        <f>'[12]Summary Report - 12 Months Endi'!QHC2</f>
        <v>0</v>
      </c>
      <c r="QHE3">
        <f>'[12]Summary Report - 12 Months Endi'!QHD2</f>
        <v>0</v>
      </c>
      <c r="QHF3">
        <f>'[12]Summary Report - 12 Months Endi'!QHE2</f>
        <v>0</v>
      </c>
      <c r="QHG3">
        <f>'[12]Summary Report - 12 Months Endi'!QHF2</f>
        <v>0</v>
      </c>
      <c r="QHH3">
        <f>'[12]Summary Report - 12 Months Endi'!QHG2</f>
        <v>0</v>
      </c>
      <c r="QHI3">
        <f>'[12]Summary Report - 12 Months Endi'!QHH2</f>
        <v>0</v>
      </c>
      <c r="QHJ3">
        <f>'[12]Summary Report - 12 Months Endi'!QHI2</f>
        <v>0</v>
      </c>
      <c r="QHK3">
        <f>'[12]Summary Report - 12 Months Endi'!QHJ2</f>
        <v>0</v>
      </c>
      <c r="QHL3">
        <f>'[12]Summary Report - 12 Months Endi'!QHK2</f>
        <v>0</v>
      </c>
      <c r="QHM3">
        <f>'[12]Summary Report - 12 Months Endi'!QHL2</f>
        <v>0</v>
      </c>
      <c r="QHN3">
        <f>'[12]Summary Report - 12 Months Endi'!QHM2</f>
        <v>0</v>
      </c>
      <c r="QHO3">
        <f>'[12]Summary Report - 12 Months Endi'!QHN2</f>
        <v>0</v>
      </c>
      <c r="QHP3">
        <f>'[12]Summary Report - 12 Months Endi'!QHO2</f>
        <v>0</v>
      </c>
      <c r="QHQ3">
        <f>'[12]Summary Report - 12 Months Endi'!QHP2</f>
        <v>0</v>
      </c>
      <c r="QHR3">
        <f>'[12]Summary Report - 12 Months Endi'!QHQ2</f>
        <v>0</v>
      </c>
      <c r="QHS3">
        <f>'[12]Summary Report - 12 Months Endi'!QHR2</f>
        <v>0</v>
      </c>
      <c r="QHT3">
        <f>'[12]Summary Report - 12 Months Endi'!QHS2</f>
        <v>0</v>
      </c>
      <c r="QHU3">
        <f>'[12]Summary Report - 12 Months Endi'!QHT2</f>
        <v>0</v>
      </c>
      <c r="QHV3">
        <f>'[12]Summary Report - 12 Months Endi'!QHU2</f>
        <v>0</v>
      </c>
      <c r="QHW3">
        <f>'[12]Summary Report - 12 Months Endi'!QHV2</f>
        <v>0</v>
      </c>
      <c r="QHX3">
        <f>'[12]Summary Report - 12 Months Endi'!QHW2</f>
        <v>0</v>
      </c>
      <c r="QHY3">
        <f>'[12]Summary Report - 12 Months Endi'!QHX2</f>
        <v>0</v>
      </c>
      <c r="QHZ3">
        <f>'[12]Summary Report - 12 Months Endi'!QHY2</f>
        <v>0</v>
      </c>
      <c r="QIA3">
        <f>'[12]Summary Report - 12 Months Endi'!QHZ2</f>
        <v>0</v>
      </c>
      <c r="QIB3">
        <f>'[12]Summary Report - 12 Months Endi'!QIA2</f>
        <v>0</v>
      </c>
      <c r="QIC3">
        <f>'[12]Summary Report - 12 Months Endi'!QIB2</f>
        <v>0</v>
      </c>
      <c r="QID3">
        <f>'[12]Summary Report - 12 Months Endi'!QIC2</f>
        <v>0</v>
      </c>
      <c r="QIE3">
        <f>'[12]Summary Report - 12 Months Endi'!QID2</f>
        <v>0</v>
      </c>
      <c r="QIF3">
        <f>'[12]Summary Report - 12 Months Endi'!QIE2</f>
        <v>0</v>
      </c>
      <c r="QIG3">
        <f>'[12]Summary Report - 12 Months Endi'!QIF2</f>
        <v>0</v>
      </c>
      <c r="QIH3">
        <f>'[12]Summary Report - 12 Months Endi'!QIG2</f>
        <v>0</v>
      </c>
      <c r="QII3">
        <f>'[12]Summary Report - 12 Months Endi'!QIH2</f>
        <v>0</v>
      </c>
      <c r="QIJ3">
        <f>'[12]Summary Report - 12 Months Endi'!QII2</f>
        <v>0</v>
      </c>
      <c r="QIK3">
        <f>'[12]Summary Report - 12 Months Endi'!QIJ2</f>
        <v>0</v>
      </c>
      <c r="QIL3">
        <f>'[12]Summary Report - 12 Months Endi'!QIK2</f>
        <v>0</v>
      </c>
      <c r="QIM3">
        <f>'[12]Summary Report - 12 Months Endi'!QIL2</f>
        <v>0</v>
      </c>
      <c r="QIN3">
        <f>'[12]Summary Report - 12 Months Endi'!QIM2</f>
        <v>0</v>
      </c>
      <c r="QIO3">
        <f>'[12]Summary Report - 12 Months Endi'!QIN2</f>
        <v>0</v>
      </c>
      <c r="QIP3">
        <f>'[12]Summary Report - 12 Months Endi'!QIO2</f>
        <v>0</v>
      </c>
      <c r="QIQ3">
        <f>'[12]Summary Report - 12 Months Endi'!QIP2</f>
        <v>0</v>
      </c>
      <c r="QIR3">
        <f>'[12]Summary Report - 12 Months Endi'!QIQ2</f>
        <v>0</v>
      </c>
      <c r="QIS3">
        <f>'[12]Summary Report - 12 Months Endi'!QIR2</f>
        <v>0</v>
      </c>
      <c r="QIT3">
        <f>'[12]Summary Report - 12 Months Endi'!QIS2</f>
        <v>0</v>
      </c>
      <c r="QIU3">
        <f>'[12]Summary Report - 12 Months Endi'!QIT2</f>
        <v>0</v>
      </c>
      <c r="QIV3">
        <f>'[12]Summary Report - 12 Months Endi'!QIU2</f>
        <v>0</v>
      </c>
      <c r="QIW3">
        <f>'[12]Summary Report - 12 Months Endi'!QIV2</f>
        <v>0</v>
      </c>
      <c r="QIX3">
        <f>'[12]Summary Report - 12 Months Endi'!QIW2</f>
        <v>0</v>
      </c>
      <c r="QIY3">
        <f>'[12]Summary Report - 12 Months Endi'!QIX2</f>
        <v>0</v>
      </c>
      <c r="QIZ3">
        <f>'[12]Summary Report - 12 Months Endi'!QIY2</f>
        <v>0</v>
      </c>
      <c r="QJA3">
        <f>'[12]Summary Report - 12 Months Endi'!QIZ2</f>
        <v>0</v>
      </c>
      <c r="QJB3">
        <f>'[12]Summary Report - 12 Months Endi'!QJA2</f>
        <v>0</v>
      </c>
      <c r="QJC3">
        <f>'[12]Summary Report - 12 Months Endi'!QJB2</f>
        <v>0</v>
      </c>
      <c r="QJD3">
        <f>'[12]Summary Report - 12 Months Endi'!QJC2</f>
        <v>0</v>
      </c>
      <c r="QJE3">
        <f>'[12]Summary Report - 12 Months Endi'!QJD2</f>
        <v>0</v>
      </c>
      <c r="QJF3">
        <f>'[12]Summary Report - 12 Months Endi'!QJE2</f>
        <v>0</v>
      </c>
      <c r="QJG3">
        <f>'[12]Summary Report - 12 Months Endi'!QJF2</f>
        <v>0</v>
      </c>
      <c r="QJH3">
        <f>'[12]Summary Report - 12 Months Endi'!QJG2</f>
        <v>0</v>
      </c>
      <c r="QJI3">
        <f>'[12]Summary Report - 12 Months Endi'!QJH2</f>
        <v>0</v>
      </c>
      <c r="QJJ3">
        <f>'[12]Summary Report - 12 Months Endi'!QJI2</f>
        <v>0</v>
      </c>
      <c r="QJK3">
        <f>'[12]Summary Report - 12 Months Endi'!QJJ2</f>
        <v>0</v>
      </c>
      <c r="QJL3">
        <f>'[12]Summary Report - 12 Months Endi'!QJK2</f>
        <v>0</v>
      </c>
      <c r="QJM3">
        <f>'[12]Summary Report - 12 Months Endi'!QJL2</f>
        <v>0</v>
      </c>
      <c r="QJN3">
        <f>'[12]Summary Report - 12 Months Endi'!QJM2</f>
        <v>0</v>
      </c>
      <c r="QJO3">
        <f>'[12]Summary Report - 12 Months Endi'!QJN2</f>
        <v>0</v>
      </c>
      <c r="QJP3">
        <f>'[12]Summary Report - 12 Months Endi'!QJO2</f>
        <v>0</v>
      </c>
      <c r="QJQ3">
        <f>'[12]Summary Report - 12 Months Endi'!QJP2</f>
        <v>0</v>
      </c>
      <c r="QJR3">
        <f>'[12]Summary Report - 12 Months Endi'!QJQ2</f>
        <v>0</v>
      </c>
      <c r="QJS3">
        <f>'[12]Summary Report - 12 Months Endi'!QJR2</f>
        <v>0</v>
      </c>
      <c r="QJT3">
        <f>'[12]Summary Report - 12 Months Endi'!QJS2</f>
        <v>0</v>
      </c>
      <c r="QJU3">
        <f>'[12]Summary Report - 12 Months Endi'!QJT2</f>
        <v>0</v>
      </c>
      <c r="QJV3">
        <f>'[12]Summary Report - 12 Months Endi'!QJU2</f>
        <v>0</v>
      </c>
      <c r="QJW3">
        <f>'[12]Summary Report - 12 Months Endi'!QJV2</f>
        <v>0</v>
      </c>
      <c r="QJX3">
        <f>'[12]Summary Report - 12 Months Endi'!QJW2</f>
        <v>0</v>
      </c>
      <c r="QJY3">
        <f>'[12]Summary Report - 12 Months Endi'!QJX2</f>
        <v>0</v>
      </c>
      <c r="QJZ3">
        <f>'[12]Summary Report - 12 Months Endi'!QJY2</f>
        <v>0</v>
      </c>
      <c r="QKA3">
        <f>'[12]Summary Report - 12 Months Endi'!QJZ2</f>
        <v>0</v>
      </c>
      <c r="QKB3">
        <f>'[12]Summary Report - 12 Months Endi'!QKA2</f>
        <v>0</v>
      </c>
      <c r="QKC3">
        <f>'[12]Summary Report - 12 Months Endi'!QKB2</f>
        <v>0</v>
      </c>
      <c r="QKD3">
        <f>'[12]Summary Report - 12 Months Endi'!QKC2</f>
        <v>0</v>
      </c>
      <c r="QKE3">
        <f>'[12]Summary Report - 12 Months Endi'!QKD2</f>
        <v>0</v>
      </c>
      <c r="QKF3">
        <f>'[12]Summary Report - 12 Months Endi'!QKE2</f>
        <v>0</v>
      </c>
      <c r="QKG3">
        <f>'[12]Summary Report - 12 Months Endi'!QKF2</f>
        <v>0</v>
      </c>
      <c r="QKH3">
        <f>'[12]Summary Report - 12 Months Endi'!QKG2</f>
        <v>0</v>
      </c>
      <c r="QKI3">
        <f>'[12]Summary Report - 12 Months Endi'!QKH2</f>
        <v>0</v>
      </c>
      <c r="QKJ3">
        <f>'[12]Summary Report - 12 Months Endi'!QKI2</f>
        <v>0</v>
      </c>
      <c r="QKK3">
        <f>'[12]Summary Report - 12 Months Endi'!QKJ2</f>
        <v>0</v>
      </c>
      <c r="QKL3">
        <f>'[12]Summary Report - 12 Months Endi'!QKK2</f>
        <v>0</v>
      </c>
      <c r="QKM3">
        <f>'[12]Summary Report - 12 Months Endi'!QKL2</f>
        <v>0</v>
      </c>
      <c r="QKN3">
        <f>'[12]Summary Report - 12 Months Endi'!QKM2</f>
        <v>0</v>
      </c>
      <c r="QKO3">
        <f>'[12]Summary Report - 12 Months Endi'!QKN2</f>
        <v>0</v>
      </c>
      <c r="QKP3">
        <f>'[12]Summary Report - 12 Months Endi'!QKO2</f>
        <v>0</v>
      </c>
      <c r="QKQ3">
        <f>'[12]Summary Report - 12 Months Endi'!QKP2</f>
        <v>0</v>
      </c>
      <c r="QKR3">
        <f>'[12]Summary Report - 12 Months Endi'!QKQ2</f>
        <v>0</v>
      </c>
      <c r="QKS3">
        <f>'[12]Summary Report - 12 Months Endi'!QKR2</f>
        <v>0</v>
      </c>
      <c r="QKT3">
        <f>'[12]Summary Report - 12 Months Endi'!QKS2</f>
        <v>0</v>
      </c>
      <c r="QKU3">
        <f>'[12]Summary Report - 12 Months Endi'!QKT2</f>
        <v>0</v>
      </c>
      <c r="QKV3">
        <f>'[12]Summary Report - 12 Months Endi'!QKU2</f>
        <v>0</v>
      </c>
      <c r="QKW3">
        <f>'[12]Summary Report - 12 Months Endi'!QKV2</f>
        <v>0</v>
      </c>
      <c r="QKX3">
        <f>'[12]Summary Report - 12 Months Endi'!QKW2</f>
        <v>0</v>
      </c>
      <c r="QKY3">
        <f>'[12]Summary Report - 12 Months Endi'!QKX2</f>
        <v>0</v>
      </c>
      <c r="QKZ3">
        <f>'[12]Summary Report - 12 Months Endi'!QKY2</f>
        <v>0</v>
      </c>
      <c r="QLA3">
        <f>'[12]Summary Report - 12 Months Endi'!QKZ2</f>
        <v>0</v>
      </c>
      <c r="QLB3">
        <f>'[12]Summary Report - 12 Months Endi'!QLA2</f>
        <v>0</v>
      </c>
      <c r="QLC3">
        <f>'[12]Summary Report - 12 Months Endi'!QLB2</f>
        <v>0</v>
      </c>
      <c r="QLD3">
        <f>'[12]Summary Report - 12 Months Endi'!QLC2</f>
        <v>0</v>
      </c>
      <c r="QLE3">
        <f>'[12]Summary Report - 12 Months Endi'!QLD2</f>
        <v>0</v>
      </c>
      <c r="QLF3">
        <f>'[12]Summary Report - 12 Months Endi'!QLE2</f>
        <v>0</v>
      </c>
      <c r="QLG3">
        <f>'[12]Summary Report - 12 Months Endi'!QLF2</f>
        <v>0</v>
      </c>
      <c r="QLH3">
        <f>'[12]Summary Report - 12 Months Endi'!QLG2</f>
        <v>0</v>
      </c>
      <c r="QLI3">
        <f>'[12]Summary Report - 12 Months Endi'!QLH2</f>
        <v>0</v>
      </c>
      <c r="QLJ3">
        <f>'[12]Summary Report - 12 Months Endi'!QLI2</f>
        <v>0</v>
      </c>
      <c r="QLK3">
        <f>'[12]Summary Report - 12 Months Endi'!QLJ2</f>
        <v>0</v>
      </c>
      <c r="QLL3">
        <f>'[12]Summary Report - 12 Months Endi'!QLK2</f>
        <v>0</v>
      </c>
      <c r="QLM3">
        <f>'[12]Summary Report - 12 Months Endi'!QLL2</f>
        <v>0</v>
      </c>
      <c r="QLN3">
        <f>'[12]Summary Report - 12 Months Endi'!QLM2</f>
        <v>0</v>
      </c>
      <c r="QLO3">
        <f>'[12]Summary Report - 12 Months Endi'!QLN2</f>
        <v>0</v>
      </c>
      <c r="QLP3">
        <f>'[12]Summary Report - 12 Months Endi'!QLO2</f>
        <v>0</v>
      </c>
      <c r="QLQ3">
        <f>'[12]Summary Report - 12 Months Endi'!QLP2</f>
        <v>0</v>
      </c>
      <c r="QLR3">
        <f>'[12]Summary Report - 12 Months Endi'!QLQ2</f>
        <v>0</v>
      </c>
      <c r="QLS3">
        <f>'[12]Summary Report - 12 Months Endi'!QLR2</f>
        <v>0</v>
      </c>
      <c r="QLT3">
        <f>'[12]Summary Report - 12 Months Endi'!QLS2</f>
        <v>0</v>
      </c>
      <c r="QLU3">
        <f>'[12]Summary Report - 12 Months Endi'!QLT2</f>
        <v>0</v>
      </c>
      <c r="QLV3">
        <f>'[12]Summary Report - 12 Months Endi'!QLU2</f>
        <v>0</v>
      </c>
      <c r="QLW3">
        <f>'[12]Summary Report - 12 Months Endi'!QLV2</f>
        <v>0</v>
      </c>
      <c r="QLX3">
        <f>'[12]Summary Report - 12 Months Endi'!QLW2</f>
        <v>0</v>
      </c>
      <c r="QLY3">
        <f>'[12]Summary Report - 12 Months Endi'!QLX2</f>
        <v>0</v>
      </c>
      <c r="QLZ3">
        <f>'[12]Summary Report - 12 Months Endi'!QLY2</f>
        <v>0</v>
      </c>
      <c r="QMA3">
        <f>'[12]Summary Report - 12 Months Endi'!QLZ2</f>
        <v>0</v>
      </c>
      <c r="QMB3">
        <f>'[12]Summary Report - 12 Months Endi'!QMA2</f>
        <v>0</v>
      </c>
      <c r="QMC3">
        <f>'[12]Summary Report - 12 Months Endi'!QMB2</f>
        <v>0</v>
      </c>
      <c r="QMD3">
        <f>'[12]Summary Report - 12 Months Endi'!QMC2</f>
        <v>0</v>
      </c>
      <c r="QME3">
        <f>'[12]Summary Report - 12 Months Endi'!QMD2</f>
        <v>0</v>
      </c>
      <c r="QMF3">
        <f>'[12]Summary Report - 12 Months Endi'!QME2</f>
        <v>0</v>
      </c>
      <c r="QMG3">
        <f>'[12]Summary Report - 12 Months Endi'!QMF2</f>
        <v>0</v>
      </c>
      <c r="QMH3">
        <f>'[12]Summary Report - 12 Months Endi'!QMG2</f>
        <v>0</v>
      </c>
      <c r="QMI3">
        <f>'[12]Summary Report - 12 Months Endi'!QMH2</f>
        <v>0</v>
      </c>
      <c r="QMJ3">
        <f>'[12]Summary Report - 12 Months Endi'!QMI2</f>
        <v>0</v>
      </c>
      <c r="QMK3">
        <f>'[12]Summary Report - 12 Months Endi'!QMJ2</f>
        <v>0</v>
      </c>
      <c r="QML3">
        <f>'[12]Summary Report - 12 Months Endi'!QMK2</f>
        <v>0</v>
      </c>
      <c r="QMM3">
        <f>'[12]Summary Report - 12 Months Endi'!QML2</f>
        <v>0</v>
      </c>
      <c r="QMN3">
        <f>'[12]Summary Report - 12 Months Endi'!QMM2</f>
        <v>0</v>
      </c>
      <c r="QMO3">
        <f>'[12]Summary Report - 12 Months Endi'!QMN2</f>
        <v>0</v>
      </c>
      <c r="QMP3">
        <f>'[12]Summary Report - 12 Months Endi'!QMO2</f>
        <v>0</v>
      </c>
      <c r="QMQ3">
        <f>'[12]Summary Report - 12 Months Endi'!QMP2</f>
        <v>0</v>
      </c>
      <c r="QMR3">
        <f>'[12]Summary Report - 12 Months Endi'!QMQ2</f>
        <v>0</v>
      </c>
      <c r="QMS3">
        <f>'[12]Summary Report - 12 Months Endi'!QMR2</f>
        <v>0</v>
      </c>
      <c r="QMT3">
        <f>'[12]Summary Report - 12 Months Endi'!QMS2</f>
        <v>0</v>
      </c>
      <c r="QMU3">
        <f>'[12]Summary Report - 12 Months Endi'!QMT2</f>
        <v>0</v>
      </c>
      <c r="QMV3">
        <f>'[12]Summary Report - 12 Months Endi'!QMU2</f>
        <v>0</v>
      </c>
      <c r="QMW3">
        <f>'[12]Summary Report - 12 Months Endi'!QMV2</f>
        <v>0</v>
      </c>
      <c r="QMX3">
        <f>'[12]Summary Report - 12 Months Endi'!QMW2</f>
        <v>0</v>
      </c>
      <c r="QMY3">
        <f>'[12]Summary Report - 12 Months Endi'!QMX2</f>
        <v>0</v>
      </c>
      <c r="QMZ3">
        <f>'[12]Summary Report - 12 Months Endi'!QMY2</f>
        <v>0</v>
      </c>
      <c r="QNA3">
        <f>'[12]Summary Report - 12 Months Endi'!QMZ2</f>
        <v>0</v>
      </c>
      <c r="QNB3">
        <f>'[12]Summary Report - 12 Months Endi'!QNA2</f>
        <v>0</v>
      </c>
      <c r="QNC3">
        <f>'[12]Summary Report - 12 Months Endi'!QNB2</f>
        <v>0</v>
      </c>
      <c r="QND3">
        <f>'[12]Summary Report - 12 Months Endi'!QNC2</f>
        <v>0</v>
      </c>
      <c r="QNE3">
        <f>'[12]Summary Report - 12 Months Endi'!QND2</f>
        <v>0</v>
      </c>
      <c r="QNF3">
        <f>'[12]Summary Report - 12 Months Endi'!QNE2</f>
        <v>0</v>
      </c>
      <c r="QNG3">
        <f>'[12]Summary Report - 12 Months Endi'!QNF2</f>
        <v>0</v>
      </c>
      <c r="QNH3">
        <f>'[12]Summary Report - 12 Months Endi'!QNG2</f>
        <v>0</v>
      </c>
      <c r="QNI3">
        <f>'[12]Summary Report - 12 Months Endi'!QNH2</f>
        <v>0</v>
      </c>
      <c r="QNJ3">
        <f>'[12]Summary Report - 12 Months Endi'!QNI2</f>
        <v>0</v>
      </c>
      <c r="QNK3">
        <f>'[12]Summary Report - 12 Months Endi'!QNJ2</f>
        <v>0</v>
      </c>
      <c r="QNL3">
        <f>'[12]Summary Report - 12 Months Endi'!QNK2</f>
        <v>0</v>
      </c>
      <c r="QNM3">
        <f>'[12]Summary Report - 12 Months Endi'!QNL2</f>
        <v>0</v>
      </c>
      <c r="QNN3">
        <f>'[12]Summary Report - 12 Months Endi'!QNM2</f>
        <v>0</v>
      </c>
      <c r="QNO3">
        <f>'[12]Summary Report - 12 Months Endi'!QNN2</f>
        <v>0</v>
      </c>
      <c r="QNP3">
        <f>'[12]Summary Report - 12 Months Endi'!QNO2</f>
        <v>0</v>
      </c>
      <c r="QNQ3">
        <f>'[12]Summary Report - 12 Months Endi'!QNP2</f>
        <v>0</v>
      </c>
      <c r="QNR3">
        <f>'[12]Summary Report - 12 Months Endi'!QNQ2</f>
        <v>0</v>
      </c>
      <c r="QNS3">
        <f>'[12]Summary Report - 12 Months Endi'!QNR2</f>
        <v>0</v>
      </c>
      <c r="QNT3">
        <f>'[12]Summary Report - 12 Months Endi'!QNS2</f>
        <v>0</v>
      </c>
      <c r="QNU3">
        <f>'[12]Summary Report - 12 Months Endi'!QNT2</f>
        <v>0</v>
      </c>
      <c r="QNV3">
        <f>'[12]Summary Report - 12 Months Endi'!QNU2</f>
        <v>0</v>
      </c>
      <c r="QNW3">
        <f>'[12]Summary Report - 12 Months Endi'!QNV2</f>
        <v>0</v>
      </c>
      <c r="QNX3">
        <f>'[12]Summary Report - 12 Months Endi'!QNW2</f>
        <v>0</v>
      </c>
      <c r="QNY3">
        <f>'[12]Summary Report - 12 Months Endi'!QNX2</f>
        <v>0</v>
      </c>
      <c r="QNZ3">
        <f>'[12]Summary Report - 12 Months Endi'!QNY2</f>
        <v>0</v>
      </c>
      <c r="QOA3">
        <f>'[12]Summary Report - 12 Months Endi'!QNZ2</f>
        <v>0</v>
      </c>
      <c r="QOB3">
        <f>'[12]Summary Report - 12 Months Endi'!QOA2</f>
        <v>0</v>
      </c>
      <c r="QOC3">
        <f>'[12]Summary Report - 12 Months Endi'!QOB2</f>
        <v>0</v>
      </c>
      <c r="QOD3">
        <f>'[12]Summary Report - 12 Months Endi'!QOC2</f>
        <v>0</v>
      </c>
      <c r="QOE3">
        <f>'[12]Summary Report - 12 Months Endi'!QOD2</f>
        <v>0</v>
      </c>
      <c r="QOF3">
        <f>'[12]Summary Report - 12 Months Endi'!QOE2</f>
        <v>0</v>
      </c>
      <c r="QOG3">
        <f>'[12]Summary Report - 12 Months Endi'!QOF2</f>
        <v>0</v>
      </c>
      <c r="QOH3">
        <f>'[12]Summary Report - 12 Months Endi'!QOG2</f>
        <v>0</v>
      </c>
      <c r="QOI3">
        <f>'[12]Summary Report - 12 Months Endi'!QOH2</f>
        <v>0</v>
      </c>
      <c r="QOJ3">
        <f>'[12]Summary Report - 12 Months Endi'!QOI2</f>
        <v>0</v>
      </c>
      <c r="QOK3">
        <f>'[12]Summary Report - 12 Months Endi'!QOJ2</f>
        <v>0</v>
      </c>
      <c r="QOL3">
        <f>'[12]Summary Report - 12 Months Endi'!QOK2</f>
        <v>0</v>
      </c>
      <c r="QOM3">
        <f>'[12]Summary Report - 12 Months Endi'!QOL2</f>
        <v>0</v>
      </c>
      <c r="QON3">
        <f>'[12]Summary Report - 12 Months Endi'!QOM2</f>
        <v>0</v>
      </c>
      <c r="QOO3">
        <f>'[12]Summary Report - 12 Months Endi'!QON2</f>
        <v>0</v>
      </c>
      <c r="QOP3">
        <f>'[12]Summary Report - 12 Months Endi'!QOO2</f>
        <v>0</v>
      </c>
      <c r="QOQ3">
        <f>'[12]Summary Report - 12 Months Endi'!QOP2</f>
        <v>0</v>
      </c>
      <c r="QOR3">
        <f>'[12]Summary Report - 12 Months Endi'!QOQ2</f>
        <v>0</v>
      </c>
      <c r="QOS3">
        <f>'[12]Summary Report - 12 Months Endi'!QOR2</f>
        <v>0</v>
      </c>
      <c r="QOT3">
        <f>'[12]Summary Report - 12 Months Endi'!QOS2</f>
        <v>0</v>
      </c>
      <c r="QOU3">
        <f>'[12]Summary Report - 12 Months Endi'!QOT2</f>
        <v>0</v>
      </c>
      <c r="QOV3">
        <f>'[12]Summary Report - 12 Months Endi'!QOU2</f>
        <v>0</v>
      </c>
      <c r="QOW3">
        <f>'[12]Summary Report - 12 Months Endi'!QOV2</f>
        <v>0</v>
      </c>
      <c r="QOX3">
        <f>'[12]Summary Report - 12 Months Endi'!QOW2</f>
        <v>0</v>
      </c>
      <c r="QOY3">
        <f>'[12]Summary Report - 12 Months Endi'!QOX2</f>
        <v>0</v>
      </c>
      <c r="QOZ3">
        <f>'[12]Summary Report - 12 Months Endi'!QOY2</f>
        <v>0</v>
      </c>
      <c r="QPA3">
        <f>'[12]Summary Report - 12 Months Endi'!QOZ2</f>
        <v>0</v>
      </c>
      <c r="QPB3">
        <f>'[12]Summary Report - 12 Months Endi'!QPA2</f>
        <v>0</v>
      </c>
      <c r="QPC3">
        <f>'[12]Summary Report - 12 Months Endi'!QPB2</f>
        <v>0</v>
      </c>
      <c r="QPD3">
        <f>'[12]Summary Report - 12 Months Endi'!QPC2</f>
        <v>0</v>
      </c>
      <c r="QPE3">
        <f>'[12]Summary Report - 12 Months Endi'!QPD2</f>
        <v>0</v>
      </c>
      <c r="QPF3">
        <f>'[12]Summary Report - 12 Months Endi'!QPE2</f>
        <v>0</v>
      </c>
      <c r="QPG3">
        <f>'[12]Summary Report - 12 Months Endi'!QPF2</f>
        <v>0</v>
      </c>
      <c r="QPH3">
        <f>'[12]Summary Report - 12 Months Endi'!QPG2</f>
        <v>0</v>
      </c>
      <c r="QPI3">
        <f>'[12]Summary Report - 12 Months Endi'!QPH2</f>
        <v>0</v>
      </c>
      <c r="QPJ3">
        <f>'[12]Summary Report - 12 Months Endi'!QPI2</f>
        <v>0</v>
      </c>
      <c r="QPK3">
        <f>'[12]Summary Report - 12 Months Endi'!QPJ2</f>
        <v>0</v>
      </c>
      <c r="QPL3">
        <f>'[12]Summary Report - 12 Months Endi'!QPK2</f>
        <v>0</v>
      </c>
      <c r="QPM3">
        <f>'[12]Summary Report - 12 Months Endi'!QPL2</f>
        <v>0</v>
      </c>
      <c r="QPN3">
        <f>'[12]Summary Report - 12 Months Endi'!QPM2</f>
        <v>0</v>
      </c>
      <c r="QPO3">
        <f>'[12]Summary Report - 12 Months Endi'!QPN2</f>
        <v>0</v>
      </c>
      <c r="QPP3">
        <f>'[12]Summary Report - 12 Months Endi'!QPO2</f>
        <v>0</v>
      </c>
      <c r="QPQ3">
        <f>'[12]Summary Report - 12 Months Endi'!QPP2</f>
        <v>0</v>
      </c>
      <c r="QPR3">
        <f>'[12]Summary Report - 12 Months Endi'!QPQ2</f>
        <v>0</v>
      </c>
      <c r="QPS3">
        <f>'[12]Summary Report - 12 Months Endi'!QPR2</f>
        <v>0</v>
      </c>
      <c r="QPT3">
        <f>'[12]Summary Report - 12 Months Endi'!QPS2</f>
        <v>0</v>
      </c>
      <c r="QPU3">
        <f>'[12]Summary Report - 12 Months Endi'!QPT2</f>
        <v>0</v>
      </c>
      <c r="QPV3">
        <f>'[12]Summary Report - 12 Months Endi'!QPU2</f>
        <v>0</v>
      </c>
      <c r="QPW3">
        <f>'[12]Summary Report - 12 Months Endi'!QPV2</f>
        <v>0</v>
      </c>
      <c r="QPX3">
        <f>'[12]Summary Report - 12 Months Endi'!QPW2</f>
        <v>0</v>
      </c>
      <c r="QPY3">
        <f>'[12]Summary Report - 12 Months Endi'!QPX2</f>
        <v>0</v>
      </c>
      <c r="QPZ3">
        <f>'[12]Summary Report - 12 Months Endi'!QPY2</f>
        <v>0</v>
      </c>
      <c r="QQA3">
        <f>'[12]Summary Report - 12 Months Endi'!QPZ2</f>
        <v>0</v>
      </c>
      <c r="QQB3">
        <f>'[12]Summary Report - 12 Months Endi'!QQA2</f>
        <v>0</v>
      </c>
      <c r="QQC3">
        <f>'[12]Summary Report - 12 Months Endi'!QQB2</f>
        <v>0</v>
      </c>
      <c r="QQD3">
        <f>'[12]Summary Report - 12 Months Endi'!QQC2</f>
        <v>0</v>
      </c>
      <c r="QQE3">
        <f>'[12]Summary Report - 12 Months Endi'!QQD2</f>
        <v>0</v>
      </c>
      <c r="QQF3">
        <f>'[12]Summary Report - 12 Months Endi'!QQE2</f>
        <v>0</v>
      </c>
      <c r="QQG3">
        <f>'[12]Summary Report - 12 Months Endi'!QQF2</f>
        <v>0</v>
      </c>
      <c r="QQH3">
        <f>'[12]Summary Report - 12 Months Endi'!QQG2</f>
        <v>0</v>
      </c>
      <c r="QQI3">
        <f>'[12]Summary Report - 12 Months Endi'!QQH2</f>
        <v>0</v>
      </c>
      <c r="QQJ3">
        <f>'[12]Summary Report - 12 Months Endi'!QQI2</f>
        <v>0</v>
      </c>
      <c r="QQK3">
        <f>'[12]Summary Report - 12 Months Endi'!QQJ2</f>
        <v>0</v>
      </c>
      <c r="QQL3">
        <f>'[12]Summary Report - 12 Months Endi'!QQK2</f>
        <v>0</v>
      </c>
      <c r="QQM3">
        <f>'[12]Summary Report - 12 Months Endi'!QQL2</f>
        <v>0</v>
      </c>
      <c r="QQN3">
        <f>'[12]Summary Report - 12 Months Endi'!QQM2</f>
        <v>0</v>
      </c>
      <c r="QQO3">
        <f>'[12]Summary Report - 12 Months Endi'!QQN2</f>
        <v>0</v>
      </c>
      <c r="QQP3">
        <f>'[12]Summary Report - 12 Months Endi'!QQO2</f>
        <v>0</v>
      </c>
      <c r="QQQ3">
        <f>'[12]Summary Report - 12 Months Endi'!QQP2</f>
        <v>0</v>
      </c>
      <c r="QQR3">
        <f>'[12]Summary Report - 12 Months Endi'!QQQ2</f>
        <v>0</v>
      </c>
      <c r="QQS3">
        <f>'[12]Summary Report - 12 Months Endi'!QQR2</f>
        <v>0</v>
      </c>
      <c r="QQT3">
        <f>'[12]Summary Report - 12 Months Endi'!QQS2</f>
        <v>0</v>
      </c>
      <c r="QQU3">
        <f>'[12]Summary Report - 12 Months Endi'!QQT2</f>
        <v>0</v>
      </c>
      <c r="QQV3">
        <f>'[12]Summary Report - 12 Months Endi'!QQU2</f>
        <v>0</v>
      </c>
      <c r="QQW3">
        <f>'[12]Summary Report - 12 Months Endi'!QQV2</f>
        <v>0</v>
      </c>
      <c r="QQX3">
        <f>'[12]Summary Report - 12 Months Endi'!QQW2</f>
        <v>0</v>
      </c>
      <c r="QQY3">
        <f>'[12]Summary Report - 12 Months Endi'!QQX2</f>
        <v>0</v>
      </c>
      <c r="QQZ3">
        <f>'[12]Summary Report - 12 Months Endi'!QQY2</f>
        <v>0</v>
      </c>
      <c r="QRA3">
        <f>'[12]Summary Report - 12 Months Endi'!QQZ2</f>
        <v>0</v>
      </c>
      <c r="QRB3">
        <f>'[12]Summary Report - 12 Months Endi'!QRA2</f>
        <v>0</v>
      </c>
      <c r="QRC3">
        <f>'[12]Summary Report - 12 Months Endi'!QRB2</f>
        <v>0</v>
      </c>
      <c r="QRD3">
        <f>'[12]Summary Report - 12 Months Endi'!QRC2</f>
        <v>0</v>
      </c>
      <c r="QRE3">
        <f>'[12]Summary Report - 12 Months Endi'!QRD2</f>
        <v>0</v>
      </c>
      <c r="QRF3">
        <f>'[12]Summary Report - 12 Months Endi'!QRE2</f>
        <v>0</v>
      </c>
      <c r="QRG3">
        <f>'[12]Summary Report - 12 Months Endi'!QRF2</f>
        <v>0</v>
      </c>
      <c r="QRH3">
        <f>'[12]Summary Report - 12 Months Endi'!QRG2</f>
        <v>0</v>
      </c>
      <c r="QRI3">
        <f>'[12]Summary Report - 12 Months Endi'!QRH2</f>
        <v>0</v>
      </c>
      <c r="QRJ3">
        <f>'[12]Summary Report - 12 Months Endi'!QRI2</f>
        <v>0</v>
      </c>
      <c r="QRK3">
        <f>'[12]Summary Report - 12 Months Endi'!QRJ2</f>
        <v>0</v>
      </c>
      <c r="QRL3">
        <f>'[12]Summary Report - 12 Months Endi'!QRK2</f>
        <v>0</v>
      </c>
      <c r="QRM3">
        <f>'[12]Summary Report - 12 Months Endi'!QRL2</f>
        <v>0</v>
      </c>
      <c r="QRN3">
        <f>'[12]Summary Report - 12 Months Endi'!QRM2</f>
        <v>0</v>
      </c>
      <c r="QRO3">
        <f>'[12]Summary Report - 12 Months Endi'!QRN2</f>
        <v>0</v>
      </c>
      <c r="QRP3">
        <f>'[12]Summary Report - 12 Months Endi'!QRO2</f>
        <v>0</v>
      </c>
      <c r="QRQ3">
        <f>'[12]Summary Report - 12 Months Endi'!QRP2</f>
        <v>0</v>
      </c>
      <c r="QRR3">
        <f>'[12]Summary Report - 12 Months Endi'!QRQ2</f>
        <v>0</v>
      </c>
      <c r="QRS3">
        <f>'[12]Summary Report - 12 Months Endi'!QRR2</f>
        <v>0</v>
      </c>
      <c r="QRT3">
        <f>'[12]Summary Report - 12 Months Endi'!QRS2</f>
        <v>0</v>
      </c>
      <c r="QRU3">
        <f>'[12]Summary Report - 12 Months Endi'!QRT2</f>
        <v>0</v>
      </c>
      <c r="QRV3">
        <f>'[12]Summary Report - 12 Months Endi'!QRU2</f>
        <v>0</v>
      </c>
      <c r="QRW3">
        <f>'[12]Summary Report - 12 Months Endi'!QRV2</f>
        <v>0</v>
      </c>
      <c r="QRX3">
        <f>'[12]Summary Report - 12 Months Endi'!QRW2</f>
        <v>0</v>
      </c>
      <c r="QRY3">
        <f>'[12]Summary Report - 12 Months Endi'!QRX2</f>
        <v>0</v>
      </c>
      <c r="QRZ3">
        <f>'[12]Summary Report - 12 Months Endi'!QRY2</f>
        <v>0</v>
      </c>
      <c r="QSA3">
        <f>'[12]Summary Report - 12 Months Endi'!QRZ2</f>
        <v>0</v>
      </c>
      <c r="QSB3">
        <f>'[12]Summary Report - 12 Months Endi'!QSA2</f>
        <v>0</v>
      </c>
      <c r="QSC3">
        <f>'[12]Summary Report - 12 Months Endi'!QSB2</f>
        <v>0</v>
      </c>
      <c r="QSD3">
        <f>'[12]Summary Report - 12 Months Endi'!QSC2</f>
        <v>0</v>
      </c>
      <c r="QSE3">
        <f>'[12]Summary Report - 12 Months Endi'!QSD2</f>
        <v>0</v>
      </c>
      <c r="QSF3">
        <f>'[12]Summary Report - 12 Months Endi'!QSE2</f>
        <v>0</v>
      </c>
      <c r="QSG3">
        <f>'[12]Summary Report - 12 Months Endi'!QSF2</f>
        <v>0</v>
      </c>
      <c r="QSH3">
        <f>'[12]Summary Report - 12 Months Endi'!QSG2</f>
        <v>0</v>
      </c>
      <c r="QSI3">
        <f>'[12]Summary Report - 12 Months Endi'!QSH2</f>
        <v>0</v>
      </c>
      <c r="QSJ3">
        <f>'[12]Summary Report - 12 Months Endi'!QSI2</f>
        <v>0</v>
      </c>
      <c r="QSK3">
        <f>'[12]Summary Report - 12 Months Endi'!QSJ2</f>
        <v>0</v>
      </c>
      <c r="QSL3">
        <f>'[12]Summary Report - 12 Months Endi'!QSK2</f>
        <v>0</v>
      </c>
      <c r="QSM3">
        <f>'[12]Summary Report - 12 Months Endi'!QSL2</f>
        <v>0</v>
      </c>
      <c r="QSN3">
        <f>'[12]Summary Report - 12 Months Endi'!QSM2</f>
        <v>0</v>
      </c>
      <c r="QSO3">
        <f>'[12]Summary Report - 12 Months Endi'!QSN2</f>
        <v>0</v>
      </c>
      <c r="QSP3">
        <f>'[12]Summary Report - 12 Months Endi'!QSO2</f>
        <v>0</v>
      </c>
      <c r="QSQ3">
        <f>'[12]Summary Report - 12 Months Endi'!QSP2</f>
        <v>0</v>
      </c>
      <c r="QSR3">
        <f>'[12]Summary Report - 12 Months Endi'!QSQ2</f>
        <v>0</v>
      </c>
      <c r="QSS3">
        <f>'[12]Summary Report - 12 Months Endi'!QSR2</f>
        <v>0</v>
      </c>
      <c r="QST3">
        <f>'[12]Summary Report - 12 Months Endi'!QSS2</f>
        <v>0</v>
      </c>
      <c r="QSU3">
        <f>'[12]Summary Report - 12 Months Endi'!QST2</f>
        <v>0</v>
      </c>
      <c r="QSV3">
        <f>'[12]Summary Report - 12 Months Endi'!QSU2</f>
        <v>0</v>
      </c>
      <c r="QSW3">
        <f>'[12]Summary Report - 12 Months Endi'!QSV2</f>
        <v>0</v>
      </c>
      <c r="QSX3">
        <f>'[12]Summary Report - 12 Months Endi'!QSW2</f>
        <v>0</v>
      </c>
      <c r="QSY3">
        <f>'[12]Summary Report - 12 Months Endi'!QSX2</f>
        <v>0</v>
      </c>
      <c r="QSZ3">
        <f>'[12]Summary Report - 12 Months Endi'!QSY2</f>
        <v>0</v>
      </c>
      <c r="QTA3">
        <f>'[12]Summary Report - 12 Months Endi'!QSZ2</f>
        <v>0</v>
      </c>
      <c r="QTB3">
        <f>'[12]Summary Report - 12 Months Endi'!QTA2</f>
        <v>0</v>
      </c>
      <c r="QTC3">
        <f>'[12]Summary Report - 12 Months Endi'!QTB2</f>
        <v>0</v>
      </c>
      <c r="QTD3">
        <f>'[12]Summary Report - 12 Months Endi'!QTC2</f>
        <v>0</v>
      </c>
      <c r="QTE3">
        <f>'[12]Summary Report - 12 Months Endi'!QTD2</f>
        <v>0</v>
      </c>
      <c r="QTF3">
        <f>'[12]Summary Report - 12 Months Endi'!QTE2</f>
        <v>0</v>
      </c>
      <c r="QTG3">
        <f>'[12]Summary Report - 12 Months Endi'!QTF2</f>
        <v>0</v>
      </c>
      <c r="QTH3">
        <f>'[12]Summary Report - 12 Months Endi'!QTG2</f>
        <v>0</v>
      </c>
      <c r="QTI3">
        <f>'[12]Summary Report - 12 Months Endi'!QTH2</f>
        <v>0</v>
      </c>
      <c r="QTJ3">
        <f>'[12]Summary Report - 12 Months Endi'!QTI2</f>
        <v>0</v>
      </c>
      <c r="QTK3">
        <f>'[12]Summary Report - 12 Months Endi'!QTJ2</f>
        <v>0</v>
      </c>
      <c r="QTL3">
        <f>'[12]Summary Report - 12 Months Endi'!QTK2</f>
        <v>0</v>
      </c>
      <c r="QTM3">
        <f>'[12]Summary Report - 12 Months Endi'!QTL2</f>
        <v>0</v>
      </c>
      <c r="QTN3">
        <f>'[12]Summary Report - 12 Months Endi'!QTM2</f>
        <v>0</v>
      </c>
      <c r="QTO3">
        <f>'[12]Summary Report - 12 Months Endi'!QTN2</f>
        <v>0</v>
      </c>
      <c r="QTP3">
        <f>'[12]Summary Report - 12 Months Endi'!QTO2</f>
        <v>0</v>
      </c>
      <c r="QTQ3">
        <f>'[12]Summary Report - 12 Months Endi'!QTP2</f>
        <v>0</v>
      </c>
      <c r="QTR3">
        <f>'[12]Summary Report - 12 Months Endi'!QTQ2</f>
        <v>0</v>
      </c>
      <c r="QTS3">
        <f>'[12]Summary Report - 12 Months Endi'!QTR2</f>
        <v>0</v>
      </c>
      <c r="QTT3">
        <f>'[12]Summary Report - 12 Months Endi'!QTS2</f>
        <v>0</v>
      </c>
      <c r="QTU3">
        <f>'[12]Summary Report - 12 Months Endi'!QTT2</f>
        <v>0</v>
      </c>
      <c r="QTV3">
        <f>'[12]Summary Report - 12 Months Endi'!QTU2</f>
        <v>0</v>
      </c>
      <c r="QTW3">
        <f>'[12]Summary Report - 12 Months Endi'!QTV2</f>
        <v>0</v>
      </c>
      <c r="QTX3">
        <f>'[12]Summary Report - 12 Months Endi'!QTW2</f>
        <v>0</v>
      </c>
      <c r="QTY3">
        <f>'[12]Summary Report - 12 Months Endi'!QTX2</f>
        <v>0</v>
      </c>
      <c r="QTZ3">
        <f>'[12]Summary Report - 12 Months Endi'!QTY2</f>
        <v>0</v>
      </c>
      <c r="QUA3">
        <f>'[12]Summary Report - 12 Months Endi'!QTZ2</f>
        <v>0</v>
      </c>
      <c r="QUB3">
        <f>'[12]Summary Report - 12 Months Endi'!QUA2</f>
        <v>0</v>
      </c>
      <c r="QUC3">
        <f>'[12]Summary Report - 12 Months Endi'!QUB2</f>
        <v>0</v>
      </c>
      <c r="QUD3">
        <f>'[12]Summary Report - 12 Months Endi'!QUC2</f>
        <v>0</v>
      </c>
      <c r="QUE3">
        <f>'[12]Summary Report - 12 Months Endi'!QUD2</f>
        <v>0</v>
      </c>
      <c r="QUF3">
        <f>'[12]Summary Report - 12 Months Endi'!QUE2</f>
        <v>0</v>
      </c>
      <c r="QUG3">
        <f>'[12]Summary Report - 12 Months Endi'!QUF2</f>
        <v>0</v>
      </c>
      <c r="QUH3">
        <f>'[12]Summary Report - 12 Months Endi'!QUG2</f>
        <v>0</v>
      </c>
      <c r="QUI3">
        <f>'[12]Summary Report - 12 Months Endi'!QUH2</f>
        <v>0</v>
      </c>
      <c r="QUJ3">
        <f>'[12]Summary Report - 12 Months Endi'!QUI2</f>
        <v>0</v>
      </c>
      <c r="QUK3">
        <f>'[12]Summary Report - 12 Months Endi'!QUJ2</f>
        <v>0</v>
      </c>
      <c r="QUL3">
        <f>'[12]Summary Report - 12 Months Endi'!QUK2</f>
        <v>0</v>
      </c>
      <c r="QUM3">
        <f>'[12]Summary Report - 12 Months Endi'!QUL2</f>
        <v>0</v>
      </c>
      <c r="QUN3">
        <f>'[12]Summary Report - 12 Months Endi'!QUM2</f>
        <v>0</v>
      </c>
      <c r="QUO3">
        <f>'[12]Summary Report - 12 Months Endi'!QUN2</f>
        <v>0</v>
      </c>
      <c r="QUP3">
        <f>'[12]Summary Report - 12 Months Endi'!QUO2</f>
        <v>0</v>
      </c>
      <c r="QUQ3">
        <f>'[12]Summary Report - 12 Months Endi'!QUP2</f>
        <v>0</v>
      </c>
      <c r="QUR3">
        <f>'[12]Summary Report - 12 Months Endi'!QUQ2</f>
        <v>0</v>
      </c>
      <c r="QUS3">
        <f>'[12]Summary Report - 12 Months Endi'!QUR2</f>
        <v>0</v>
      </c>
      <c r="QUT3">
        <f>'[12]Summary Report - 12 Months Endi'!QUS2</f>
        <v>0</v>
      </c>
      <c r="QUU3">
        <f>'[12]Summary Report - 12 Months Endi'!QUT2</f>
        <v>0</v>
      </c>
      <c r="QUV3">
        <f>'[12]Summary Report - 12 Months Endi'!QUU2</f>
        <v>0</v>
      </c>
      <c r="QUW3">
        <f>'[12]Summary Report - 12 Months Endi'!QUV2</f>
        <v>0</v>
      </c>
      <c r="QUX3">
        <f>'[12]Summary Report - 12 Months Endi'!QUW2</f>
        <v>0</v>
      </c>
      <c r="QUY3">
        <f>'[12]Summary Report - 12 Months Endi'!QUX2</f>
        <v>0</v>
      </c>
      <c r="QUZ3">
        <f>'[12]Summary Report - 12 Months Endi'!QUY2</f>
        <v>0</v>
      </c>
      <c r="QVA3">
        <f>'[12]Summary Report - 12 Months Endi'!QUZ2</f>
        <v>0</v>
      </c>
      <c r="QVB3">
        <f>'[12]Summary Report - 12 Months Endi'!QVA2</f>
        <v>0</v>
      </c>
      <c r="QVC3">
        <f>'[12]Summary Report - 12 Months Endi'!QVB2</f>
        <v>0</v>
      </c>
      <c r="QVD3">
        <f>'[12]Summary Report - 12 Months Endi'!QVC2</f>
        <v>0</v>
      </c>
      <c r="QVE3">
        <f>'[12]Summary Report - 12 Months Endi'!QVD2</f>
        <v>0</v>
      </c>
      <c r="QVF3">
        <f>'[12]Summary Report - 12 Months Endi'!QVE2</f>
        <v>0</v>
      </c>
      <c r="QVG3">
        <f>'[12]Summary Report - 12 Months Endi'!QVF2</f>
        <v>0</v>
      </c>
      <c r="QVH3">
        <f>'[12]Summary Report - 12 Months Endi'!QVG2</f>
        <v>0</v>
      </c>
      <c r="QVI3">
        <f>'[12]Summary Report - 12 Months Endi'!QVH2</f>
        <v>0</v>
      </c>
      <c r="QVJ3">
        <f>'[12]Summary Report - 12 Months Endi'!QVI2</f>
        <v>0</v>
      </c>
      <c r="QVK3">
        <f>'[12]Summary Report - 12 Months Endi'!QVJ2</f>
        <v>0</v>
      </c>
      <c r="QVL3">
        <f>'[12]Summary Report - 12 Months Endi'!QVK2</f>
        <v>0</v>
      </c>
      <c r="QVM3">
        <f>'[12]Summary Report - 12 Months Endi'!QVL2</f>
        <v>0</v>
      </c>
      <c r="QVN3">
        <f>'[12]Summary Report - 12 Months Endi'!QVM2</f>
        <v>0</v>
      </c>
      <c r="QVO3">
        <f>'[12]Summary Report - 12 Months Endi'!QVN2</f>
        <v>0</v>
      </c>
      <c r="QVP3">
        <f>'[12]Summary Report - 12 Months Endi'!QVO2</f>
        <v>0</v>
      </c>
      <c r="QVQ3">
        <f>'[12]Summary Report - 12 Months Endi'!QVP2</f>
        <v>0</v>
      </c>
      <c r="QVR3">
        <f>'[12]Summary Report - 12 Months Endi'!QVQ2</f>
        <v>0</v>
      </c>
      <c r="QVS3">
        <f>'[12]Summary Report - 12 Months Endi'!QVR2</f>
        <v>0</v>
      </c>
      <c r="QVT3">
        <f>'[12]Summary Report - 12 Months Endi'!QVS2</f>
        <v>0</v>
      </c>
      <c r="QVU3">
        <f>'[12]Summary Report - 12 Months Endi'!QVT2</f>
        <v>0</v>
      </c>
      <c r="QVV3">
        <f>'[12]Summary Report - 12 Months Endi'!QVU2</f>
        <v>0</v>
      </c>
      <c r="QVW3">
        <f>'[12]Summary Report - 12 Months Endi'!QVV2</f>
        <v>0</v>
      </c>
      <c r="QVX3">
        <f>'[12]Summary Report - 12 Months Endi'!QVW2</f>
        <v>0</v>
      </c>
      <c r="QVY3">
        <f>'[12]Summary Report - 12 Months Endi'!QVX2</f>
        <v>0</v>
      </c>
      <c r="QVZ3">
        <f>'[12]Summary Report - 12 Months Endi'!QVY2</f>
        <v>0</v>
      </c>
      <c r="QWA3">
        <f>'[12]Summary Report - 12 Months Endi'!QVZ2</f>
        <v>0</v>
      </c>
      <c r="QWB3">
        <f>'[12]Summary Report - 12 Months Endi'!QWA2</f>
        <v>0</v>
      </c>
      <c r="QWC3">
        <f>'[12]Summary Report - 12 Months Endi'!QWB2</f>
        <v>0</v>
      </c>
      <c r="QWD3">
        <f>'[12]Summary Report - 12 Months Endi'!QWC2</f>
        <v>0</v>
      </c>
      <c r="QWE3">
        <f>'[12]Summary Report - 12 Months Endi'!QWD2</f>
        <v>0</v>
      </c>
      <c r="QWF3">
        <f>'[12]Summary Report - 12 Months Endi'!QWE2</f>
        <v>0</v>
      </c>
      <c r="QWG3">
        <f>'[12]Summary Report - 12 Months Endi'!QWF2</f>
        <v>0</v>
      </c>
      <c r="QWH3">
        <f>'[12]Summary Report - 12 Months Endi'!QWG2</f>
        <v>0</v>
      </c>
      <c r="QWI3">
        <f>'[12]Summary Report - 12 Months Endi'!QWH2</f>
        <v>0</v>
      </c>
      <c r="QWJ3">
        <f>'[12]Summary Report - 12 Months Endi'!QWI2</f>
        <v>0</v>
      </c>
      <c r="QWK3">
        <f>'[12]Summary Report - 12 Months Endi'!QWJ2</f>
        <v>0</v>
      </c>
      <c r="QWL3">
        <f>'[12]Summary Report - 12 Months Endi'!QWK2</f>
        <v>0</v>
      </c>
      <c r="QWM3">
        <f>'[12]Summary Report - 12 Months Endi'!QWL2</f>
        <v>0</v>
      </c>
      <c r="QWN3">
        <f>'[12]Summary Report - 12 Months Endi'!QWM2</f>
        <v>0</v>
      </c>
      <c r="QWO3">
        <f>'[12]Summary Report - 12 Months Endi'!QWN2</f>
        <v>0</v>
      </c>
      <c r="QWP3">
        <f>'[12]Summary Report - 12 Months Endi'!QWO2</f>
        <v>0</v>
      </c>
      <c r="QWQ3">
        <f>'[12]Summary Report - 12 Months Endi'!QWP2</f>
        <v>0</v>
      </c>
      <c r="QWR3">
        <f>'[12]Summary Report - 12 Months Endi'!QWQ2</f>
        <v>0</v>
      </c>
      <c r="QWS3">
        <f>'[12]Summary Report - 12 Months Endi'!QWR2</f>
        <v>0</v>
      </c>
      <c r="QWT3">
        <f>'[12]Summary Report - 12 Months Endi'!QWS2</f>
        <v>0</v>
      </c>
      <c r="QWU3">
        <f>'[12]Summary Report - 12 Months Endi'!QWT2</f>
        <v>0</v>
      </c>
      <c r="QWV3">
        <f>'[12]Summary Report - 12 Months Endi'!QWU2</f>
        <v>0</v>
      </c>
      <c r="QWW3">
        <f>'[12]Summary Report - 12 Months Endi'!QWV2</f>
        <v>0</v>
      </c>
      <c r="QWX3">
        <f>'[12]Summary Report - 12 Months Endi'!QWW2</f>
        <v>0</v>
      </c>
      <c r="QWY3">
        <f>'[12]Summary Report - 12 Months Endi'!QWX2</f>
        <v>0</v>
      </c>
      <c r="QWZ3">
        <f>'[12]Summary Report - 12 Months Endi'!QWY2</f>
        <v>0</v>
      </c>
      <c r="QXA3">
        <f>'[12]Summary Report - 12 Months Endi'!QWZ2</f>
        <v>0</v>
      </c>
      <c r="QXB3">
        <f>'[12]Summary Report - 12 Months Endi'!QXA2</f>
        <v>0</v>
      </c>
      <c r="QXC3">
        <f>'[12]Summary Report - 12 Months Endi'!QXB2</f>
        <v>0</v>
      </c>
      <c r="QXD3">
        <f>'[12]Summary Report - 12 Months Endi'!QXC2</f>
        <v>0</v>
      </c>
      <c r="QXE3">
        <f>'[12]Summary Report - 12 Months Endi'!QXD2</f>
        <v>0</v>
      </c>
      <c r="QXF3">
        <f>'[12]Summary Report - 12 Months Endi'!QXE2</f>
        <v>0</v>
      </c>
      <c r="QXG3">
        <f>'[12]Summary Report - 12 Months Endi'!QXF2</f>
        <v>0</v>
      </c>
      <c r="QXH3">
        <f>'[12]Summary Report - 12 Months Endi'!QXG2</f>
        <v>0</v>
      </c>
      <c r="QXI3">
        <f>'[12]Summary Report - 12 Months Endi'!QXH2</f>
        <v>0</v>
      </c>
      <c r="QXJ3">
        <f>'[12]Summary Report - 12 Months Endi'!QXI2</f>
        <v>0</v>
      </c>
      <c r="QXK3">
        <f>'[12]Summary Report - 12 Months Endi'!QXJ2</f>
        <v>0</v>
      </c>
      <c r="QXL3">
        <f>'[12]Summary Report - 12 Months Endi'!QXK2</f>
        <v>0</v>
      </c>
      <c r="QXM3">
        <f>'[12]Summary Report - 12 Months Endi'!QXL2</f>
        <v>0</v>
      </c>
      <c r="QXN3">
        <f>'[12]Summary Report - 12 Months Endi'!QXM2</f>
        <v>0</v>
      </c>
      <c r="QXO3">
        <f>'[12]Summary Report - 12 Months Endi'!QXN2</f>
        <v>0</v>
      </c>
      <c r="QXP3">
        <f>'[12]Summary Report - 12 Months Endi'!QXO2</f>
        <v>0</v>
      </c>
      <c r="QXQ3">
        <f>'[12]Summary Report - 12 Months Endi'!QXP2</f>
        <v>0</v>
      </c>
      <c r="QXR3">
        <f>'[12]Summary Report - 12 Months Endi'!QXQ2</f>
        <v>0</v>
      </c>
      <c r="QXS3">
        <f>'[12]Summary Report - 12 Months Endi'!QXR2</f>
        <v>0</v>
      </c>
      <c r="QXT3">
        <f>'[12]Summary Report - 12 Months Endi'!QXS2</f>
        <v>0</v>
      </c>
      <c r="QXU3">
        <f>'[12]Summary Report - 12 Months Endi'!QXT2</f>
        <v>0</v>
      </c>
      <c r="QXV3">
        <f>'[12]Summary Report - 12 Months Endi'!QXU2</f>
        <v>0</v>
      </c>
      <c r="QXW3">
        <f>'[12]Summary Report - 12 Months Endi'!QXV2</f>
        <v>0</v>
      </c>
      <c r="QXX3">
        <f>'[12]Summary Report - 12 Months Endi'!QXW2</f>
        <v>0</v>
      </c>
      <c r="QXY3">
        <f>'[12]Summary Report - 12 Months Endi'!QXX2</f>
        <v>0</v>
      </c>
      <c r="QXZ3">
        <f>'[12]Summary Report - 12 Months Endi'!QXY2</f>
        <v>0</v>
      </c>
      <c r="QYA3">
        <f>'[12]Summary Report - 12 Months Endi'!QXZ2</f>
        <v>0</v>
      </c>
      <c r="QYB3">
        <f>'[12]Summary Report - 12 Months Endi'!QYA2</f>
        <v>0</v>
      </c>
      <c r="QYC3">
        <f>'[12]Summary Report - 12 Months Endi'!QYB2</f>
        <v>0</v>
      </c>
      <c r="QYD3">
        <f>'[12]Summary Report - 12 Months Endi'!QYC2</f>
        <v>0</v>
      </c>
      <c r="QYE3">
        <f>'[12]Summary Report - 12 Months Endi'!QYD2</f>
        <v>0</v>
      </c>
      <c r="QYF3">
        <f>'[12]Summary Report - 12 Months Endi'!QYE2</f>
        <v>0</v>
      </c>
      <c r="QYG3">
        <f>'[12]Summary Report - 12 Months Endi'!QYF2</f>
        <v>0</v>
      </c>
      <c r="QYH3">
        <f>'[12]Summary Report - 12 Months Endi'!QYG2</f>
        <v>0</v>
      </c>
      <c r="QYI3">
        <f>'[12]Summary Report - 12 Months Endi'!QYH2</f>
        <v>0</v>
      </c>
      <c r="QYJ3">
        <f>'[12]Summary Report - 12 Months Endi'!QYI2</f>
        <v>0</v>
      </c>
      <c r="QYK3">
        <f>'[12]Summary Report - 12 Months Endi'!QYJ2</f>
        <v>0</v>
      </c>
      <c r="QYL3">
        <f>'[12]Summary Report - 12 Months Endi'!QYK2</f>
        <v>0</v>
      </c>
      <c r="QYM3">
        <f>'[12]Summary Report - 12 Months Endi'!QYL2</f>
        <v>0</v>
      </c>
      <c r="QYN3">
        <f>'[12]Summary Report - 12 Months Endi'!QYM2</f>
        <v>0</v>
      </c>
      <c r="QYO3">
        <f>'[12]Summary Report - 12 Months Endi'!QYN2</f>
        <v>0</v>
      </c>
      <c r="QYP3">
        <f>'[12]Summary Report - 12 Months Endi'!QYO2</f>
        <v>0</v>
      </c>
      <c r="QYQ3">
        <f>'[12]Summary Report - 12 Months Endi'!QYP2</f>
        <v>0</v>
      </c>
      <c r="QYR3">
        <f>'[12]Summary Report - 12 Months Endi'!QYQ2</f>
        <v>0</v>
      </c>
      <c r="QYS3">
        <f>'[12]Summary Report - 12 Months Endi'!QYR2</f>
        <v>0</v>
      </c>
      <c r="QYT3">
        <f>'[12]Summary Report - 12 Months Endi'!QYS2</f>
        <v>0</v>
      </c>
      <c r="QYU3">
        <f>'[12]Summary Report - 12 Months Endi'!QYT2</f>
        <v>0</v>
      </c>
      <c r="QYV3">
        <f>'[12]Summary Report - 12 Months Endi'!QYU2</f>
        <v>0</v>
      </c>
      <c r="QYW3">
        <f>'[12]Summary Report - 12 Months Endi'!QYV2</f>
        <v>0</v>
      </c>
      <c r="QYX3">
        <f>'[12]Summary Report - 12 Months Endi'!QYW2</f>
        <v>0</v>
      </c>
      <c r="QYY3">
        <f>'[12]Summary Report - 12 Months Endi'!QYX2</f>
        <v>0</v>
      </c>
      <c r="QYZ3">
        <f>'[12]Summary Report - 12 Months Endi'!QYY2</f>
        <v>0</v>
      </c>
      <c r="QZA3">
        <f>'[12]Summary Report - 12 Months Endi'!QYZ2</f>
        <v>0</v>
      </c>
      <c r="QZB3">
        <f>'[12]Summary Report - 12 Months Endi'!QZA2</f>
        <v>0</v>
      </c>
      <c r="QZC3">
        <f>'[12]Summary Report - 12 Months Endi'!QZB2</f>
        <v>0</v>
      </c>
      <c r="QZD3">
        <f>'[12]Summary Report - 12 Months Endi'!QZC2</f>
        <v>0</v>
      </c>
      <c r="QZE3">
        <f>'[12]Summary Report - 12 Months Endi'!QZD2</f>
        <v>0</v>
      </c>
      <c r="QZF3">
        <f>'[12]Summary Report - 12 Months Endi'!QZE2</f>
        <v>0</v>
      </c>
      <c r="QZG3">
        <f>'[12]Summary Report - 12 Months Endi'!QZF2</f>
        <v>0</v>
      </c>
      <c r="QZH3">
        <f>'[12]Summary Report - 12 Months Endi'!QZG2</f>
        <v>0</v>
      </c>
      <c r="QZI3">
        <f>'[12]Summary Report - 12 Months Endi'!QZH2</f>
        <v>0</v>
      </c>
      <c r="QZJ3">
        <f>'[12]Summary Report - 12 Months Endi'!QZI2</f>
        <v>0</v>
      </c>
      <c r="QZK3">
        <f>'[12]Summary Report - 12 Months Endi'!QZJ2</f>
        <v>0</v>
      </c>
      <c r="QZL3">
        <f>'[12]Summary Report - 12 Months Endi'!QZK2</f>
        <v>0</v>
      </c>
      <c r="QZM3">
        <f>'[12]Summary Report - 12 Months Endi'!QZL2</f>
        <v>0</v>
      </c>
      <c r="QZN3">
        <f>'[12]Summary Report - 12 Months Endi'!QZM2</f>
        <v>0</v>
      </c>
      <c r="QZO3">
        <f>'[12]Summary Report - 12 Months Endi'!QZN2</f>
        <v>0</v>
      </c>
      <c r="QZP3">
        <f>'[12]Summary Report - 12 Months Endi'!QZO2</f>
        <v>0</v>
      </c>
      <c r="QZQ3">
        <f>'[12]Summary Report - 12 Months Endi'!QZP2</f>
        <v>0</v>
      </c>
      <c r="QZR3">
        <f>'[12]Summary Report - 12 Months Endi'!QZQ2</f>
        <v>0</v>
      </c>
      <c r="QZS3">
        <f>'[12]Summary Report - 12 Months Endi'!QZR2</f>
        <v>0</v>
      </c>
      <c r="QZT3">
        <f>'[12]Summary Report - 12 Months Endi'!QZS2</f>
        <v>0</v>
      </c>
      <c r="QZU3">
        <f>'[12]Summary Report - 12 Months Endi'!QZT2</f>
        <v>0</v>
      </c>
      <c r="QZV3">
        <f>'[12]Summary Report - 12 Months Endi'!QZU2</f>
        <v>0</v>
      </c>
      <c r="QZW3">
        <f>'[12]Summary Report - 12 Months Endi'!QZV2</f>
        <v>0</v>
      </c>
      <c r="QZX3">
        <f>'[12]Summary Report - 12 Months Endi'!QZW2</f>
        <v>0</v>
      </c>
      <c r="QZY3">
        <f>'[12]Summary Report - 12 Months Endi'!QZX2</f>
        <v>0</v>
      </c>
      <c r="QZZ3">
        <f>'[12]Summary Report - 12 Months Endi'!QZY2</f>
        <v>0</v>
      </c>
      <c r="RAA3">
        <f>'[12]Summary Report - 12 Months Endi'!QZZ2</f>
        <v>0</v>
      </c>
      <c r="RAB3">
        <f>'[12]Summary Report - 12 Months Endi'!RAA2</f>
        <v>0</v>
      </c>
      <c r="RAC3">
        <f>'[12]Summary Report - 12 Months Endi'!RAB2</f>
        <v>0</v>
      </c>
      <c r="RAD3">
        <f>'[12]Summary Report - 12 Months Endi'!RAC2</f>
        <v>0</v>
      </c>
      <c r="RAE3">
        <f>'[12]Summary Report - 12 Months Endi'!RAD2</f>
        <v>0</v>
      </c>
      <c r="RAF3">
        <f>'[12]Summary Report - 12 Months Endi'!RAE2</f>
        <v>0</v>
      </c>
      <c r="RAG3">
        <f>'[12]Summary Report - 12 Months Endi'!RAF2</f>
        <v>0</v>
      </c>
      <c r="RAH3">
        <f>'[12]Summary Report - 12 Months Endi'!RAG2</f>
        <v>0</v>
      </c>
      <c r="RAI3">
        <f>'[12]Summary Report - 12 Months Endi'!RAH2</f>
        <v>0</v>
      </c>
      <c r="RAJ3">
        <f>'[12]Summary Report - 12 Months Endi'!RAI2</f>
        <v>0</v>
      </c>
      <c r="RAK3">
        <f>'[12]Summary Report - 12 Months Endi'!RAJ2</f>
        <v>0</v>
      </c>
      <c r="RAL3">
        <f>'[12]Summary Report - 12 Months Endi'!RAK2</f>
        <v>0</v>
      </c>
      <c r="RAM3">
        <f>'[12]Summary Report - 12 Months Endi'!RAL2</f>
        <v>0</v>
      </c>
      <c r="RAN3">
        <f>'[12]Summary Report - 12 Months Endi'!RAM2</f>
        <v>0</v>
      </c>
      <c r="RAO3">
        <f>'[12]Summary Report - 12 Months Endi'!RAN2</f>
        <v>0</v>
      </c>
      <c r="RAP3">
        <f>'[12]Summary Report - 12 Months Endi'!RAO2</f>
        <v>0</v>
      </c>
      <c r="RAQ3">
        <f>'[12]Summary Report - 12 Months Endi'!RAP2</f>
        <v>0</v>
      </c>
      <c r="RAR3">
        <f>'[12]Summary Report - 12 Months Endi'!RAQ2</f>
        <v>0</v>
      </c>
      <c r="RAS3">
        <f>'[12]Summary Report - 12 Months Endi'!RAR2</f>
        <v>0</v>
      </c>
      <c r="RAT3">
        <f>'[12]Summary Report - 12 Months Endi'!RAS2</f>
        <v>0</v>
      </c>
      <c r="RAU3">
        <f>'[12]Summary Report - 12 Months Endi'!RAT2</f>
        <v>0</v>
      </c>
      <c r="RAV3">
        <f>'[12]Summary Report - 12 Months Endi'!RAU2</f>
        <v>0</v>
      </c>
      <c r="RAW3">
        <f>'[12]Summary Report - 12 Months Endi'!RAV2</f>
        <v>0</v>
      </c>
      <c r="RAX3">
        <f>'[12]Summary Report - 12 Months Endi'!RAW2</f>
        <v>0</v>
      </c>
      <c r="RAY3">
        <f>'[12]Summary Report - 12 Months Endi'!RAX2</f>
        <v>0</v>
      </c>
      <c r="RAZ3">
        <f>'[12]Summary Report - 12 Months Endi'!RAY2</f>
        <v>0</v>
      </c>
      <c r="RBA3">
        <f>'[12]Summary Report - 12 Months Endi'!RAZ2</f>
        <v>0</v>
      </c>
      <c r="RBB3">
        <f>'[12]Summary Report - 12 Months Endi'!RBA2</f>
        <v>0</v>
      </c>
      <c r="RBC3">
        <f>'[12]Summary Report - 12 Months Endi'!RBB2</f>
        <v>0</v>
      </c>
      <c r="RBD3">
        <f>'[12]Summary Report - 12 Months Endi'!RBC2</f>
        <v>0</v>
      </c>
      <c r="RBE3">
        <f>'[12]Summary Report - 12 Months Endi'!RBD2</f>
        <v>0</v>
      </c>
      <c r="RBF3">
        <f>'[12]Summary Report - 12 Months Endi'!RBE2</f>
        <v>0</v>
      </c>
      <c r="RBG3">
        <f>'[12]Summary Report - 12 Months Endi'!RBF2</f>
        <v>0</v>
      </c>
      <c r="RBH3">
        <f>'[12]Summary Report - 12 Months Endi'!RBG2</f>
        <v>0</v>
      </c>
      <c r="RBI3">
        <f>'[12]Summary Report - 12 Months Endi'!RBH2</f>
        <v>0</v>
      </c>
      <c r="RBJ3">
        <f>'[12]Summary Report - 12 Months Endi'!RBI2</f>
        <v>0</v>
      </c>
      <c r="RBK3">
        <f>'[12]Summary Report - 12 Months Endi'!RBJ2</f>
        <v>0</v>
      </c>
      <c r="RBL3">
        <f>'[12]Summary Report - 12 Months Endi'!RBK2</f>
        <v>0</v>
      </c>
      <c r="RBM3">
        <f>'[12]Summary Report - 12 Months Endi'!RBL2</f>
        <v>0</v>
      </c>
      <c r="RBN3">
        <f>'[12]Summary Report - 12 Months Endi'!RBM2</f>
        <v>0</v>
      </c>
      <c r="RBO3">
        <f>'[12]Summary Report - 12 Months Endi'!RBN2</f>
        <v>0</v>
      </c>
      <c r="RBP3">
        <f>'[12]Summary Report - 12 Months Endi'!RBO2</f>
        <v>0</v>
      </c>
      <c r="RBQ3">
        <f>'[12]Summary Report - 12 Months Endi'!RBP2</f>
        <v>0</v>
      </c>
      <c r="RBR3">
        <f>'[12]Summary Report - 12 Months Endi'!RBQ2</f>
        <v>0</v>
      </c>
      <c r="RBS3">
        <f>'[12]Summary Report - 12 Months Endi'!RBR2</f>
        <v>0</v>
      </c>
      <c r="RBT3">
        <f>'[12]Summary Report - 12 Months Endi'!RBS2</f>
        <v>0</v>
      </c>
      <c r="RBU3">
        <f>'[12]Summary Report - 12 Months Endi'!RBT2</f>
        <v>0</v>
      </c>
      <c r="RBV3">
        <f>'[12]Summary Report - 12 Months Endi'!RBU2</f>
        <v>0</v>
      </c>
      <c r="RBW3">
        <f>'[12]Summary Report - 12 Months Endi'!RBV2</f>
        <v>0</v>
      </c>
      <c r="RBX3">
        <f>'[12]Summary Report - 12 Months Endi'!RBW2</f>
        <v>0</v>
      </c>
      <c r="RBY3">
        <f>'[12]Summary Report - 12 Months Endi'!RBX2</f>
        <v>0</v>
      </c>
      <c r="RBZ3">
        <f>'[12]Summary Report - 12 Months Endi'!RBY2</f>
        <v>0</v>
      </c>
      <c r="RCA3">
        <f>'[12]Summary Report - 12 Months Endi'!RBZ2</f>
        <v>0</v>
      </c>
      <c r="RCB3">
        <f>'[12]Summary Report - 12 Months Endi'!RCA2</f>
        <v>0</v>
      </c>
      <c r="RCC3">
        <f>'[12]Summary Report - 12 Months Endi'!RCB2</f>
        <v>0</v>
      </c>
      <c r="RCD3">
        <f>'[12]Summary Report - 12 Months Endi'!RCC2</f>
        <v>0</v>
      </c>
      <c r="RCE3">
        <f>'[12]Summary Report - 12 Months Endi'!RCD2</f>
        <v>0</v>
      </c>
      <c r="RCF3">
        <f>'[12]Summary Report - 12 Months Endi'!RCE2</f>
        <v>0</v>
      </c>
      <c r="RCG3">
        <f>'[12]Summary Report - 12 Months Endi'!RCF2</f>
        <v>0</v>
      </c>
      <c r="RCH3">
        <f>'[12]Summary Report - 12 Months Endi'!RCG2</f>
        <v>0</v>
      </c>
      <c r="RCI3">
        <f>'[12]Summary Report - 12 Months Endi'!RCH2</f>
        <v>0</v>
      </c>
      <c r="RCJ3">
        <f>'[12]Summary Report - 12 Months Endi'!RCI2</f>
        <v>0</v>
      </c>
      <c r="RCK3">
        <f>'[12]Summary Report - 12 Months Endi'!RCJ2</f>
        <v>0</v>
      </c>
      <c r="RCL3">
        <f>'[12]Summary Report - 12 Months Endi'!RCK2</f>
        <v>0</v>
      </c>
      <c r="RCM3">
        <f>'[12]Summary Report - 12 Months Endi'!RCL2</f>
        <v>0</v>
      </c>
      <c r="RCN3">
        <f>'[12]Summary Report - 12 Months Endi'!RCM2</f>
        <v>0</v>
      </c>
      <c r="RCO3">
        <f>'[12]Summary Report - 12 Months Endi'!RCN2</f>
        <v>0</v>
      </c>
      <c r="RCP3">
        <f>'[12]Summary Report - 12 Months Endi'!RCO2</f>
        <v>0</v>
      </c>
      <c r="RCQ3">
        <f>'[12]Summary Report - 12 Months Endi'!RCP2</f>
        <v>0</v>
      </c>
      <c r="RCR3">
        <f>'[12]Summary Report - 12 Months Endi'!RCQ2</f>
        <v>0</v>
      </c>
      <c r="RCS3">
        <f>'[12]Summary Report - 12 Months Endi'!RCR2</f>
        <v>0</v>
      </c>
      <c r="RCT3">
        <f>'[12]Summary Report - 12 Months Endi'!RCS2</f>
        <v>0</v>
      </c>
      <c r="RCU3">
        <f>'[12]Summary Report - 12 Months Endi'!RCT2</f>
        <v>0</v>
      </c>
      <c r="RCV3">
        <f>'[12]Summary Report - 12 Months Endi'!RCU2</f>
        <v>0</v>
      </c>
      <c r="RCW3">
        <f>'[12]Summary Report - 12 Months Endi'!RCV2</f>
        <v>0</v>
      </c>
      <c r="RCX3">
        <f>'[12]Summary Report - 12 Months Endi'!RCW2</f>
        <v>0</v>
      </c>
      <c r="RCY3">
        <f>'[12]Summary Report - 12 Months Endi'!RCX2</f>
        <v>0</v>
      </c>
      <c r="RCZ3">
        <f>'[12]Summary Report - 12 Months Endi'!RCY2</f>
        <v>0</v>
      </c>
      <c r="RDA3">
        <f>'[12]Summary Report - 12 Months Endi'!RCZ2</f>
        <v>0</v>
      </c>
      <c r="RDB3">
        <f>'[12]Summary Report - 12 Months Endi'!RDA2</f>
        <v>0</v>
      </c>
      <c r="RDC3">
        <f>'[12]Summary Report - 12 Months Endi'!RDB2</f>
        <v>0</v>
      </c>
      <c r="RDD3">
        <f>'[12]Summary Report - 12 Months Endi'!RDC2</f>
        <v>0</v>
      </c>
      <c r="RDE3">
        <f>'[12]Summary Report - 12 Months Endi'!RDD2</f>
        <v>0</v>
      </c>
      <c r="RDF3">
        <f>'[12]Summary Report - 12 Months Endi'!RDE2</f>
        <v>0</v>
      </c>
      <c r="RDG3">
        <f>'[12]Summary Report - 12 Months Endi'!RDF2</f>
        <v>0</v>
      </c>
      <c r="RDH3">
        <f>'[12]Summary Report - 12 Months Endi'!RDG2</f>
        <v>0</v>
      </c>
      <c r="RDI3">
        <f>'[12]Summary Report - 12 Months Endi'!RDH2</f>
        <v>0</v>
      </c>
      <c r="RDJ3">
        <f>'[12]Summary Report - 12 Months Endi'!RDI2</f>
        <v>0</v>
      </c>
      <c r="RDK3">
        <f>'[12]Summary Report - 12 Months Endi'!RDJ2</f>
        <v>0</v>
      </c>
      <c r="RDL3">
        <f>'[12]Summary Report - 12 Months Endi'!RDK2</f>
        <v>0</v>
      </c>
      <c r="RDM3">
        <f>'[12]Summary Report - 12 Months Endi'!RDL2</f>
        <v>0</v>
      </c>
      <c r="RDN3">
        <f>'[12]Summary Report - 12 Months Endi'!RDM2</f>
        <v>0</v>
      </c>
      <c r="RDO3">
        <f>'[12]Summary Report - 12 Months Endi'!RDN2</f>
        <v>0</v>
      </c>
      <c r="RDP3">
        <f>'[12]Summary Report - 12 Months Endi'!RDO2</f>
        <v>0</v>
      </c>
      <c r="RDQ3">
        <f>'[12]Summary Report - 12 Months Endi'!RDP2</f>
        <v>0</v>
      </c>
      <c r="RDR3">
        <f>'[12]Summary Report - 12 Months Endi'!RDQ2</f>
        <v>0</v>
      </c>
      <c r="RDS3">
        <f>'[12]Summary Report - 12 Months Endi'!RDR2</f>
        <v>0</v>
      </c>
      <c r="RDT3">
        <f>'[12]Summary Report - 12 Months Endi'!RDS2</f>
        <v>0</v>
      </c>
      <c r="RDU3">
        <f>'[12]Summary Report - 12 Months Endi'!RDT2</f>
        <v>0</v>
      </c>
      <c r="RDV3">
        <f>'[12]Summary Report - 12 Months Endi'!RDU2</f>
        <v>0</v>
      </c>
      <c r="RDW3">
        <f>'[12]Summary Report - 12 Months Endi'!RDV2</f>
        <v>0</v>
      </c>
      <c r="RDX3">
        <f>'[12]Summary Report - 12 Months Endi'!RDW2</f>
        <v>0</v>
      </c>
      <c r="RDY3">
        <f>'[12]Summary Report - 12 Months Endi'!RDX2</f>
        <v>0</v>
      </c>
      <c r="RDZ3">
        <f>'[12]Summary Report - 12 Months Endi'!RDY2</f>
        <v>0</v>
      </c>
      <c r="REA3">
        <f>'[12]Summary Report - 12 Months Endi'!RDZ2</f>
        <v>0</v>
      </c>
      <c r="REB3">
        <f>'[12]Summary Report - 12 Months Endi'!REA2</f>
        <v>0</v>
      </c>
      <c r="REC3">
        <f>'[12]Summary Report - 12 Months Endi'!REB2</f>
        <v>0</v>
      </c>
      <c r="RED3">
        <f>'[12]Summary Report - 12 Months Endi'!REC2</f>
        <v>0</v>
      </c>
      <c r="REE3">
        <f>'[12]Summary Report - 12 Months Endi'!RED2</f>
        <v>0</v>
      </c>
      <c r="REF3">
        <f>'[12]Summary Report - 12 Months Endi'!REE2</f>
        <v>0</v>
      </c>
      <c r="REG3">
        <f>'[12]Summary Report - 12 Months Endi'!REF2</f>
        <v>0</v>
      </c>
      <c r="REH3">
        <f>'[12]Summary Report - 12 Months Endi'!REG2</f>
        <v>0</v>
      </c>
      <c r="REI3">
        <f>'[12]Summary Report - 12 Months Endi'!REH2</f>
        <v>0</v>
      </c>
      <c r="REJ3">
        <f>'[12]Summary Report - 12 Months Endi'!REI2</f>
        <v>0</v>
      </c>
      <c r="REK3">
        <f>'[12]Summary Report - 12 Months Endi'!REJ2</f>
        <v>0</v>
      </c>
      <c r="REL3">
        <f>'[12]Summary Report - 12 Months Endi'!REK2</f>
        <v>0</v>
      </c>
      <c r="REM3">
        <f>'[12]Summary Report - 12 Months Endi'!REL2</f>
        <v>0</v>
      </c>
      <c r="REN3">
        <f>'[12]Summary Report - 12 Months Endi'!REM2</f>
        <v>0</v>
      </c>
      <c r="REO3">
        <f>'[12]Summary Report - 12 Months Endi'!REN2</f>
        <v>0</v>
      </c>
      <c r="REP3">
        <f>'[12]Summary Report - 12 Months Endi'!REO2</f>
        <v>0</v>
      </c>
      <c r="REQ3">
        <f>'[12]Summary Report - 12 Months Endi'!REP2</f>
        <v>0</v>
      </c>
      <c r="RER3">
        <f>'[12]Summary Report - 12 Months Endi'!REQ2</f>
        <v>0</v>
      </c>
      <c r="RES3">
        <f>'[12]Summary Report - 12 Months Endi'!RER2</f>
        <v>0</v>
      </c>
      <c r="RET3">
        <f>'[12]Summary Report - 12 Months Endi'!RES2</f>
        <v>0</v>
      </c>
      <c r="REU3">
        <f>'[12]Summary Report - 12 Months Endi'!RET2</f>
        <v>0</v>
      </c>
      <c r="REV3">
        <f>'[12]Summary Report - 12 Months Endi'!REU2</f>
        <v>0</v>
      </c>
      <c r="REW3">
        <f>'[12]Summary Report - 12 Months Endi'!REV2</f>
        <v>0</v>
      </c>
      <c r="REX3">
        <f>'[12]Summary Report - 12 Months Endi'!REW2</f>
        <v>0</v>
      </c>
      <c r="REY3">
        <f>'[12]Summary Report - 12 Months Endi'!REX2</f>
        <v>0</v>
      </c>
      <c r="REZ3">
        <f>'[12]Summary Report - 12 Months Endi'!REY2</f>
        <v>0</v>
      </c>
      <c r="RFA3">
        <f>'[12]Summary Report - 12 Months Endi'!REZ2</f>
        <v>0</v>
      </c>
      <c r="RFB3">
        <f>'[12]Summary Report - 12 Months Endi'!RFA2</f>
        <v>0</v>
      </c>
      <c r="RFC3">
        <f>'[12]Summary Report - 12 Months Endi'!RFB2</f>
        <v>0</v>
      </c>
      <c r="RFD3">
        <f>'[12]Summary Report - 12 Months Endi'!RFC2</f>
        <v>0</v>
      </c>
      <c r="RFE3">
        <f>'[12]Summary Report - 12 Months Endi'!RFD2</f>
        <v>0</v>
      </c>
      <c r="RFF3">
        <f>'[12]Summary Report - 12 Months Endi'!RFE2</f>
        <v>0</v>
      </c>
      <c r="RFG3">
        <f>'[12]Summary Report - 12 Months Endi'!RFF2</f>
        <v>0</v>
      </c>
      <c r="RFH3">
        <f>'[12]Summary Report - 12 Months Endi'!RFG2</f>
        <v>0</v>
      </c>
      <c r="RFI3">
        <f>'[12]Summary Report - 12 Months Endi'!RFH2</f>
        <v>0</v>
      </c>
      <c r="RFJ3">
        <f>'[12]Summary Report - 12 Months Endi'!RFI2</f>
        <v>0</v>
      </c>
      <c r="RFK3">
        <f>'[12]Summary Report - 12 Months Endi'!RFJ2</f>
        <v>0</v>
      </c>
      <c r="RFL3">
        <f>'[12]Summary Report - 12 Months Endi'!RFK2</f>
        <v>0</v>
      </c>
      <c r="RFM3">
        <f>'[12]Summary Report - 12 Months Endi'!RFL2</f>
        <v>0</v>
      </c>
      <c r="RFN3">
        <f>'[12]Summary Report - 12 Months Endi'!RFM2</f>
        <v>0</v>
      </c>
      <c r="RFO3">
        <f>'[12]Summary Report - 12 Months Endi'!RFN2</f>
        <v>0</v>
      </c>
      <c r="RFP3">
        <f>'[12]Summary Report - 12 Months Endi'!RFO2</f>
        <v>0</v>
      </c>
      <c r="RFQ3">
        <f>'[12]Summary Report - 12 Months Endi'!RFP2</f>
        <v>0</v>
      </c>
      <c r="RFR3">
        <f>'[12]Summary Report - 12 Months Endi'!RFQ2</f>
        <v>0</v>
      </c>
      <c r="RFS3">
        <f>'[12]Summary Report - 12 Months Endi'!RFR2</f>
        <v>0</v>
      </c>
      <c r="RFT3">
        <f>'[12]Summary Report - 12 Months Endi'!RFS2</f>
        <v>0</v>
      </c>
      <c r="RFU3">
        <f>'[12]Summary Report - 12 Months Endi'!RFT2</f>
        <v>0</v>
      </c>
      <c r="RFV3">
        <f>'[12]Summary Report - 12 Months Endi'!RFU2</f>
        <v>0</v>
      </c>
      <c r="RFW3">
        <f>'[12]Summary Report - 12 Months Endi'!RFV2</f>
        <v>0</v>
      </c>
      <c r="RFX3">
        <f>'[12]Summary Report - 12 Months Endi'!RFW2</f>
        <v>0</v>
      </c>
      <c r="RFY3">
        <f>'[12]Summary Report - 12 Months Endi'!RFX2</f>
        <v>0</v>
      </c>
      <c r="RFZ3">
        <f>'[12]Summary Report - 12 Months Endi'!RFY2</f>
        <v>0</v>
      </c>
      <c r="RGA3">
        <f>'[12]Summary Report - 12 Months Endi'!RFZ2</f>
        <v>0</v>
      </c>
      <c r="RGB3">
        <f>'[12]Summary Report - 12 Months Endi'!RGA2</f>
        <v>0</v>
      </c>
      <c r="RGC3">
        <f>'[12]Summary Report - 12 Months Endi'!RGB2</f>
        <v>0</v>
      </c>
      <c r="RGD3">
        <f>'[12]Summary Report - 12 Months Endi'!RGC2</f>
        <v>0</v>
      </c>
      <c r="RGE3">
        <f>'[12]Summary Report - 12 Months Endi'!RGD2</f>
        <v>0</v>
      </c>
      <c r="RGF3">
        <f>'[12]Summary Report - 12 Months Endi'!RGE2</f>
        <v>0</v>
      </c>
      <c r="RGG3">
        <f>'[12]Summary Report - 12 Months Endi'!RGF2</f>
        <v>0</v>
      </c>
      <c r="RGH3">
        <f>'[12]Summary Report - 12 Months Endi'!RGG2</f>
        <v>0</v>
      </c>
      <c r="RGI3">
        <f>'[12]Summary Report - 12 Months Endi'!RGH2</f>
        <v>0</v>
      </c>
      <c r="RGJ3">
        <f>'[12]Summary Report - 12 Months Endi'!RGI2</f>
        <v>0</v>
      </c>
      <c r="RGK3">
        <f>'[12]Summary Report - 12 Months Endi'!RGJ2</f>
        <v>0</v>
      </c>
      <c r="RGL3">
        <f>'[12]Summary Report - 12 Months Endi'!RGK2</f>
        <v>0</v>
      </c>
      <c r="RGM3">
        <f>'[12]Summary Report - 12 Months Endi'!RGL2</f>
        <v>0</v>
      </c>
      <c r="RGN3">
        <f>'[12]Summary Report - 12 Months Endi'!RGM2</f>
        <v>0</v>
      </c>
      <c r="RGO3">
        <f>'[12]Summary Report - 12 Months Endi'!RGN2</f>
        <v>0</v>
      </c>
      <c r="RGP3">
        <f>'[12]Summary Report - 12 Months Endi'!RGO2</f>
        <v>0</v>
      </c>
      <c r="RGQ3">
        <f>'[12]Summary Report - 12 Months Endi'!RGP2</f>
        <v>0</v>
      </c>
      <c r="RGR3">
        <f>'[12]Summary Report - 12 Months Endi'!RGQ2</f>
        <v>0</v>
      </c>
      <c r="RGS3">
        <f>'[12]Summary Report - 12 Months Endi'!RGR2</f>
        <v>0</v>
      </c>
      <c r="RGT3">
        <f>'[12]Summary Report - 12 Months Endi'!RGS2</f>
        <v>0</v>
      </c>
      <c r="RGU3">
        <f>'[12]Summary Report - 12 Months Endi'!RGT2</f>
        <v>0</v>
      </c>
      <c r="RGV3">
        <f>'[12]Summary Report - 12 Months Endi'!RGU2</f>
        <v>0</v>
      </c>
      <c r="RGW3">
        <f>'[12]Summary Report - 12 Months Endi'!RGV2</f>
        <v>0</v>
      </c>
      <c r="RGX3">
        <f>'[12]Summary Report - 12 Months Endi'!RGW2</f>
        <v>0</v>
      </c>
      <c r="RGY3">
        <f>'[12]Summary Report - 12 Months Endi'!RGX2</f>
        <v>0</v>
      </c>
      <c r="RGZ3">
        <f>'[12]Summary Report - 12 Months Endi'!RGY2</f>
        <v>0</v>
      </c>
      <c r="RHA3">
        <f>'[12]Summary Report - 12 Months Endi'!RGZ2</f>
        <v>0</v>
      </c>
      <c r="RHB3">
        <f>'[12]Summary Report - 12 Months Endi'!RHA2</f>
        <v>0</v>
      </c>
      <c r="RHC3">
        <f>'[12]Summary Report - 12 Months Endi'!RHB2</f>
        <v>0</v>
      </c>
      <c r="RHD3">
        <f>'[12]Summary Report - 12 Months Endi'!RHC2</f>
        <v>0</v>
      </c>
      <c r="RHE3">
        <f>'[12]Summary Report - 12 Months Endi'!RHD2</f>
        <v>0</v>
      </c>
      <c r="RHF3">
        <f>'[12]Summary Report - 12 Months Endi'!RHE2</f>
        <v>0</v>
      </c>
      <c r="RHG3">
        <f>'[12]Summary Report - 12 Months Endi'!RHF2</f>
        <v>0</v>
      </c>
      <c r="RHH3">
        <f>'[12]Summary Report - 12 Months Endi'!RHG2</f>
        <v>0</v>
      </c>
      <c r="RHI3">
        <f>'[12]Summary Report - 12 Months Endi'!RHH2</f>
        <v>0</v>
      </c>
      <c r="RHJ3">
        <f>'[12]Summary Report - 12 Months Endi'!RHI2</f>
        <v>0</v>
      </c>
      <c r="RHK3">
        <f>'[12]Summary Report - 12 Months Endi'!RHJ2</f>
        <v>0</v>
      </c>
      <c r="RHL3">
        <f>'[12]Summary Report - 12 Months Endi'!RHK2</f>
        <v>0</v>
      </c>
      <c r="RHM3">
        <f>'[12]Summary Report - 12 Months Endi'!RHL2</f>
        <v>0</v>
      </c>
      <c r="RHN3">
        <f>'[12]Summary Report - 12 Months Endi'!RHM2</f>
        <v>0</v>
      </c>
      <c r="RHO3">
        <f>'[12]Summary Report - 12 Months Endi'!RHN2</f>
        <v>0</v>
      </c>
      <c r="RHP3">
        <f>'[12]Summary Report - 12 Months Endi'!RHO2</f>
        <v>0</v>
      </c>
      <c r="RHQ3">
        <f>'[12]Summary Report - 12 Months Endi'!RHP2</f>
        <v>0</v>
      </c>
      <c r="RHR3">
        <f>'[12]Summary Report - 12 Months Endi'!RHQ2</f>
        <v>0</v>
      </c>
      <c r="RHS3">
        <f>'[12]Summary Report - 12 Months Endi'!RHR2</f>
        <v>0</v>
      </c>
      <c r="RHT3">
        <f>'[12]Summary Report - 12 Months Endi'!RHS2</f>
        <v>0</v>
      </c>
      <c r="RHU3">
        <f>'[12]Summary Report - 12 Months Endi'!RHT2</f>
        <v>0</v>
      </c>
      <c r="RHV3">
        <f>'[12]Summary Report - 12 Months Endi'!RHU2</f>
        <v>0</v>
      </c>
      <c r="RHW3">
        <f>'[12]Summary Report - 12 Months Endi'!RHV2</f>
        <v>0</v>
      </c>
      <c r="RHX3">
        <f>'[12]Summary Report - 12 Months Endi'!RHW2</f>
        <v>0</v>
      </c>
      <c r="RHY3">
        <f>'[12]Summary Report - 12 Months Endi'!RHX2</f>
        <v>0</v>
      </c>
      <c r="RHZ3">
        <f>'[12]Summary Report - 12 Months Endi'!RHY2</f>
        <v>0</v>
      </c>
      <c r="RIA3">
        <f>'[12]Summary Report - 12 Months Endi'!RHZ2</f>
        <v>0</v>
      </c>
      <c r="RIB3">
        <f>'[12]Summary Report - 12 Months Endi'!RIA2</f>
        <v>0</v>
      </c>
      <c r="RIC3">
        <f>'[12]Summary Report - 12 Months Endi'!RIB2</f>
        <v>0</v>
      </c>
      <c r="RID3">
        <f>'[12]Summary Report - 12 Months Endi'!RIC2</f>
        <v>0</v>
      </c>
      <c r="RIE3">
        <f>'[12]Summary Report - 12 Months Endi'!RID2</f>
        <v>0</v>
      </c>
      <c r="RIF3">
        <f>'[12]Summary Report - 12 Months Endi'!RIE2</f>
        <v>0</v>
      </c>
      <c r="RIG3">
        <f>'[12]Summary Report - 12 Months Endi'!RIF2</f>
        <v>0</v>
      </c>
      <c r="RIH3">
        <f>'[12]Summary Report - 12 Months Endi'!RIG2</f>
        <v>0</v>
      </c>
      <c r="RII3">
        <f>'[12]Summary Report - 12 Months Endi'!RIH2</f>
        <v>0</v>
      </c>
      <c r="RIJ3">
        <f>'[12]Summary Report - 12 Months Endi'!RII2</f>
        <v>0</v>
      </c>
      <c r="RIK3">
        <f>'[12]Summary Report - 12 Months Endi'!RIJ2</f>
        <v>0</v>
      </c>
      <c r="RIL3">
        <f>'[12]Summary Report - 12 Months Endi'!RIK2</f>
        <v>0</v>
      </c>
      <c r="RIM3">
        <f>'[12]Summary Report - 12 Months Endi'!RIL2</f>
        <v>0</v>
      </c>
      <c r="RIN3">
        <f>'[12]Summary Report - 12 Months Endi'!RIM2</f>
        <v>0</v>
      </c>
      <c r="RIO3">
        <f>'[12]Summary Report - 12 Months Endi'!RIN2</f>
        <v>0</v>
      </c>
      <c r="RIP3">
        <f>'[12]Summary Report - 12 Months Endi'!RIO2</f>
        <v>0</v>
      </c>
      <c r="RIQ3">
        <f>'[12]Summary Report - 12 Months Endi'!RIP2</f>
        <v>0</v>
      </c>
      <c r="RIR3">
        <f>'[12]Summary Report - 12 Months Endi'!RIQ2</f>
        <v>0</v>
      </c>
      <c r="RIS3">
        <f>'[12]Summary Report - 12 Months Endi'!RIR2</f>
        <v>0</v>
      </c>
      <c r="RIT3">
        <f>'[12]Summary Report - 12 Months Endi'!RIS2</f>
        <v>0</v>
      </c>
      <c r="RIU3">
        <f>'[12]Summary Report - 12 Months Endi'!RIT2</f>
        <v>0</v>
      </c>
      <c r="RIV3">
        <f>'[12]Summary Report - 12 Months Endi'!RIU2</f>
        <v>0</v>
      </c>
      <c r="RIW3">
        <f>'[12]Summary Report - 12 Months Endi'!RIV2</f>
        <v>0</v>
      </c>
      <c r="RIX3">
        <f>'[12]Summary Report - 12 Months Endi'!RIW2</f>
        <v>0</v>
      </c>
      <c r="RIY3">
        <f>'[12]Summary Report - 12 Months Endi'!RIX2</f>
        <v>0</v>
      </c>
      <c r="RIZ3">
        <f>'[12]Summary Report - 12 Months Endi'!RIY2</f>
        <v>0</v>
      </c>
      <c r="RJA3">
        <f>'[12]Summary Report - 12 Months Endi'!RIZ2</f>
        <v>0</v>
      </c>
      <c r="RJB3">
        <f>'[12]Summary Report - 12 Months Endi'!RJA2</f>
        <v>0</v>
      </c>
      <c r="RJC3">
        <f>'[12]Summary Report - 12 Months Endi'!RJB2</f>
        <v>0</v>
      </c>
      <c r="RJD3">
        <f>'[12]Summary Report - 12 Months Endi'!RJC2</f>
        <v>0</v>
      </c>
      <c r="RJE3">
        <f>'[12]Summary Report - 12 Months Endi'!RJD2</f>
        <v>0</v>
      </c>
      <c r="RJF3">
        <f>'[12]Summary Report - 12 Months Endi'!RJE2</f>
        <v>0</v>
      </c>
      <c r="RJG3">
        <f>'[12]Summary Report - 12 Months Endi'!RJF2</f>
        <v>0</v>
      </c>
      <c r="RJH3">
        <f>'[12]Summary Report - 12 Months Endi'!RJG2</f>
        <v>0</v>
      </c>
      <c r="RJI3">
        <f>'[12]Summary Report - 12 Months Endi'!RJH2</f>
        <v>0</v>
      </c>
      <c r="RJJ3">
        <f>'[12]Summary Report - 12 Months Endi'!RJI2</f>
        <v>0</v>
      </c>
      <c r="RJK3">
        <f>'[12]Summary Report - 12 Months Endi'!RJJ2</f>
        <v>0</v>
      </c>
      <c r="RJL3">
        <f>'[12]Summary Report - 12 Months Endi'!RJK2</f>
        <v>0</v>
      </c>
      <c r="RJM3">
        <f>'[12]Summary Report - 12 Months Endi'!RJL2</f>
        <v>0</v>
      </c>
      <c r="RJN3">
        <f>'[12]Summary Report - 12 Months Endi'!RJM2</f>
        <v>0</v>
      </c>
      <c r="RJO3">
        <f>'[12]Summary Report - 12 Months Endi'!RJN2</f>
        <v>0</v>
      </c>
      <c r="RJP3">
        <f>'[12]Summary Report - 12 Months Endi'!RJO2</f>
        <v>0</v>
      </c>
      <c r="RJQ3">
        <f>'[12]Summary Report - 12 Months Endi'!RJP2</f>
        <v>0</v>
      </c>
      <c r="RJR3">
        <f>'[12]Summary Report - 12 Months Endi'!RJQ2</f>
        <v>0</v>
      </c>
      <c r="RJS3">
        <f>'[12]Summary Report - 12 Months Endi'!RJR2</f>
        <v>0</v>
      </c>
      <c r="RJT3">
        <f>'[12]Summary Report - 12 Months Endi'!RJS2</f>
        <v>0</v>
      </c>
      <c r="RJU3">
        <f>'[12]Summary Report - 12 Months Endi'!RJT2</f>
        <v>0</v>
      </c>
      <c r="RJV3">
        <f>'[12]Summary Report - 12 Months Endi'!RJU2</f>
        <v>0</v>
      </c>
      <c r="RJW3">
        <f>'[12]Summary Report - 12 Months Endi'!RJV2</f>
        <v>0</v>
      </c>
      <c r="RJX3">
        <f>'[12]Summary Report - 12 Months Endi'!RJW2</f>
        <v>0</v>
      </c>
      <c r="RJY3">
        <f>'[12]Summary Report - 12 Months Endi'!RJX2</f>
        <v>0</v>
      </c>
      <c r="RJZ3">
        <f>'[12]Summary Report - 12 Months Endi'!RJY2</f>
        <v>0</v>
      </c>
      <c r="RKA3">
        <f>'[12]Summary Report - 12 Months Endi'!RJZ2</f>
        <v>0</v>
      </c>
      <c r="RKB3">
        <f>'[12]Summary Report - 12 Months Endi'!RKA2</f>
        <v>0</v>
      </c>
      <c r="RKC3">
        <f>'[12]Summary Report - 12 Months Endi'!RKB2</f>
        <v>0</v>
      </c>
      <c r="RKD3">
        <f>'[12]Summary Report - 12 Months Endi'!RKC2</f>
        <v>0</v>
      </c>
      <c r="RKE3">
        <f>'[12]Summary Report - 12 Months Endi'!RKD2</f>
        <v>0</v>
      </c>
      <c r="RKF3">
        <f>'[12]Summary Report - 12 Months Endi'!RKE2</f>
        <v>0</v>
      </c>
      <c r="RKG3">
        <f>'[12]Summary Report - 12 Months Endi'!RKF2</f>
        <v>0</v>
      </c>
      <c r="RKH3">
        <f>'[12]Summary Report - 12 Months Endi'!RKG2</f>
        <v>0</v>
      </c>
      <c r="RKI3">
        <f>'[12]Summary Report - 12 Months Endi'!RKH2</f>
        <v>0</v>
      </c>
      <c r="RKJ3">
        <f>'[12]Summary Report - 12 Months Endi'!RKI2</f>
        <v>0</v>
      </c>
      <c r="RKK3">
        <f>'[12]Summary Report - 12 Months Endi'!RKJ2</f>
        <v>0</v>
      </c>
      <c r="RKL3">
        <f>'[12]Summary Report - 12 Months Endi'!RKK2</f>
        <v>0</v>
      </c>
      <c r="RKM3">
        <f>'[12]Summary Report - 12 Months Endi'!RKL2</f>
        <v>0</v>
      </c>
      <c r="RKN3">
        <f>'[12]Summary Report - 12 Months Endi'!RKM2</f>
        <v>0</v>
      </c>
      <c r="RKO3">
        <f>'[12]Summary Report - 12 Months Endi'!RKN2</f>
        <v>0</v>
      </c>
      <c r="RKP3">
        <f>'[12]Summary Report - 12 Months Endi'!RKO2</f>
        <v>0</v>
      </c>
      <c r="RKQ3">
        <f>'[12]Summary Report - 12 Months Endi'!RKP2</f>
        <v>0</v>
      </c>
      <c r="RKR3">
        <f>'[12]Summary Report - 12 Months Endi'!RKQ2</f>
        <v>0</v>
      </c>
      <c r="RKS3">
        <f>'[12]Summary Report - 12 Months Endi'!RKR2</f>
        <v>0</v>
      </c>
      <c r="RKT3">
        <f>'[12]Summary Report - 12 Months Endi'!RKS2</f>
        <v>0</v>
      </c>
      <c r="RKU3">
        <f>'[12]Summary Report - 12 Months Endi'!RKT2</f>
        <v>0</v>
      </c>
      <c r="RKV3">
        <f>'[12]Summary Report - 12 Months Endi'!RKU2</f>
        <v>0</v>
      </c>
      <c r="RKW3">
        <f>'[12]Summary Report - 12 Months Endi'!RKV2</f>
        <v>0</v>
      </c>
      <c r="RKX3">
        <f>'[12]Summary Report - 12 Months Endi'!RKW2</f>
        <v>0</v>
      </c>
      <c r="RKY3">
        <f>'[12]Summary Report - 12 Months Endi'!RKX2</f>
        <v>0</v>
      </c>
      <c r="RKZ3">
        <f>'[12]Summary Report - 12 Months Endi'!RKY2</f>
        <v>0</v>
      </c>
      <c r="RLA3">
        <f>'[12]Summary Report - 12 Months Endi'!RKZ2</f>
        <v>0</v>
      </c>
      <c r="RLB3">
        <f>'[12]Summary Report - 12 Months Endi'!RLA2</f>
        <v>0</v>
      </c>
      <c r="RLC3">
        <f>'[12]Summary Report - 12 Months Endi'!RLB2</f>
        <v>0</v>
      </c>
      <c r="RLD3">
        <f>'[12]Summary Report - 12 Months Endi'!RLC2</f>
        <v>0</v>
      </c>
      <c r="RLE3">
        <f>'[12]Summary Report - 12 Months Endi'!RLD2</f>
        <v>0</v>
      </c>
      <c r="RLF3">
        <f>'[12]Summary Report - 12 Months Endi'!RLE2</f>
        <v>0</v>
      </c>
      <c r="RLG3">
        <f>'[12]Summary Report - 12 Months Endi'!RLF2</f>
        <v>0</v>
      </c>
      <c r="RLH3">
        <f>'[12]Summary Report - 12 Months Endi'!RLG2</f>
        <v>0</v>
      </c>
      <c r="RLI3">
        <f>'[12]Summary Report - 12 Months Endi'!RLH2</f>
        <v>0</v>
      </c>
      <c r="RLJ3">
        <f>'[12]Summary Report - 12 Months Endi'!RLI2</f>
        <v>0</v>
      </c>
      <c r="RLK3">
        <f>'[12]Summary Report - 12 Months Endi'!RLJ2</f>
        <v>0</v>
      </c>
      <c r="RLL3">
        <f>'[12]Summary Report - 12 Months Endi'!RLK2</f>
        <v>0</v>
      </c>
      <c r="RLM3">
        <f>'[12]Summary Report - 12 Months Endi'!RLL2</f>
        <v>0</v>
      </c>
      <c r="RLN3">
        <f>'[12]Summary Report - 12 Months Endi'!RLM2</f>
        <v>0</v>
      </c>
      <c r="RLO3">
        <f>'[12]Summary Report - 12 Months Endi'!RLN2</f>
        <v>0</v>
      </c>
      <c r="RLP3">
        <f>'[12]Summary Report - 12 Months Endi'!RLO2</f>
        <v>0</v>
      </c>
      <c r="RLQ3">
        <f>'[12]Summary Report - 12 Months Endi'!RLP2</f>
        <v>0</v>
      </c>
      <c r="RLR3">
        <f>'[12]Summary Report - 12 Months Endi'!RLQ2</f>
        <v>0</v>
      </c>
      <c r="RLS3">
        <f>'[12]Summary Report - 12 Months Endi'!RLR2</f>
        <v>0</v>
      </c>
      <c r="RLT3">
        <f>'[12]Summary Report - 12 Months Endi'!RLS2</f>
        <v>0</v>
      </c>
      <c r="RLU3">
        <f>'[12]Summary Report - 12 Months Endi'!RLT2</f>
        <v>0</v>
      </c>
      <c r="RLV3">
        <f>'[12]Summary Report - 12 Months Endi'!RLU2</f>
        <v>0</v>
      </c>
      <c r="RLW3">
        <f>'[12]Summary Report - 12 Months Endi'!RLV2</f>
        <v>0</v>
      </c>
      <c r="RLX3">
        <f>'[12]Summary Report - 12 Months Endi'!RLW2</f>
        <v>0</v>
      </c>
      <c r="RLY3">
        <f>'[12]Summary Report - 12 Months Endi'!RLX2</f>
        <v>0</v>
      </c>
      <c r="RLZ3">
        <f>'[12]Summary Report - 12 Months Endi'!RLY2</f>
        <v>0</v>
      </c>
      <c r="RMA3">
        <f>'[12]Summary Report - 12 Months Endi'!RLZ2</f>
        <v>0</v>
      </c>
      <c r="RMB3">
        <f>'[12]Summary Report - 12 Months Endi'!RMA2</f>
        <v>0</v>
      </c>
      <c r="RMC3">
        <f>'[12]Summary Report - 12 Months Endi'!RMB2</f>
        <v>0</v>
      </c>
      <c r="RMD3">
        <f>'[12]Summary Report - 12 Months Endi'!RMC2</f>
        <v>0</v>
      </c>
      <c r="RME3">
        <f>'[12]Summary Report - 12 Months Endi'!RMD2</f>
        <v>0</v>
      </c>
      <c r="RMF3">
        <f>'[12]Summary Report - 12 Months Endi'!RME2</f>
        <v>0</v>
      </c>
      <c r="RMG3">
        <f>'[12]Summary Report - 12 Months Endi'!RMF2</f>
        <v>0</v>
      </c>
      <c r="RMH3">
        <f>'[12]Summary Report - 12 Months Endi'!RMG2</f>
        <v>0</v>
      </c>
      <c r="RMI3">
        <f>'[12]Summary Report - 12 Months Endi'!RMH2</f>
        <v>0</v>
      </c>
      <c r="RMJ3">
        <f>'[12]Summary Report - 12 Months Endi'!RMI2</f>
        <v>0</v>
      </c>
      <c r="RMK3">
        <f>'[12]Summary Report - 12 Months Endi'!RMJ2</f>
        <v>0</v>
      </c>
      <c r="RML3">
        <f>'[12]Summary Report - 12 Months Endi'!RMK2</f>
        <v>0</v>
      </c>
      <c r="RMM3">
        <f>'[12]Summary Report - 12 Months Endi'!RML2</f>
        <v>0</v>
      </c>
      <c r="RMN3">
        <f>'[12]Summary Report - 12 Months Endi'!RMM2</f>
        <v>0</v>
      </c>
      <c r="RMO3">
        <f>'[12]Summary Report - 12 Months Endi'!RMN2</f>
        <v>0</v>
      </c>
      <c r="RMP3">
        <f>'[12]Summary Report - 12 Months Endi'!RMO2</f>
        <v>0</v>
      </c>
      <c r="RMQ3">
        <f>'[12]Summary Report - 12 Months Endi'!RMP2</f>
        <v>0</v>
      </c>
      <c r="RMR3">
        <f>'[12]Summary Report - 12 Months Endi'!RMQ2</f>
        <v>0</v>
      </c>
      <c r="RMS3">
        <f>'[12]Summary Report - 12 Months Endi'!RMR2</f>
        <v>0</v>
      </c>
      <c r="RMT3">
        <f>'[12]Summary Report - 12 Months Endi'!RMS2</f>
        <v>0</v>
      </c>
      <c r="RMU3">
        <f>'[12]Summary Report - 12 Months Endi'!RMT2</f>
        <v>0</v>
      </c>
      <c r="RMV3">
        <f>'[12]Summary Report - 12 Months Endi'!RMU2</f>
        <v>0</v>
      </c>
      <c r="RMW3">
        <f>'[12]Summary Report - 12 Months Endi'!RMV2</f>
        <v>0</v>
      </c>
      <c r="RMX3">
        <f>'[12]Summary Report - 12 Months Endi'!RMW2</f>
        <v>0</v>
      </c>
      <c r="RMY3">
        <f>'[12]Summary Report - 12 Months Endi'!RMX2</f>
        <v>0</v>
      </c>
      <c r="RMZ3">
        <f>'[12]Summary Report - 12 Months Endi'!RMY2</f>
        <v>0</v>
      </c>
      <c r="RNA3">
        <f>'[12]Summary Report - 12 Months Endi'!RMZ2</f>
        <v>0</v>
      </c>
      <c r="RNB3">
        <f>'[12]Summary Report - 12 Months Endi'!RNA2</f>
        <v>0</v>
      </c>
      <c r="RNC3">
        <f>'[12]Summary Report - 12 Months Endi'!RNB2</f>
        <v>0</v>
      </c>
      <c r="RND3">
        <f>'[12]Summary Report - 12 Months Endi'!RNC2</f>
        <v>0</v>
      </c>
      <c r="RNE3">
        <f>'[12]Summary Report - 12 Months Endi'!RND2</f>
        <v>0</v>
      </c>
      <c r="RNF3">
        <f>'[12]Summary Report - 12 Months Endi'!RNE2</f>
        <v>0</v>
      </c>
      <c r="RNG3">
        <f>'[12]Summary Report - 12 Months Endi'!RNF2</f>
        <v>0</v>
      </c>
      <c r="RNH3">
        <f>'[12]Summary Report - 12 Months Endi'!RNG2</f>
        <v>0</v>
      </c>
      <c r="RNI3">
        <f>'[12]Summary Report - 12 Months Endi'!RNH2</f>
        <v>0</v>
      </c>
      <c r="RNJ3">
        <f>'[12]Summary Report - 12 Months Endi'!RNI2</f>
        <v>0</v>
      </c>
      <c r="RNK3">
        <f>'[12]Summary Report - 12 Months Endi'!RNJ2</f>
        <v>0</v>
      </c>
      <c r="RNL3">
        <f>'[12]Summary Report - 12 Months Endi'!RNK2</f>
        <v>0</v>
      </c>
      <c r="RNM3">
        <f>'[12]Summary Report - 12 Months Endi'!RNL2</f>
        <v>0</v>
      </c>
      <c r="RNN3">
        <f>'[12]Summary Report - 12 Months Endi'!RNM2</f>
        <v>0</v>
      </c>
      <c r="RNO3">
        <f>'[12]Summary Report - 12 Months Endi'!RNN2</f>
        <v>0</v>
      </c>
      <c r="RNP3">
        <f>'[12]Summary Report - 12 Months Endi'!RNO2</f>
        <v>0</v>
      </c>
      <c r="RNQ3">
        <f>'[12]Summary Report - 12 Months Endi'!RNP2</f>
        <v>0</v>
      </c>
      <c r="RNR3">
        <f>'[12]Summary Report - 12 Months Endi'!RNQ2</f>
        <v>0</v>
      </c>
      <c r="RNS3">
        <f>'[12]Summary Report - 12 Months Endi'!RNR2</f>
        <v>0</v>
      </c>
      <c r="RNT3">
        <f>'[12]Summary Report - 12 Months Endi'!RNS2</f>
        <v>0</v>
      </c>
      <c r="RNU3">
        <f>'[12]Summary Report - 12 Months Endi'!RNT2</f>
        <v>0</v>
      </c>
      <c r="RNV3">
        <f>'[12]Summary Report - 12 Months Endi'!RNU2</f>
        <v>0</v>
      </c>
      <c r="RNW3">
        <f>'[12]Summary Report - 12 Months Endi'!RNV2</f>
        <v>0</v>
      </c>
      <c r="RNX3">
        <f>'[12]Summary Report - 12 Months Endi'!RNW2</f>
        <v>0</v>
      </c>
      <c r="RNY3">
        <f>'[12]Summary Report - 12 Months Endi'!RNX2</f>
        <v>0</v>
      </c>
      <c r="RNZ3">
        <f>'[12]Summary Report - 12 Months Endi'!RNY2</f>
        <v>0</v>
      </c>
      <c r="ROA3">
        <f>'[12]Summary Report - 12 Months Endi'!RNZ2</f>
        <v>0</v>
      </c>
      <c r="ROB3">
        <f>'[12]Summary Report - 12 Months Endi'!ROA2</f>
        <v>0</v>
      </c>
      <c r="ROC3">
        <f>'[12]Summary Report - 12 Months Endi'!ROB2</f>
        <v>0</v>
      </c>
      <c r="ROD3">
        <f>'[12]Summary Report - 12 Months Endi'!ROC2</f>
        <v>0</v>
      </c>
      <c r="ROE3">
        <f>'[12]Summary Report - 12 Months Endi'!ROD2</f>
        <v>0</v>
      </c>
      <c r="ROF3">
        <f>'[12]Summary Report - 12 Months Endi'!ROE2</f>
        <v>0</v>
      </c>
      <c r="ROG3">
        <f>'[12]Summary Report - 12 Months Endi'!ROF2</f>
        <v>0</v>
      </c>
      <c r="ROH3">
        <f>'[12]Summary Report - 12 Months Endi'!ROG2</f>
        <v>0</v>
      </c>
      <c r="ROI3">
        <f>'[12]Summary Report - 12 Months Endi'!ROH2</f>
        <v>0</v>
      </c>
      <c r="ROJ3">
        <f>'[12]Summary Report - 12 Months Endi'!ROI2</f>
        <v>0</v>
      </c>
      <c r="ROK3">
        <f>'[12]Summary Report - 12 Months Endi'!ROJ2</f>
        <v>0</v>
      </c>
      <c r="ROL3">
        <f>'[12]Summary Report - 12 Months Endi'!ROK2</f>
        <v>0</v>
      </c>
      <c r="ROM3">
        <f>'[12]Summary Report - 12 Months Endi'!ROL2</f>
        <v>0</v>
      </c>
      <c r="RON3">
        <f>'[12]Summary Report - 12 Months Endi'!ROM2</f>
        <v>0</v>
      </c>
      <c r="ROO3">
        <f>'[12]Summary Report - 12 Months Endi'!RON2</f>
        <v>0</v>
      </c>
      <c r="ROP3">
        <f>'[12]Summary Report - 12 Months Endi'!ROO2</f>
        <v>0</v>
      </c>
      <c r="ROQ3">
        <f>'[12]Summary Report - 12 Months Endi'!ROP2</f>
        <v>0</v>
      </c>
      <c r="ROR3">
        <f>'[12]Summary Report - 12 Months Endi'!ROQ2</f>
        <v>0</v>
      </c>
      <c r="ROS3">
        <f>'[12]Summary Report - 12 Months Endi'!ROR2</f>
        <v>0</v>
      </c>
      <c r="ROT3">
        <f>'[12]Summary Report - 12 Months Endi'!ROS2</f>
        <v>0</v>
      </c>
      <c r="ROU3">
        <f>'[12]Summary Report - 12 Months Endi'!ROT2</f>
        <v>0</v>
      </c>
      <c r="ROV3">
        <f>'[12]Summary Report - 12 Months Endi'!ROU2</f>
        <v>0</v>
      </c>
      <c r="ROW3">
        <f>'[12]Summary Report - 12 Months Endi'!ROV2</f>
        <v>0</v>
      </c>
      <c r="ROX3">
        <f>'[12]Summary Report - 12 Months Endi'!ROW2</f>
        <v>0</v>
      </c>
      <c r="ROY3">
        <f>'[12]Summary Report - 12 Months Endi'!ROX2</f>
        <v>0</v>
      </c>
      <c r="ROZ3">
        <f>'[12]Summary Report - 12 Months Endi'!ROY2</f>
        <v>0</v>
      </c>
      <c r="RPA3">
        <f>'[12]Summary Report - 12 Months Endi'!ROZ2</f>
        <v>0</v>
      </c>
      <c r="RPB3">
        <f>'[12]Summary Report - 12 Months Endi'!RPA2</f>
        <v>0</v>
      </c>
      <c r="RPC3">
        <f>'[12]Summary Report - 12 Months Endi'!RPB2</f>
        <v>0</v>
      </c>
      <c r="RPD3">
        <f>'[12]Summary Report - 12 Months Endi'!RPC2</f>
        <v>0</v>
      </c>
      <c r="RPE3">
        <f>'[12]Summary Report - 12 Months Endi'!RPD2</f>
        <v>0</v>
      </c>
      <c r="RPF3">
        <f>'[12]Summary Report - 12 Months Endi'!RPE2</f>
        <v>0</v>
      </c>
      <c r="RPG3">
        <f>'[12]Summary Report - 12 Months Endi'!RPF2</f>
        <v>0</v>
      </c>
      <c r="RPH3">
        <f>'[12]Summary Report - 12 Months Endi'!RPG2</f>
        <v>0</v>
      </c>
      <c r="RPI3">
        <f>'[12]Summary Report - 12 Months Endi'!RPH2</f>
        <v>0</v>
      </c>
      <c r="RPJ3">
        <f>'[12]Summary Report - 12 Months Endi'!RPI2</f>
        <v>0</v>
      </c>
      <c r="RPK3">
        <f>'[12]Summary Report - 12 Months Endi'!RPJ2</f>
        <v>0</v>
      </c>
      <c r="RPL3">
        <f>'[12]Summary Report - 12 Months Endi'!RPK2</f>
        <v>0</v>
      </c>
      <c r="RPM3">
        <f>'[12]Summary Report - 12 Months Endi'!RPL2</f>
        <v>0</v>
      </c>
      <c r="RPN3">
        <f>'[12]Summary Report - 12 Months Endi'!RPM2</f>
        <v>0</v>
      </c>
      <c r="RPO3">
        <f>'[12]Summary Report - 12 Months Endi'!RPN2</f>
        <v>0</v>
      </c>
      <c r="RPP3">
        <f>'[12]Summary Report - 12 Months Endi'!RPO2</f>
        <v>0</v>
      </c>
      <c r="RPQ3">
        <f>'[12]Summary Report - 12 Months Endi'!RPP2</f>
        <v>0</v>
      </c>
      <c r="RPR3">
        <f>'[12]Summary Report - 12 Months Endi'!RPQ2</f>
        <v>0</v>
      </c>
      <c r="RPS3">
        <f>'[12]Summary Report - 12 Months Endi'!RPR2</f>
        <v>0</v>
      </c>
      <c r="RPT3">
        <f>'[12]Summary Report - 12 Months Endi'!RPS2</f>
        <v>0</v>
      </c>
      <c r="RPU3">
        <f>'[12]Summary Report - 12 Months Endi'!RPT2</f>
        <v>0</v>
      </c>
      <c r="RPV3">
        <f>'[12]Summary Report - 12 Months Endi'!RPU2</f>
        <v>0</v>
      </c>
      <c r="RPW3">
        <f>'[12]Summary Report - 12 Months Endi'!RPV2</f>
        <v>0</v>
      </c>
      <c r="RPX3">
        <f>'[12]Summary Report - 12 Months Endi'!RPW2</f>
        <v>0</v>
      </c>
      <c r="RPY3">
        <f>'[12]Summary Report - 12 Months Endi'!RPX2</f>
        <v>0</v>
      </c>
      <c r="RPZ3">
        <f>'[12]Summary Report - 12 Months Endi'!RPY2</f>
        <v>0</v>
      </c>
      <c r="RQA3">
        <f>'[12]Summary Report - 12 Months Endi'!RPZ2</f>
        <v>0</v>
      </c>
      <c r="RQB3">
        <f>'[12]Summary Report - 12 Months Endi'!RQA2</f>
        <v>0</v>
      </c>
      <c r="RQC3">
        <f>'[12]Summary Report - 12 Months Endi'!RQB2</f>
        <v>0</v>
      </c>
      <c r="RQD3">
        <f>'[12]Summary Report - 12 Months Endi'!RQC2</f>
        <v>0</v>
      </c>
      <c r="RQE3">
        <f>'[12]Summary Report - 12 Months Endi'!RQD2</f>
        <v>0</v>
      </c>
      <c r="RQF3">
        <f>'[12]Summary Report - 12 Months Endi'!RQE2</f>
        <v>0</v>
      </c>
      <c r="RQG3">
        <f>'[12]Summary Report - 12 Months Endi'!RQF2</f>
        <v>0</v>
      </c>
      <c r="RQH3">
        <f>'[12]Summary Report - 12 Months Endi'!RQG2</f>
        <v>0</v>
      </c>
      <c r="RQI3">
        <f>'[12]Summary Report - 12 Months Endi'!RQH2</f>
        <v>0</v>
      </c>
      <c r="RQJ3">
        <f>'[12]Summary Report - 12 Months Endi'!RQI2</f>
        <v>0</v>
      </c>
      <c r="RQK3">
        <f>'[12]Summary Report - 12 Months Endi'!RQJ2</f>
        <v>0</v>
      </c>
      <c r="RQL3">
        <f>'[12]Summary Report - 12 Months Endi'!RQK2</f>
        <v>0</v>
      </c>
      <c r="RQM3">
        <f>'[12]Summary Report - 12 Months Endi'!RQL2</f>
        <v>0</v>
      </c>
      <c r="RQN3">
        <f>'[12]Summary Report - 12 Months Endi'!RQM2</f>
        <v>0</v>
      </c>
      <c r="RQO3">
        <f>'[12]Summary Report - 12 Months Endi'!RQN2</f>
        <v>0</v>
      </c>
      <c r="RQP3">
        <f>'[12]Summary Report - 12 Months Endi'!RQO2</f>
        <v>0</v>
      </c>
      <c r="RQQ3">
        <f>'[12]Summary Report - 12 Months Endi'!RQP2</f>
        <v>0</v>
      </c>
      <c r="RQR3">
        <f>'[12]Summary Report - 12 Months Endi'!RQQ2</f>
        <v>0</v>
      </c>
      <c r="RQS3">
        <f>'[12]Summary Report - 12 Months Endi'!RQR2</f>
        <v>0</v>
      </c>
      <c r="RQT3">
        <f>'[12]Summary Report - 12 Months Endi'!RQS2</f>
        <v>0</v>
      </c>
      <c r="RQU3">
        <f>'[12]Summary Report - 12 Months Endi'!RQT2</f>
        <v>0</v>
      </c>
      <c r="RQV3">
        <f>'[12]Summary Report - 12 Months Endi'!RQU2</f>
        <v>0</v>
      </c>
      <c r="RQW3">
        <f>'[12]Summary Report - 12 Months Endi'!RQV2</f>
        <v>0</v>
      </c>
      <c r="RQX3">
        <f>'[12]Summary Report - 12 Months Endi'!RQW2</f>
        <v>0</v>
      </c>
      <c r="RQY3">
        <f>'[12]Summary Report - 12 Months Endi'!RQX2</f>
        <v>0</v>
      </c>
      <c r="RQZ3">
        <f>'[12]Summary Report - 12 Months Endi'!RQY2</f>
        <v>0</v>
      </c>
      <c r="RRA3">
        <f>'[12]Summary Report - 12 Months Endi'!RQZ2</f>
        <v>0</v>
      </c>
      <c r="RRB3">
        <f>'[12]Summary Report - 12 Months Endi'!RRA2</f>
        <v>0</v>
      </c>
      <c r="RRC3">
        <f>'[12]Summary Report - 12 Months Endi'!RRB2</f>
        <v>0</v>
      </c>
      <c r="RRD3">
        <f>'[12]Summary Report - 12 Months Endi'!RRC2</f>
        <v>0</v>
      </c>
      <c r="RRE3">
        <f>'[12]Summary Report - 12 Months Endi'!RRD2</f>
        <v>0</v>
      </c>
      <c r="RRF3">
        <f>'[12]Summary Report - 12 Months Endi'!RRE2</f>
        <v>0</v>
      </c>
      <c r="RRG3">
        <f>'[12]Summary Report - 12 Months Endi'!RRF2</f>
        <v>0</v>
      </c>
      <c r="RRH3">
        <f>'[12]Summary Report - 12 Months Endi'!RRG2</f>
        <v>0</v>
      </c>
      <c r="RRI3">
        <f>'[12]Summary Report - 12 Months Endi'!RRH2</f>
        <v>0</v>
      </c>
      <c r="RRJ3">
        <f>'[12]Summary Report - 12 Months Endi'!RRI2</f>
        <v>0</v>
      </c>
      <c r="RRK3">
        <f>'[12]Summary Report - 12 Months Endi'!RRJ2</f>
        <v>0</v>
      </c>
      <c r="RRL3">
        <f>'[12]Summary Report - 12 Months Endi'!RRK2</f>
        <v>0</v>
      </c>
      <c r="RRM3">
        <f>'[12]Summary Report - 12 Months Endi'!RRL2</f>
        <v>0</v>
      </c>
      <c r="RRN3">
        <f>'[12]Summary Report - 12 Months Endi'!RRM2</f>
        <v>0</v>
      </c>
      <c r="RRO3">
        <f>'[12]Summary Report - 12 Months Endi'!RRN2</f>
        <v>0</v>
      </c>
      <c r="RRP3">
        <f>'[12]Summary Report - 12 Months Endi'!RRO2</f>
        <v>0</v>
      </c>
      <c r="RRQ3">
        <f>'[12]Summary Report - 12 Months Endi'!RRP2</f>
        <v>0</v>
      </c>
      <c r="RRR3">
        <f>'[12]Summary Report - 12 Months Endi'!RRQ2</f>
        <v>0</v>
      </c>
      <c r="RRS3">
        <f>'[12]Summary Report - 12 Months Endi'!RRR2</f>
        <v>0</v>
      </c>
      <c r="RRT3">
        <f>'[12]Summary Report - 12 Months Endi'!RRS2</f>
        <v>0</v>
      </c>
      <c r="RRU3">
        <f>'[12]Summary Report - 12 Months Endi'!RRT2</f>
        <v>0</v>
      </c>
      <c r="RRV3">
        <f>'[12]Summary Report - 12 Months Endi'!RRU2</f>
        <v>0</v>
      </c>
      <c r="RRW3">
        <f>'[12]Summary Report - 12 Months Endi'!RRV2</f>
        <v>0</v>
      </c>
      <c r="RRX3">
        <f>'[12]Summary Report - 12 Months Endi'!RRW2</f>
        <v>0</v>
      </c>
      <c r="RRY3">
        <f>'[12]Summary Report - 12 Months Endi'!RRX2</f>
        <v>0</v>
      </c>
      <c r="RRZ3">
        <f>'[12]Summary Report - 12 Months Endi'!RRY2</f>
        <v>0</v>
      </c>
      <c r="RSA3">
        <f>'[12]Summary Report - 12 Months Endi'!RRZ2</f>
        <v>0</v>
      </c>
      <c r="RSB3">
        <f>'[12]Summary Report - 12 Months Endi'!RSA2</f>
        <v>0</v>
      </c>
      <c r="RSC3">
        <f>'[12]Summary Report - 12 Months Endi'!RSB2</f>
        <v>0</v>
      </c>
      <c r="RSD3">
        <f>'[12]Summary Report - 12 Months Endi'!RSC2</f>
        <v>0</v>
      </c>
      <c r="RSE3">
        <f>'[12]Summary Report - 12 Months Endi'!RSD2</f>
        <v>0</v>
      </c>
      <c r="RSF3">
        <f>'[12]Summary Report - 12 Months Endi'!RSE2</f>
        <v>0</v>
      </c>
      <c r="RSG3">
        <f>'[12]Summary Report - 12 Months Endi'!RSF2</f>
        <v>0</v>
      </c>
      <c r="RSH3">
        <f>'[12]Summary Report - 12 Months Endi'!RSG2</f>
        <v>0</v>
      </c>
      <c r="RSI3">
        <f>'[12]Summary Report - 12 Months Endi'!RSH2</f>
        <v>0</v>
      </c>
      <c r="RSJ3">
        <f>'[12]Summary Report - 12 Months Endi'!RSI2</f>
        <v>0</v>
      </c>
      <c r="RSK3">
        <f>'[12]Summary Report - 12 Months Endi'!RSJ2</f>
        <v>0</v>
      </c>
      <c r="RSL3">
        <f>'[12]Summary Report - 12 Months Endi'!RSK2</f>
        <v>0</v>
      </c>
      <c r="RSM3">
        <f>'[12]Summary Report - 12 Months Endi'!RSL2</f>
        <v>0</v>
      </c>
      <c r="RSN3">
        <f>'[12]Summary Report - 12 Months Endi'!RSM2</f>
        <v>0</v>
      </c>
      <c r="RSO3">
        <f>'[12]Summary Report - 12 Months Endi'!RSN2</f>
        <v>0</v>
      </c>
      <c r="RSP3">
        <f>'[12]Summary Report - 12 Months Endi'!RSO2</f>
        <v>0</v>
      </c>
      <c r="RSQ3">
        <f>'[12]Summary Report - 12 Months Endi'!RSP2</f>
        <v>0</v>
      </c>
      <c r="RSR3">
        <f>'[12]Summary Report - 12 Months Endi'!RSQ2</f>
        <v>0</v>
      </c>
      <c r="RSS3">
        <f>'[12]Summary Report - 12 Months Endi'!RSR2</f>
        <v>0</v>
      </c>
      <c r="RST3">
        <f>'[12]Summary Report - 12 Months Endi'!RSS2</f>
        <v>0</v>
      </c>
      <c r="RSU3">
        <f>'[12]Summary Report - 12 Months Endi'!RST2</f>
        <v>0</v>
      </c>
      <c r="RSV3">
        <f>'[12]Summary Report - 12 Months Endi'!RSU2</f>
        <v>0</v>
      </c>
      <c r="RSW3">
        <f>'[12]Summary Report - 12 Months Endi'!RSV2</f>
        <v>0</v>
      </c>
      <c r="RSX3">
        <f>'[12]Summary Report - 12 Months Endi'!RSW2</f>
        <v>0</v>
      </c>
      <c r="RSY3">
        <f>'[12]Summary Report - 12 Months Endi'!RSX2</f>
        <v>0</v>
      </c>
      <c r="RSZ3">
        <f>'[12]Summary Report - 12 Months Endi'!RSY2</f>
        <v>0</v>
      </c>
      <c r="RTA3">
        <f>'[12]Summary Report - 12 Months Endi'!RSZ2</f>
        <v>0</v>
      </c>
      <c r="RTB3">
        <f>'[12]Summary Report - 12 Months Endi'!RTA2</f>
        <v>0</v>
      </c>
      <c r="RTC3">
        <f>'[12]Summary Report - 12 Months Endi'!RTB2</f>
        <v>0</v>
      </c>
      <c r="RTD3">
        <f>'[12]Summary Report - 12 Months Endi'!RTC2</f>
        <v>0</v>
      </c>
      <c r="RTE3">
        <f>'[12]Summary Report - 12 Months Endi'!RTD2</f>
        <v>0</v>
      </c>
      <c r="RTF3">
        <f>'[12]Summary Report - 12 Months Endi'!RTE2</f>
        <v>0</v>
      </c>
      <c r="RTG3">
        <f>'[12]Summary Report - 12 Months Endi'!RTF2</f>
        <v>0</v>
      </c>
      <c r="RTH3">
        <f>'[12]Summary Report - 12 Months Endi'!RTG2</f>
        <v>0</v>
      </c>
      <c r="RTI3">
        <f>'[12]Summary Report - 12 Months Endi'!RTH2</f>
        <v>0</v>
      </c>
      <c r="RTJ3">
        <f>'[12]Summary Report - 12 Months Endi'!RTI2</f>
        <v>0</v>
      </c>
      <c r="RTK3">
        <f>'[12]Summary Report - 12 Months Endi'!RTJ2</f>
        <v>0</v>
      </c>
      <c r="RTL3">
        <f>'[12]Summary Report - 12 Months Endi'!RTK2</f>
        <v>0</v>
      </c>
      <c r="RTM3">
        <f>'[12]Summary Report - 12 Months Endi'!RTL2</f>
        <v>0</v>
      </c>
      <c r="RTN3">
        <f>'[12]Summary Report - 12 Months Endi'!RTM2</f>
        <v>0</v>
      </c>
      <c r="RTO3">
        <f>'[12]Summary Report - 12 Months Endi'!RTN2</f>
        <v>0</v>
      </c>
      <c r="RTP3">
        <f>'[12]Summary Report - 12 Months Endi'!RTO2</f>
        <v>0</v>
      </c>
      <c r="RTQ3">
        <f>'[12]Summary Report - 12 Months Endi'!RTP2</f>
        <v>0</v>
      </c>
      <c r="RTR3">
        <f>'[12]Summary Report - 12 Months Endi'!RTQ2</f>
        <v>0</v>
      </c>
      <c r="RTS3">
        <f>'[12]Summary Report - 12 Months Endi'!RTR2</f>
        <v>0</v>
      </c>
      <c r="RTT3">
        <f>'[12]Summary Report - 12 Months Endi'!RTS2</f>
        <v>0</v>
      </c>
      <c r="RTU3">
        <f>'[12]Summary Report - 12 Months Endi'!RTT2</f>
        <v>0</v>
      </c>
      <c r="RTV3">
        <f>'[12]Summary Report - 12 Months Endi'!RTU2</f>
        <v>0</v>
      </c>
      <c r="RTW3">
        <f>'[12]Summary Report - 12 Months Endi'!RTV2</f>
        <v>0</v>
      </c>
      <c r="RTX3">
        <f>'[12]Summary Report - 12 Months Endi'!RTW2</f>
        <v>0</v>
      </c>
      <c r="RTY3">
        <f>'[12]Summary Report - 12 Months Endi'!RTX2</f>
        <v>0</v>
      </c>
      <c r="RTZ3">
        <f>'[12]Summary Report - 12 Months Endi'!RTY2</f>
        <v>0</v>
      </c>
      <c r="RUA3">
        <f>'[12]Summary Report - 12 Months Endi'!RTZ2</f>
        <v>0</v>
      </c>
      <c r="RUB3">
        <f>'[12]Summary Report - 12 Months Endi'!RUA2</f>
        <v>0</v>
      </c>
      <c r="RUC3">
        <f>'[12]Summary Report - 12 Months Endi'!RUB2</f>
        <v>0</v>
      </c>
      <c r="RUD3">
        <f>'[12]Summary Report - 12 Months Endi'!RUC2</f>
        <v>0</v>
      </c>
      <c r="RUE3">
        <f>'[12]Summary Report - 12 Months Endi'!RUD2</f>
        <v>0</v>
      </c>
      <c r="RUF3">
        <f>'[12]Summary Report - 12 Months Endi'!RUE2</f>
        <v>0</v>
      </c>
      <c r="RUG3">
        <f>'[12]Summary Report - 12 Months Endi'!RUF2</f>
        <v>0</v>
      </c>
      <c r="RUH3">
        <f>'[12]Summary Report - 12 Months Endi'!RUG2</f>
        <v>0</v>
      </c>
      <c r="RUI3">
        <f>'[12]Summary Report - 12 Months Endi'!RUH2</f>
        <v>0</v>
      </c>
      <c r="RUJ3">
        <f>'[12]Summary Report - 12 Months Endi'!RUI2</f>
        <v>0</v>
      </c>
      <c r="RUK3">
        <f>'[12]Summary Report - 12 Months Endi'!RUJ2</f>
        <v>0</v>
      </c>
      <c r="RUL3">
        <f>'[12]Summary Report - 12 Months Endi'!RUK2</f>
        <v>0</v>
      </c>
      <c r="RUM3">
        <f>'[12]Summary Report - 12 Months Endi'!RUL2</f>
        <v>0</v>
      </c>
      <c r="RUN3">
        <f>'[12]Summary Report - 12 Months Endi'!RUM2</f>
        <v>0</v>
      </c>
      <c r="RUO3">
        <f>'[12]Summary Report - 12 Months Endi'!RUN2</f>
        <v>0</v>
      </c>
      <c r="RUP3">
        <f>'[12]Summary Report - 12 Months Endi'!RUO2</f>
        <v>0</v>
      </c>
      <c r="RUQ3">
        <f>'[12]Summary Report - 12 Months Endi'!RUP2</f>
        <v>0</v>
      </c>
      <c r="RUR3">
        <f>'[12]Summary Report - 12 Months Endi'!RUQ2</f>
        <v>0</v>
      </c>
      <c r="RUS3">
        <f>'[12]Summary Report - 12 Months Endi'!RUR2</f>
        <v>0</v>
      </c>
      <c r="RUT3">
        <f>'[12]Summary Report - 12 Months Endi'!RUS2</f>
        <v>0</v>
      </c>
      <c r="RUU3">
        <f>'[12]Summary Report - 12 Months Endi'!RUT2</f>
        <v>0</v>
      </c>
      <c r="RUV3">
        <f>'[12]Summary Report - 12 Months Endi'!RUU2</f>
        <v>0</v>
      </c>
      <c r="RUW3">
        <f>'[12]Summary Report - 12 Months Endi'!RUV2</f>
        <v>0</v>
      </c>
      <c r="RUX3">
        <f>'[12]Summary Report - 12 Months Endi'!RUW2</f>
        <v>0</v>
      </c>
      <c r="RUY3">
        <f>'[12]Summary Report - 12 Months Endi'!RUX2</f>
        <v>0</v>
      </c>
      <c r="RUZ3">
        <f>'[12]Summary Report - 12 Months Endi'!RUY2</f>
        <v>0</v>
      </c>
      <c r="RVA3">
        <f>'[12]Summary Report - 12 Months Endi'!RUZ2</f>
        <v>0</v>
      </c>
      <c r="RVB3">
        <f>'[12]Summary Report - 12 Months Endi'!RVA2</f>
        <v>0</v>
      </c>
      <c r="RVC3">
        <f>'[12]Summary Report - 12 Months Endi'!RVB2</f>
        <v>0</v>
      </c>
      <c r="RVD3">
        <f>'[12]Summary Report - 12 Months Endi'!RVC2</f>
        <v>0</v>
      </c>
      <c r="RVE3">
        <f>'[12]Summary Report - 12 Months Endi'!RVD2</f>
        <v>0</v>
      </c>
      <c r="RVF3">
        <f>'[12]Summary Report - 12 Months Endi'!RVE2</f>
        <v>0</v>
      </c>
      <c r="RVG3">
        <f>'[12]Summary Report - 12 Months Endi'!RVF2</f>
        <v>0</v>
      </c>
      <c r="RVH3">
        <f>'[12]Summary Report - 12 Months Endi'!RVG2</f>
        <v>0</v>
      </c>
      <c r="RVI3">
        <f>'[12]Summary Report - 12 Months Endi'!RVH2</f>
        <v>0</v>
      </c>
      <c r="RVJ3">
        <f>'[12]Summary Report - 12 Months Endi'!RVI2</f>
        <v>0</v>
      </c>
      <c r="RVK3">
        <f>'[12]Summary Report - 12 Months Endi'!RVJ2</f>
        <v>0</v>
      </c>
      <c r="RVL3">
        <f>'[12]Summary Report - 12 Months Endi'!RVK2</f>
        <v>0</v>
      </c>
      <c r="RVM3">
        <f>'[12]Summary Report - 12 Months Endi'!RVL2</f>
        <v>0</v>
      </c>
      <c r="RVN3">
        <f>'[12]Summary Report - 12 Months Endi'!RVM2</f>
        <v>0</v>
      </c>
      <c r="RVO3">
        <f>'[12]Summary Report - 12 Months Endi'!RVN2</f>
        <v>0</v>
      </c>
      <c r="RVP3">
        <f>'[12]Summary Report - 12 Months Endi'!RVO2</f>
        <v>0</v>
      </c>
      <c r="RVQ3">
        <f>'[12]Summary Report - 12 Months Endi'!RVP2</f>
        <v>0</v>
      </c>
      <c r="RVR3">
        <f>'[12]Summary Report - 12 Months Endi'!RVQ2</f>
        <v>0</v>
      </c>
      <c r="RVS3">
        <f>'[12]Summary Report - 12 Months Endi'!RVR2</f>
        <v>0</v>
      </c>
      <c r="RVT3">
        <f>'[12]Summary Report - 12 Months Endi'!RVS2</f>
        <v>0</v>
      </c>
      <c r="RVU3">
        <f>'[12]Summary Report - 12 Months Endi'!RVT2</f>
        <v>0</v>
      </c>
      <c r="RVV3">
        <f>'[12]Summary Report - 12 Months Endi'!RVU2</f>
        <v>0</v>
      </c>
      <c r="RVW3">
        <f>'[12]Summary Report - 12 Months Endi'!RVV2</f>
        <v>0</v>
      </c>
      <c r="RVX3">
        <f>'[12]Summary Report - 12 Months Endi'!RVW2</f>
        <v>0</v>
      </c>
      <c r="RVY3">
        <f>'[12]Summary Report - 12 Months Endi'!RVX2</f>
        <v>0</v>
      </c>
      <c r="RVZ3">
        <f>'[12]Summary Report - 12 Months Endi'!RVY2</f>
        <v>0</v>
      </c>
      <c r="RWA3">
        <f>'[12]Summary Report - 12 Months Endi'!RVZ2</f>
        <v>0</v>
      </c>
      <c r="RWB3">
        <f>'[12]Summary Report - 12 Months Endi'!RWA2</f>
        <v>0</v>
      </c>
      <c r="RWC3">
        <f>'[12]Summary Report - 12 Months Endi'!RWB2</f>
        <v>0</v>
      </c>
      <c r="RWD3">
        <f>'[12]Summary Report - 12 Months Endi'!RWC2</f>
        <v>0</v>
      </c>
      <c r="RWE3">
        <f>'[12]Summary Report - 12 Months Endi'!RWD2</f>
        <v>0</v>
      </c>
      <c r="RWF3">
        <f>'[12]Summary Report - 12 Months Endi'!RWE2</f>
        <v>0</v>
      </c>
      <c r="RWG3">
        <f>'[12]Summary Report - 12 Months Endi'!RWF2</f>
        <v>0</v>
      </c>
      <c r="RWH3">
        <f>'[12]Summary Report - 12 Months Endi'!RWG2</f>
        <v>0</v>
      </c>
      <c r="RWI3">
        <f>'[12]Summary Report - 12 Months Endi'!RWH2</f>
        <v>0</v>
      </c>
      <c r="RWJ3">
        <f>'[12]Summary Report - 12 Months Endi'!RWI2</f>
        <v>0</v>
      </c>
      <c r="RWK3">
        <f>'[12]Summary Report - 12 Months Endi'!RWJ2</f>
        <v>0</v>
      </c>
      <c r="RWL3">
        <f>'[12]Summary Report - 12 Months Endi'!RWK2</f>
        <v>0</v>
      </c>
      <c r="RWM3">
        <f>'[12]Summary Report - 12 Months Endi'!RWL2</f>
        <v>0</v>
      </c>
      <c r="RWN3">
        <f>'[12]Summary Report - 12 Months Endi'!RWM2</f>
        <v>0</v>
      </c>
      <c r="RWO3">
        <f>'[12]Summary Report - 12 Months Endi'!RWN2</f>
        <v>0</v>
      </c>
      <c r="RWP3">
        <f>'[12]Summary Report - 12 Months Endi'!RWO2</f>
        <v>0</v>
      </c>
      <c r="RWQ3">
        <f>'[12]Summary Report - 12 Months Endi'!RWP2</f>
        <v>0</v>
      </c>
      <c r="RWR3">
        <f>'[12]Summary Report - 12 Months Endi'!RWQ2</f>
        <v>0</v>
      </c>
      <c r="RWS3">
        <f>'[12]Summary Report - 12 Months Endi'!RWR2</f>
        <v>0</v>
      </c>
      <c r="RWT3">
        <f>'[12]Summary Report - 12 Months Endi'!RWS2</f>
        <v>0</v>
      </c>
      <c r="RWU3">
        <f>'[12]Summary Report - 12 Months Endi'!RWT2</f>
        <v>0</v>
      </c>
      <c r="RWV3">
        <f>'[12]Summary Report - 12 Months Endi'!RWU2</f>
        <v>0</v>
      </c>
      <c r="RWW3">
        <f>'[12]Summary Report - 12 Months Endi'!RWV2</f>
        <v>0</v>
      </c>
      <c r="RWX3">
        <f>'[12]Summary Report - 12 Months Endi'!RWW2</f>
        <v>0</v>
      </c>
      <c r="RWY3">
        <f>'[12]Summary Report - 12 Months Endi'!RWX2</f>
        <v>0</v>
      </c>
      <c r="RWZ3">
        <f>'[12]Summary Report - 12 Months Endi'!RWY2</f>
        <v>0</v>
      </c>
      <c r="RXA3">
        <f>'[12]Summary Report - 12 Months Endi'!RWZ2</f>
        <v>0</v>
      </c>
      <c r="RXB3">
        <f>'[12]Summary Report - 12 Months Endi'!RXA2</f>
        <v>0</v>
      </c>
      <c r="RXC3">
        <f>'[12]Summary Report - 12 Months Endi'!RXB2</f>
        <v>0</v>
      </c>
      <c r="RXD3">
        <f>'[12]Summary Report - 12 Months Endi'!RXC2</f>
        <v>0</v>
      </c>
      <c r="RXE3">
        <f>'[12]Summary Report - 12 Months Endi'!RXD2</f>
        <v>0</v>
      </c>
      <c r="RXF3">
        <f>'[12]Summary Report - 12 Months Endi'!RXE2</f>
        <v>0</v>
      </c>
      <c r="RXG3">
        <f>'[12]Summary Report - 12 Months Endi'!RXF2</f>
        <v>0</v>
      </c>
      <c r="RXH3">
        <f>'[12]Summary Report - 12 Months Endi'!RXG2</f>
        <v>0</v>
      </c>
      <c r="RXI3">
        <f>'[12]Summary Report - 12 Months Endi'!RXH2</f>
        <v>0</v>
      </c>
      <c r="RXJ3">
        <f>'[12]Summary Report - 12 Months Endi'!RXI2</f>
        <v>0</v>
      </c>
      <c r="RXK3">
        <f>'[12]Summary Report - 12 Months Endi'!RXJ2</f>
        <v>0</v>
      </c>
      <c r="RXL3">
        <f>'[12]Summary Report - 12 Months Endi'!RXK2</f>
        <v>0</v>
      </c>
      <c r="RXM3">
        <f>'[12]Summary Report - 12 Months Endi'!RXL2</f>
        <v>0</v>
      </c>
      <c r="RXN3">
        <f>'[12]Summary Report - 12 Months Endi'!RXM2</f>
        <v>0</v>
      </c>
      <c r="RXO3">
        <f>'[12]Summary Report - 12 Months Endi'!RXN2</f>
        <v>0</v>
      </c>
      <c r="RXP3">
        <f>'[12]Summary Report - 12 Months Endi'!RXO2</f>
        <v>0</v>
      </c>
      <c r="RXQ3">
        <f>'[12]Summary Report - 12 Months Endi'!RXP2</f>
        <v>0</v>
      </c>
      <c r="RXR3">
        <f>'[12]Summary Report - 12 Months Endi'!RXQ2</f>
        <v>0</v>
      </c>
      <c r="RXS3">
        <f>'[12]Summary Report - 12 Months Endi'!RXR2</f>
        <v>0</v>
      </c>
      <c r="RXT3">
        <f>'[12]Summary Report - 12 Months Endi'!RXS2</f>
        <v>0</v>
      </c>
      <c r="RXU3">
        <f>'[12]Summary Report - 12 Months Endi'!RXT2</f>
        <v>0</v>
      </c>
      <c r="RXV3">
        <f>'[12]Summary Report - 12 Months Endi'!RXU2</f>
        <v>0</v>
      </c>
      <c r="RXW3">
        <f>'[12]Summary Report - 12 Months Endi'!RXV2</f>
        <v>0</v>
      </c>
      <c r="RXX3">
        <f>'[12]Summary Report - 12 Months Endi'!RXW2</f>
        <v>0</v>
      </c>
      <c r="RXY3">
        <f>'[12]Summary Report - 12 Months Endi'!RXX2</f>
        <v>0</v>
      </c>
      <c r="RXZ3">
        <f>'[12]Summary Report - 12 Months Endi'!RXY2</f>
        <v>0</v>
      </c>
      <c r="RYA3">
        <f>'[12]Summary Report - 12 Months Endi'!RXZ2</f>
        <v>0</v>
      </c>
      <c r="RYB3">
        <f>'[12]Summary Report - 12 Months Endi'!RYA2</f>
        <v>0</v>
      </c>
      <c r="RYC3">
        <f>'[12]Summary Report - 12 Months Endi'!RYB2</f>
        <v>0</v>
      </c>
      <c r="RYD3">
        <f>'[12]Summary Report - 12 Months Endi'!RYC2</f>
        <v>0</v>
      </c>
      <c r="RYE3">
        <f>'[12]Summary Report - 12 Months Endi'!RYD2</f>
        <v>0</v>
      </c>
      <c r="RYF3">
        <f>'[12]Summary Report - 12 Months Endi'!RYE2</f>
        <v>0</v>
      </c>
      <c r="RYG3">
        <f>'[12]Summary Report - 12 Months Endi'!RYF2</f>
        <v>0</v>
      </c>
      <c r="RYH3">
        <f>'[12]Summary Report - 12 Months Endi'!RYG2</f>
        <v>0</v>
      </c>
      <c r="RYI3">
        <f>'[12]Summary Report - 12 Months Endi'!RYH2</f>
        <v>0</v>
      </c>
      <c r="RYJ3">
        <f>'[12]Summary Report - 12 Months Endi'!RYI2</f>
        <v>0</v>
      </c>
      <c r="RYK3">
        <f>'[12]Summary Report - 12 Months Endi'!RYJ2</f>
        <v>0</v>
      </c>
      <c r="RYL3">
        <f>'[12]Summary Report - 12 Months Endi'!RYK2</f>
        <v>0</v>
      </c>
      <c r="RYM3">
        <f>'[12]Summary Report - 12 Months Endi'!RYL2</f>
        <v>0</v>
      </c>
      <c r="RYN3">
        <f>'[12]Summary Report - 12 Months Endi'!RYM2</f>
        <v>0</v>
      </c>
      <c r="RYO3">
        <f>'[12]Summary Report - 12 Months Endi'!RYN2</f>
        <v>0</v>
      </c>
      <c r="RYP3">
        <f>'[12]Summary Report - 12 Months Endi'!RYO2</f>
        <v>0</v>
      </c>
      <c r="RYQ3">
        <f>'[12]Summary Report - 12 Months Endi'!RYP2</f>
        <v>0</v>
      </c>
      <c r="RYR3">
        <f>'[12]Summary Report - 12 Months Endi'!RYQ2</f>
        <v>0</v>
      </c>
      <c r="RYS3">
        <f>'[12]Summary Report - 12 Months Endi'!RYR2</f>
        <v>0</v>
      </c>
      <c r="RYT3">
        <f>'[12]Summary Report - 12 Months Endi'!RYS2</f>
        <v>0</v>
      </c>
      <c r="RYU3">
        <f>'[12]Summary Report - 12 Months Endi'!RYT2</f>
        <v>0</v>
      </c>
      <c r="RYV3">
        <f>'[12]Summary Report - 12 Months Endi'!RYU2</f>
        <v>0</v>
      </c>
      <c r="RYW3">
        <f>'[12]Summary Report - 12 Months Endi'!RYV2</f>
        <v>0</v>
      </c>
      <c r="RYX3">
        <f>'[12]Summary Report - 12 Months Endi'!RYW2</f>
        <v>0</v>
      </c>
      <c r="RYY3">
        <f>'[12]Summary Report - 12 Months Endi'!RYX2</f>
        <v>0</v>
      </c>
      <c r="RYZ3">
        <f>'[12]Summary Report - 12 Months Endi'!RYY2</f>
        <v>0</v>
      </c>
      <c r="RZA3">
        <f>'[12]Summary Report - 12 Months Endi'!RYZ2</f>
        <v>0</v>
      </c>
      <c r="RZB3">
        <f>'[12]Summary Report - 12 Months Endi'!RZA2</f>
        <v>0</v>
      </c>
      <c r="RZC3">
        <f>'[12]Summary Report - 12 Months Endi'!RZB2</f>
        <v>0</v>
      </c>
      <c r="RZD3">
        <f>'[12]Summary Report - 12 Months Endi'!RZC2</f>
        <v>0</v>
      </c>
      <c r="RZE3">
        <f>'[12]Summary Report - 12 Months Endi'!RZD2</f>
        <v>0</v>
      </c>
      <c r="RZF3">
        <f>'[12]Summary Report - 12 Months Endi'!RZE2</f>
        <v>0</v>
      </c>
      <c r="RZG3">
        <f>'[12]Summary Report - 12 Months Endi'!RZF2</f>
        <v>0</v>
      </c>
      <c r="RZH3">
        <f>'[12]Summary Report - 12 Months Endi'!RZG2</f>
        <v>0</v>
      </c>
      <c r="RZI3">
        <f>'[12]Summary Report - 12 Months Endi'!RZH2</f>
        <v>0</v>
      </c>
      <c r="RZJ3">
        <f>'[12]Summary Report - 12 Months Endi'!RZI2</f>
        <v>0</v>
      </c>
      <c r="RZK3">
        <f>'[12]Summary Report - 12 Months Endi'!RZJ2</f>
        <v>0</v>
      </c>
      <c r="RZL3">
        <f>'[12]Summary Report - 12 Months Endi'!RZK2</f>
        <v>0</v>
      </c>
      <c r="RZM3">
        <f>'[12]Summary Report - 12 Months Endi'!RZL2</f>
        <v>0</v>
      </c>
      <c r="RZN3">
        <f>'[12]Summary Report - 12 Months Endi'!RZM2</f>
        <v>0</v>
      </c>
      <c r="RZO3">
        <f>'[12]Summary Report - 12 Months Endi'!RZN2</f>
        <v>0</v>
      </c>
      <c r="RZP3">
        <f>'[12]Summary Report - 12 Months Endi'!RZO2</f>
        <v>0</v>
      </c>
      <c r="RZQ3">
        <f>'[12]Summary Report - 12 Months Endi'!RZP2</f>
        <v>0</v>
      </c>
      <c r="RZR3">
        <f>'[12]Summary Report - 12 Months Endi'!RZQ2</f>
        <v>0</v>
      </c>
      <c r="RZS3">
        <f>'[12]Summary Report - 12 Months Endi'!RZR2</f>
        <v>0</v>
      </c>
      <c r="RZT3">
        <f>'[12]Summary Report - 12 Months Endi'!RZS2</f>
        <v>0</v>
      </c>
      <c r="RZU3">
        <f>'[12]Summary Report - 12 Months Endi'!RZT2</f>
        <v>0</v>
      </c>
      <c r="RZV3">
        <f>'[12]Summary Report - 12 Months Endi'!RZU2</f>
        <v>0</v>
      </c>
      <c r="RZW3">
        <f>'[12]Summary Report - 12 Months Endi'!RZV2</f>
        <v>0</v>
      </c>
      <c r="RZX3">
        <f>'[12]Summary Report - 12 Months Endi'!RZW2</f>
        <v>0</v>
      </c>
      <c r="RZY3">
        <f>'[12]Summary Report - 12 Months Endi'!RZX2</f>
        <v>0</v>
      </c>
      <c r="RZZ3">
        <f>'[12]Summary Report - 12 Months Endi'!RZY2</f>
        <v>0</v>
      </c>
      <c r="SAA3">
        <f>'[12]Summary Report - 12 Months Endi'!RZZ2</f>
        <v>0</v>
      </c>
      <c r="SAB3">
        <f>'[12]Summary Report - 12 Months Endi'!SAA2</f>
        <v>0</v>
      </c>
      <c r="SAC3">
        <f>'[12]Summary Report - 12 Months Endi'!SAB2</f>
        <v>0</v>
      </c>
      <c r="SAD3">
        <f>'[12]Summary Report - 12 Months Endi'!SAC2</f>
        <v>0</v>
      </c>
      <c r="SAE3">
        <f>'[12]Summary Report - 12 Months Endi'!SAD2</f>
        <v>0</v>
      </c>
      <c r="SAF3">
        <f>'[12]Summary Report - 12 Months Endi'!SAE2</f>
        <v>0</v>
      </c>
      <c r="SAG3">
        <f>'[12]Summary Report - 12 Months Endi'!SAF2</f>
        <v>0</v>
      </c>
      <c r="SAH3">
        <f>'[12]Summary Report - 12 Months Endi'!SAG2</f>
        <v>0</v>
      </c>
      <c r="SAI3">
        <f>'[12]Summary Report - 12 Months Endi'!SAH2</f>
        <v>0</v>
      </c>
      <c r="SAJ3">
        <f>'[12]Summary Report - 12 Months Endi'!SAI2</f>
        <v>0</v>
      </c>
      <c r="SAK3">
        <f>'[12]Summary Report - 12 Months Endi'!SAJ2</f>
        <v>0</v>
      </c>
      <c r="SAL3">
        <f>'[12]Summary Report - 12 Months Endi'!SAK2</f>
        <v>0</v>
      </c>
      <c r="SAM3">
        <f>'[12]Summary Report - 12 Months Endi'!SAL2</f>
        <v>0</v>
      </c>
      <c r="SAN3">
        <f>'[12]Summary Report - 12 Months Endi'!SAM2</f>
        <v>0</v>
      </c>
      <c r="SAO3">
        <f>'[12]Summary Report - 12 Months Endi'!SAN2</f>
        <v>0</v>
      </c>
      <c r="SAP3">
        <f>'[12]Summary Report - 12 Months Endi'!SAO2</f>
        <v>0</v>
      </c>
      <c r="SAQ3">
        <f>'[12]Summary Report - 12 Months Endi'!SAP2</f>
        <v>0</v>
      </c>
      <c r="SAR3">
        <f>'[12]Summary Report - 12 Months Endi'!SAQ2</f>
        <v>0</v>
      </c>
      <c r="SAS3">
        <f>'[12]Summary Report - 12 Months Endi'!SAR2</f>
        <v>0</v>
      </c>
      <c r="SAT3">
        <f>'[12]Summary Report - 12 Months Endi'!SAS2</f>
        <v>0</v>
      </c>
      <c r="SAU3">
        <f>'[12]Summary Report - 12 Months Endi'!SAT2</f>
        <v>0</v>
      </c>
      <c r="SAV3">
        <f>'[12]Summary Report - 12 Months Endi'!SAU2</f>
        <v>0</v>
      </c>
      <c r="SAW3">
        <f>'[12]Summary Report - 12 Months Endi'!SAV2</f>
        <v>0</v>
      </c>
      <c r="SAX3">
        <f>'[12]Summary Report - 12 Months Endi'!SAW2</f>
        <v>0</v>
      </c>
      <c r="SAY3">
        <f>'[12]Summary Report - 12 Months Endi'!SAX2</f>
        <v>0</v>
      </c>
      <c r="SAZ3">
        <f>'[12]Summary Report - 12 Months Endi'!SAY2</f>
        <v>0</v>
      </c>
      <c r="SBA3">
        <f>'[12]Summary Report - 12 Months Endi'!SAZ2</f>
        <v>0</v>
      </c>
      <c r="SBB3">
        <f>'[12]Summary Report - 12 Months Endi'!SBA2</f>
        <v>0</v>
      </c>
      <c r="SBC3">
        <f>'[12]Summary Report - 12 Months Endi'!SBB2</f>
        <v>0</v>
      </c>
      <c r="SBD3">
        <f>'[12]Summary Report - 12 Months Endi'!SBC2</f>
        <v>0</v>
      </c>
      <c r="SBE3">
        <f>'[12]Summary Report - 12 Months Endi'!SBD2</f>
        <v>0</v>
      </c>
      <c r="SBF3">
        <f>'[12]Summary Report - 12 Months Endi'!SBE2</f>
        <v>0</v>
      </c>
      <c r="SBG3">
        <f>'[12]Summary Report - 12 Months Endi'!SBF2</f>
        <v>0</v>
      </c>
      <c r="SBH3">
        <f>'[12]Summary Report - 12 Months Endi'!SBG2</f>
        <v>0</v>
      </c>
      <c r="SBI3">
        <f>'[12]Summary Report - 12 Months Endi'!SBH2</f>
        <v>0</v>
      </c>
      <c r="SBJ3">
        <f>'[12]Summary Report - 12 Months Endi'!SBI2</f>
        <v>0</v>
      </c>
      <c r="SBK3">
        <f>'[12]Summary Report - 12 Months Endi'!SBJ2</f>
        <v>0</v>
      </c>
      <c r="SBL3">
        <f>'[12]Summary Report - 12 Months Endi'!SBK2</f>
        <v>0</v>
      </c>
      <c r="SBM3">
        <f>'[12]Summary Report - 12 Months Endi'!SBL2</f>
        <v>0</v>
      </c>
      <c r="SBN3">
        <f>'[12]Summary Report - 12 Months Endi'!SBM2</f>
        <v>0</v>
      </c>
      <c r="SBO3">
        <f>'[12]Summary Report - 12 Months Endi'!SBN2</f>
        <v>0</v>
      </c>
      <c r="SBP3">
        <f>'[12]Summary Report - 12 Months Endi'!SBO2</f>
        <v>0</v>
      </c>
      <c r="SBQ3">
        <f>'[12]Summary Report - 12 Months Endi'!SBP2</f>
        <v>0</v>
      </c>
      <c r="SBR3">
        <f>'[12]Summary Report - 12 Months Endi'!SBQ2</f>
        <v>0</v>
      </c>
      <c r="SBS3">
        <f>'[12]Summary Report - 12 Months Endi'!SBR2</f>
        <v>0</v>
      </c>
      <c r="SBT3">
        <f>'[12]Summary Report - 12 Months Endi'!SBS2</f>
        <v>0</v>
      </c>
      <c r="SBU3">
        <f>'[12]Summary Report - 12 Months Endi'!SBT2</f>
        <v>0</v>
      </c>
      <c r="SBV3">
        <f>'[12]Summary Report - 12 Months Endi'!SBU2</f>
        <v>0</v>
      </c>
      <c r="SBW3">
        <f>'[12]Summary Report - 12 Months Endi'!SBV2</f>
        <v>0</v>
      </c>
      <c r="SBX3">
        <f>'[12]Summary Report - 12 Months Endi'!SBW2</f>
        <v>0</v>
      </c>
      <c r="SBY3">
        <f>'[12]Summary Report - 12 Months Endi'!SBX2</f>
        <v>0</v>
      </c>
      <c r="SBZ3">
        <f>'[12]Summary Report - 12 Months Endi'!SBY2</f>
        <v>0</v>
      </c>
      <c r="SCA3">
        <f>'[12]Summary Report - 12 Months Endi'!SBZ2</f>
        <v>0</v>
      </c>
      <c r="SCB3">
        <f>'[12]Summary Report - 12 Months Endi'!SCA2</f>
        <v>0</v>
      </c>
      <c r="SCC3">
        <f>'[12]Summary Report - 12 Months Endi'!SCB2</f>
        <v>0</v>
      </c>
      <c r="SCD3">
        <f>'[12]Summary Report - 12 Months Endi'!SCC2</f>
        <v>0</v>
      </c>
      <c r="SCE3">
        <f>'[12]Summary Report - 12 Months Endi'!SCD2</f>
        <v>0</v>
      </c>
      <c r="SCF3">
        <f>'[12]Summary Report - 12 Months Endi'!SCE2</f>
        <v>0</v>
      </c>
      <c r="SCG3">
        <f>'[12]Summary Report - 12 Months Endi'!SCF2</f>
        <v>0</v>
      </c>
      <c r="SCH3">
        <f>'[12]Summary Report - 12 Months Endi'!SCG2</f>
        <v>0</v>
      </c>
      <c r="SCI3">
        <f>'[12]Summary Report - 12 Months Endi'!SCH2</f>
        <v>0</v>
      </c>
      <c r="SCJ3">
        <f>'[12]Summary Report - 12 Months Endi'!SCI2</f>
        <v>0</v>
      </c>
      <c r="SCK3">
        <f>'[12]Summary Report - 12 Months Endi'!SCJ2</f>
        <v>0</v>
      </c>
      <c r="SCL3">
        <f>'[12]Summary Report - 12 Months Endi'!SCK2</f>
        <v>0</v>
      </c>
      <c r="SCM3">
        <f>'[12]Summary Report - 12 Months Endi'!SCL2</f>
        <v>0</v>
      </c>
      <c r="SCN3">
        <f>'[12]Summary Report - 12 Months Endi'!SCM2</f>
        <v>0</v>
      </c>
      <c r="SCO3">
        <f>'[12]Summary Report - 12 Months Endi'!SCN2</f>
        <v>0</v>
      </c>
      <c r="SCP3">
        <f>'[12]Summary Report - 12 Months Endi'!SCO2</f>
        <v>0</v>
      </c>
      <c r="SCQ3">
        <f>'[12]Summary Report - 12 Months Endi'!SCP2</f>
        <v>0</v>
      </c>
      <c r="SCR3">
        <f>'[12]Summary Report - 12 Months Endi'!SCQ2</f>
        <v>0</v>
      </c>
      <c r="SCS3">
        <f>'[12]Summary Report - 12 Months Endi'!SCR2</f>
        <v>0</v>
      </c>
      <c r="SCT3">
        <f>'[12]Summary Report - 12 Months Endi'!SCS2</f>
        <v>0</v>
      </c>
      <c r="SCU3">
        <f>'[12]Summary Report - 12 Months Endi'!SCT2</f>
        <v>0</v>
      </c>
      <c r="SCV3">
        <f>'[12]Summary Report - 12 Months Endi'!SCU2</f>
        <v>0</v>
      </c>
      <c r="SCW3">
        <f>'[12]Summary Report - 12 Months Endi'!SCV2</f>
        <v>0</v>
      </c>
      <c r="SCX3">
        <f>'[12]Summary Report - 12 Months Endi'!SCW2</f>
        <v>0</v>
      </c>
      <c r="SCY3">
        <f>'[12]Summary Report - 12 Months Endi'!SCX2</f>
        <v>0</v>
      </c>
      <c r="SCZ3">
        <f>'[12]Summary Report - 12 Months Endi'!SCY2</f>
        <v>0</v>
      </c>
      <c r="SDA3">
        <f>'[12]Summary Report - 12 Months Endi'!SCZ2</f>
        <v>0</v>
      </c>
      <c r="SDB3">
        <f>'[12]Summary Report - 12 Months Endi'!SDA2</f>
        <v>0</v>
      </c>
      <c r="SDC3">
        <f>'[12]Summary Report - 12 Months Endi'!SDB2</f>
        <v>0</v>
      </c>
      <c r="SDD3">
        <f>'[12]Summary Report - 12 Months Endi'!SDC2</f>
        <v>0</v>
      </c>
      <c r="SDE3">
        <f>'[12]Summary Report - 12 Months Endi'!SDD2</f>
        <v>0</v>
      </c>
      <c r="SDF3">
        <f>'[12]Summary Report - 12 Months Endi'!SDE2</f>
        <v>0</v>
      </c>
      <c r="SDG3">
        <f>'[12]Summary Report - 12 Months Endi'!SDF2</f>
        <v>0</v>
      </c>
      <c r="SDH3">
        <f>'[12]Summary Report - 12 Months Endi'!SDG2</f>
        <v>0</v>
      </c>
      <c r="SDI3">
        <f>'[12]Summary Report - 12 Months Endi'!SDH2</f>
        <v>0</v>
      </c>
      <c r="SDJ3">
        <f>'[12]Summary Report - 12 Months Endi'!SDI2</f>
        <v>0</v>
      </c>
      <c r="SDK3">
        <f>'[12]Summary Report - 12 Months Endi'!SDJ2</f>
        <v>0</v>
      </c>
      <c r="SDL3">
        <f>'[12]Summary Report - 12 Months Endi'!SDK2</f>
        <v>0</v>
      </c>
      <c r="SDM3">
        <f>'[12]Summary Report - 12 Months Endi'!SDL2</f>
        <v>0</v>
      </c>
      <c r="SDN3">
        <f>'[12]Summary Report - 12 Months Endi'!SDM2</f>
        <v>0</v>
      </c>
      <c r="SDO3">
        <f>'[12]Summary Report - 12 Months Endi'!SDN2</f>
        <v>0</v>
      </c>
      <c r="SDP3">
        <f>'[12]Summary Report - 12 Months Endi'!SDO2</f>
        <v>0</v>
      </c>
      <c r="SDQ3">
        <f>'[12]Summary Report - 12 Months Endi'!SDP2</f>
        <v>0</v>
      </c>
      <c r="SDR3">
        <f>'[12]Summary Report - 12 Months Endi'!SDQ2</f>
        <v>0</v>
      </c>
      <c r="SDS3">
        <f>'[12]Summary Report - 12 Months Endi'!SDR2</f>
        <v>0</v>
      </c>
      <c r="SDT3">
        <f>'[12]Summary Report - 12 Months Endi'!SDS2</f>
        <v>0</v>
      </c>
      <c r="SDU3">
        <f>'[12]Summary Report - 12 Months Endi'!SDT2</f>
        <v>0</v>
      </c>
      <c r="SDV3">
        <f>'[12]Summary Report - 12 Months Endi'!SDU2</f>
        <v>0</v>
      </c>
      <c r="SDW3">
        <f>'[12]Summary Report - 12 Months Endi'!SDV2</f>
        <v>0</v>
      </c>
      <c r="SDX3">
        <f>'[12]Summary Report - 12 Months Endi'!SDW2</f>
        <v>0</v>
      </c>
      <c r="SDY3">
        <f>'[12]Summary Report - 12 Months Endi'!SDX2</f>
        <v>0</v>
      </c>
      <c r="SDZ3">
        <f>'[12]Summary Report - 12 Months Endi'!SDY2</f>
        <v>0</v>
      </c>
      <c r="SEA3">
        <f>'[12]Summary Report - 12 Months Endi'!SDZ2</f>
        <v>0</v>
      </c>
      <c r="SEB3">
        <f>'[12]Summary Report - 12 Months Endi'!SEA2</f>
        <v>0</v>
      </c>
      <c r="SEC3">
        <f>'[12]Summary Report - 12 Months Endi'!SEB2</f>
        <v>0</v>
      </c>
      <c r="SED3">
        <f>'[12]Summary Report - 12 Months Endi'!SEC2</f>
        <v>0</v>
      </c>
      <c r="SEE3">
        <f>'[12]Summary Report - 12 Months Endi'!SED2</f>
        <v>0</v>
      </c>
      <c r="SEF3">
        <f>'[12]Summary Report - 12 Months Endi'!SEE2</f>
        <v>0</v>
      </c>
      <c r="SEG3">
        <f>'[12]Summary Report - 12 Months Endi'!SEF2</f>
        <v>0</v>
      </c>
      <c r="SEH3">
        <f>'[12]Summary Report - 12 Months Endi'!SEG2</f>
        <v>0</v>
      </c>
      <c r="SEI3">
        <f>'[12]Summary Report - 12 Months Endi'!SEH2</f>
        <v>0</v>
      </c>
      <c r="SEJ3">
        <f>'[12]Summary Report - 12 Months Endi'!SEI2</f>
        <v>0</v>
      </c>
      <c r="SEK3">
        <f>'[12]Summary Report - 12 Months Endi'!SEJ2</f>
        <v>0</v>
      </c>
      <c r="SEL3">
        <f>'[12]Summary Report - 12 Months Endi'!SEK2</f>
        <v>0</v>
      </c>
      <c r="SEM3">
        <f>'[12]Summary Report - 12 Months Endi'!SEL2</f>
        <v>0</v>
      </c>
      <c r="SEN3">
        <f>'[12]Summary Report - 12 Months Endi'!SEM2</f>
        <v>0</v>
      </c>
      <c r="SEO3">
        <f>'[12]Summary Report - 12 Months Endi'!SEN2</f>
        <v>0</v>
      </c>
      <c r="SEP3">
        <f>'[12]Summary Report - 12 Months Endi'!SEO2</f>
        <v>0</v>
      </c>
      <c r="SEQ3">
        <f>'[12]Summary Report - 12 Months Endi'!SEP2</f>
        <v>0</v>
      </c>
      <c r="SER3">
        <f>'[12]Summary Report - 12 Months Endi'!SEQ2</f>
        <v>0</v>
      </c>
      <c r="SES3">
        <f>'[12]Summary Report - 12 Months Endi'!SER2</f>
        <v>0</v>
      </c>
      <c r="SET3">
        <f>'[12]Summary Report - 12 Months Endi'!SES2</f>
        <v>0</v>
      </c>
      <c r="SEU3">
        <f>'[12]Summary Report - 12 Months Endi'!SET2</f>
        <v>0</v>
      </c>
      <c r="SEV3">
        <f>'[12]Summary Report - 12 Months Endi'!SEU2</f>
        <v>0</v>
      </c>
      <c r="SEW3">
        <f>'[12]Summary Report - 12 Months Endi'!SEV2</f>
        <v>0</v>
      </c>
      <c r="SEX3">
        <f>'[12]Summary Report - 12 Months Endi'!SEW2</f>
        <v>0</v>
      </c>
      <c r="SEY3">
        <f>'[12]Summary Report - 12 Months Endi'!SEX2</f>
        <v>0</v>
      </c>
      <c r="SEZ3">
        <f>'[12]Summary Report - 12 Months Endi'!SEY2</f>
        <v>0</v>
      </c>
      <c r="SFA3">
        <f>'[12]Summary Report - 12 Months Endi'!SEZ2</f>
        <v>0</v>
      </c>
      <c r="SFB3">
        <f>'[12]Summary Report - 12 Months Endi'!SFA2</f>
        <v>0</v>
      </c>
      <c r="SFC3">
        <f>'[12]Summary Report - 12 Months Endi'!SFB2</f>
        <v>0</v>
      </c>
      <c r="SFD3">
        <f>'[12]Summary Report - 12 Months Endi'!SFC2</f>
        <v>0</v>
      </c>
      <c r="SFE3">
        <f>'[12]Summary Report - 12 Months Endi'!SFD2</f>
        <v>0</v>
      </c>
      <c r="SFF3">
        <f>'[12]Summary Report - 12 Months Endi'!SFE2</f>
        <v>0</v>
      </c>
      <c r="SFG3">
        <f>'[12]Summary Report - 12 Months Endi'!SFF2</f>
        <v>0</v>
      </c>
      <c r="SFH3">
        <f>'[12]Summary Report - 12 Months Endi'!SFG2</f>
        <v>0</v>
      </c>
      <c r="SFI3">
        <f>'[12]Summary Report - 12 Months Endi'!SFH2</f>
        <v>0</v>
      </c>
      <c r="SFJ3">
        <f>'[12]Summary Report - 12 Months Endi'!SFI2</f>
        <v>0</v>
      </c>
      <c r="SFK3">
        <f>'[12]Summary Report - 12 Months Endi'!SFJ2</f>
        <v>0</v>
      </c>
      <c r="SFL3">
        <f>'[12]Summary Report - 12 Months Endi'!SFK2</f>
        <v>0</v>
      </c>
      <c r="SFM3">
        <f>'[12]Summary Report - 12 Months Endi'!SFL2</f>
        <v>0</v>
      </c>
      <c r="SFN3">
        <f>'[12]Summary Report - 12 Months Endi'!SFM2</f>
        <v>0</v>
      </c>
      <c r="SFO3">
        <f>'[12]Summary Report - 12 Months Endi'!SFN2</f>
        <v>0</v>
      </c>
      <c r="SFP3">
        <f>'[12]Summary Report - 12 Months Endi'!SFO2</f>
        <v>0</v>
      </c>
      <c r="SFQ3">
        <f>'[12]Summary Report - 12 Months Endi'!SFP2</f>
        <v>0</v>
      </c>
      <c r="SFR3">
        <f>'[12]Summary Report - 12 Months Endi'!SFQ2</f>
        <v>0</v>
      </c>
      <c r="SFS3">
        <f>'[12]Summary Report - 12 Months Endi'!SFR2</f>
        <v>0</v>
      </c>
      <c r="SFT3">
        <f>'[12]Summary Report - 12 Months Endi'!SFS2</f>
        <v>0</v>
      </c>
      <c r="SFU3">
        <f>'[12]Summary Report - 12 Months Endi'!SFT2</f>
        <v>0</v>
      </c>
      <c r="SFV3">
        <f>'[12]Summary Report - 12 Months Endi'!SFU2</f>
        <v>0</v>
      </c>
      <c r="SFW3">
        <f>'[12]Summary Report - 12 Months Endi'!SFV2</f>
        <v>0</v>
      </c>
      <c r="SFX3">
        <f>'[12]Summary Report - 12 Months Endi'!SFW2</f>
        <v>0</v>
      </c>
      <c r="SFY3">
        <f>'[12]Summary Report - 12 Months Endi'!SFX2</f>
        <v>0</v>
      </c>
      <c r="SFZ3">
        <f>'[12]Summary Report - 12 Months Endi'!SFY2</f>
        <v>0</v>
      </c>
      <c r="SGA3">
        <f>'[12]Summary Report - 12 Months Endi'!SFZ2</f>
        <v>0</v>
      </c>
      <c r="SGB3">
        <f>'[12]Summary Report - 12 Months Endi'!SGA2</f>
        <v>0</v>
      </c>
      <c r="SGC3">
        <f>'[12]Summary Report - 12 Months Endi'!SGB2</f>
        <v>0</v>
      </c>
      <c r="SGD3">
        <f>'[12]Summary Report - 12 Months Endi'!SGC2</f>
        <v>0</v>
      </c>
      <c r="SGE3">
        <f>'[12]Summary Report - 12 Months Endi'!SGD2</f>
        <v>0</v>
      </c>
      <c r="SGF3">
        <f>'[12]Summary Report - 12 Months Endi'!SGE2</f>
        <v>0</v>
      </c>
      <c r="SGG3">
        <f>'[12]Summary Report - 12 Months Endi'!SGF2</f>
        <v>0</v>
      </c>
      <c r="SGH3">
        <f>'[12]Summary Report - 12 Months Endi'!SGG2</f>
        <v>0</v>
      </c>
      <c r="SGI3">
        <f>'[12]Summary Report - 12 Months Endi'!SGH2</f>
        <v>0</v>
      </c>
      <c r="SGJ3">
        <f>'[12]Summary Report - 12 Months Endi'!SGI2</f>
        <v>0</v>
      </c>
      <c r="SGK3">
        <f>'[12]Summary Report - 12 Months Endi'!SGJ2</f>
        <v>0</v>
      </c>
      <c r="SGL3">
        <f>'[12]Summary Report - 12 Months Endi'!SGK2</f>
        <v>0</v>
      </c>
      <c r="SGM3">
        <f>'[12]Summary Report - 12 Months Endi'!SGL2</f>
        <v>0</v>
      </c>
      <c r="SGN3">
        <f>'[12]Summary Report - 12 Months Endi'!SGM2</f>
        <v>0</v>
      </c>
      <c r="SGO3">
        <f>'[12]Summary Report - 12 Months Endi'!SGN2</f>
        <v>0</v>
      </c>
      <c r="SGP3">
        <f>'[12]Summary Report - 12 Months Endi'!SGO2</f>
        <v>0</v>
      </c>
      <c r="SGQ3">
        <f>'[12]Summary Report - 12 Months Endi'!SGP2</f>
        <v>0</v>
      </c>
      <c r="SGR3">
        <f>'[12]Summary Report - 12 Months Endi'!SGQ2</f>
        <v>0</v>
      </c>
      <c r="SGS3">
        <f>'[12]Summary Report - 12 Months Endi'!SGR2</f>
        <v>0</v>
      </c>
      <c r="SGT3">
        <f>'[12]Summary Report - 12 Months Endi'!SGS2</f>
        <v>0</v>
      </c>
      <c r="SGU3">
        <f>'[12]Summary Report - 12 Months Endi'!SGT2</f>
        <v>0</v>
      </c>
      <c r="SGV3">
        <f>'[12]Summary Report - 12 Months Endi'!SGU2</f>
        <v>0</v>
      </c>
      <c r="SGW3">
        <f>'[12]Summary Report - 12 Months Endi'!SGV2</f>
        <v>0</v>
      </c>
      <c r="SGX3">
        <f>'[12]Summary Report - 12 Months Endi'!SGW2</f>
        <v>0</v>
      </c>
      <c r="SGY3">
        <f>'[12]Summary Report - 12 Months Endi'!SGX2</f>
        <v>0</v>
      </c>
      <c r="SGZ3">
        <f>'[12]Summary Report - 12 Months Endi'!SGY2</f>
        <v>0</v>
      </c>
      <c r="SHA3">
        <f>'[12]Summary Report - 12 Months Endi'!SGZ2</f>
        <v>0</v>
      </c>
      <c r="SHB3">
        <f>'[12]Summary Report - 12 Months Endi'!SHA2</f>
        <v>0</v>
      </c>
      <c r="SHC3">
        <f>'[12]Summary Report - 12 Months Endi'!SHB2</f>
        <v>0</v>
      </c>
      <c r="SHD3">
        <f>'[12]Summary Report - 12 Months Endi'!SHC2</f>
        <v>0</v>
      </c>
      <c r="SHE3">
        <f>'[12]Summary Report - 12 Months Endi'!SHD2</f>
        <v>0</v>
      </c>
      <c r="SHF3">
        <f>'[12]Summary Report - 12 Months Endi'!SHE2</f>
        <v>0</v>
      </c>
      <c r="SHG3">
        <f>'[12]Summary Report - 12 Months Endi'!SHF2</f>
        <v>0</v>
      </c>
      <c r="SHH3">
        <f>'[12]Summary Report - 12 Months Endi'!SHG2</f>
        <v>0</v>
      </c>
      <c r="SHI3">
        <f>'[12]Summary Report - 12 Months Endi'!SHH2</f>
        <v>0</v>
      </c>
      <c r="SHJ3">
        <f>'[12]Summary Report - 12 Months Endi'!SHI2</f>
        <v>0</v>
      </c>
      <c r="SHK3">
        <f>'[12]Summary Report - 12 Months Endi'!SHJ2</f>
        <v>0</v>
      </c>
      <c r="SHL3">
        <f>'[12]Summary Report - 12 Months Endi'!SHK2</f>
        <v>0</v>
      </c>
      <c r="SHM3">
        <f>'[12]Summary Report - 12 Months Endi'!SHL2</f>
        <v>0</v>
      </c>
      <c r="SHN3">
        <f>'[12]Summary Report - 12 Months Endi'!SHM2</f>
        <v>0</v>
      </c>
      <c r="SHO3">
        <f>'[12]Summary Report - 12 Months Endi'!SHN2</f>
        <v>0</v>
      </c>
      <c r="SHP3">
        <f>'[12]Summary Report - 12 Months Endi'!SHO2</f>
        <v>0</v>
      </c>
      <c r="SHQ3">
        <f>'[12]Summary Report - 12 Months Endi'!SHP2</f>
        <v>0</v>
      </c>
      <c r="SHR3">
        <f>'[12]Summary Report - 12 Months Endi'!SHQ2</f>
        <v>0</v>
      </c>
      <c r="SHS3">
        <f>'[12]Summary Report - 12 Months Endi'!SHR2</f>
        <v>0</v>
      </c>
      <c r="SHT3">
        <f>'[12]Summary Report - 12 Months Endi'!SHS2</f>
        <v>0</v>
      </c>
      <c r="SHU3">
        <f>'[12]Summary Report - 12 Months Endi'!SHT2</f>
        <v>0</v>
      </c>
      <c r="SHV3">
        <f>'[12]Summary Report - 12 Months Endi'!SHU2</f>
        <v>0</v>
      </c>
      <c r="SHW3">
        <f>'[12]Summary Report - 12 Months Endi'!SHV2</f>
        <v>0</v>
      </c>
      <c r="SHX3">
        <f>'[12]Summary Report - 12 Months Endi'!SHW2</f>
        <v>0</v>
      </c>
      <c r="SHY3">
        <f>'[12]Summary Report - 12 Months Endi'!SHX2</f>
        <v>0</v>
      </c>
      <c r="SHZ3">
        <f>'[12]Summary Report - 12 Months Endi'!SHY2</f>
        <v>0</v>
      </c>
      <c r="SIA3">
        <f>'[12]Summary Report - 12 Months Endi'!SHZ2</f>
        <v>0</v>
      </c>
      <c r="SIB3">
        <f>'[12]Summary Report - 12 Months Endi'!SIA2</f>
        <v>0</v>
      </c>
      <c r="SIC3">
        <f>'[12]Summary Report - 12 Months Endi'!SIB2</f>
        <v>0</v>
      </c>
      <c r="SID3">
        <f>'[12]Summary Report - 12 Months Endi'!SIC2</f>
        <v>0</v>
      </c>
      <c r="SIE3">
        <f>'[12]Summary Report - 12 Months Endi'!SID2</f>
        <v>0</v>
      </c>
      <c r="SIF3">
        <f>'[12]Summary Report - 12 Months Endi'!SIE2</f>
        <v>0</v>
      </c>
      <c r="SIG3">
        <f>'[12]Summary Report - 12 Months Endi'!SIF2</f>
        <v>0</v>
      </c>
      <c r="SIH3">
        <f>'[12]Summary Report - 12 Months Endi'!SIG2</f>
        <v>0</v>
      </c>
      <c r="SII3">
        <f>'[12]Summary Report - 12 Months Endi'!SIH2</f>
        <v>0</v>
      </c>
      <c r="SIJ3">
        <f>'[12]Summary Report - 12 Months Endi'!SII2</f>
        <v>0</v>
      </c>
      <c r="SIK3">
        <f>'[12]Summary Report - 12 Months Endi'!SIJ2</f>
        <v>0</v>
      </c>
      <c r="SIL3">
        <f>'[12]Summary Report - 12 Months Endi'!SIK2</f>
        <v>0</v>
      </c>
      <c r="SIM3">
        <f>'[12]Summary Report - 12 Months Endi'!SIL2</f>
        <v>0</v>
      </c>
      <c r="SIN3">
        <f>'[12]Summary Report - 12 Months Endi'!SIM2</f>
        <v>0</v>
      </c>
      <c r="SIO3">
        <f>'[12]Summary Report - 12 Months Endi'!SIN2</f>
        <v>0</v>
      </c>
      <c r="SIP3">
        <f>'[12]Summary Report - 12 Months Endi'!SIO2</f>
        <v>0</v>
      </c>
      <c r="SIQ3">
        <f>'[12]Summary Report - 12 Months Endi'!SIP2</f>
        <v>0</v>
      </c>
      <c r="SIR3">
        <f>'[12]Summary Report - 12 Months Endi'!SIQ2</f>
        <v>0</v>
      </c>
      <c r="SIS3">
        <f>'[12]Summary Report - 12 Months Endi'!SIR2</f>
        <v>0</v>
      </c>
      <c r="SIT3">
        <f>'[12]Summary Report - 12 Months Endi'!SIS2</f>
        <v>0</v>
      </c>
      <c r="SIU3">
        <f>'[12]Summary Report - 12 Months Endi'!SIT2</f>
        <v>0</v>
      </c>
      <c r="SIV3">
        <f>'[12]Summary Report - 12 Months Endi'!SIU2</f>
        <v>0</v>
      </c>
      <c r="SIW3">
        <f>'[12]Summary Report - 12 Months Endi'!SIV2</f>
        <v>0</v>
      </c>
      <c r="SIX3">
        <f>'[12]Summary Report - 12 Months Endi'!SIW2</f>
        <v>0</v>
      </c>
      <c r="SIY3">
        <f>'[12]Summary Report - 12 Months Endi'!SIX2</f>
        <v>0</v>
      </c>
      <c r="SIZ3">
        <f>'[12]Summary Report - 12 Months Endi'!SIY2</f>
        <v>0</v>
      </c>
      <c r="SJA3">
        <f>'[12]Summary Report - 12 Months Endi'!SIZ2</f>
        <v>0</v>
      </c>
      <c r="SJB3">
        <f>'[12]Summary Report - 12 Months Endi'!SJA2</f>
        <v>0</v>
      </c>
      <c r="SJC3">
        <f>'[12]Summary Report - 12 Months Endi'!SJB2</f>
        <v>0</v>
      </c>
      <c r="SJD3">
        <f>'[12]Summary Report - 12 Months Endi'!SJC2</f>
        <v>0</v>
      </c>
      <c r="SJE3">
        <f>'[12]Summary Report - 12 Months Endi'!SJD2</f>
        <v>0</v>
      </c>
      <c r="SJF3">
        <f>'[12]Summary Report - 12 Months Endi'!SJE2</f>
        <v>0</v>
      </c>
      <c r="SJG3">
        <f>'[12]Summary Report - 12 Months Endi'!SJF2</f>
        <v>0</v>
      </c>
      <c r="SJH3">
        <f>'[12]Summary Report - 12 Months Endi'!SJG2</f>
        <v>0</v>
      </c>
      <c r="SJI3">
        <f>'[12]Summary Report - 12 Months Endi'!SJH2</f>
        <v>0</v>
      </c>
      <c r="SJJ3">
        <f>'[12]Summary Report - 12 Months Endi'!SJI2</f>
        <v>0</v>
      </c>
      <c r="SJK3">
        <f>'[12]Summary Report - 12 Months Endi'!SJJ2</f>
        <v>0</v>
      </c>
      <c r="SJL3">
        <f>'[12]Summary Report - 12 Months Endi'!SJK2</f>
        <v>0</v>
      </c>
      <c r="SJM3">
        <f>'[12]Summary Report - 12 Months Endi'!SJL2</f>
        <v>0</v>
      </c>
      <c r="SJN3">
        <f>'[12]Summary Report - 12 Months Endi'!SJM2</f>
        <v>0</v>
      </c>
      <c r="SJO3">
        <f>'[12]Summary Report - 12 Months Endi'!SJN2</f>
        <v>0</v>
      </c>
      <c r="SJP3">
        <f>'[12]Summary Report - 12 Months Endi'!SJO2</f>
        <v>0</v>
      </c>
      <c r="SJQ3">
        <f>'[12]Summary Report - 12 Months Endi'!SJP2</f>
        <v>0</v>
      </c>
      <c r="SJR3">
        <f>'[12]Summary Report - 12 Months Endi'!SJQ2</f>
        <v>0</v>
      </c>
      <c r="SJS3">
        <f>'[12]Summary Report - 12 Months Endi'!SJR2</f>
        <v>0</v>
      </c>
      <c r="SJT3">
        <f>'[12]Summary Report - 12 Months Endi'!SJS2</f>
        <v>0</v>
      </c>
      <c r="SJU3">
        <f>'[12]Summary Report - 12 Months Endi'!SJT2</f>
        <v>0</v>
      </c>
      <c r="SJV3">
        <f>'[12]Summary Report - 12 Months Endi'!SJU2</f>
        <v>0</v>
      </c>
      <c r="SJW3">
        <f>'[12]Summary Report - 12 Months Endi'!SJV2</f>
        <v>0</v>
      </c>
      <c r="SJX3">
        <f>'[12]Summary Report - 12 Months Endi'!SJW2</f>
        <v>0</v>
      </c>
      <c r="SJY3">
        <f>'[12]Summary Report - 12 Months Endi'!SJX2</f>
        <v>0</v>
      </c>
      <c r="SJZ3">
        <f>'[12]Summary Report - 12 Months Endi'!SJY2</f>
        <v>0</v>
      </c>
      <c r="SKA3">
        <f>'[12]Summary Report - 12 Months Endi'!SJZ2</f>
        <v>0</v>
      </c>
      <c r="SKB3">
        <f>'[12]Summary Report - 12 Months Endi'!SKA2</f>
        <v>0</v>
      </c>
      <c r="SKC3">
        <f>'[12]Summary Report - 12 Months Endi'!SKB2</f>
        <v>0</v>
      </c>
      <c r="SKD3">
        <f>'[12]Summary Report - 12 Months Endi'!SKC2</f>
        <v>0</v>
      </c>
      <c r="SKE3">
        <f>'[12]Summary Report - 12 Months Endi'!SKD2</f>
        <v>0</v>
      </c>
      <c r="SKF3">
        <f>'[12]Summary Report - 12 Months Endi'!SKE2</f>
        <v>0</v>
      </c>
      <c r="SKG3">
        <f>'[12]Summary Report - 12 Months Endi'!SKF2</f>
        <v>0</v>
      </c>
      <c r="SKH3">
        <f>'[12]Summary Report - 12 Months Endi'!SKG2</f>
        <v>0</v>
      </c>
      <c r="SKI3">
        <f>'[12]Summary Report - 12 Months Endi'!SKH2</f>
        <v>0</v>
      </c>
      <c r="SKJ3">
        <f>'[12]Summary Report - 12 Months Endi'!SKI2</f>
        <v>0</v>
      </c>
      <c r="SKK3">
        <f>'[12]Summary Report - 12 Months Endi'!SKJ2</f>
        <v>0</v>
      </c>
      <c r="SKL3">
        <f>'[12]Summary Report - 12 Months Endi'!SKK2</f>
        <v>0</v>
      </c>
      <c r="SKM3">
        <f>'[12]Summary Report - 12 Months Endi'!SKL2</f>
        <v>0</v>
      </c>
      <c r="SKN3">
        <f>'[12]Summary Report - 12 Months Endi'!SKM2</f>
        <v>0</v>
      </c>
      <c r="SKO3">
        <f>'[12]Summary Report - 12 Months Endi'!SKN2</f>
        <v>0</v>
      </c>
      <c r="SKP3">
        <f>'[12]Summary Report - 12 Months Endi'!SKO2</f>
        <v>0</v>
      </c>
      <c r="SKQ3">
        <f>'[12]Summary Report - 12 Months Endi'!SKP2</f>
        <v>0</v>
      </c>
      <c r="SKR3">
        <f>'[12]Summary Report - 12 Months Endi'!SKQ2</f>
        <v>0</v>
      </c>
      <c r="SKS3">
        <f>'[12]Summary Report - 12 Months Endi'!SKR2</f>
        <v>0</v>
      </c>
      <c r="SKT3">
        <f>'[12]Summary Report - 12 Months Endi'!SKS2</f>
        <v>0</v>
      </c>
      <c r="SKU3">
        <f>'[12]Summary Report - 12 Months Endi'!SKT2</f>
        <v>0</v>
      </c>
      <c r="SKV3">
        <f>'[12]Summary Report - 12 Months Endi'!SKU2</f>
        <v>0</v>
      </c>
      <c r="SKW3">
        <f>'[12]Summary Report - 12 Months Endi'!SKV2</f>
        <v>0</v>
      </c>
      <c r="SKX3">
        <f>'[12]Summary Report - 12 Months Endi'!SKW2</f>
        <v>0</v>
      </c>
      <c r="SKY3">
        <f>'[12]Summary Report - 12 Months Endi'!SKX2</f>
        <v>0</v>
      </c>
      <c r="SKZ3">
        <f>'[12]Summary Report - 12 Months Endi'!SKY2</f>
        <v>0</v>
      </c>
      <c r="SLA3">
        <f>'[12]Summary Report - 12 Months Endi'!SKZ2</f>
        <v>0</v>
      </c>
      <c r="SLB3">
        <f>'[12]Summary Report - 12 Months Endi'!SLA2</f>
        <v>0</v>
      </c>
      <c r="SLC3">
        <f>'[12]Summary Report - 12 Months Endi'!SLB2</f>
        <v>0</v>
      </c>
      <c r="SLD3">
        <f>'[12]Summary Report - 12 Months Endi'!SLC2</f>
        <v>0</v>
      </c>
      <c r="SLE3">
        <f>'[12]Summary Report - 12 Months Endi'!SLD2</f>
        <v>0</v>
      </c>
      <c r="SLF3">
        <f>'[12]Summary Report - 12 Months Endi'!SLE2</f>
        <v>0</v>
      </c>
      <c r="SLG3">
        <f>'[12]Summary Report - 12 Months Endi'!SLF2</f>
        <v>0</v>
      </c>
      <c r="SLH3">
        <f>'[12]Summary Report - 12 Months Endi'!SLG2</f>
        <v>0</v>
      </c>
      <c r="SLI3">
        <f>'[12]Summary Report - 12 Months Endi'!SLH2</f>
        <v>0</v>
      </c>
      <c r="SLJ3">
        <f>'[12]Summary Report - 12 Months Endi'!SLI2</f>
        <v>0</v>
      </c>
      <c r="SLK3">
        <f>'[12]Summary Report - 12 Months Endi'!SLJ2</f>
        <v>0</v>
      </c>
      <c r="SLL3">
        <f>'[12]Summary Report - 12 Months Endi'!SLK2</f>
        <v>0</v>
      </c>
      <c r="SLM3">
        <f>'[12]Summary Report - 12 Months Endi'!SLL2</f>
        <v>0</v>
      </c>
      <c r="SLN3">
        <f>'[12]Summary Report - 12 Months Endi'!SLM2</f>
        <v>0</v>
      </c>
      <c r="SLO3">
        <f>'[12]Summary Report - 12 Months Endi'!SLN2</f>
        <v>0</v>
      </c>
      <c r="SLP3">
        <f>'[12]Summary Report - 12 Months Endi'!SLO2</f>
        <v>0</v>
      </c>
      <c r="SLQ3">
        <f>'[12]Summary Report - 12 Months Endi'!SLP2</f>
        <v>0</v>
      </c>
      <c r="SLR3">
        <f>'[12]Summary Report - 12 Months Endi'!SLQ2</f>
        <v>0</v>
      </c>
      <c r="SLS3">
        <f>'[12]Summary Report - 12 Months Endi'!SLR2</f>
        <v>0</v>
      </c>
      <c r="SLT3">
        <f>'[12]Summary Report - 12 Months Endi'!SLS2</f>
        <v>0</v>
      </c>
      <c r="SLU3">
        <f>'[12]Summary Report - 12 Months Endi'!SLT2</f>
        <v>0</v>
      </c>
      <c r="SLV3">
        <f>'[12]Summary Report - 12 Months Endi'!SLU2</f>
        <v>0</v>
      </c>
      <c r="SLW3">
        <f>'[12]Summary Report - 12 Months Endi'!SLV2</f>
        <v>0</v>
      </c>
      <c r="SLX3">
        <f>'[12]Summary Report - 12 Months Endi'!SLW2</f>
        <v>0</v>
      </c>
      <c r="SLY3">
        <f>'[12]Summary Report - 12 Months Endi'!SLX2</f>
        <v>0</v>
      </c>
      <c r="SLZ3">
        <f>'[12]Summary Report - 12 Months Endi'!SLY2</f>
        <v>0</v>
      </c>
      <c r="SMA3">
        <f>'[12]Summary Report - 12 Months Endi'!SLZ2</f>
        <v>0</v>
      </c>
      <c r="SMB3">
        <f>'[12]Summary Report - 12 Months Endi'!SMA2</f>
        <v>0</v>
      </c>
      <c r="SMC3">
        <f>'[12]Summary Report - 12 Months Endi'!SMB2</f>
        <v>0</v>
      </c>
      <c r="SMD3">
        <f>'[12]Summary Report - 12 Months Endi'!SMC2</f>
        <v>0</v>
      </c>
      <c r="SME3">
        <f>'[12]Summary Report - 12 Months Endi'!SMD2</f>
        <v>0</v>
      </c>
      <c r="SMF3">
        <f>'[12]Summary Report - 12 Months Endi'!SME2</f>
        <v>0</v>
      </c>
      <c r="SMG3">
        <f>'[12]Summary Report - 12 Months Endi'!SMF2</f>
        <v>0</v>
      </c>
      <c r="SMH3">
        <f>'[12]Summary Report - 12 Months Endi'!SMG2</f>
        <v>0</v>
      </c>
      <c r="SMI3">
        <f>'[12]Summary Report - 12 Months Endi'!SMH2</f>
        <v>0</v>
      </c>
      <c r="SMJ3">
        <f>'[12]Summary Report - 12 Months Endi'!SMI2</f>
        <v>0</v>
      </c>
      <c r="SMK3">
        <f>'[12]Summary Report - 12 Months Endi'!SMJ2</f>
        <v>0</v>
      </c>
      <c r="SML3">
        <f>'[12]Summary Report - 12 Months Endi'!SMK2</f>
        <v>0</v>
      </c>
      <c r="SMM3">
        <f>'[12]Summary Report - 12 Months Endi'!SML2</f>
        <v>0</v>
      </c>
      <c r="SMN3">
        <f>'[12]Summary Report - 12 Months Endi'!SMM2</f>
        <v>0</v>
      </c>
      <c r="SMO3">
        <f>'[12]Summary Report - 12 Months Endi'!SMN2</f>
        <v>0</v>
      </c>
      <c r="SMP3">
        <f>'[12]Summary Report - 12 Months Endi'!SMO2</f>
        <v>0</v>
      </c>
      <c r="SMQ3">
        <f>'[12]Summary Report - 12 Months Endi'!SMP2</f>
        <v>0</v>
      </c>
      <c r="SMR3">
        <f>'[12]Summary Report - 12 Months Endi'!SMQ2</f>
        <v>0</v>
      </c>
      <c r="SMS3">
        <f>'[12]Summary Report - 12 Months Endi'!SMR2</f>
        <v>0</v>
      </c>
      <c r="SMT3">
        <f>'[12]Summary Report - 12 Months Endi'!SMS2</f>
        <v>0</v>
      </c>
      <c r="SMU3">
        <f>'[12]Summary Report - 12 Months Endi'!SMT2</f>
        <v>0</v>
      </c>
      <c r="SMV3">
        <f>'[12]Summary Report - 12 Months Endi'!SMU2</f>
        <v>0</v>
      </c>
      <c r="SMW3">
        <f>'[12]Summary Report - 12 Months Endi'!SMV2</f>
        <v>0</v>
      </c>
      <c r="SMX3">
        <f>'[12]Summary Report - 12 Months Endi'!SMW2</f>
        <v>0</v>
      </c>
      <c r="SMY3">
        <f>'[12]Summary Report - 12 Months Endi'!SMX2</f>
        <v>0</v>
      </c>
      <c r="SMZ3">
        <f>'[12]Summary Report - 12 Months Endi'!SMY2</f>
        <v>0</v>
      </c>
      <c r="SNA3">
        <f>'[12]Summary Report - 12 Months Endi'!SMZ2</f>
        <v>0</v>
      </c>
      <c r="SNB3">
        <f>'[12]Summary Report - 12 Months Endi'!SNA2</f>
        <v>0</v>
      </c>
      <c r="SNC3">
        <f>'[12]Summary Report - 12 Months Endi'!SNB2</f>
        <v>0</v>
      </c>
      <c r="SND3">
        <f>'[12]Summary Report - 12 Months Endi'!SNC2</f>
        <v>0</v>
      </c>
      <c r="SNE3">
        <f>'[12]Summary Report - 12 Months Endi'!SND2</f>
        <v>0</v>
      </c>
      <c r="SNF3">
        <f>'[12]Summary Report - 12 Months Endi'!SNE2</f>
        <v>0</v>
      </c>
      <c r="SNG3">
        <f>'[12]Summary Report - 12 Months Endi'!SNF2</f>
        <v>0</v>
      </c>
      <c r="SNH3">
        <f>'[12]Summary Report - 12 Months Endi'!SNG2</f>
        <v>0</v>
      </c>
      <c r="SNI3">
        <f>'[12]Summary Report - 12 Months Endi'!SNH2</f>
        <v>0</v>
      </c>
      <c r="SNJ3">
        <f>'[12]Summary Report - 12 Months Endi'!SNI2</f>
        <v>0</v>
      </c>
      <c r="SNK3">
        <f>'[12]Summary Report - 12 Months Endi'!SNJ2</f>
        <v>0</v>
      </c>
      <c r="SNL3">
        <f>'[12]Summary Report - 12 Months Endi'!SNK2</f>
        <v>0</v>
      </c>
      <c r="SNM3">
        <f>'[12]Summary Report - 12 Months Endi'!SNL2</f>
        <v>0</v>
      </c>
      <c r="SNN3">
        <f>'[12]Summary Report - 12 Months Endi'!SNM2</f>
        <v>0</v>
      </c>
      <c r="SNO3">
        <f>'[12]Summary Report - 12 Months Endi'!SNN2</f>
        <v>0</v>
      </c>
      <c r="SNP3">
        <f>'[12]Summary Report - 12 Months Endi'!SNO2</f>
        <v>0</v>
      </c>
      <c r="SNQ3">
        <f>'[12]Summary Report - 12 Months Endi'!SNP2</f>
        <v>0</v>
      </c>
      <c r="SNR3">
        <f>'[12]Summary Report - 12 Months Endi'!SNQ2</f>
        <v>0</v>
      </c>
      <c r="SNS3">
        <f>'[12]Summary Report - 12 Months Endi'!SNR2</f>
        <v>0</v>
      </c>
      <c r="SNT3">
        <f>'[12]Summary Report - 12 Months Endi'!SNS2</f>
        <v>0</v>
      </c>
      <c r="SNU3">
        <f>'[12]Summary Report - 12 Months Endi'!SNT2</f>
        <v>0</v>
      </c>
      <c r="SNV3">
        <f>'[12]Summary Report - 12 Months Endi'!SNU2</f>
        <v>0</v>
      </c>
      <c r="SNW3">
        <f>'[12]Summary Report - 12 Months Endi'!SNV2</f>
        <v>0</v>
      </c>
      <c r="SNX3">
        <f>'[12]Summary Report - 12 Months Endi'!SNW2</f>
        <v>0</v>
      </c>
      <c r="SNY3">
        <f>'[12]Summary Report - 12 Months Endi'!SNX2</f>
        <v>0</v>
      </c>
      <c r="SNZ3">
        <f>'[12]Summary Report - 12 Months Endi'!SNY2</f>
        <v>0</v>
      </c>
      <c r="SOA3">
        <f>'[12]Summary Report - 12 Months Endi'!SNZ2</f>
        <v>0</v>
      </c>
      <c r="SOB3">
        <f>'[12]Summary Report - 12 Months Endi'!SOA2</f>
        <v>0</v>
      </c>
      <c r="SOC3">
        <f>'[12]Summary Report - 12 Months Endi'!SOB2</f>
        <v>0</v>
      </c>
      <c r="SOD3">
        <f>'[12]Summary Report - 12 Months Endi'!SOC2</f>
        <v>0</v>
      </c>
      <c r="SOE3">
        <f>'[12]Summary Report - 12 Months Endi'!SOD2</f>
        <v>0</v>
      </c>
      <c r="SOF3">
        <f>'[12]Summary Report - 12 Months Endi'!SOE2</f>
        <v>0</v>
      </c>
      <c r="SOG3">
        <f>'[12]Summary Report - 12 Months Endi'!SOF2</f>
        <v>0</v>
      </c>
      <c r="SOH3">
        <f>'[12]Summary Report - 12 Months Endi'!SOG2</f>
        <v>0</v>
      </c>
      <c r="SOI3">
        <f>'[12]Summary Report - 12 Months Endi'!SOH2</f>
        <v>0</v>
      </c>
      <c r="SOJ3">
        <f>'[12]Summary Report - 12 Months Endi'!SOI2</f>
        <v>0</v>
      </c>
      <c r="SOK3">
        <f>'[12]Summary Report - 12 Months Endi'!SOJ2</f>
        <v>0</v>
      </c>
      <c r="SOL3">
        <f>'[12]Summary Report - 12 Months Endi'!SOK2</f>
        <v>0</v>
      </c>
      <c r="SOM3">
        <f>'[12]Summary Report - 12 Months Endi'!SOL2</f>
        <v>0</v>
      </c>
      <c r="SON3">
        <f>'[12]Summary Report - 12 Months Endi'!SOM2</f>
        <v>0</v>
      </c>
      <c r="SOO3">
        <f>'[12]Summary Report - 12 Months Endi'!SON2</f>
        <v>0</v>
      </c>
      <c r="SOP3">
        <f>'[12]Summary Report - 12 Months Endi'!SOO2</f>
        <v>0</v>
      </c>
      <c r="SOQ3">
        <f>'[12]Summary Report - 12 Months Endi'!SOP2</f>
        <v>0</v>
      </c>
      <c r="SOR3">
        <f>'[12]Summary Report - 12 Months Endi'!SOQ2</f>
        <v>0</v>
      </c>
      <c r="SOS3">
        <f>'[12]Summary Report - 12 Months Endi'!SOR2</f>
        <v>0</v>
      </c>
      <c r="SOT3">
        <f>'[12]Summary Report - 12 Months Endi'!SOS2</f>
        <v>0</v>
      </c>
      <c r="SOU3">
        <f>'[12]Summary Report - 12 Months Endi'!SOT2</f>
        <v>0</v>
      </c>
      <c r="SOV3">
        <f>'[12]Summary Report - 12 Months Endi'!SOU2</f>
        <v>0</v>
      </c>
      <c r="SOW3">
        <f>'[12]Summary Report - 12 Months Endi'!SOV2</f>
        <v>0</v>
      </c>
      <c r="SOX3">
        <f>'[12]Summary Report - 12 Months Endi'!SOW2</f>
        <v>0</v>
      </c>
      <c r="SOY3">
        <f>'[12]Summary Report - 12 Months Endi'!SOX2</f>
        <v>0</v>
      </c>
      <c r="SOZ3">
        <f>'[12]Summary Report - 12 Months Endi'!SOY2</f>
        <v>0</v>
      </c>
      <c r="SPA3">
        <f>'[12]Summary Report - 12 Months Endi'!SOZ2</f>
        <v>0</v>
      </c>
      <c r="SPB3">
        <f>'[12]Summary Report - 12 Months Endi'!SPA2</f>
        <v>0</v>
      </c>
      <c r="SPC3">
        <f>'[12]Summary Report - 12 Months Endi'!SPB2</f>
        <v>0</v>
      </c>
      <c r="SPD3">
        <f>'[12]Summary Report - 12 Months Endi'!SPC2</f>
        <v>0</v>
      </c>
      <c r="SPE3">
        <f>'[12]Summary Report - 12 Months Endi'!SPD2</f>
        <v>0</v>
      </c>
      <c r="SPF3">
        <f>'[12]Summary Report - 12 Months Endi'!SPE2</f>
        <v>0</v>
      </c>
      <c r="SPG3">
        <f>'[12]Summary Report - 12 Months Endi'!SPF2</f>
        <v>0</v>
      </c>
      <c r="SPH3">
        <f>'[12]Summary Report - 12 Months Endi'!SPG2</f>
        <v>0</v>
      </c>
      <c r="SPI3">
        <f>'[12]Summary Report - 12 Months Endi'!SPH2</f>
        <v>0</v>
      </c>
      <c r="SPJ3">
        <f>'[12]Summary Report - 12 Months Endi'!SPI2</f>
        <v>0</v>
      </c>
      <c r="SPK3">
        <f>'[12]Summary Report - 12 Months Endi'!SPJ2</f>
        <v>0</v>
      </c>
      <c r="SPL3">
        <f>'[12]Summary Report - 12 Months Endi'!SPK2</f>
        <v>0</v>
      </c>
      <c r="SPM3">
        <f>'[12]Summary Report - 12 Months Endi'!SPL2</f>
        <v>0</v>
      </c>
      <c r="SPN3">
        <f>'[12]Summary Report - 12 Months Endi'!SPM2</f>
        <v>0</v>
      </c>
      <c r="SPO3">
        <f>'[12]Summary Report - 12 Months Endi'!SPN2</f>
        <v>0</v>
      </c>
      <c r="SPP3">
        <f>'[12]Summary Report - 12 Months Endi'!SPO2</f>
        <v>0</v>
      </c>
      <c r="SPQ3">
        <f>'[12]Summary Report - 12 Months Endi'!SPP2</f>
        <v>0</v>
      </c>
      <c r="SPR3">
        <f>'[12]Summary Report - 12 Months Endi'!SPQ2</f>
        <v>0</v>
      </c>
      <c r="SPS3">
        <f>'[12]Summary Report - 12 Months Endi'!SPR2</f>
        <v>0</v>
      </c>
      <c r="SPT3">
        <f>'[12]Summary Report - 12 Months Endi'!SPS2</f>
        <v>0</v>
      </c>
      <c r="SPU3">
        <f>'[12]Summary Report - 12 Months Endi'!SPT2</f>
        <v>0</v>
      </c>
      <c r="SPV3">
        <f>'[12]Summary Report - 12 Months Endi'!SPU2</f>
        <v>0</v>
      </c>
      <c r="SPW3">
        <f>'[12]Summary Report - 12 Months Endi'!SPV2</f>
        <v>0</v>
      </c>
      <c r="SPX3">
        <f>'[12]Summary Report - 12 Months Endi'!SPW2</f>
        <v>0</v>
      </c>
      <c r="SPY3">
        <f>'[12]Summary Report - 12 Months Endi'!SPX2</f>
        <v>0</v>
      </c>
      <c r="SPZ3">
        <f>'[12]Summary Report - 12 Months Endi'!SPY2</f>
        <v>0</v>
      </c>
      <c r="SQA3">
        <f>'[12]Summary Report - 12 Months Endi'!SPZ2</f>
        <v>0</v>
      </c>
      <c r="SQB3">
        <f>'[12]Summary Report - 12 Months Endi'!SQA2</f>
        <v>0</v>
      </c>
      <c r="SQC3">
        <f>'[12]Summary Report - 12 Months Endi'!SQB2</f>
        <v>0</v>
      </c>
      <c r="SQD3">
        <f>'[12]Summary Report - 12 Months Endi'!SQC2</f>
        <v>0</v>
      </c>
      <c r="SQE3">
        <f>'[12]Summary Report - 12 Months Endi'!SQD2</f>
        <v>0</v>
      </c>
      <c r="SQF3">
        <f>'[12]Summary Report - 12 Months Endi'!SQE2</f>
        <v>0</v>
      </c>
      <c r="SQG3">
        <f>'[12]Summary Report - 12 Months Endi'!SQF2</f>
        <v>0</v>
      </c>
      <c r="SQH3">
        <f>'[12]Summary Report - 12 Months Endi'!SQG2</f>
        <v>0</v>
      </c>
      <c r="SQI3">
        <f>'[12]Summary Report - 12 Months Endi'!SQH2</f>
        <v>0</v>
      </c>
      <c r="SQJ3">
        <f>'[12]Summary Report - 12 Months Endi'!SQI2</f>
        <v>0</v>
      </c>
      <c r="SQK3">
        <f>'[12]Summary Report - 12 Months Endi'!SQJ2</f>
        <v>0</v>
      </c>
      <c r="SQL3">
        <f>'[12]Summary Report - 12 Months Endi'!SQK2</f>
        <v>0</v>
      </c>
      <c r="SQM3">
        <f>'[12]Summary Report - 12 Months Endi'!SQL2</f>
        <v>0</v>
      </c>
      <c r="SQN3">
        <f>'[12]Summary Report - 12 Months Endi'!SQM2</f>
        <v>0</v>
      </c>
      <c r="SQO3">
        <f>'[12]Summary Report - 12 Months Endi'!SQN2</f>
        <v>0</v>
      </c>
      <c r="SQP3">
        <f>'[12]Summary Report - 12 Months Endi'!SQO2</f>
        <v>0</v>
      </c>
      <c r="SQQ3">
        <f>'[12]Summary Report - 12 Months Endi'!SQP2</f>
        <v>0</v>
      </c>
      <c r="SQR3">
        <f>'[12]Summary Report - 12 Months Endi'!SQQ2</f>
        <v>0</v>
      </c>
      <c r="SQS3">
        <f>'[12]Summary Report - 12 Months Endi'!SQR2</f>
        <v>0</v>
      </c>
      <c r="SQT3">
        <f>'[12]Summary Report - 12 Months Endi'!SQS2</f>
        <v>0</v>
      </c>
      <c r="SQU3">
        <f>'[12]Summary Report - 12 Months Endi'!SQT2</f>
        <v>0</v>
      </c>
      <c r="SQV3">
        <f>'[12]Summary Report - 12 Months Endi'!SQU2</f>
        <v>0</v>
      </c>
      <c r="SQW3">
        <f>'[12]Summary Report - 12 Months Endi'!SQV2</f>
        <v>0</v>
      </c>
      <c r="SQX3">
        <f>'[12]Summary Report - 12 Months Endi'!SQW2</f>
        <v>0</v>
      </c>
      <c r="SQY3">
        <f>'[12]Summary Report - 12 Months Endi'!SQX2</f>
        <v>0</v>
      </c>
      <c r="SQZ3">
        <f>'[12]Summary Report - 12 Months Endi'!SQY2</f>
        <v>0</v>
      </c>
      <c r="SRA3">
        <f>'[12]Summary Report - 12 Months Endi'!SQZ2</f>
        <v>0</v>
      </c>
      <c r="SRB3">
        <f>'[12]Summary Report - 12 Months Endi'!SRA2</f>
        <v>0</v>
      </c>
      <c r="SRC3">
        <f>'[12]Summary Report - 12 Months Endi'!SRB2</f>
        <v>0</v>
      </c>
      <c r="SRD3">
        <f>'[12]Summary Report - 12 Months Endi'!SRC2</f>
        <v>0</v>
      </c>
      <c r="SRE3">
        <f>'[12]Summary Report - 12 Months Endi'!SRD2</f>
        <v>0</v>
      </c>
      <c r="SRF3">
        <f>'[12]Summary Report - 12 Months Endi'!SRE2</f>
        <v>0</v>
      </c>
      <c r="SRG3">
        <f>'[12]Summary Report - 12 Months Endi'!SRF2</f>
        <v>0</v>
      </c>
      <c r="SRH3">
        <f>'[12]Summary Report - 12 Months Endi'!SRG2</f>
        <v>0</v>
      </c>
      <c r="SRI3">
        <f>'[12]Summary Report - 12 Months Endi'!SRH2</f>
        <v>0</v>
      </c>
      <c r="SRJ3">
        <f>'[12]Summary Report - 12 Months Endi'!SRI2</f>
        <v>0</v>
      </c>
      <c r="SRK3">
        <f>'[12]Summary Report - 12 Months Endi'!SRJ2</f>
        <v>0</v>
      </c>
      <c r="SRL3">
        <f>'[12]Summary Report - 12 Months Endi'!SRK2</f>
        <v>0</v>
      </c>
      <c r="SRM3">
        <f>'[12]Summary Report - 12 Months Endi'!SRL2</f>
        <v>0</v>
      </c>
      <c r="SRN3">
        <f>'[12]Summary Report - 12 Months Endi'!SRM2</f>
        <v>0</v>
      </c>
      <c r="SRO3">
        <f>'[12]Summary Report - 12 Months Endi'!SRN2</f>
        <v>0</v>
      </c>
      <c r="SRP3">
        <f>'[12]Summary Report - 12 Months Endi'!SRO2</f>
        <v>0</v>
      </c>
      <c r="SRQ3">
        <f>'[12]Summary Report - 12 Months Endi'!SRP2</f>
        <v>0</v>
      </c>
      <c r="SRR3">
        <f>'[12]Summary Report - 12 Months Endi'!SRQ2</f>
        <v>0</v>
      </c>
      <c r="SRS3">
        <f>'[12]Summary Report - 12 Months Endi'!SRR2</f>
        <v>0</v>
      </c>
      <c r="SRT3">
        <f>'[12]Summary Report - 12 Months Endi'!SRS2</f>
        <v>0</v>
      </c>
      <c r="SRU3">
        <f>'[12]Summary Report - 12 Months Endi'!SRT2</f>
        <v>0</v>
      </c>
      <c r="SRV3">
        <f>'[12]Summary Report - 12 Months Endi'!SRU2</f>
        <v>0</v>
      </c>
      <c r="SRW3">
        <f>'[12]Summary Report - 12 Months Endi'!SRV2</f>
        <v>0</v>
      </c>
      <c r="SRX3">
        <f>'[12]Summary Report - 12 Months Endi'!SRW2</f>
        <v>0</v>
      </c>
      <c r="SRY3">
        <f>'[12]Summary Report - 12 Months Endi'!SRX2</f>
        <v>0</v>
      </c>
      <c r="SRZ3">
        <f>'[12]Summary Report - 12 Months Endi'!SRY2</f>
        <v>0</v>
      </c>
      <c r="SSA3">
        <f>'[12]Summary Report - 12 Months Endi'!SRZ2</f>
        <v>0</v>
      </c>
      <c r="SSB3">
        <f>'[12]Summary Report - 12 Months Endi'!SSA2</f>
        <v>0</v>
      </c>
      <c r="SSC3">
        <f>'[12]Summary Report - 12 Months Endi'!SSB2</f>
        <v>0</v>
      </c>
      <c r="SSD3">
        <f>'[12]Summary Report - 12 Months Endi'!SSC2</f>
        <v>0</v>
      </c>
      <c r="SSE3">
        <f>'[12]Summary Report - 12 Months Endi'!SSD2</f>
        <v>0</v>
      </c>
      <c r="SSF3">
        <f>'[12]Summary Report - 12 Months Endi'!SSE2</f>
        <v>0</v>
      </c>
      <c r="SSG3">
        <f>'[12]Summary Report - 12 Months Endi'!SSF2</f>
        <v>0</v>
      </c>
      <c r="SSH3">
        <f>'[12]Summary Report - 12 Months Endi'!SSG2</f>
        <v>0</v>
      </c>
      <c r="SSI3">
        <f>'[12]Summary Report - 12 Months Endi'!SSH2</f>
        <v>0</v>
      </c>
      <c r="SSJ3">
        <f>'[12]Summary Report - 12 Months Endi'!SSI2</f>
        <v>0</v>
      </c>
      <c r="SSK3">
        <f>'[12]Summary Report - 12 Months Endi'!SSJ2</f>
        <v>0</v>
      </c>
      <c r="SSL3">
        <f>'[12]Summary Report - 12 Months Endi'!SSK2</f>
        <v>0</v>
      </c>
      <c r="SSM3">
        <f>'[12]Summary Report - 12 Months Endi'!SSL2</f>
        <v>0</v>
      </c>
      <c r="SSN3">
        <f>'[12]Summary Report - 12 Months Endi'!SSM2</f>
        <v>0</v>
      </c>
      <c r="SSO3">
        <f>'[12]Summary Report - 12 Months Endi'!SSN2</f>
        <v>0</v>
      </c>
      <c r="SSP3">
        <f>'[12]Summary Report - 12 Months Endi'!SSO2</f>
        <v>0</v>
      </c>
      <c r="SSQ3">
        <f>'[12]Summary Report - 12 Months Endi'!SSP2</f>
        <v>0</v>
      </c>
      <c r="SSR3">
        <f>'[12]Summary Report - 12 Months Endi'!SSQ2</f>
        <v>0</v>
      </c>
      <c r="SSS3">
        <f>'[12]Summary Report - 12 Months Endi'!SSR2</f>
        <v>0</v>
      </c>
      <c r="SST3">
        <f>'[12]Summary Report - 12 Months Endi'!SSS2</f>
        <v>0</v>
      </c>
      <c r="SSU3">
        <f>'[12]Summary Report - 12 Months Endi'!SST2</f>
        <v>0</v>
      </c>
      <c r="SSV3">
        <f>'[12]Summary Report - 12 Months Endi'!SSU2</f>
        <v>0</v>
      </c>
      <c r="SSW3">
        <f>'[12]Summary Report - 12 Months Endi'!SSV2</f>
        <v>0</v>
      </c>
      <c r="SSX3">
        <f>'[12]Summary Report - 12 Months Endi'!SSW2</f>
        <v>0</v>
      </c>
      <c r="SSY3">
        <f>'[12]Summary Report - 12 Months Endi'!SSX2</f>
        <v>0</v>
      </c>
      <c r="SSZ3">
        <f>'[12]Summary Report - 12 Months Endi'!SSY2</f>
        <v>0</v>
      </c>
      <c r="STA3">
        <f>'[12]Summary Report - 12 Months Endi'!SSZ2</f>
        <v>0</v>
      </c>
      <c r="STB3">
        <f>'[12]Summary Report - 12 Months Endi'!STA2</f>
        <v>0</v>
      </c>
      <c r="STC3">
        <f>'[12]Summary Report - 12 Months Endi'!STB2</f>
        <v>0</v>
      </c>
      <c r="STD3">
        <f>'[12]Summary Report - 12 Months Endi'!STC2</f>
        <v>0</v>
      </c>
      <c r="STE3">
        <f>'[12]Summary Report - 12 Months Endi'!STD2</f>
        <v>0</v>
      </c>
      <c r="STF3">
        <f>'[12]Summary Report - 12 Months Endi'!STE2</f>
        <v>0</v>
      </c>
      <c r="STG3">
        <f>'[12]Summary Report - 12 Months Endi'!STF2</f>
        <v>0</v>
      </c>
      <c r="STH3">
        <f>'[12]Summary Report - 12 Months Endi'!STG2</f>
        <v>0</v>
      </c>
      <c r="STI3">
        <f>'[12]Summary Report - 12 Months Endi'!STH2</f>
        <v>0</v>
      </c>
      <c r="STJ3">
        <f>'[12]Summary Report - 12 Months Endi'!STI2</f>
        <v>0</v>
      </c>
      <c r="STK3">
        <f>'[12]Summary Report - 12 Months Endi'!STJ2</f>
        <v>0</v>
      </c>
      <c r="STL3">
        <f>'[12]Summary Report - 12 Months Endi'!STK2</f>
        <v>0</v>
      </c>
      <c r="STM3">
        <f>'[12]Summary Report - 12 Months Endi'!STL2</f>
        <v>0</v>
      </c>
      <c r="STN3">
        <f>'[12]Summary Report - 12 Months Endi'!STM2</f>
        <v>0</v>
      </c>
      <c r="STO3">
        <f>'[12]Summary Report - 12 Months Endi'!STN2</f>
        <v>0</v>
      </c>
      <c r="STP3">
        <f>'[12]Summary Report - 12 Months Endi'!STO2</f>
        <v>0</v>
      </c>
      <c r="STQ3">
        <f>'[12]Summary Report - 12 Months Endi'!STP2</f>
        <v>0</v>
      </c>
      <c r="STR3">
        <f>'[12]Summary Report - 12 Months Endi'!STQ2</f>
        <v>0</v>
      </c>
      <c r="STS3">
        <f>'[12]Summary Report - 12 Months Endi'!STR2</f>
        <v>0</v>
      </c>
      <c r="STT3">
        <f>'[12]Summary Report - 12 Months Endi'!STS2</f>
        <v>0</v>
      </c>
      <c r="STU3">
        <f>'[12]Summary Report - 12 Months Endi'!STT2</f>
        <v>0</v>
      </c>
      <c r="STV3">
        <f>'[12]Summary Report - 12 Months Endi'!STU2</f>
        <v>0</v>
      </c>
      <c r="STW3">
        <f>'[12]Summary Report - 12 Months Endi'!STV2</f>
        <v>0</v>
      </c>
      <c r="STX3">
        <f>'[12]Summary Report - 12 Months Endi'!STW2</f>
        <v>0</v>
      </c>
      <c r="STY3">
        <f>'[12]Summary Report - 12 Months Endi'!STX2</f>
        <v>0</v>
      </c>
      <c r="STZ3">
        <f>'[12]Summary Report - 12 Months Endi'!STY2</f>
        <v>0</v>
      </c>
      <c r="SUA3">
        <f>'[12]Summary Report - 12 Months Endi'!STZ2</f>
        <v>0</v>
      </c>
      <c r="SUB3">
        <f>'[12]Summary Report - 12 Months Endi'!SUA2</f>
        <v>0</v>
      </c>
      <c r="SUC3">
        <f>'[12]Summary Report - 12 Months Endi'!SUB2</f>
        <v>0</v>
      </c>
      <c r="SUD3">
        <f>'[12]Summary Report - 12 Months Endi'!SUC2</f>
        <v>0</v>
      </c>
      <c r="SUE3">
        <f>'[12]Summary Report - 12 Months Endi'!SUD2</f>
        <v>0</v>
      </c>
      <c r="SUF3">
        <f>'[12]Summary Report - 12 Months Endi'!SUE2</f>
        <v>0</v>
      </c>
      <c r="SUG3">
        <f>'[12]Summary Report - 12 Months Endi'!SUF2</f>
        <v>0</v>
      </c>
      <c r="SUH3">
        <f>'[12]Summary Report - 12 Months Endi'!SUG2</f>
        <v>0</v>
      </c>
      <c r="SUI3">
        <f>'[12]Summary Report - 12 Months Endi'!SUH2</f>
        <v>0</v>
      </c>
      <c r="SUJ3">
        <f>'[12]Summary Report - 12 Months Endi'!SUI2</f>
        <v>0</v>
      </c>
      <c r="SUK3">
        <f>'[12]Summary Report - 12 Months Endi'!SUJ2</f>
        <v>0</v>
      </c>
      <c r="SUL3">
        <f>'[12]Summary Report - 12 Months Endi'!SUK2</f>
        <v>0</v>
      </c>
      <c r="SUM3">
        <f>'[12]Summary Report - 12 Months Endi'!SUL2</f>
        <v>0</v>
      </c>
      <c r="SUN3">
        <f>'[12]Summary Report - 12 Months Endi'!SUM2</f>
        <v>0</v>
      </c>
      <c r="SUO3">
        <f>'[12]Summary Report - 12 Months Endi'!SUN2</f>
        <v>0</v>
      </c>
      <c r="SUP3">
        <f>'[12]Summary Report - 12 Months Endi'!SUO2</f>
        <v>0</v>
      </c>
      <c r="SUQ3">
        <f>'[12]Summary Report - 12 Months Endi'!SUP2</f>
        <v>0</v>
      </c>
      <c r="SUR3">
        <f>'[12]Summary Report - 12 Months Endi'!SUQ2</f>
        <v>0</v>
      </c>
      <c r="SUS3">
        <f>'[12]Summary Report - 12 Months Endi'!SUR2</f>
        <v>0</v>
      </c>
      <c r="SUT3">
        <f>'[12]Summary Report - 12 Months Endi'!SUS2</f>
        <v>0</v>
      </c>
      <c r="SUU3">
        <f>'[12]Summary Report - 12 Months Endi'!SUT2</f>
        <v>0</v>
      </c>
      <c r="SUV3">
        <f>'[12]Summary Report - 12 Months Endi'!SUU2</f>
        <v>0</v>
      </c>
      <c r="SUW3">
        <f>'[12]Summary Report - 12 Months Endi'!SUV2</f>
        <v>0</v>
      </c>
      <c r="SUX3">
        <f>'[12]Summary Report - 12 Months Endi'!SUW2</f>
        <v>0</v>
      </c>
      <c r="SUY3">
        <f>'[12]Summary Report - 12 Months Endi'!SUX2</f>
        <v>0</v>
      </c>
      <c r="SUZ3">
        <f>'[12]Summary Report - 12 Months Endi'!SUY2</f>
        <v>0</v>
      </c>
      <c r="SVA3">
        <f>'[12]Summary Report - 12 Months Endi'!SUZ2</f>
        <v>0</v>
      </c>
      <c r="SVB3">
        <f>'[12]Summary Report - 12 Months Endi'!SVA2</f>
        <v>0</v>
      </c>
      <c r="SVC3">
        <f>'[12]Summary Report - 12 Months Endi'!SVB2</f>
        <v>0</v>
      </c>
      <c r="SVD3">
        <f>'[12]Summary Report - 12 Months Endi'!SVC2</f>
        <v>0</v>
      </c>
      <c r="SVE3">
        <f>'[12]Summary Report - 12 Months Endi'!SVD2</f>
        <v>0</v>
      </c>
      <c r="SVF3">
        <f>'[12]Summary Report - 12 Months Endi'!SVE2</f>
        <v>0</v>
      </c>
      <c r="SVG3">
        <f>'[12]Summary Report - 12 Months Endi'!SVF2</f>
        <v>0</v>
      </c>
      <c r="SVH3">
        <f>'[12]Summary Report - 12 Months Endi'!SVG2</f>
        <v>0</v>
      </c>
      <c r="SVI3">
        <f>'[12]Summary Report - 12 Months Endi'!SVH2</f>
        <v>0</v>
      </c>
      <c r="SVJ3">
        <f>'[12]Summary Report - 12 Months Endi'!SVI2</f>
        <v>0</v>
      </c>
      <c r="SVK3">
        <f>'[12]Summary Report - 12 Months Endi'!SVJ2</f>
        <v>0</v>
      </c>
      <c r="SVL3">
        <f>'[12]Summary Report - 12 Months Endi'!SVK2</f>
        <v>0</v>
      </c>
      <c r="SVM3">
        <f>'[12]Summary Report - 12 Months Endi'!SVL2</f>
        <v>0</v>
      </c>
      <c r="SVN3">
        <f>'[12]Summary Report - 12 Months Endi'!SVM2</f>
        <v>0</v>
      </c>
      <c r="SVO3">
        <f>'[12]Summary Report - 12 Months Endi'!SVN2</f>
        <v>0</v>
      </c>
      <c r="SVP3">
        <f>'[12]Summary Report - 12 Months Endi'!SVO2</f>
        <v>0</v>
      </c>
      <c r="SVQ3">
        <f>'[12]Summary Report - 12 Months Endi'!SVP2</f>
        <v>0</v>
      </c>
      <c r="SVR3">
        <f>'[12]Summary Report - 12 Months Endi'!SVQ2</f>
        <v>0</v>
      </c>
      <c r="SVS3">
        <f>'[12]Summary Report - 12 Months Endi'!SVR2</f>
        <v>0</v>
      </c>
      <c r="SVT3">
        <f>'[12]Summary Report - 12 Months Endi'!SVS2</f>
        <v>0</v>
      </c>
      <c r="SVU3">
        <f>'[12]Summary Report - 12 Months Endi'!SVT2</f>
        <v>0</v>
      </c>
      <c r="SVV3">
        <f>'[12]Summary Report - 12 Months Endi'!SVU2</f>
        <v>0</v>
      </c>
      <c r="SVW3">
        <f>'[12]Summary Report - 12 Months Endi'!SVV2</f>
        <v>0</v>
      </c>
      <c r="SVX3">
        <f>'[12]Summary Report - 12 Months Endi'!SVW2</f>
        <v>0</v>
      </c>
      <c r="SVY3">
        <f>'[12]Summary Report - 12 Months Endi'!SVX2</f>
        <v>0</v>
      </c>
      <c r="SVZ3">
        <f>'[12]Summary Report - 12 Months Endi'!SVY2</f>
        <v>0</v>
      </c>
      <c r="SWA3">
        <f>'[12]Summary Report - 12 Months Endi'!SVZ2</f>
        <v>0</v>
      </c>
      <c r="SWB3">
        <f>'[12]Summary Report - 12 Months Endi'!SWA2</f>
        <v>0</v>
      </c>
      <c r="SWC3">
        <f>'[12]Summary Report - 12 Months Endi'!SWB2</f>
        <v>0</v>
      </c>
      <c r="SWD3">
        <f>'[12]Summary Report - 12 Months Endi'!SWC2</f>
        <v>0</v>
      </c>
      <c r="SWE3">
        <f>'[12]Summary Report - 12 Months Endi'!SWD2</f>
        <v>0</v>
      </c>
      <c r="SWF3">
        <f>'[12]Summary Report - 12 Months Endi'!SWE2</f>
        <v>0</v>
      </c>
      <c r="SWG3">
        <f>'[12]Summary Report - 12 Months Endi'!SWF2</f>
        <v>0</v>
      </c>
      <c r="SWH3">
        <f>'[12]Summary Report - 12 Months Endi'!SWG2</f>
        <v>0</v>
      </c>
      <c r="SWI3">
        <f>'[12]Summary Report - 12 Months Endi'!SWH2</f>
        <v>0</v>
      </c>
      <c r="SWJ3">
        <f>'[12]Summary Report - 12 Months Endi'!SWI2</f>
        <v>0</v>
      </c>
      <c r="SWK3">
        <f>'[12]Summary Report - 12 Months Endi'!SWJ2</f>
        <v>0</v>
      </c>
      <c r="SWL3">
        <f>'[12]Summary Report - 12 Months Endi'!SWK2</f>
        <v>0</v>
      </c>
      <c r="SWM3">
        <f>'[12]Summary Report - 12 Months Endi'!SWL2</f>
        <v>0</v>
      </c>
      <c r="SWN3">
        <f>'[12]Summary Report - 12 Months Endi'!SWM2</f>
        <v>0</v>
      </c>
      <c r="SWO3">
        <f>'[12]Summary Report - 12 Months Endi'!SWN2</f>
        <v>0</v>
      </c>
      <c r="SWP3">
        <f>'[12]Summary Report - 12 Months Endi'!SWO2</f>
        <v>0</v>
      </c>
      <c r="SWQ3">
        <f>'[12]Summary Report - 12 Months Endi'!SWP2</f>
        <v>0</v>
      </c>
      <c r="SWR3">
        <f>'[12]Summary Report - 12 Months Endi'!SWQ2</f>
        <v>0</v>
      </c>
      <c r="SWS3">
        <f>'[12]Summary Report - 12 Months Endi'!SWR2</f>
        <v>0</v>
      </c>
      <c r="SWT3">
        <f>'[12]Summary Report - 12 Months Endi'!SWS2</f>
        <v>0</v>
      </c>
      <c r="SWU3">
        <f>'[12]Summary Report - 12 Months Endi'!SWT2</f>
        <v>0</v>
      </c>
      <c r="SWV3">
        <f>'[12]Summary Report - 12 Months Endi'!SWU2</f>
        <v>0</v>
      </c>
      <c r="SWW3">
        <f>'[12]Summary Report - 12 Months Endi'!SWV2</f>
        <v>0</v>
      </c>
      <c r="SWX3">
        <f>'[12]Summary Report - 12 Months Endi'!SWW2</f>
        <v>0</v>
      </c>
      <c r="SWY3">
        <f>'[12]Summary Report - 12 Months Endi'!SWX2</f>
        <v>0</v>
      </c>
      <c r="SWZ3">
        <f>'[12]Summary Report - 12 Months Endi'!SWY2</f>
        <v>0</v>
      </c>
      <c r="SXA3">
        <f>'[12]Summary Report - 12 Months Endi'!SWZ2</f>
        <v>0</v>
      </c>
      <c r="SXB3">
        <f>'[12]Summary Report - 12 Months Endi'!SXA2</f>
        <v>0</v>
      </c>
      <c r="SXC3">
        <f>'[12]Summary Report - 12 Months Endi'!SXB2</f>
        <v>0</v>
      </c>
      <c r="SXD3">
        <f>'[12]Summary Report - 12 Months Endi'!SXC2</f>
        <v>0</v>
      </c>
      <c r="SXE3">
        <f>'[12]Summary Report - 12 Months Endi'!SXD2</f>
        <v>0</v>
      </c>
      <c r="SXF3">
        <f>'[12]Summary Report - 12 Months Endi'!SXE2</f>
        <v>0</v>
      </c>
      <c r="SXG3">
        <f>'[12]Summary Report - 12 Months Endi'!SXF2</f>
        <v>0</v>
      </c>
      <c r="SXH3">
        <f>'[12]Summary Report - 12 Months Endi'!SXG2</f>
        <v>0</v>
      </c>
      <c r="SXI3">
        <f>'[12]Summary Report - 12 Months Endi'!SXH2</f>
        <v>0</v>
      </c>
      <c r="SXJ3">
        <f>'[12]Summary Report - 12 Months Endi'!SXI2</f>
        <v>0</v>
      </c>
      <c r="SXK3">
        <f>'[12]Summary Report - 12 Months Endi'!SXJ2</f>
        <v>0</v>
      </c>
      <c r="SXL3">
        <f>'[12]Summary Report - 12 Months Endi'!SXK2</f>
        <v>0</v>
      </c>
      <c r="SXM3">
        <f>'[12]Summary Report - 12 Months Endi'!SXL2</f>
        <v>0</v>
      </c>
      <c r="SXN3">
        <f>'[12]Summary Report - 12 Months Endi'!SXM2</f>
        <v>0</v>
      </c>
      <c r="SXO3">
        <f>'[12]Summary Report - 12 Months Endi'!SXN2</f>
        <v>0</v>
      </c>
      <c r="SXP3">
        <f>'[12]Summary Report - 12 Months Endi'!SXO2</f>
        <v>0</v>
      </c>
      <c r="SXQ3">
        <f>'[12]Summary Report - 12 Months Endi'!SXP2</f>
        <v>0</v>
      </c>
      <c r="SXR3">
        <f>'[12]Summary Report - 12 Months Endi'!SXQ2</f>
        <v>0</v>
      </c>
      <c r="SXS3">
        <f>'[12]Summary Report - 12 Months Endi'!SXR2</f>
        <v>0</v>
      </c>
      <c r="SXT3">
        <f>'[12]Summary Report - 12 Months Endi'!SXS2</f>
        <v>0</v>
      </c>
      <c r="SXU3">
        <f>'[12]Summary Report - 12 Months Endi'!SXT2</f>
        <v>0</v>
      </c>
      <c r="SXV3">
        <f>'[12]Summary Report - 12 Months Endi'!SXU2</f>
        <v>0</v>
      </c>
      <c r="SXW3">
        <f>'[12]Summary Report - 12 Months Endi'!SXV2</f>
        <v>0</v>
      </c>
      <c r="SXX3">
        <f>'[12]Summary Report - 12 Months Endi'!SXW2</f>
        <v>0</v>
      </c>
      <c r="SXY3">
        <f>'[12]Summary Report - 12 Months Endi'!SXX2</f>
        <v>0</v>
      </c>
      <c r="SXZ3">
        <f>'[12]Summary Report - 12 Months Endi'!SXY2</f>
        <v>0</v>
      </c>
      <c r="SYA3">
        <f>'[12]Summary Report - 12 Months Endi'!SXZ2</f>
        <v>0</v>
      </c>
      <c r="SYB3">
        <f>'[12]Summary Report - 12 Months Endi'!SYA2</f>
        <v>0</v>
      </c>
      <c r="SYC3">
        <f>'[12]Summary Report - 12 Months Endi'!SYB2</f>
        <v>0</v>
      </c>
      <c r="SYD3">
        <f>'[12]Summary Report - 12 Months Endi'!SYC2</f>
        <v>0</v>
      </c>
      <c r="SYE3">
        <f>'[12]Summary Report - 12 Months Endi'!SYD2</f>
        <v>0</v>
      </c>
      <c r="SYF3">
        <f>'[12]Summary Report - 12 Months Endi'!SYE2</f>
        <v>0</v>
      </c>
      <c r="SYG3">
        <f>'[12]Summary Report - 12 Months Endi'!SYF2</f>
        <v>0</v>
      </c>
      <c r="SYH3">
        <f>'[12]Summary Report - 12 Months Endi'!SYG2</f>
        <v>0</v>
      </c>
      <c r="SYI3">
        <f>'[12]Summary Report - 12 Months Endi'!SYH2</f>
        <v>0</v>
      </c>
      <c r="SYJ3">
        <f>'[12]Summary Report - 12 Months Endi'!SYI2</f>
        <v>0</v>
      </c>
      <c r="SYK3">
        <f>'[12]Summary Report - 12 Months Endi'!SYJ2</f>
        <v>0</v>
      </c>
      <c r="SYL3">
        <f>'[12]Summary Report - 12 Months Endi'!SYK2</f>
        <v>0</v>
      </c>
      <c r="SYM3">
        <f>'[12]Summary Report - 12 Months Endi'!SYL2</f>
        <v>0</v>
      </c>
      <c r="SYN3">
        <f>'[12]Summary Report - 12 Months Endi'!SYM2</f>
        <v>0</v>
      </c>
      <c r="SYO3">
        <f>'[12]Summary Report - 12 Months Endi'!SYN2</f>
        <v>0</v>
      </c>
      <c r="SYP3">
        <f>'[12]Summary Report - 12 Months Endi'!SYO2</f>
        <v>0</v>
      </c>
      <c r="SYQ3">
        <f>'[12]Summary Report - 12 Months Endi'!SYP2</f>
        <v>0</v>
      </c>
      <c r="SYR3">
        <f>'[12]Summary Report - 12 Months Endi'!SYQ2</f>
        <v>0</v>
      </c>
      <c r="SYS3">
        <f>'[12]Summary Report - 12 Months Endi'!SYR2</f>
        <v>0</v>
      </c>
      <c r="SYT3">
        <f>'[12]Summary Report - 12 Months Endi'!SYS2</f>
        <v>0</v>
      </c>
      <c r="SYU3">
        <f>'[12]Summary Report - 12 Months Endi'!SYT2</f>
        <v>0</v>
      </c>
      <c r="SYV3">
        <f>'[12]Summary Report - 12 Months Endi'!SYU2</f>
        <v>0</v>
      </c>
      <c r="SYW3">
        <f>'[12]Summary Report - 12 Months Endi'!SYV2</f>
        <v>0</v>
      </c>
      <c r="SYX3">
        <f>'[12]Summary Report - 12 Months Endi'!SYW2</f>
        <v>0</v>
      </c>
      <c r="SYY3">
        <f>'[12]Summary Report - 12 Months Endi'!SYX2</f>
        <v>0</v>
      </c>
      <c r="SYZ3">
        <f>'[12]Summary Report - 12 Months Endi'!SYY2</f>
        <v>0</v>
      </c>
      <c r="SZA3">
        <f>'[12]Summary Report - 12 Months Endi'!SYZ2</f>
        <v>0</v>
      </c>
      <c r="SZB3">
        <f>'[12]Summary Report - 12 Months Endi'!SZA2</f>
        <v>0</v>
      </c>
      <c r="SZC3">
        <f>'[12]Summary Report - 12 Months Endi'!SZB2</f>
        <v>0</v>
      </c>
      <c r="SZD3">
        <f>'[12]Summary Report - 12 Months Endi'!SZC2</f>
        <v>0</v>
      </c>
      <c r="SZE3">
        <f>'[12]Summary Report - 12 Months Endi'!SZD2</f>
        <v>0</v>
      </c>
      <c r="SZF3">
        <f>'[12]Summary Report - 12 Months Endi'!SZE2</f>
        <v>0</v>
      </c>
      <c r="SZG3">
        <f>'[12]Summary Report - 12 Months Endi'!SZF2</f>
        <v>0</v>
      </c>
      <c r="SZH3">
        <f>'[12]Summary Report - 12 Months Endi'!SZG2</f>
        <v>0</v>
      </c>
      <c r="SZI3">
        <f>'[12]Summary Report - 12 Months Endi'!SZH2</f>
        <v>0</v>
      </c>
      <c r="SZJ3">
        <f>'[12]Summary Report - 12 Months Endi'!SZI2</f>
        <v>0</v>
      </c>
      <c r="SZK3">
        <f>'[12]Summary Report - 12 Months Endi'!SZJ2</f>
        <v>0</v>
      </c>
      <c r="SZL3">
        <f>'[12]Summary Report - 12 Months Endi'!SZK2</f>
        <v>0</v>
      </c>
      <c r="SZM3">
        <f>'[12]Summary Report - 12 Months Endi'!SZL2</f>
        <v>0</v>
      </c>
      <c r="SZN3">
        <f>'[12]Summary Report - 12 Months Endi'!SZM2</f>
        <v>0</v>
      </c>
      <c r="SZO3">
        <f>'[12]Summary Report - 12 Months Endi'!SZN2</f>
        <v>0</v>
      </c>
      <c r="SZP3">
        <f>'[12]Summary Report - 12 Months Endi'!SZO2</f>
        <v>0</v>
      </c>
      <c r="SZQ3">
        <f>'[12]Summary Report - 12 Months Endi'!SZP2</f>
        <v>0</v>
      </c>
      <c r="SZR3">
        <f>'[12]Summary Report - 12 Months Endi'!SZQ2</f>
        <v>0</v>
      </c>
      <c r="SZS3">
        <f>'[12]Summary Report - 12 Months Endi'!SZR2</f>
        <v>0</v>
      </c>
      <c r="SZT3">
        <f>'[12]Summary Report - 12 Months Endi'!SZS2</f>
        <v>0</v>
      </c>
      <c r="SZU3">
        <f>'[12]Summary Report - 12 Months Endi'!SZT2</f>
        <v>0</v>
      </c>
      <c r="SZV3">
        <f>'[12]Summary Report - 12 Months Endi'!SZU2</f>
        <v>0</v>
      </c>
      <c r="SZW3">
        <f>'[12]Summary Report - 12 Months Endi'!SZV2</f>
        <v>0</v>
      </c>
      <c r="SZX3">
        <f>'[12]Summary Report - 12 Months Endi'!SZW2</f>
        <v>0</v>
      </c>
      <c r="SZY3">
        <f>'[12]Summary Report - 12 Months Endi'!SZX2</f>
        <v>0</v>
      </c>
      <c r="SZZ3">
        <f>'[12]Summary Report - 12 Months Endi'!SZY2</f>
        <v>0</v>
      </c>
      <c r="TAA3">
        <f>'[12]Summary Report - 12 Months Endi'!SZZ2</f>
        <v>0</v>
      </c>
      <c r="TAB3">
        <f>'[12]Summary Report - 12 Months Endi'!TAA2</f>
        <v>0</v>
      </c>
      <c r="TAC3">
        <f>'[12]Summary Report - 12 Months Endi'!TAB2</f>
        <v>0</v>
      </c>
      <c r="TAD3">
        <f>'[12]Summary Report - 12 Months Endi'!TAC2</f>
        <v>0</v>
      </c>
      <c r="TAE3">
        <f>'[12]Summary Report - 12 Months Endi'!TAD2</f>
        <v>0</v>
      </c>
      <c r="TAF3">
        <f>'[12]Summary Report - 12 Months Endi'!TAE2</f>
        <v>0</v>
      </c>
      <c r="TAG3">
        <f>'[12]Summary Report - 12 Months Endi'!TAF2</f>
        <v>0</v>
      </c>
      <c r="TAH3">
        <f>'[12]Summary Report - 12 Months Endi'!TAG2</f>
        <v>0</v>
      </c>
      <c r="TAI3">
        <f>'[12]Summary Report - 12 Months Endi'!TAH2</f>
        <v>0</v>
      </c>
      <c r="TAJ3">
        <f>'[12]Summary Report - 12 Months Endi'!TAI2</f>
        <v>0</v>
      </c>
      <c r="TAK3">
        <f>'[12]Summary Report - 12 Months Endi'!TAJ2</f>
        <v>0</v>
      </c>
      <c r="TAL3">
        <f>'[12]Summary Report - 12 Months Endi'!TAK2</f>
        <v>0</v>
      </c>
      <c r="TAM3">
        <f>'[12]Summary Report - 12 Months Endi'!TAL2</f>
        <v>0</v>
      </c>
      <c r="TAN3">
        <f>'[12]Summary Report - 12 Months Endi'!TAM2</f>
        <v>0</v>
      </c>
      <c r="TAO3">
        <f>'[12]Summary Report - 12 Months Endi'!TAN2</f>
        <v>0</v>
      </c>
      <c r="TAP3">
        <f>'[12]Summary Report - 12 Months Endi'!TAO2</f>
        <v>0</v>
      </c>
      <c r="TAQ3">
        <f>'[12]Summary Report - 12 Months Endi'!TAP2</f>
        <v>0</v>
      </c>
      <c r="TAR3">
        <f>'[12]Summary Report - 12 Months Endi'!TAQ2</f>
        <v>0</v>
      </c>
      <c r="TAS3">
        <f>'[12]Summary Report - 12 Months Endi'!TAR2</f>
        <v>0</v>
      </c>
      <c r="TAT3">
        <f>'[12]Summary Report - 12 Months Endi'!TAS2</f>
        <v>0</v>
      </c>
      <c r="TAU3">
        <f>'[12]Summary Report - 12 Months Endi'!TAT2</f>
        <v>0</v>
      </c>
      <c r="TAV3">
        <f>'[12]Summary Report - 12 Months Endi'!TAU2</f>
        <v>0</v>
      </c>
      <c r="TAW3">
        <f>'[12]Summary Report - 12 Months Endi'!TAV2</f>
        <v>0</v>
      </c>
      <c r="TAX3">
        <f>'[12]Summary Report - 12 Months Endi'!TAW2</f>
        <v>0</v>
      </c>
      <c r="TAY3">
        <f>'[12]Summary Report - 12 Months Endi'!TAX2</f>
        <v>0</v>
      </c>
      <c r="TAZ3">
        <f>'[12]Summary Report - 12 Months Endi'!TAY2</f>
        <v>0</v>
      </c>
      <c r="TBA3">
        <f>'[12]Summary Report - 12 Months Endi'!TAZ2</f>
        <v>0</v>
      </c>
      <c r="TBB3">
        <f>'[12]Summary Report - 12 Months Endi'!TBA2</f>
        <v>0</v>
      </c>
      <c r="TBC3">
        <f>'[12]Summary Report - 12 Months Endi'!TBB2</f>
        <v>0</v>
      </c>
      <c r="TBD3">
        <f>'[12]Summary Report - 12 Months Endi'!TBC2</f>
        <v>0</v>
      </c>
      <c r="TBE3">
        <f>'[12]Summary Report - 12 Months Endi'!TBD2</f>
        <v>0</v>
      </c>
      <c r="TBF3">
        <f>'[12]Summary Report - 12 Months Endi'!TBE2</f>
        <v>0</v>
      </c>
      <c r="TBG3">
        <f>'[12]Summary Report - 12 Months Endi'!TBF2</f>
        <v>0</v>
      </c>
      <c r="TBH3">
        <f>'[12]Summary Report - 12 Months Endi'!TBG2</f>
        <v>0</v>
      </c>
      <c r="TBI3">
        <f>'[12]Summary Report - 12 Months Endi'!TBH2</f>
        <v>0</v>
      </c>
      <c r="TBJ3">
        <f>'[12]Summary Report - 12 Months Endi'!TBI2</f>
        <v>0</v>
      </c>
      <c r="TBK3">
        <f>'[12]Summary Report - 12 Months Endi'!TBJ2</f>
        <v>0</v>
      </c>
      <c r="TBL3">
        <f>'[12]Summary Report - 12 Months Endi'!TBK2</f>
        <v>0</v>
      </c>
      <c r="TBM3">
        <f>'[12]Summary Report - 12 Months Endi'!TBL2</f>
        <v>0</v>
      </c>
      <c r="TBN3">
        <f>'[12]Summary Report - 12 Months Endi'!TBM2</f>
        <v>0</v>
      </c>
      <c r="TBO3">
        <f>'[12]Summary Report - 12 Months Endi'!TBN2</f>
        <v>0</v>
      </c>
      <c r="TBP3">
        <f>'[12]Summary Report - 12 Months Endi'!TBO2</f>
        <v>0</v>
      </c>
      <c r="TBQ3">
        <f>'[12]Summary Report - 12 Months Endi'!TBP2</f>
        <v>0</v>
      </c>
      <c r="TBR3">
        <f>'[12]Summary Report - 12 Months Endi'!TBQ2</f>
        <v>0</v>
      </c>
      <c r="TBS3">
        <f>'[12]Summary Report - 12 Months Endi'!TBR2</f>
        <v>0</v>
      </c>
      <c r="TBT3">
        <f>'[12]Summary Report - 12 Months Endi'!TBS2</f>
        <v>0</v>
      </c>
      <c r="TBU3">
        <f>'[12]Summary Report - 12 Months Endi'!TBT2</f>
        <v>0</v>
      </c>
      <c r="TBV3">
        <f>'[12]Summary Report - 12 Months Endi'!TBU2</f>
        <v>0</v>
      </c>
      <c r="TBW3">
        <f>'[12]Summary Report - 12 Months Endi'!TBV2</f>
        <v>0</v>
      </c>
      <c r="TBX3">
        <f>'[12]Summary Report - 12 Months Endi'!TBW2</f>
        <v>0</v>
      </c>
      <c r="TBY3">
        <f>'[12]Summary Report - 12 Months Endi'!TBX2</f>
        <v>0</v>
      </c>
      <c r="TBZ3">
        <f>'[12]Summary Report - 12 Months Endi'!TBY2</f>
        <v>0</v>
      </c>
      <c r="TCA3">
        <f>'[12]Summary Report - 12 Months Endi'!TBZ2</f>
        <v>0</v>
      </c>
      <c r="TCB3">
        <f>'[12]Summary Report - 12 Months Endi'!TCA2</f>
        <v>0</v>
      </c>
      <c r="TCC3">
        <f>'[12]Summary Report - 12 Months Endi'!TCB2</f>
        <v>0</v>
      </c>
      <c r="TCD3">
        <f>'[12]Summary Report - 12 Months Endi'!TCC2</f>
        <v>0</v>
      </c>
      <c r="TCE3">
        <f>'[12]Summary Report - 12 Months Endi'!TCD2</f>
        <v>0</v>
      </c>
      <c r="TCF3">
        <f>'[12]Summary Report - 12 Months Endi'!TCE2</f>
        <v>0</v>
      </c>
      <c r="TCG3">
        <f>'[12]Summary Report - 12 Months Endi'!TCF2</f>
        <v>0</v>
      </c>
      <c r="TCH3">
        <f>'[12]Summary Report - 12 Months Endi'!TCG2</f>
        <v>0</v>
      </c>
      <c r="TCI3">
        <f>'[12]Summary Report - 12 Months Endi'!TCH2</f>
        <v>0</v>
      </c>
      <c r="TCJ3">
        <f>'[12]Summary Report - 12 Months Endi'!TCI2</f>
        <v>0</v>
      </c>
      <c r="TCK3">
        <f>'[12]Summary Report - 12 Months Endi'!TCJ2</f>
        <v>0</v>
      </c>
      <c r="TCL3">
        <f>'[12]Summary Report - 12 Months Endi'!TCK2</f>
        <v>0</v>
      </c>
      <c r="TCM3">
        <f>'[12]Summary Report - 12 Months Endi'!TCL2</f>
        <v>0</v>
      </c>
      <c r="TCN3">
        <f>'[12]Summary Report - 12 Months Endi'!TCM2</f>
        <v>0</v>
      </c>
      <c r="TCO3">
        <f>'[12]Summary Report - 12 Months Endi'!TCN2</f>
        <v>0</v>
      </c>
      <c r="TCP3">
        <f>'[12]Summary Report - 12 Months Endi'!TCO2</f>
        <v>0</v>
      </c>
      <c r="TCQ3">
        <f>'[12]Summary Report - 12 Months Endi'!TCP2</f>
        <v>0</v>
      </c>
      <c r="TCR3">
        <f>'[12]Summary Report - 12 Months Endi'!TCQ2</f>
        <v>0</v>
      </c>
      <c r="TCS3">
        <f>'[12]Summary Report - 12 Months Endi'!TCR2</f>
        <v>0</v>
      </c>
      <c r="TCT3">
        <f>'[12]Summary Report - 12 Months Endi'!TCS2</f>
        <v>0</v>
      </c>
      <c r="TCU3">
        <f>'[12]Summary Report - 12 Months Endi'!TCT2</f>
        <v>0</v>
      </c>
      <c r="TCV3">
        <f>'[12]Summary Report - 12 Months Endi'!TCU2</f>
        <v>0</v>
      </c>
      <c r="TCW3">
        <f>'[12]Summary Report - 12 Months Endi'!TCV2</f>
        <v>0</v>
      </c>
      <c r="TCX3">
        <f>'[12]Summary Report - 12 Months Endi'!TCW2</f>
        <v>0</v>
      </c>
      <c r="TCY3">
        <f>'[12]Summary Report - 12 Months Endi'!TCX2</f>
        <v>0</v>
      </c>
      <c r="TCZ3">
        <f>'[12]Summary Report - 12 Months Endi'!TCY2</f>
        <v>0</v>
      </c>
      <c r="TDA3">
        <f>'[12]Summary Report - 12 Months Endi'!TCZ2</f>
        <v>0</v>
      </c>
      <c r="TDB3">
        <f>'[12]Summary Report - 12 Months Endi'!TDA2</f>
        <v>0</v>
      </c>
      <c r="TDC3">
        <f>'[12]Summary Report - 12 Months Endi'!TDB2</f>
        <v>0</v>
      </c>
      <c r="TDD3">
        <f>'[12]Summary Report - 12 Months Endi'!TDC2</f>
        <v>0</v>
      </c>
      <c r="TDE3">
        <f>'[12]Summary Report - 12 Months Endi'!TDD2</f>
        <v>0</v>
      </c>
      <c r="TDF3">
        <f>'[12]Summary Report - 12 Months Endi'!TDE2</f>
        <v>0</v>
      </c>
      <c r="TDG3">
        <f>'[12]Summary Report - 12 Months Endi'!TDF2</f>
        <v>0</v>
      </c>
      <c r="TDH3">
        <f>'[12]Summary Report - 12 Months Endi'!TDG2</f>
        <v>0</v>
      </c>
      <c r="TDI3">
        <f>'[12]Summary Report - 12 Months Endi'!TDH2</f>
        <v>0</v>
      </c>
      <c r="TDJ3">
        <f>'[12]Summary Report - 12 Months Endi'!TDI2</f>
        <v>0</v>
      </c>
      <c r="TDK3">
        <f>'[12]Summary Report - 12 Months Endi'!TDJ2</f>
        <v>0</v>
      </c>
      <c r="TDL3">
        <f>'[12]Summary Report - 12 Months Endi'!TDK2</f>
        <v>0</v>
      </c>
      <c r="TDM3">
        <f>'[12]Summary Report - 12 Months Endi'!TDL2</f>
        <v>0</v>
      </c>
      <c r="TDN3">
        <f>'[12]Summary Report - 12 Months Endi'!TDM2</f>
        <v>0</v>
      </c>
      <c r="TDO3">
        <f>'[12]Summary Report - 12 Months Endi'!TDN2</f>
        <v>0</v>
      </c>
      <c r="TDP3">
        <f>'[12]Summary Report - 12 Months Endi'!TDO2</f>
        <v>0</v>
      </c>
      <c r="TDQ3">
        <f>'[12]Summary Report - 12 Months Endi'!TDP2</f>
        <v>0</v>
      </c>
      <c r="TDR3">
        <f>'[12]Summary Report - 12 Months Endi'!TDQ2</f>
        <v>0</v>
      </c>
      <c r="TDS3">
        <f>'[12]Summary Report - 12 Months Endi'!TDR2</f>
        <v>0</v>
      </c>
      <c r="TDT3">
        <f>'[12]Summary Report - 12 Months Endi'!TDS2</f>
        <v>0</v>
      </c>
      <c r="TDU3">
        <f>'[12]Summary Report - 12 Months Endi'!TDT2</f>
        <v>0</v>
      </c>
      <c r="TDV3">
        <f>'[12]Summary Report - 12 Months Endi'!TDU2</f>
        <v>0</v>
      </c>
      <c r="TDW3">
        <f>'[12]Summary Report - 12 Months Endi'!TDV2</f>
        <v>0</v>
      </c>
      <c r="TDX3">
        <f>'[12]Summary Report - 12 Months Endi'!TDW2</f>
        <v>0</v>
      </c>
      <c r="TDY3">
        <f>'[12]Summary Report - 12 Months Endi'!TDX2</f>
        <v>0</v>
      </c>
      <c r="TDZ3">
        <f>'[12]Summary Report - 12 Months Endi'!TDY2</f>
        <v>0</v>
      </c>
      <c r="TEA3">
        <f>'[12]Summary Report - 12 Months Endi'!TDZ2</f>
        <v>0</v>
      </c>
      <c r="TEB3">
        <f>'[12]Summary Report - 12 Months Endi'!TEA2</f>
        <v>0</v>
      </c>
      <c r="TEC3">
        <f>'[12]Summary Report - 12 Months Endi'!TEB2</f>
        <v>0</v>
      </c>
      <c r="TED3">
        <f>'[12]Summary Report - 12 Months Endi'!TEC2</f>
        <v>0</v>
      </c>
      <c r="TEE3">
        <f>'[12]Summary Report - 12 Months Endi'!TED2</f>
        <v>0</v>
      </c>
      <c r="TEF3">
        <f>'[12]Summary Report - 12 Months Endi'!TEE2</f>
        <v>0</v>
      </c>
      <c r="TEG3">
        <f>'[12]Summary Report - 12 Months Endi'!TEF2</f>
        <v>0</v>
      </c>
      <c r="TEH3">
        <f>'[12]Summary Report - 12 Months Endi'!TEG2</f>
        <v>0</v>
      </c>
      <c r="TEI3">
        <f>'[12]Summary Report - 12 Months Endi'!TEH2</f>
        <v>0</v>
      </c>
      <c r="TEJ3">
        <f>'[12]Summary Report - 12 Months Endi'!TEI2</f>
        <v>0</v>
      </c>
      <c r="TEK3">
        <f>'[12]Summary Report - 12 Months Endi'!TEJ2</f>
        <v>0</v>
      </c>
      <c r="TEL3">
        <f>'[12]Summary Report - 12 Months Endi'!TEK2</f>
        <v>0</v>
      </c>
      <c r="TEM3">
        <f>'[12]Summary Report - 12 Months Endi'!TEL2</f>
        <v>0</v>
      </c>
      <c r="TEN3">
        <f>'[12]Summary Report - 12 Months Endi'!TEM2</f>
        <v>0</v>
      </c>
      <c r="TEO3">
        <f>'[12]Summary Report - 12 Months Endi'!TEN2</f>
        <v>0</v>
      </c>
      <c r="TEP3">
        <f>'[12]Summary Report - 12 Months Endi'!TEO2</f>
        <v>0</v>
      </c>
      <c r="TEQ3">
        <f>'[12]Summary Report - 12 Months Endi'!TEP2</f>
        <v>0</v>
      </c>
      <c r="TER3">
        <f>'[12]Summary Report - 12 Months Endi'!TEQ2</f>
        <v>0</v>
      </c>
      <c r="TES3">
        <f>'[12]Summary Report - 12 Months Endi'!TER2</f>
        <v>0</v>
      </c>
      <c r="TET3">
        <f>'[12]Summary Report - 12 Months Endi'!TES2</f>
        <v>0</v>
      </c>
      <c r="TEU3">
        <f>'[12]Summary Report - 12 Months Endi'!TET2</f>
        <v>0</v>
      </c>
      <c r="TEV3">
        <f>'[12]Summary Report - 12 Months Endi'!TEU2</f>
        <v>0</v>
      </c>
      <c r="TEW3">
        <f>'[12]Summary Report - 12 Months Endi'!TEV2</f>
        <v>0</v>
      </c>
      <c r="TEX3">
        <f>'[12]Summary Report - 12 Months Endi'!TEW2</f>
        <v>0</v>
      </c>
      <c r="TEY3">
        <f>'[12]Summary Report - 12 Months Endi'!TEX2</f>
        <v>0</v>
      </c>
      <c r="TEZ3">
        <f>'[12]Summary Report - 12 Months Endi'!TEY2</f>
        <v>0</v>
      </c>
      <c r="TFA3">
        <f>'[12]Summary Report - 12 Months Endi'!TEZ2</f>
        <v>0</v>
      </c>
      <c r="TFB3">
        <f>'[12]Summary Report - 12 Months Endi'!TFA2</f>
        <v>0</v>
      </c>
      <c r="TFC3">
        <f>'[12]Summary Report - 12 Months Endi'!TFB2</f>
        <v>0</v>
      </c>
      <c r="TFD3">
        <f>'[12]Summary Report - 12 Months Endi'!TFC2</f>
        <v>0</v>
      </c>
      <c r="TFE3">
        <f>'[12]Summary Report - 12 Months Endi'!TFD2</f>
        <v>0</v>
      </c>
      <c r="TFF3">
        <f>'[12]Summary Report - 12 Months Endi'!TFE2</f>
        <v>0</v>
      </c>
      <c r="TFG3">
        <f>'[12]Summary Report - 12 Months Endi'!TFF2</f>
        <v>0</v>
      </c>
      <c r="TFH3">
        <f>'[12]Summary Report - 12 Months Endi'!TFG2</f>
        <v>0</v>
      </c>
      <c r="TFI3">
        <f>'[12]Summary Report - 12 Months Endi'!TFH2</f>
        <v>0</v>
      </c>
      <c r="TFJ3">
        <f>'[12]Summary Report - 12 Months Endi'!TFI2</f>
        <v>0</v>
      </c>
      <c r="TFK3">
        <f>'[12]Summary Report - 12 Months Endi'!TFJ2</f>
        <v>0</v>
      </c>
      <c r="TFL3">
        <f>'[12]Summary Report - 12 Months Endi'!TFK2</f>
        <v>0</v>
      </c>
      <c r="TFM3">
        <f>'[12]Summary Report - 12 Months Endi'!TFL2</f>
        <v>0</v>
      </c>
      <c r="TFN3">
        <f>'[12]Summary Report - 12 Months Endi'!TFM2</f>
        <v>0</v>
      </c>
      <c r="TFO3">
        <f>'[12]Summary Report - 12 Months Endi'!TFN2</f>
        <v>0</v>
      </c>
      <c r="TFP3">
        <f>'[12]Summary Report - 12 Months Endi'!TFO2</f>
        <v>0</v>
      </c>
      <c r="TFQ3">
        <f>'[12]Summary Report - 12 Months Endi'!TFP2</f>
        <v>0</v>
      </c>
      <c r="TFR3">
        <f>'[12]Summary Report - 12 Months Endi'!TFQ2</f>
        <v>0</v>
      </c>
      <c r="TFS3">
        <f>'[12]Summary Report - 12 Months Endi'!TFR2</f>
        <v>0</v>
      </c>
      <c r="TFT3">
        <f>'[12]Summary Report - 12 Months Endi'!TFS2</f>
        <v>0</v>
      </c>
      <c r="TFU3">
        <f>'[12]Summary Report - 12 Months Endi'!TFT2</f>
        <v>0</v>
      </c>
      <c r="TFV3">
        <f>'[12]Summary Report - 12 Months Endi'!TFU2</f>
        <v>0</v>
      </c>
      <c r="TFW3">
        <f>'[12]Summary Report - 12 Months Endi'!TFV2</f>
        <v>0</v>
      </c>
      <c r="TFX3">
        <f>'[12]Summary Report - 12 Months Endi'!TFW2</f>
        <v>0</v>
      </c>
      <c r="TFY3">
        <f>'[12]Summary Report - 12 Months Endi'!TFX2</f>
        <v>0</v>
      </c>
      <c r="TFZ3">
        <f>'[12]Summary Report - 12 Months Endi'!TFY2</f>
        <v>0</v>
      </c>
      <c r="TGA3">
        <f>'[12]Summary Report - 12 Months Endi'!TFZ2</f>
        <v>0</v>
      </c>
      <c r="TGB3">
        <f>'[12]Summary Report - 12 Months Endi'!TGA2</f>
        <v>0</v>
      </c>
      <c r="TGC3">
        <f>'[12]Summary Report - 12 Months Endi'!TGB2</f>
        <v>0</v>
      </c>
      <c r="TGD3">
        <f>'[12]Summary Report - 12 Months Endi'!TGC2</f>
        <v>0</v>
      </c>
      <c r="TGE3">
        <f>'[12]Summary Report - 12 Months Endi'!TGD2</f>
        <v>0</v>
      </c>
      <c r="TGF3">
        <f>'[12]Summary Report - 12 Months Endi'!TGE2</f>
        <v>0</v>
      </c>
      <c r="TGG3">
        <f>'[12]Summary Report - 12 Months Endi'!TGF2</f>
        <v>0</v>
      </c>
      <c r="TGH3">
        <f>'[12]Summary Report - 12 Months Endi'!TGG2</f>
        <v>0</v>
      </c>
      <c r="TGI3">
        <f>'[12]Summary Report - 12 Months Endi'!TGH2</f>
        <v>0</v>
      </c>
      <c r="TGJ3">
        <f>'[12]Summary Report - 12 Months Endi'!TGI2</f>
        <v>0</v>
      </c>
      <c r="TGK3">
        <f>'[12]Summary Report - 12 Months Endi'!TGJ2</f>
        <v>0</v>
      </c>
      <c r="TGL3">
        <f>'[12]Summary Report - 12 Months Endi'!TGK2</f>
        <v>0</v>
      </c>
      <c r="TGM3">
        <f>'[12]Summary Report - 12 Months Endi'!TGL2</f>
        <v>0</v>
      </c>
      <c r="TGN3">
        <f>'[12]Summary Report - 12 Months Endi'!TGM2</f>
        <v>0</v>
      </c>
      <c r="TGO3">
        <f>'[12]Summary Report - 12 Months Endi'!TGN2</f>
        <v>0</v>
      </c>
      <c r="TGP3">
        <f>'[12]Summary Report - 12 Months Endi'!TGO2</f>
        <v>0</v>
      </c>
      <c r="TGQ3">
        <f>'[12]Summary Report - 12 Months Endi'!TGP2</f>
        <v>0</v>
      </c>
      <c r="TGR3">
        <f>'[12]Summary Report - 12 Months Endi'!TGQ2</f>
        <v>0</v>
      </c>
      <c r="TGS3">
        <f>'[12]Summary Report - 12 Months Endi'!TGR2</f>
        <v>0</v>
      </c>
      <c r="TGT3">
        <f>'[12]Summary Report - 12 Months Endi'!TGS2</f>
        <v>0</v>
      </c>
      <c r="TGU3">
        <f>'[12]Summary Report - 12 Months Endi'!TGT2</f>
        <v>0</v>
      </c>
      <c r="TGV3">
        <f>'[12]Summary Report - 12 Months Endi'!TGU2</f>
        <v>0</v>
      </c>
      <c r="TGW3">
        <f>'[12]Summary Report - 12 Months Endi'!TGV2</f>
        <v>0</v>
      </c>
      <c r="TGX3">
        <f>'[12]Summary Report - 12 Months Endi'!TGW2</f>
        <v>0</v>
      </c>
      <c r="TGY3">
        <f>'[12]Summary Report - 12 Months Endi'!TGX2</f>
        <v>0</v>
      </c>
      <c r="TGZ3">
        <f>'[12]Summary Report - 12 Months Endi'!TGY2</f>
        <v>0</v>
      </c>
      <c r="THA3">
        <f>'[12]Summary Report - 12 Months Endi'!TGZ2</f>
        <v>0</v>
      </c>
      <c r="THB3">
        <f>'[12]Summary Report - 12 Months Endi'!THA2</f>
        <v>0</v>
      </c>
      <c r="THC3">
        <f>'[12]Summary Report - 12 Months Endi'!THB2</f>
        <v>0</v>
      </c>
      <c r="THD3">
        <f>'[12]Summary Report - 12 Months Endi'!THC2</f>
        <v>0</v>
      </c>
      <c r="THE3">
        <f>'[12]Summary Report - 12 Months Endi'!THD2</f>
        <v>0</v>
      </c>
      <c r="THF3">
        <f>'[12]Summary Report - 12 Months Endi'!THE2</f>
        <v>0</v>
      </c>
      <c r="THG3">
        <f>'[12]Summary Report - 12 Months Endi'!THF2</f>
        <v>0</v>
      </c>
      <c r="THH3">
        <f>'[12]Summary Report - 12 Months Endi'!THG2</f>
        <v>0</v>
      </c>
      <c r="THI3">
        <f>'[12]Summary Report - 12 Months Endi'!THH2</f>
        <v>0</v>
      </c>
      <c r="THJ3">
        <f>'[12]Summary Report - 12 Months Endi'!THI2</f>
        <v>0</v>
      </c>
      <c r="THK3">
        <f>'[12]Summary Report - 12 Months Endi'!THJ2</f>
        <v>0</v>
      </c>
      <c r="THL3">
        <f>'[12]Summary Report - 12 Months Endi'!THK2</f>
        <v>0</v>
      </c>
      <c r="THM3">
        <f>'[12]Summary Report - 12 Months Endi'!THL2</f>
        <v>0</v>
      </c>
      <c r="THN3">
        <f>'[12]Summary Report - 12 Months Endi'!THM2</f>
        <v>0</v>
      </c>
      <c r="THO3">
        <f>'[12]Summary Report - 12 Months Endi'!THN2</f>
        <v>0</v>
      </c>
      <c r="THP3">
        <f>'[12]Summary Report - 12 Months Endi'!THO2</f>
        <v>0</v>
      </c>
      <c r="THQ3">
        <f>'[12]Summary Report - 12 Months Endi'!THP2</f>
        <v>0</v>
      </c>
      <c r="THR3">
        <f>'[12]Summary Report - 12 Months Endi'!THQ2</f>
        <v>0</v>
      </c>
      <c r="THS3">
        <f>'[12]Summary Report - 12 Months Endi'!THR2</f>
        <v>0</v>
      </c>
      <c r="THT3">
        <f>'[12]Summary Report - 12 Months Endi'!THS2</f>
        <v>0</v>
      </c>
      <c r="THU3">
        <f>'[12]Summary Report - 12 Months Endi'!THT2</f>
        <v>0</v>
      </c>
      <c r="THV3">
        <f>'[12]Summary Report - 12 Months Endi'!THU2</f>
        <v>0</v>
      </c>
      <c r="THW3">
        <f>'[12]Summary Report - 12 Months Endi'!THV2</f>
        <v>0</v>
      </c>
      <c r="THX3">
        <f>'[12]Summary Report - 12 Months Endi'!THW2</f>
        <v>0</v>
      </c>
      <c r="THY3">
        <f>'[12]Summary Report - 12 Months Endi'!THX2</f>
        <v>0</v>
      </c>
      <c r="THZ3">
        <f>'[12]Summary Report - 12 Months Endi'!THY2</f>
        <v>0</v>
      </c>
      <c r="TIA3">
        <f>'[12]Summary Report - 12 Months Endi'!THZ2</f>
        <v>0</v>
      </c>
      <c r="TIB3">
        <f>'[12]Summary Report - 12 Months Endi'!TIA2</f>
        <v>0</v>
      </c>
      <c r="TIC3">
        <f>'[12]Summary Report - 12 Months Endi'!TIB2</f>
        <v>0</v>
      </c>
      <c r="TID3">
        <f>'[12]Summary Report - 12 Months Endi'!TIC2</f>
        <v>0</v>
      </c>
      <c r="TIE3">
        <f>'[12]Summary Report - 12 Months Endi'!TID2</f>
        <v>0</v>
      </c>
      <c r="TIF3">
        <f>'[12]Summary Report - 12 Months Endi'!TIE2</f>
        <v>0</v>
      </c>
      <c r="TIG3">
        <f>'[12]Summary Report - 12 Months Endi'!TIF2</f>
        <v>0</v>
      </c>
      <c r="TIH3">
        <f>'[12]Summary Report - 12 Months Endi'!TIG2</f>
        <v>0</v>
      </c>
      <c r="TII3">
        <f>'[12]Summary Report - 12 Months Endi'!TIH2</f>
        <v>0</v>
      </c>
      <c r="TIJ3">
        <f>'[12]Summary Report - 12 Months Endi'!TII2</f>
        <v>0</v>
      </c>
      <c r="TIK3">
        <f>'[12]Summary Report - 12 Months Endi'!TIJ2</f>
        <v>0</v>
      </c>
      <c r="TIL3">
        <f>'[12]Summary Report - 12 Months Endi'!TIK2</f>
        <v>0</v>
      </c>
      <c r="TIM3">
        <f>'[12]Summary Report - 12 Months Endi'!TIL2</f>
        <v>0</v>
      </c>
      <c r="TIN3">
        <f>'[12]Summary Report - 12 Months Endi'!TIM2</f>
        <v>0</v>
      </c>
      <c r="TIO3">
        <f>'[12]Summary Report - 12 Months Endi'!TIN2</f>
        <v>0</v>
      </c>
      <c r="TIP3">
        <f>'[12]Summary Report - 12 Months Endi'!TIO2</f>
        <v>0</v>
      </c>
      <c r="TIQ3">
        <f>'[12]Summary Report - 12 Months Endi'!TIP2</f>
        <v>0</v>
      </c>
      <c r="TIR3">
        <f>'[12]Summary Report - 12 Months Endi'!TIQ2</f>
        <v>0</v>
      </c>
      <c r="TIS3">
        <f>'[12]Summary Report - 12 Months Endi'!TIR2</f>
        <v>0</v>
      </c>
      <c r="TIT3">
        <f>'[12]Summary Report - 12 Months Endi'!TIS2</f>
        <v>0</v>
      </c>
      <c r="TIU3">
        <f>'[12]Summary Report - 12 Months Endi'!TIT2</f>
        <v>0</v>
      </c>
      <c r="TIV3">
        <f>'[12]Summary Report - 12 Months Endi'!TIU2</f>
        <v>0</v>
      </c>
      <c r="TIW3">
        <f>'[12]Summary Report - 12 Months Endi'!TIV2</f>
        <v>0</v>
      </c>
      <c r="TIX3">
        <f>'[12]Summary Report - 12 Months Endi'!TIW2</f>
        <v>0</v>
      </c>
      <c r="TIY3">
        <f>'[12]Summary Report - 12 Months Endi'!TIX2</f>
        <v>0</v>
      </c>
      <c r="TIZ3">
        <f>'[12]Summary Report - 12 Months Endi'!TIY2</f>
        <v>0</v>
      </c>
      <c r="TJA3">
        <f>'[12]Summary Report - 12 Months Endi'!TIZ2</f>
        <v>0</v>
      </c>
      <c r="TJB3">
        <f>'[12]Summary Report - 12 Months Endi'!TJA2</f>
        <v>0</v>
      </c>
      <c r="TJC3">
        <f>'[12]Summary Report - 12 Months Endi'!TJB2</f>
        <v>0</v>
      </c>
      <c r="TJD3">
        <f>'[12]Summary Report - 12 Months Endi'!TJC2</f>
        <v>0</v>
      </c>
      <c r="TJE3">
        <f>'[12]Summary Report - 12 Months Endi'!TJD2</f>
        <v>0</v>
      </c>
      <c r="TJF3">
        <f>'[12]Summary Report - 12 Months Endi'!TJE2</f>
        <v>0</v>
      </c>
      <c r="TJG3">
        <f>'[12]Summary Report - 12 Months Endi'!TJF2</f>
        <v>0</v>
      </c>
      <c r="TJH3">
        <f>'[12]Summary Report - 12 Months Endi'!TJG2</f>
        <v>0</v>
      </c>
      <c r="TJI3">
        <f>'[12]Summary Report - 12 Months Endi'!TJH2</f>
        <v>0</v>
      </c>
      <c r="TJJ3">
        <f>'[12]Summary Report - 12 Months Endi'!TJI2</f>
        <v>0</v>
      </c>
      <c r="TJK3">
        <f>'[12]Summary Report - 12 Months Endi'!TJJ2</f>
        <v>0</v>
      </c>
      <c r="TJL3">
        <f>'[12]Summary Report - 12 Months Endi'!TJK2</f>
        <v>0</v>
      </c>
      <c r="TJM3">
        <f>'[12]Summary Report - 12 Months Endi'!TJL2</f>
        <v>0</v>
      </c>
      <c r="TJN3">
        <f>'[12]Summary Report - 12 Months Endi'!TJM2</f>
        <v>0</v>
      </c>
      <c r="TJO3">
        <f>'[12]Summary Report - 12 Months Endi'!TJN2</f>
        <v>0</v>
      </c>
      <c r="TJP3">
        <f>'[12]Summary Report - 12 Months Endi'!TJO2</f>
        <v>0</v>
      </c>
      <c r="TJQ3">
        <f>'[12]Summary Report - 12 Months Endi'!TJP2</f>
        <v>0</v>
      </c>
      <c r="TJR3">
        <f>'[12]Summary Report - 12 Months Endi'!TJQ2</f>
        <v>0</v>
      </c>
      <c r="TJS3">
        <f>'[12]Summary Report - 12 Months Endi'!TJR2</f>
        <v>0</v>
      </c>
      <c r="TJT3">
        <f>'[12]Summary Report - 12 Months Endi'!TJS2</f>
        <v>0</v>
      </c>
      <c r="TJU3">
        <f>'[12]Summary Report - 12 Months Endi'!TJT2</f>
        <v>0</v>
      </c>
      <c r="TJV3">
        <f>'[12]Summary Report - 12 Months Endi'!TJU2</f>
        <v>0</v>
      </c>
      <c r="TJW3">
        <f>'[12]Summary Report - 12 Months Endi'!TJV2</f>
        <v>0</v>
      </c>
      <c r="TJX3">
        <f>'[12]Summary Report - 12 Months Endi'!TJW2</f>
        <v>0</v>
      </c>
      <c r="TJY3">
        <f>'[12]Summary Report - 12 Months Endi'!TJX2</f>
        <v>0</v>
      </c>
      <c r="TJZ3">
        <f>'[12]Summary Report - 12 Months Endi'!TJY2</f>
        <v>0</v>
      </c>
      <c r="TKA3">
        <f>'[12]Summary Report - 12 Months Endi'!TJZ2</f>
        <v>0</v>
      </c>
      <c r="TKB3">
        <f>'[12]Summary Report - 12 Months Endi'!TKA2</f>
        <v>0</v>
      </c>
      <c r="TKC3">
        <f>'[12]Summary Report - 12 Months Endi'!TKB2</f>
        <v>0</v>
      </c>
      <c r="TKD3">
        <f>'[12]Summary Report - 12 Months Endi'!TKC2</f>
        <v>0</v>
      </c>
      <c r="TKE3">
        <f>'[12]Summary Report - 12 Months Endi'!TKD2</f>
        <v>0</v>
      </c>
      <c r="TKF3">
        <f>'[12]Summary Report - 12 Months Endi'!TKE2</f>
        <v>0</v>
      </c>
      <c r="TKG3">
        <f>'[12]Summary Report - 12 Months Endi'!TKF2</f>
        <v>0</v>
      </c>
      <c r="TKH3">
        <f>'[12]Summary Report - 12 Months Endi'!TKG2</f>
        <v>0</v>
      </c>
      <c r="TKI3">
        <f>'[12]Summary Report - 12 Months Endi'!TKH2</f>
        <v>0</v>
      </c>
      <c r="TKJ3">
        <f>'[12]Summary Report - 12 Months Endi'!TKI2</f>
        <v>0</v>
      </c>
      <c r="TKK3">
        <f>'[12]Summary Report - 12 Months Endi'!TKJ2</f>
        <v>0</v>
      </c>
      <c r="TKL3">
        <f>'[12]Summary Report - 12 Months Endi'!TKK2</f>
        <v>0</v>
      </c>
      <c r="TKM3">
        <f>'[12]Summary Report - 12 Months Endi'!TKL2</f>
        <v>0</v>
      </c>
      <c r="TKN3">
        <f>'[12]Summary Report - 12 Months Endi'!TKM2</f>
        <v>0</v>
      </c>
      <c r="TKO3">
        <f>'[12]Summary Report - 12 Months Endi'!TKN2</f>
        <v>0</v>
      </c>
      <c r="TKP3">
        <f>'[12]Summary Report - 12 Months Endi'!TKO2</f>
        <v>0</v>
      </c>
      <c r="TKQ3">
        <f>'[12]Summary Report - 12 Months Endi'!TKP2</f>
        <v>0</v>
      </c>
      <c r="TKR3">
        <f>'[12]Summary Report - 12 Months Endi'!TKQ2</f>
        <v>0</v>
      </c>
      <c r="TKS3">
        <f>'[12]Summary Report - 12 Months Endi'!TKR2</f>
        <v>0</v>
      </c>
      <c r="TKT3">
        <f>'[12]Summary Report - 12 Months Endi'!TKS2</f>
        <v>0</v>
      </c>
      <c r="TKU3">
        <f>'[12]Summary Report - 12 Months Endi'!TKT2</f>
        <v>0</v>
      </c>
      <c r="TKV3">
        <f>'[12]Summary Report - 12 Months Endi'!TKU2</f>
        <v>0</v>
      </c>
      <c r="TKW3">
        <f>'[12]Summary Report - 12 Months Endi'!TKV2</f>
        <v>0</v>
      </c>
      <c r="TKX3">
        <f>'[12]Summary Report - 12 Months Endi'!TKW2</f>
        <v>0</v>
      </c>
      <c r="TKY3">
        <f>'[12]Summary Report - 12 Months Endi'!TKX2</f>
        <v>0</v>
      </c>
      <c r="TKZ3">
        <f>'[12]Summary Report - 12 Months Endi'!TKY2</f>
        <v>0</v>
      </c>
      <c r="TLA3">
        <f>'[12]Summary Report - 12 Months Endi'!TKZ2</f>
        <v>0</v>
      </c>
      <c r="TLB3">
        <f>'[12]Summary Report - 12 Months Endi'!TLA2</f>
        <v>0</v>
      </c>
      <c r="TLC3">
        <f>'[12]Summary Report - 12 Months Endi'!TLB2</f>
        <v>0</v>
      </c>
      <c r="TLD3">
        <f>'[12]Summary Report - 12 Months Endi'!TLC2</f>
        <v>0</v>
      </c>
      <c r="TLE3">
        <f>'[12]Summary Report - 12 Months Endi'!TLD2</f>
        <v>0</v>
      </c>
      <c r="TLF3">
        <f>'[12]Summary Report - 12 Months Endi'!TLE2</f>
        <v>0</v>
      </c>
      <c r="TLG3">
        <f>'[12]Summary Report - 12 Months Endi'!TLF2</f>
        <v>0</v>
      </c>
      <c r="TLH3">
        <f>'[12]Summary Report - 12 Months Endi'!TLG2</f>
        <v>0</v>
      </c>
      <c r="TLI3">
        <f>'[12]Summary Report - 12 Months Endi'!TLH2</f>
        <v>0</v>
      </c>
      <c r="TLJ3">
        <f>'[12]Summary Report - 12 Months Endi'!TLI2</f>
        <v>0</v>
      </c>
      <c r="TLK3">
        <f>'[12]Summary Report - 12 Months Endi'!TLJ2</f>
        <v>0</v>
      </c>
      <c r="TLL3">
        <f>'[12]Summary Report - 12 Months Endi'!TLK2</f>
        <v>0</v>
      </c>
      <c r="TLM3">
        <f>'[12]Summary Report - 12 Months Endi'!TLL2</f>
        <v>0</v>
      </c>
      <c r="TLN3">
        <f>'[12]Summary Report - 12 Months Endi'!TLM2</f>
        <v>0</v>
      </c>
      <c r="TLO3">
        <f>'[12]Summary Report - 12 Months Endi'!TLN2</f>
        <v>0</v>
      </c>
      <c r="TLP3">
        <f>'[12]Summary Report - 12 Months Endi'!TLO2</f>
        <v>0</v>
      </c>
      <c r="TLQ3">
        <f>'[12]Summary Report - 12 Months Endi'!TLP2</f>
        <v>0</v>
      </c>
      <c r="TLR3">
        <f>'[12]Summary Report - 12 Months Endi'!TLQ2</f>
        <v>0</v>
      </c>
      <c r="TLS3">
        <f>'[12]Summary Report - 12 Months Endi'!TLR2</f>
        <v>0</v>
      </c>
      <c r="TLT3">
        <f>'[12]Summary Report - 12 Months Endi'!TLS2</f>
        <v>0</v>
      </c>
      <c r="TLU3">
        <f>'[12]Summary Report - 12 Months Endi'!TLT2</f>
        <v>0</v>
      </c>
      <c r="TLV3">
        <f>'[12]Summary Report - 12 Months Endi'!TLU2</f>
        <v>0</v>
      </c>
      <c r="TLW3">
        <f>'[12]Summary Report - 12 Months Endi'!TLV2</f>
        <v>0</v>
      </c>
      <c r="TLX3">
        <f>'[12]Summary Report - 12 Months Endi'!TLW2</f>
        <v>0</v>
      </c>
      <c r="TLY3">
        <f>'[12]Summary Report - 12 Months Endi'!TLX2</f>
        <v>0</v>
      </c>
      <c r="TLZ3">
        <f>'[12]Summary Report - 12 Months Endi'!TLY2</f>
        <v>0</v>
      </c>
      <c r="TMA3">
        <f>'[12]Summary Report - 12 Months Endi'!TLZ2</f>
        <v>0</v>
      </c>
      <c r="TMB3">
        <f>'[12]Summary Report - 12 Months Endi'!TMA2</f>
        <v>0</v>
      </c>
      <c r="TMC3">
        <f>'[12]Summary Report - 12 Months Endi'!TMB2</f>
        <v>0</v>
      </c>
      <c r="TMD3">
        <f>'[12]Summary Report - 12 Months Endi'!TMC2</f>
        <v>0</v>
      </c>
      <c r="TME3">
        <f>'[12]Summary Report - 12 Months Endi'!TMD2</f>
        <v>0</v>
      </c>
      <c r="TMF3">
        <f>'[12]Summary Report - 12 Months Endi'!TME2</f>
        <v>0</v>
      </c>
      <c r="TMG3">
        <f>'[12]Summary Report - 12 Months Endi'!TMF2</f>
        <v>0</v>
      </c>
      <c r="TMH3">
        <f>'[12]Summary Report - 12 Months Endi'!TMG2</f>
        <v>0</v>
      </c>
      <c r="TMI3">
        <f>'[12]Summary Report - 12 Months Endi'!TMH2</f>
        <v>0</v>
      </c>
      <c r="TMJ3">
        <f>'[12]Summary Report - 12 Months Endi'!TMI2</f>
        <v>0</v>
      </c>
      <c r="TMK3">
        <f>'[12]Summary Report - 12 Months Endi'!TMJ2</f>
        <v>0</v>
      </c>
      <c r="TML3">
        <f>'[12]Summary Report - 12 Months Endi'!TMK2</f>
        <v>0</v>
      </c>
      <c r="TMM3">
        <f>'[12]Summary Report - 12 Months Endi'!TML2</f>
        <v>0</v>
      </c>
      <c r="TMN3">
        <f>'[12]Summary Report - 12 Months Endi'!TMM2</f>
        <v>0</v>
      </c>
      <c r="TMO3">
        <f>'[12]Summary Report - 12 Months Endi'!TMN2</f>
        <v>0</v>
      </c>
      <c r="TMP3">
        <f>'[12]Summary Report - 12 Months Endi'!TMO2</f>
        <v>0</v>
      </c>
      <c r="TMQ3">
        <f>'[12]Summary Report - 12 Months Endi'!TMP2</f>
        <v>0</v>
      </c>
      <c r="TMR3">
        <f>'[12]Summary Report - 12 Months Endi'!TMQ2</f>
        <v>0</v>
      </c>
      <c r="TMS3">
        <f>'[12]Summary Report - 12 Months Endi'!TMR2</f>
        <v>0</v>
      </c>
      <c r="TMT3">
        <f>'[12]Summary Report - 12 Months Endi'!TMS2</f>
        <v>0</v>
      </c>
      <c r="TMU3">
        <f>'[12]Summary Report - 12 Months Endi'!TMT2</f>
        <v>0</v>
      </c>
      <c r="TMV3">
        <f>'[12]Summary Report - 12 Months Endi'!TMU2</f>
        <v>0</v>
      </c>
      <c r="TMW3">
        <f>'[12]Summary Report - 12 Months Endi'!TMV2</f>
        <v>0</v>
      </c>
      <c r="TMX3">
        <f>'[12]Summary Report - 12 Months Endi'!TMW2</f>
        <v>0</v>
      </c>
      <c r="TMY3">
        <f>'[12]Summary Report - 12 Months Endi'!TMX2</f>
        <v>0</v>
      </c>
      <c r="TMZ3">
        <f>'[12]Summary Report - 12 Months Endi'!TMY2</f>
        <v>0</v>
      </c>
      <c r="TNA3">
        <f>'[12]Summary Report - 12 Months Endi'!TMZ2</f>
        <v>0</v>
      </c>
      <c r="TNB3">
        <f>'[12]Summary Report - 12 Months Endi'!TNA2</f>
        <v>0</v>
      </c>
      <c r="TNC3">
        <f>'[12]Summary Report - 12 Months Endi'!TNB2</f>
        <v>0</v>
      </c>
      <c r="TND3">
        <f>'[12]Summary Report - 12 Months Endi'!TNC2</f>
        <v>0</v>
      </c>
      <c r="TNE3">
        <f>'[12]Summary Report - 12 Months Endi'!TND2</f>
        <v>0</v>
      </c>
      <c r="TNF3">
        <f>'[12]Summary Report - 12 Months Endi'!TNE2</f>
        <v>0</v>
      </c>
      <c r="TNG3">
        <f>'[12]Summary Report - 12 Months Endi'!TNF2</f>
        <v>0</v>
      </c>
      <c r="TNH3">
        <f>'[12]Summary Report - 12 Months Endi'!TNG2</f>
        <v>0</v>
      </c>
      <c r="TNI3">
        <f>'[12]Summary Report - 12 Months Endi'!TNH2</f>
        <v>0</v>
      </c>
      <c r="TNJ3">
        <f>'[12]Summary Report - 12 Months Endi'!TNI2</f>
        <v>0</v>
      </c>
      <c r="TNK3">
        <f>'[12]Summary Report - 12 Months Endi'!TNJ2</f>
        <v>0</v>
      </c>
      <c r="TNL3">
        <f>'[12]Summary Report - 12 Months Endi'!TNK2</f>
        <v>0</v>
      </c>
      <c r="TNM3">
        <f>'[12]Summary Report - 12 Months Endi'!TNL2</f>
        <v>0</v>
      </c>
      <c r="TNN3">
        <f>'[12]Summary Report - 12 Months Endi'!TNM2</f>
        <v>0</v>
      </c>
      <c r="TNO3">
        <f>'[12]Summary Report - 12 Months Endi'!TNN2</f>
        <v>0</v>
      </c>
      <c r="TNP3">
        <f>'[12]Summary Report - 12 Months Endi'!TNO2</f>
        <v>0</v>
      </c>
      <c r="TNQ3">
        <f>'[12]Summary Report - 12 Months Endi'!TNP2</f>
        <v>0</v>
      </c>
      <c r="TNR3">
        <f>'[12]Summary Report - 12 Months Endi'!TNQ2</f>
        <v>0</v>
      </c>
      <c r="TNS3">
        <f>'[12]Summary Report - 12 Months Endi'!TNR2</f>
        <v>0</v>
      </c>
      <c r="TNT3">
        <f>'[12]Summary Report - 12 Months Endi'!TNS2</f>
        <v>0</v>
      </c>
      <c r="TNU3">
        <f>'[12]Summary Report - 12 Months Endi'!TNT2</f>
        <v>0</v>
      </c>
      <c r="TNV3">
        <f>'[12]Summary Report - 12 Months Endi'!TNU2</f>
        <v>0</v>
      </c>
      <c r="TNW3">
        <f>'[12]Summary Report - 12 Months Endi'!TNV2</f>
        <v>0</v>
      </c>
      <c r="TNX3">
        <f>'[12]Summary Report - 12 Months Endi'!TNW2</f>
        <v>0</v>
      </c>
      <c r="TNY3">
        <f>'[12]Summary Report - 12 Months Endi'!TNX2</f>
        <v>0</v>
      </c>
      <c r="TNZ3">
        <f>'[12]Summary Report - 12 Months Endi'!TNY2</f>
        <v>0</v>
      </c>
      <c r="TOA3">
        <f>'[12]Summary Report - 12 Months Endi'!TNZ2</f>
        <v>0</v>
      </c>
      <c r="TOB3">
        <f>'[12]Summary Report - 12 Months Endi'!TOA2</f>
        <v>0</v>
      </c>
      <c r="TOC3">
        <f>'[12]Summary Report - 12 Months Endi'!TOB2</f>
        <v>0</v>
      </c>
      <c r="TOD3">
        <f>'[12]Summary Report - 12 Months Endi'!TOC2</f>
        <v>0</v>
      </c>
      <c r="TOE3">
        <f>'[12]Summary Report - 12 Months Endi'!TOD2</f>
        <v>0</v>
      </c>
      <c r="TOF3">
        <f>'[12]Summary Report - 12 Months Endi'!TOE2</f>
        <v>0</v>
      </c>
      <c r="TOG3">
        <f>'[12]Summary Report - 12 Months Endi'!TOF2</f>
        <v>0</v>
      </c>
      <c r="TOH3">
        <f>'[12]Summary Report - 12 Months Endi'!TOG2</f>
        <v>0</v>
      </c>
      <c r="TOI3">
        <f>'[12]Summary Report - 12 Months Endi'!TOH2</f>
        <v>0</v>
      </c>
      <c r="TOJ3">
        <f>'[12]Summary Report - 12 Months Endi'!TOI2</f>
        <v>0</v>
      </c>
      <c r="TOK3">
        <f>'[12]Summary Report - 12 Months Endi'!TOJ2</f>
        <v>0</v>
      </c>
      <c r="TOL3">
        <f>'[12]Summary Report - 12 Months Endi'!TOK2</f>
        <v>0</v>
      </c>
      <c r="TOM3">
        <f>'[12]Summary Report - 12 Months Endi'!TOL2</f>
        <v>0</v>
      </c>
      <c r="TON3">
        <f>'[12]Summary Report - 12 Months Endi'!TOM2</f>
        <v>0</v>
      </c>
      <c r="TOO3">
        <f>'[12]Summary Report - 12 Months Endi'!TON2</f>
        <v>0</v>
      </c>
      <c r="TOP3">
        <f>'[12]Summary Report - 12 Months Endi'!TOO2</f>
        <v>0</v>
      </c>
      <c r="TOQ3">
        <f>'[12]Summary Report - 12 Months Endi'!TOP2</f>
        <v>0</v>
      </c>
      <c r="TOR3">
        <f>'[12]Summary Report - 12 Months Endi'!TOQ2</f>
        <v>0</v>
      </c>
      <c r="TOS3">
        <f>'[12]Summary Report - 12 Months Endi'!TOR2</f>
        <v>0</v>
      </c>
      <c r="TOT3">
        <f>'[12]Summary Report - 12 Months Endi'!TOS2</f>
        <v>0</v>
      </c>
      <c r="TOU3">
        <f>'[12]Summary Report - 12 Months Endi'!TOT2</f>
        <v>0</v>
      </c>
      <c r="TOV3">
        <f>'[12]Summary Report - 12 Months Endi'!TOU2</f>
        <v>0</v>
      </c>
      <c r="TOW3">
        <f>'[12]Summary Report - 12 Months Endi'!TOV2</f>
        <v>0</v>
      </c>
      <c r="TOX3">
        <f>'[12]Summary Report - 12 Months Endi'!TOW2</f>
        <v>0</v>
      </c>
      <c r="TOY3">
        <f>'[12]Summary Report - 12 Months Endi'!TOX2</f>
        <v>0</v>
      </c>
      <c r="TOZ3">
        <f>'[12]Summary Report - 12 Months Endi'!TOY2</f>
        <v>0</v>
      </c>
      <c r="TPA3">
        <f>'[12]Summary Report - 12 Months Endi'!TOZ2</f>
        <v>0</v>
      </c>
      <c r="TPB3">
        <f>'[12]Summary Report - 12 Months Endi'!TPA2</f>
        <v>0</v>
      </c>
      <c r="TPC3">
        <f>'[12]Summary Report - 12 Months Endi'!TPB2</f>
        <v>0</v>
      </c>
      <c r="TPD3">
        <f>'[12]Summary Report - 12 Months Endi'!TPC2</f>
        <v>0</v>
      </c>
      <c r="TPE3">
        <f>'[12]Summary Report - 12 Months Endi'!TPD2</f>
        <v>0</v>
      </c>
      <c r="TPF3">
        <f>'[12]Summary Report - 12 Months Endi'!TPE2</f>
        <v>0</v>
      </c>
      <c r="TPG3">
        <f>'[12]Summary Report - 12 Months Endi'!TPF2</f>
        <v>0</v>
      </c>
      <c r="TPH3">
        <f>'[12]Summary Report - 12 Months Endi'!TPG2</f>
        <v>0</v>
      </c>
      <c r="TPI3">
        <f>'[12]Summary Report - 12 Months Endi'!TPH2</f>
        <v>0</v>
      </c>
      <c r="TPJ3">
        <f>'[12]Summary Report - 12 Months Endi'!TPI2</f>
        <v>0</v>
      </c>
      <c r="TPK3">
        <f>'[12]Summary Report - 12 Months Endi'!TPJ2</f>
        <v>0</v>
      </c>
      <c r="TPL3">
        <f>'[12]Summary Report - 12 Months Endi'!TPK2</f>
        <v>0</v>
      </c>
      <c r="TPM3">
        <f>'[12]Summary Report - 12 Months Endi'!TPL2</f>
        <v>0</v>
      </c>
      <c r="TPN3">
        <f>'[12]Summary Report - 12 Months Endi'!TPM2</f>
        <v>0</v>
      </c>
      <c r="TPO3">
        <f>'[12]Summary Report - 12 Months Endi'!TPN2</f>
        <v>0</v>
      </c>
      <c r="TPP3">
        <f>'[12]Summary Report - 12 Months Endi'!TPO2</f>
        <v>0</v>
      </c>
      <c r="TPQ3">
        <f>'[12]Summary Report - 12 Months Endi'!TPP2</f>
        <v>0</v>
      </c>
      <c r="TPR3">
        <f>'[12]Summary Report - 12 Months Endi'!TPQ2</f>
        <v>0</v>
      </c>
      <c r="TPS3">
        <f>'[12]Summary Report - 12 Months Endi'!TPR2</f>
        <v>0</v>
      </c>
      <c r="TPT3">
        <f>'[12]Summary Report - 12 Months Endi'!TPS2</f>
        <v>0</v>
      </c>
      <c r="TPU3">
        <f>'[12]Summary Report - 12 Months Endi'!TPT2</f>
        <v>0</v>
      </c>
      <c r="TPV3">
        <f>'[12]Summary Report - 12 Months Endi'!TPU2</f>
        <v>0</v>
      </c>
      <c r="TPW3">
        <f>'[12]Summary Report - 12 Months Endi'!TPV2</f>
        <v>0</v>
      </c>
      <c r="TPX3">
        <f>'[12]Summary Report - 12 Months Endi'!TPW2</f>
        <v>0</v>
      </c>
      <c r="TPY3">
        <f>'[12]Summary Report - 12 Months Endi'!TPX2</f>
        <v>0</v>
      </c>
      <c r="TPZ3">
        <f>'[12]Summary Report - 12 Months Endi'!TPY2</f>
        <v>0</v>
      </c>
      <c r="TQA3">
        <f>'[12]Summary Report - 12 Months Endi'!TPZ2</f>
        <v>0</v>
      </c>
      <c r="TQB3">
        <f>'[12]Summary Report - 12 Months Endi'!TQA2</f>
        <v>0</v>
      </c>
      <c r="TQC3">
        <f>'[12]Summary Report - 12 Months Endi'!TQB2</f>
        <v>0</v>
      </c>
      <c r="TQD3">
        <f>'[12]Summary Report - 12 Months Endi'!TQC2</f>
        <v>0</v>
      </c>
      <c r="TQE3">
        <f>'[12]Summary Report - 12 Months Endi'!TQD2</f>
        <v>0</v>
      </c>
      <c r="TQF3">
        <f>'[12]Summary Report - 12 Months Endi'!TQE2</f>
        <v>0</v>
      </c>
      <c r="TQG3">
        <f>'[12]Summary Report - 12 Months Endi'!TQF2</f>
        <v>0</v>
      </c>
      <c r="TQH3">
        <f>'[12]Summary Report - 12 Months Endi'!TQG2</f>
        <v>0</v>
      </c>
      <c r="TQI3">
        <f>'[12]Summary Report - 12 Months Endi'!TQH2</f>
        <v>0</v>
      </c>
      <c r="TQJ3">
        <f>'[12]Summary Report - 12 Months Endi'!TQI2</f>
        <v>0</v>
      </c>
      <c r="TQK3">
        <f>'[12]Summary Report - 12 Months Endi'!TQJ2</f>
        <v>0</v>
      </c>
      <c r="TQL3">
        <f>'[12]Summary Report - 12 Months Endi'!TQK2</f>
        <v>0</v>
      </c>
      <c r="TQM3">
        <f>'[12]Summary Report - 12 Months Endi'!TQL2</f>
        <v>0</v>
      </c>
      <c r="TQN3">
        <f>'[12]Summary Report - 12 Months Endi'!TQM2</f>
        <v>0</v>
      </c>
      <c r="TQO3">
        <f>'[12]Summary Report - 12 Months Endi'!TQN2</f>
        <v>0</v>
      </c>
      <c r="TQP3">
        <f>'[12]Summary Report - 12 Months Endi'!TQO2</f>
        <v>0</v>
      </c>
      <c r="TQQ3">
        <f>'[12]Summary Report - 12 Months Endi'!TQP2</f>
        <v>0</v>
      </c>
      <c r="TQR3">
        <f>'[12]Summary Report - 12 Months Endi'!TQQ2</f>
        <v>0</v>
      </c>
      <c r="TQS3">
        <f>'[12]Summary Report - 12 Months Endi'!TQR2</f>
        <v>0</v>
      </c>
      <c r="TQT3">
        <f>'[12]Summary Report - 12 Months Endi'!TQS2</f>
        <v>0</v>
      </c>
      <c r="TQU3">
        <f>'[12]Summary Report - 12 Months Endi'!TQT2</f>
        <v>0</v>
      </c>
      <c r="TQV3">
        <f>'[12]Summary Report - 12 Months Endi'!TQU2</f>
        <v>0</v>
      </c>
      <c r="TQW3">
        <f>'[12]Summary Report - 12 Months Endi'!TQV2</f>
        <v>0</v>
      </c>
      <c r="TQX3">
        <f>'[12]Summary Report - 12 Months Endi'!TQW2</f>
        <v>0</v>
      </c>
      <c r="TQY3">
        <f>'[12]Summary Report - 12 Months Endi'!TQX2</f>
        <v>0</v>
      </c>
      <c r="TQZ3">
        <f>'[12]Summary Report - 12 Months Endi'!TQY2</f>
        <v>0</v>
      </c>
      <c r="TRA3">
        <f>'[12]Summary Report - 12 Months Endi'!TQZ2</f>
        <v>0</v>
      </c>
      <c r="TRB3">
        <f>'[12]Summary Report - 12 Months Endi'!TRA2</f>
        <v>0</v>
      </c>
      <c r="TRC3">
        <f>'[12]Summary Report - 12 Months Endi'!TRB2</f>
        <v>0</v>
      </c>
      <c r="TRD3">
        <f>'[12]Summary Report - 12 Months Endi'!TRC2</f>
        <v>0</v>
      </c>
      <c r="TRE3">
        <f>'[12]Summary Report - 12 Months Endi'!TRD2</f>
        <v>0</v>
      </c>
      <c r="TRF3">
        <f>'[12]Summary Report - 12 Months Endi'!TRE2</f>
        <v>0</v>
      </c>
      <c r="TRG3">
        <f>'[12]Summary Report - 12 Months Endi'!TRF2</f>
        <v>0</v>
      </c>
      <c r="TRH3">
        <f>'[12]Summary Report - 12 Months Endi'!TRG2</f>
        <v>0</v>
      </c>
      <c r="TRI3">
        <f>'[12]Summary Report - 12 Months Endi'!TRH2</f>
        <v>0</v>
      </c>
      <c r="TRJ3">
        <f>'[12]Summary Report - 12 Months Endi'!TRI2</f>
        <v>0</v>
      </c>
      <c r="TRK3">
        <f>'[12]Summary Report - 12 Months Endi'!TRJ2</f>
        <v>0</v>
      </c>
      <c r="TRL3">
        <f>'[12]Summary Report - 12 Months Endi'!TRK2</f>
        <v>0</v>
      </c>
      <c r="TRM3">
        <f>'[12]Summary Report - 12 Months Endi'!TRL2</f>
        <v>0</v>
      </c>
      <c r="TRN3">
        <f>'[12]Summary Report - 12 Months Endi'!TRM2</f>
        <v>0</v>
      </c>
      <c r="TRO3">
        <f>'[12]Summary Report - 12 Months Endi'!TRN2</f>
        <v>0</v>
      </c>
      <c r="TRP3">
        <f>'[12]Summary Report - 12 Months Endi'!TRO2</f>
        <v>0</v>
      </c>
      <c r="TRQ3">
        <f>'[12]Summary Report - 12 Months Endi'!TRP2</f>
        <v>0</v>
      </c>
      <c r="TRR3">
        <f>'[12]Summary Report - 12 Months Endi'!TRQ2</f>
        <v>0</v>
      </c>
      <c r="TRS3">
        <f>'[12]Summary Report - 12 Months Endi'!TRR2</f>
        <v>0</v>
      </c>
      <c r="TRT3">
        <f>'[12]Summary Report - 12 Months Endi'!TRS2</f>
        <v>0</v>
      </c>
      <c r="TRU3">
        <f>'[12]Summary Report - 12 Months Endi'!TRT2</f>
        <v>0</v>
      </c>
      <c r="TRV3">
        <f>'[12]Summary Report - 12 Months Endi'!TRU2</f>
        <v>0</v>
      </c>
      <c r="TRW3">
        <f>'[12]Summary Report - 12 Months Endi'!TRV2</f>
        <v>0</v>
      </c>
      <c r="TRX3">
        <f>'[12]Summary Report - 12 Months Endi'!TRW2</f>
        <v>0</v>
      </c>
      <c r="TRY3">
        <f>'[12]Summary Report - 12 Months Endi'!TRX2</f>
        <v>0</v>
      </c>
      <c r="TRZ3">
        <f>'[12]Summary Report - 12 Months Endi'!TRY2</f>
        <v>0</v>
      </c>
      <c r="TSA3">
        <f>'[12]Summary Report - 12 Months Endi'!TRZ2</f>
        <v>0</v>
      </c>
      <c r="TSB3">
        <f>'[12]Summary Report - 12 Months Endi'!TSA2</f>
        <v>0</v>
      </c>
      <c r="TSC3">
        <f>'[12]Summary Report - 12 Months Endi'!TSB2</f>
        <v>0</v>
      </c>
      <c r="TSD3">
        <f>'[12]Summary Report - 12 Months Endi'!TSC2</f>
        <v>0</v>
      </c>
      <c r="TSE3">
        <f>'[12]Summary Report - 12 Months Endi'!TSD2</f>
        <v>0</v>
      </c>
      <c r="TSF3">
        <f>'[12]Summary Report - 12 Months Endi'!TSE2</f>
        <v>0</v>
      </c>
      <c r="TSG3">
        <f>'[12]Summary Report - 12 Months Endi'!TSF2</f>
        <v>0</v>
      </c>
      <c r="TSH3">
        <f>'[12]Summary Report - 12 Months Endi'!TSG2</f>
        <v>0</v>
      </c>
      <c r="TSI3">
        <f>'[12]Summary Report - 12 Months Endi'!TSH2</f>
        <v>0</v>
      </c>
      <c r="TSJ3">
        <f>'[12]Summary Report - 12 Months Endi'!TSI2</f>
        <v>0</v>
      </c>
      <c r="TSK3">
        <f>'[12]Summary Report - 12 Months Endi'!TSJ2</f>
        <v>0</v>
      </c>
      <c r="TSL3">
        <f>'[12]Summary Report - 12 Months Endi'!TSK2</f>
        <v>0</v>
      </c>
      <c r="TSM3">
        <f>'[12]Summary Report - 12 Months Endi'!TSL2</f>
        <v>0</v>
      </c>
      <c r="TSN3">
        <f>'[12]Summary Report - 12 Months Endi'!TSM2</f>
        <v>0</v>
      </c>
      <c r="TSO3">
        <f>'[12]Summary Report - 12 Months Endi'!TSN2</f>
        <v>0</v>
      </c>
      <c r="TSP3">
        <f>'[12]Summary Report - 12 Months Endi'!TSO2</f>
        <v>0</v>
      </c>
      <c r="TSQ3">
        <f>'[12]Summary Report - 12 Months Endi'!TSP2</f>
        <v>0</v>
      </c>
      <c r="TSR3">
        <f>'[12]Summary Report - 12 Months Endi'!TSQ2</f>
        <v>0</v>
      </c>
      <c r="TSS3">
        <f>'[12]Summary Report - 12 Months Endi'!TSR2</f>
        <v>0</v>
      </c>
      <c r="TST3">
        <f>'[12]Summary Report - 12 Months Endi'!TSS2</f>
        <v>0</v>
      </c>
      <c r="TSU3">
        <f>'[12]Summary Report - 12 Months Endi'!TST2</f>
        <v>0</v>
      </c>
      <c r="TSV3">
        <f>'[12]Summary Report - 12 Months Endi'!TSU2</f>
        <v>0</v>
      </c>
      <c r="TSW3">
        <f>'[12]Summary Report - 12 Months Endi'!TSV2</f>
        <v>0</v>
      </c>
      <c r="TSX3">
        <f>'[12]Summary Report - 12 Months Endi'!TSW2</f>
        <v>0</v>
      </c>
      <c r="TSY3">
        <f>'[12]Summary Report - 12 Months Endi'!TSX2</f>
        <v>0</v>
      </c>
      <c r="TSZ3">
        <f>'[12]Summary Report - 12 Months Endi'!TSY2</f>
        <v>0</v>
      </c>
      <c r="TTA3">
        <f>'[12]Summary Report - 12 Months Endi'!TSZ2</f>
        <v>0</v>
      </c>
      <c r="TTB3">
        <f>'[12]Summary Report - 12 Months Endi'!TTA2</f>
        <v>0</v>
      </c>
      <c r="TTC3">
        <f>'[12]Summary Report - 12 Months Endi'!TTB2</f>
        <v>0</v>
      </c>
      <c r="TTD3">
        <f>'[12]Summary Report - 12 Months Endi'!TTC2</f>
        <v>0</v>
      </c>
      <c r="TTE3">
        <f>'[12]Summary Report - 12 Months Endi'!TTD2</f>
        <v>0</v>
      </c>
      <c r="TTF3">
        <f>'[12]Summary Report - 12 Months Endi'!TTE2</f>
        <v>0</v>
      </c>
      <c r="TTG3">
        <f>'[12]Summary Report - 12 Months Endi'!TTF2</f>
        <v>0</v>
      </c>
      <c r="TTH3">
        <f>'[12]Summary Report - 12 Months Endi'!TTG2</f>
        <v>0</v>
      </c>
      <c r="TTI3">
        <f>'[12]Summary Report - 12 Months Endi'!TTH2</f>
        <v>0</v>
      </c>
      <c r="TTJ3">
        <f>'[12]Summary Report - 12 Months Endi'!TTI2</f>
        <v>0</v>
      </c>
      <c r="TTK3">
        <f>'[12]Summary Report - 12 Months Endi'!TTJ2</f>
        <v>0</v>
      </c>
      <c r="TTL3">
        <f>'[12]Summary Report - 12 Months Endi'!TTK2</f>
        <v>0</v>
      </c>
      <c r="TTM3">
        <f>'[12]Summary Report - 12 Months Endi'!TTL2</f>
        <v>0</v>
      </c>
      <c r="TTN3">
        <f>'[12]Summary Report - 12 Months Endi'!TTM2</f>
        <v>0</v>
      </c>
      <c r="TTO3">
        <f>'[12]Summary Report - 12 Months Endi'!TTN2</f>
        <v>0</v>
      </c>
      <c r="TTP3">
        <f>'[12]Summary Report - 12 Months Endi'!TTO2</f>
        <v>0</v>
      </c>
      <c r="TTQ3">
        <f>'[12]Summary Report - 12 Months Endi'!TTP2</f>
        <v>0</v>
      </c>
      <c r="TTR3">
        <f>'[12]Summary Report - 12 Months Endi'!TTQ2</f>
        <v>0</v>
      </c>
      <c r="TTS3">
        <f>'[12]Summary Report - 12 Months Endi'!TTR2</f>
        <v>0</v>
      </c>
      <c r="TTT3">
        <f>'[12]Summary Report - 12 Months Endi'!TTS2</f>
        <v>0</v>
      </c>
      <c r="TTU3">
        <f>'[12]Summary Report - 12 Months Endi'!TTT2</f>
        <v>0</v>
      </c>
      <c r="TTV3">
        <f>'[12]Summary Report - 12 Months Endi'!TTU2</f>
        <v>0</v>
      </c>
      <c r="TTW3">
        <f>'[12]Summary Report - 12 Months Endi'!TTV2</f>
        <v>0</v>
      </c>
      <c r="TTX3">
        <f>'[12]Summary Report - 12 Months Endi'!TTW2</f>
        <v>0</v>
      </c>
      <c r="TTY3">
        <f>'[12]Summary Report - 12 Months Endi'!TTX2</f>
        <v>0</v>
      </c>
      <c r="TTZ3">
        <f>'[12]Summary Report - 12 Months Endi'!TTY2</f>
        <v>0</v>
      </c>
      <c r="TUA3">
        <f>'[12]Summary Report - 12 Months Endi'!TTZ2</f>
        <v>0</v>
      </c>
      <c r="TUB3">
        <f>'[12]Summary Report - 12 Months Endi'!TUA2</f>
        <v>0</v>
      </c>
      <c r="TUC3">
        <f>'[12]Summary Report - 12 Months Endi'!TUB2</f>
        <v>0</v>
      </c>
      <c r="TUD3">
        <f>'[12]Summary Report - 12 Months Endi'!TUC2</f>
        <v>0</v>
      </c>
      <c r="TUE3">
        <f>'[12]Summary Report - 12 Months Endi'!TUD2</f>
        <v>0</v>
      </c>
      <c r="TUF3">
        <f>'[12]Summary Report - 12 Months Endi'!TUE2</f>
        <v>0</v>
      </c>
      <c r="TUG3">
        <f>'[12]Summary Report - 12 Months Endi'!TUF2</f>
        <v>0</v>
      </c>
      <c r="TUH3">
        <f>'[12]Summary Report - 12 Months Endi'!TUG2</f>
        <v>0</v>
      </c>
      <c r="TUI3">
        <f>'[12]Summary Report - 12 Months Endi'!TUH2</f>
        <v>0</v>
      </c>
      <c r="TUJ3">
        <f>'[12]Summary Report - 12 Months Endi'!TUI2</f>
        <v>0</v>
      </c>
      <c r="TUK3">
        <f>'[12]Summary Report - 12 Months Endi'!TUJ2</f>
        <v>0</v>
      </c>
      <c r="TUL3">
        <f>'[12]Summary Report - 12 Months Endi'!TUK2</f>
        <v>0</v>
      </c>
      <c r="TUM3">
        <f>'[12]Summary Report - 12 Months Endi'!TUL2</f>
        <v>0</v>
      </c>
      <c r="TUN3">
        <f>'[12]Summary Report - 12 Months Endi'!TUM2</f>
        <v>0</v>
      </c>
      <c r="TUO3">
        <f>'[12]Summary Report - 12 Months Endi'!TUN2</f>
        <v>0</v>
      </c>
      <c r="TUP3">
        <f>'[12]Summary Report - 12 Months Endi'!TUO2</f>
        <v>0</v>
      </c>
      <c r="TUQ3">
        <f>'[12]Summary Report - 12 Months Endi'!TUP2</f>
        <v>0</v>
      </c>
      <c r="TUR3">
        <f>'[12]Summary Report - 12 Months Endi'!TUQ2</f>
        <v>0</v>
      </c>
      <c r="TUS3">
        <f>'[12]Summary Report - 12 Months Endi'!TUR2</f>
        <v>0</v>
      </c>
      <c r="TUT3">
        <f>'[12]Summary Report - 12 Months Endi'!TUS2</f>
        <v>0</v>
      </c>
      <c r="TUU3">
        <f>'[12]Summary Report - 12 Months Endi'!TUT2</f>
        <v>0</v>
      </c>
      <c r="TUV3">
        <f>'[12]Summary Report - 12 Months Endi'!TUU2</f>
        <v>0</v>
      </c>
      <c r="TUW3">
        <f>'[12]Summary Report - 12 Months Endi'!TUV2</f>
        <v>0</v>
      </c>
      <c r="TUX3">
        <f>'[12]Summary Report - 12 Months Endi'!TUW2</f>
        <v>0</v>
      </c>
      <c r="TUY3">
        <f>'[12]Summary Report - 12 Months Endi'!TUX2</f>
        <v>0</v>
      </c>
      <c r="TUZ3">
        <f>'[12]Summary Report - 12 Months Endi'!TUY2</f>
        <v>0</v>
      </c>
      <c r="TVA3">
        <f>'[12]Summary Report - 12 Months Endi'!TUZ2</f>
        <v>0</v>
      </c>
      <c r="TVB3">
        <f>'[12]Summary Report - 12 Months Endi'!TVA2</f>
        <v>0</v>
      </c>
      <c r="TVC3">
        <f>'[12]Summary Report - 12 Months Endi'!TVB2</f>
        <v>0</v>
      </c>
      <c r="TVD3">
        <f>'[12]Summary Report - 12 Months Endi'!TVC2</f>
        <v>0</v>
      </c>
      <c r="TVE3">
        <f>'[12]Summary Report - 12 Months Endi'!TVD2</f>
        <v>0</v>
      </c>
      <c r="TVF3">
        <f>'[12]Summary Report - 12 Months Endi'!TVE2</f>
        <v>0</v>
      </c>
      <c r="TVG3">
        <f>'[12]Summary Report - 12 Months Endi'!TVF2</f>
        <v>0</v>
      </c>
      <c r="TVH3">
        <f>'[12]Summary Report - 12 Months Endi'!TVG2</f>
        <v>0</v>
      </c>
      <c r="TVI3">
        <f>'[12]Summary Report - 12 Months Endi'!TVH2</f>
        <v>0</v>
      </c>
      <c r="TVJ3">
        <f>'[12]Summary Report - 12 Months Endi'!TVI2</f>
        <v>0</v>
      </c>
      <c r="TVK3">
        <f>'[12]Summary Report - 12 Months Endi'!TVJ2</f>
        <v>0</v>
      </c>
      <c r="TVL3">
        <f>'[12]Summary Report - 12 Months Endi'!TVK2</f>
        <v>0</v>
      </c>
      <c r="TVM3">
        <f>'[12]Summary Report - 12 Months Endi'!TVL2</f>
        <v>0</v>
      </c>
      <c r="TVN3">
        <f>'[12]Summary Report - 12 Months Endi'!TVM2</f>
        <v>0</v>
      </c>
      <c r="TVO3">
        <f>'[12]Summary Report - 12 Months Endi'!TVN2</f>
        <v>0</v>
      </c>
      <c r="TVP3">
        <f>'[12]Summary Report - 12 Months Endi'!TVO2</f>
        <v>0</v>
      </c>
      <c r="TVQ3">
        <f>'[12]Summary Report - 12 Months Endi'!TVP2</f>
        <v>0</v>
      </c>
      <c r="TVR3">
        <f>'[12]Summary Report - 12 Months Endi'!TVQ2</f>
        <v>0</v>
      </c>
      <c r="TVS3">
        <f>'[12]Summary Report - 12 Months Endi'!TVR2</f>
        <v>0</v>
      </c>
      <c r="TVT3">
        <f>'[12]Summary Report - 12 Months Endi'!TVS2</f>
        <v>0</v>
      </c>
      <c r="TVU3">
        <f>'[12]Summary Report - 12 Months Endi'!TVT2</f>
        <v>0</v>
      </c>
      <c r="TVV3">
        <f>'[12]Summary Report - 12 Months Endi'!TVU2</f>
        <v>0</v>
      </c>
      <c r="TVW3">
        <f>'[12]Summary Report - 12 Months Endi'!TVV2</f>
        <v>0</v>
      </c>
      <c r="TVX3">
        <f>'[12]Summary Report - 12 Months Endi'!TVW2</f>
        <v>0</v>
      </c>
      <c r="TVY3">
        <f>'[12]Summary Report - 12 Months Endi'!TVX2</f>
        <v>0</v>
      </c>
      <c r="TVZ3">
        <f>'[12]Summary Report - 12 Months Endi'!TVY2</f>
        <v>0</v>
      </c>
      <c r="TWA3">
        <f>'[12]Summary Report - 12 Months Endi'!TVZ2</f>
        <v>0</v>
      </c>
      <c r="TWB3">
        <f>'[12]Summary Report - 12 Months Endi'!TWA2</f>
        <v>0</v>
      </c>
      <c r="TWC3">
        <f>'[12]Summary Report - 12 Months Endi'!TWB2</f>
        <v>0</v>
      </c>
      <c r="TWD3">
        <f>'[12]Summary Report - 12 Months Endi'!TWC2</f>
        <v>0</v>
      </c>
      <c r="TWE3">
        <f>'[12]Summary Report - 12 Months Endi'!TWD2</f>
        <v>0</v>
      </c>
      <c r="TWF3">
        <f>'[12]Summary Report - 12 Months Endi'!TWE2</f>
        <v>0</v>
      </c>
      <c r="TWG3">
        <f>'[12]Summary Report - 12 Months Endi'!TWF2</f>
        <v>0</v>
      </c>
      <c r="TWH3">
        <f>'[12]Summary Report - 12 Months Endi'!TWG2</f>
        <v>0</v>
      </c>
      <c r="TWI3">
        <f>'[12]Summary Report - 12 Months Endi'!TWH2</f>
        <v>0</v>
      </c>
      <c r="TWJ3">
        <f>'[12]Summary Report - 12 Months Endi'!TWI2</f>
        <v>0</v>
      </c>
      <c r="TWK3">
        <f>'[12]Summary Report - 12 Months Endi'!TWJ2</f>
        <v>0</v>
      </c>
      <c r="TWL3">
        <f>'[12]Summary Report - 12 Months Endi'!TWK2</f>
        <v>0</v>
      </c>
      <c r="TWM3">
        <f>'[12]Summary Report - 12 Months Endi'!TWL2</f>
        <v>0</v>
      </c>
      <c r="TWN3">
        <f>'[12]Summary Report - 12 Months Endi'!TWM2</f>
        <v>0</v>
      </c>
      <c r="TWO3">
        <f>'[12]Summary Report - 12 Months Endi'!TWN2</f>
        <v>0</v>
      </c>
      <c r="TWP3">
        <f>'[12]Summary Report - 12 Months Endi'!TWO2</f>
        <v>0</v>
      </c>
      <c r="TWQ3">
        <f>'[12]Summary Report - 12 Months Endi'!TWP2</f>
        <v>0</v>
      </c>
      <c r="TWR3">
        <f>'[12]Summary Report - 12 Months Endi'!TWQ2</f>
        <v>0</v>
      </c>
      <c r="TWS3">
        <f>'[12]Summary Report - 12 Months Endi'!TWR2</f>
        <v>0</v>
      </c>
      <c r="TWT3">
        <f>'[12]Summary Report - 12 Months Endi'!TWS2</f>
        <v>0</v>
      </c>
      <c r="TWU3">
        <f>'[12]Summary Report - 12 Months Endi'!TWT2</f>
        <v>0</v>
      </c>
      <c r="TWV3">
        <f>'[12]Summary Report - 12 Months Endi'!TWU2</f>
        <v>0</v>
      </c>
      <c r="TWW3">
        <f>'[12]Summary Report - 12 Months Endi'!TWV2</f>
        <v>0</v>
      </c>
      <c r="TWX3">
        <f>'[12]Summary Report - 12 Months Endi'!TWW2</f>
        <v>0</v>
      </c>
      <c r="TWY3">
        <f>'[12]Summary Report - 12 Months Endi'!TWX2</f>
        <v>0</v>
      </c>
      <c r="TWZ3">
        <f>'[12]Summary Report - 12 Months Endi'!TWY2</f>
        <v>0</v>
      </c>
      <c r="TXA3">
        <f>'[12]Summary Report - 12 Months Endi'!TWZ2</f>
        <v>0</v>
      </c>
      <c r="TXB3">
        <f>'[12]Summary Report - 12 Months Endi'!TXA2</f>
        <v>0</v>
      </c>
      <c r="TXC3">
        <f>'[12]Summary Report - 12 Months Endi'!TXB2</f>
        <v>0</v>
      </c>
      <c r="TXD3">
        <f>'[12]Summary Report - 12 Months Endi'!TXC2</f>
        <v>0</v>
      </c>
      <c r="TXE3">
        <f>'[12]Summary Report - 12 Months Endi'!TXD2</f>
        <v>0</v>
      </c>
      <c r="TXF3">
        <f>'[12]Summary Report - 12 Months Endi'!TXE2</f>
        <v>0</v>
      </c>
      <c r="TXG3">
        <f>'[12]Summary Report - 12 Months Endi'!TXF2</f>
        <v>0</v>
      </c>
      <c r="TXH3">
        <f>'[12]Summary Report - 12 Months Endi'!TXG2</f>
        <v>0</v>
      </c>
      <c r="TXI3">
        <f>'[12]Summary Report - 12 Months Endi'!TXH2</f>
        <v>0</v>
      </c>
      <c r="TXJ3">
        <f>'[12]Summary Report - 12 Months Endi'!TXI2</f>
        <v>0</v>
      </c>
      <c r="TXK3">
        <f>'[12]Summary Report - 12 Months Endi'!TXJ2</f>
        <v>0</v>
      </c>
      <c r="TXL3">
        <f>'[12]Summary Report - 12 Months Endi'!TXK2</f>
        <v>0</v>
      </c>
      <c r="TXM3">
        <f>'[12]Summary Report - 12 Months Endi'!TXL2</f>
        <v>0</v>
      </c>
      <c r="TXN3">
        <f>'[12]Summary Report - 12 Months Endi'!TXM2</f>
        <v>0</v>
      </c>
      <c r="TXO3">
        <f>'[12]Summary Report - 12 Months Endi'!TXN2</f>
        <v>0</v>
      </c>
      <c r="TXP3">
        <f>'[12]Summary Report - 12 Months Endi'!TXO2</f>
        <v>0</v>
      </c>
      <c r="TXQ3">
        <f>'[12]Summary Report - 12 Months Endi'!TXP2</f>
        <v>0</v>
      </c>
      <c r="TXR3">
        <f>'[12]Summary Report - 12 Months Endi'!TXQ2</f>
        <v>0</v>
      </c>
      <c r="TXS3">
        <f>'[12]Summary Report - 12 Months Endi'!TXR2</f>
        <v>0</v>
      </c>
      <c r="TXT3">
        <f>'[12]Summary Report - 12 Months Endi'!TXS2</f>
        <v>0</v>
      </c>
      <c r="TXU3">
        <f>'[12]Summary Report - 12 Months Endi'!TXT2</f>
        <v>0</v>
      </c>
      <c r="TXV3">
        <f>'[12]Summary Report - 12 Months Endi'!TXU2</f>
        <v>0</v>
      </c>
      <c r="TXW3">
        <f>'[12]Summary Report - 12 Months Endi'!TXV2</f>
        <v>0</v>
      </c>
      <c r="TXX3">
        <f>'[12]Summary Report - 12 Months Endi'!TXW2</f>
        <v>0</v>
      </c>
      <c r="TXY3">
        <f>'[12]Summary Report - 12 Months Endi'!TXX2</f>
        <v>0</v>
      </c>
      <c r="TXZ3">
        <f>'[12]Summary Report - 12 Months Endi'!TXY2</f>
        <v>0</v>
      </c>
      <c r="TYA3">
        <f>'[12]Summary Report - 12 Months Endi'!TXZ2</f>
        <v>0</v>
      </c>
      <c r="TYB3">
        <f>'[12]Summary Report - 12 Months Endi'!TYA2</f>
        <v>0</v>
      </c>
      <c r="TYC3">
        <f>'[12]Summary Report - 12 Months Endi'!TYB2</f>
        <v>0</v>
      </c>
      <c r="TYD3">
        <f>'[12]Summary Report - 12 Months Endi'!TYC2</f>
        <v>0</v>
      </c>
      <c r="TYE3">
        <f>'[12]Summary Report - 12 Months Endi'!TYD2</f>
        <v>0</v>
      </c>
      <c r="TYF3">
        <f>'[12]Summary Report - 12 Months Endi'!TYE2</f>
        <v>0</v>
      </c>
      <c r="TYG3">
        <f>'[12]Summary Report - 12 Months Endi'!TYF2</f>
        <v>0</v>
      </c>
      <c r="TYH3">
        <f>'[12]Summary Report - 12 Months Endi'!TYG2</f>
        <v>0</v>
      </c>
      <c r="TYI3">
        <f>'[12]Summary Report - 12 Months Endi'!TYH2</f>
        <v>0</v>
      </c>
      <c r="TYJ3">
        <f>'[12]Summary Report - 12 Months Endi'!TYI2</f>
        <v>0</v>
      </c>
      <c r="TYK3">
        <f>'[12]Summary Report - 12 Months Endi'!TYJ2</f>
        <v>0</v>
      </c>
      <c r="TYL3">
        <f>'[12]Summary Report - 12 Months Endi'!TYK2</f>
        <v>0</v>
      </c>
      <c r="TYM3">
        <f>'[12]Summary Report - 12 Months Endi'!TYL2</f>
        <v>0</v>
      </c>
      <c r="TYN3">
        <f>'[12]Summary Report - 12 Months Endi'!TYM2</f>
        <v>0</v>
      </c>
      <c r="TYO3">
        <f>'[12]Summary Report - 12 Months Endi'!TYN2</f>
        <v>0</v>
      </c>
      <c r="TYP3">
        <f>'[12]Summary Report - 12 Months Endi'!TYO2</f>
        <v>0</v>
      </c>
      <c r="TYQ3">
        <f>'[12]Summary Report - 12 Months Endi'!TYP2</f>
        <v>0</v>
      </c>
      <c r="TYR3">
        <f>'[12]Summary Report - 12 Months Endi'!TYQ2</f>
        <v>0</v>
      </c>
      <c r="TYS3">
        <f>'[12]Summary Report - 12 Months Endi'!TYR2</f>
        <v>0</v>
      </c>
      <c r="TYT3">
        <f>'[12]Summary Report - 12 Months Endi'!TYS2</f>
        <v>0</v>
      </c>
      <c r="TYU3">
        <f>'[12]Summary Report - 12 Months Endi'!TYT2</f>
        <v>0</v>
      </c>
      <c r="TYV3">
        <f>'[12]Summary Report - 12 Months Endi'!TYU2</f>
        <v>0</v>
      </c>
      <c r="TYW3">
        <f>'[12]Summary Report - 12 Months Endi'!TYV2</f>
        <v>0</v>
      </c>
      <c r="TYX3">
        <f>'[12]Summary Report - 12 Months Endi'!TYW2</f>
        <v>0</v>
      </c>
      <c r="TYY3">
        <f>'[12]Summary Report - 12 Months Endi'!TYX2</f>
        <v>0</v>
      </c>
      <c r="TYZ3">
        <f>'[12]Summary Report - 12 Months Endi'!TYY2</f>
        <v>0</v>
      </c>
      <c r="TZA3">
        <f>'[12]Summary Report - 12 Months Endi'!TYZ2</f>
        <v>0</v>
      </c>
      <c r="TZB3">
        <f>'[12]Summary Report - 12 Months Endi'!TZA2</f>
        <v>0</v>
      </c>
      <c r="TZC3">
        <f>'[12]Summary Report - 12 Months Endi'!TZB2</f>
        <v>0</v>
      </c>
      <c r="TZD3">
        <f>'[12]Summary Report - 12 Months Endi'!TZC2</f>
        <v>0</v>
      </c>
      <c r="TZE3">
        <f>'[12]Summary Report - 12 Months Endi'!TZD2</f>
        <v>0</v>
      </c>
      <c r="TZF3">
        <f>'[12]Summary Report - 12 Months Endi'!TZE2</f>
        <v>0</v>
      </c>
      <c r="TZG3">
        <f>'[12]Summary Report - 12 Months Endi'!TZF2</f>
        <v>0</v>
      </c>
      <c r="TZH3">
        <f>'[12]Summary Report - 12 Months Endi'!TZG2</f>
        <v>0</v>
      </c>
      <c r="TZI3">
        <f>'[12]Summary Report - 12 Months Endi'!TZH2</f>
        <v>0</v>
      </c>
      <c r="TZJ3">
        <f>'[12]Summary Report - 12 Months Endi'!TZI2</f>
        <v>0</v>
      </c>
      <c r="TZK3">
        <f>'[12]Summary Report - 12 Months Endi'!TZJ2</f>
        <v>0</v>
      </c>
      <c r="TZL3">
        <f>'[12]Summary Report - 12 Months Endi'!TZK2</f>
        <v>0</v>
      </c>
      <c r="TZM3">
        <f>'[12]Summary Report - 12 Months Endi'!TZL2</f>
        <v>0</v>
      </c>
      <c r="TZN3">
        <f>'[12]Summary Report - 12 Months Endi'!TZM2</f>
        <v>0</v>
      </c>
      <c r="TZO3">
        <f>'[12]Summary Report - 12 Months Endi'!TZN2</f>
        <v>0</v>
      </c>
      <c r="TZP3">
        <f>'[12]Summary Report - 12 Months Endi'!TZO2</f>
        <v>0</v>
      </c>
      <c r="TZQ3">
        <f>'[12]Summary Report - 12 Months Endi'!TZP2</f>
        <v>0</v>
      </c>
      <c r="TZR3">
        <f>'[12]Summary Report - 12 Months Endi'!TZQ2</f>
        <v>0</v>
      </c>
      <c r="TZS3">
        <f>'[12]Summary Report - 12 Months Endi'!TZR2</f>
        <v>0</v>
      </c>
      <c r="TZT3">
        <f>'[12]Summary Report - 12 Months Endi'!TZS2</f>
        <v>0</v>
      </c>
      <c r="TZU3">
        <f>'[12]Summary Report - 12 Months Endi'!TZT2</f>
        <v>0</v>
      </c>
      <c r="TZV3">
        <f>'[12]Summary Report - 12 Months Endi'!TZU2</f>
        <v>0</v>
      </c>
      <c r="TZW3">
        <f>'[12]Summary Report - 12 Months Endi'!TZV2</f>
        <v>0</v>
      </c>
      <c r="TZX3">
        <f>'[12]Summary Report - 12 Months Endi'!TZW2</f>
        <v>0</v>
      </c>
      <c r="TZY3">
        <f>'[12]Summary Report - 12 Months Endi'!TZX2</f>
        <v>0</v>
      </c>
      <c r="TZZ3">
        <f>'[12]Summary Report - 12 Months Endi'!TZY2</f>
        <v>0</v>
      </c>
      <c r="UAA3">
        <f>'[12]Summary Report - 12 Months Endi'!TZZ2</f>
        <v>0</v>
      </c>
      <c r="UAB3">
        <f>'[12]Summary Report - 12 Months Endi'!UAA2</f>
        <v>0</v>
      </c>
      <c r="UAC3">
        <f>'[12]Summary Report - 12 Months Endi'!UAB2</f>
        <v>0</v>
      </c>
      <c r="UAD3">
        <f>'[12]Summary Report - 12 Months Endi'!UAC2</f>
        <v>0</v>
      </c>
      <c r="UAE3">
        <f>'[12]Summary Report - 12 Months Endi'!UAD2</f>
        <v>0</v>
      </c>
      <c r="UAF3">
        <f>'[12]Summary Report - 12 Months Endi'!UAE2</f>
        <v>0</v>
      </c>
      <c r="UAG3">
        <f>'[12]Summary Report - 12 Months Endi'!UAF2</f>
        <v>0</v>
      </c>
      <c r="UAH3">
        <f>'[12]Summary Report - 12 Months Endi'!UAG2</f>
        <v>0</v>
      </c>
      <c r="UAI3">
        <f>'[12]Summary Report - 12 Months Endi'!UAH2</f>
        <v>0</v>
      </c>
      <c r="UAJ3">
        <f>'[12]Summary Report - 12 Months Endi'!UAI2</f>
        <v>0</v>
      </c>
      <c r="UAK3">
        <f>'[12]Summary Report - 12 Months Endi'!UAJ2</f>
        <v>0</v>
      </c>
      <c r="UAL3">
        <f>'[12]Summary Report - 12 Months Endi'!UAK2</f>
        <v>0</v>
      </c>
      <c r="UAM3">
        <f>'[12]Summary Report - 12 Months Endi'!UAL2</f>
        <v>0</v>
      </c>
      <c r="UAN3">
        <f>'[12]Summary Report - 12 Months Endi'!UAM2</f>
        <v>0</v>
      </c>
      <c r="UAO3">
        <f>'[12]Summary Report - 12 Months Endi'!UAN2</f>
        <v>0</v>
      </c>
      <c r="UAP3">
        <f>'[12]Summary Report - 12 Months Endi'!UAO2</f>
        <v>0</v>
      </c>
      <c r="UAQ3">
        <f>'[12]Summary Report - 12 Months Endi'!UAP2</f>
        <v>0</v>
      </c>
      <c r="UAR3">
        <f>'[12]Summary Report - 12 Months Endi'!UAQ2</f>
        <v>0</v>
      </c>
      <c r="UAS3">
        <f>'[12]Summary Report - 12 Months Endi'!UAR2</f>
        <v>0</v>
      </c>
      <c r="UAT3">
        <f>'[12]Summary Report - 12 Months Endi'!UAS2</f>
        <v>0</v>
      </c>
      <c r="UAU3">
        <f>'[12]Summary Report - 12 Months Endi'!UAT2</f>
        <v>0</v>
      </c>
      <c r="UAV3">
        <f>'[12]Summary Report - 12 Months Endi'!UAU2</f>
        <v>0</v>
      </c>
      <c r="UAW3">
        <f>'[12]Summary Report - 12 Months Endi'!UAV2</f>
        <v>0</v>
      </c>
      <c r="UAX3">
        <f>'[12]Summary Report - 12 Months Endi'!UAW2</f>
        <v>0</v>
      </c>
      <c r="UAY3">
        <f>'[12]Summary Report - 12 Months Endi'!UAX2</f>
        <v>0</v>
      </c>
      <c r="UAZ3">
        <f>'[12]Summary Report - 12 Months Endi'!UAY2</f>
        <v>0</v>
      </c>
      <c r="UBA3">
        <f>'[12]Summary Report - 12 Months Endi'!UAZ2</f>
        <v>0</v>
      </c>
      <c r="UBB3">
        <f>'[12]Summary Report - 12 Months Endi'!UBA2</f>
        <v>0</v>
      </c>
      <c r="UBC3">
        <f>'[12]Summary Report - 12 Months Endi'!UBB2</f>
        <v>0</v>
      </c>
      <c r="UBD3">
        <f>'[12]Summary Report - 12 Months Endi'!UBC2</f>
        <v>0</v>
      </c>
      <c r="UBE3">
        <f>'[12]Summary Report - 12 Months Endi'!UBD2</f>
        <v>0</v>
      </c>
      <c r="UBF3">
        <f>'[12]Summary Report - 12 Months Endi'!UBE2</f>
        <v>0</v>
      </c>
      <c r="UBG3">
        <f>'[12]Summary Report - 12 Months Endi'!UBF2</f>
        <v>0</v>
      </c>
      <c r="UBH3">
        <f>'[12]Summary Report - 12 Months Endi'!UBG2</f>
        <v>0</v>
      </c>
      <c r="UBI3">
        <f>'[12]Summary Report - 12 Months Endi'!UBH2</f>
        <v>0</v>
      </c>
      <c r="UBJ3">
        <f>'[12]Summary Report - 12 Months Endi'!UBI2</f>
        <v>0</v>
      </c>
      <c r="UBK3">
        <f>'[12]Summary Report - 12 Months Endi'!UBJ2</f>
        <v>0</v>
      </c>
      <c r="UBL3">
        <f>'[12]Summary Report - 12 Months Endi'!UBK2</f>
        <v>0</v>
      </c>
      <c r="UBM3">
        <f>'[12]Summary Report - 12 Months Endi'!UBL2</f>
        <v>0</v>
      </c>
      <c r="UBN3">
        <f>'[12]Summary Report - 12 Months Endi'!UBM2</f>
        <v>0</v>
      </c>
      <c r="UBO3">
        <f>'[12]Summary Report - 12 Months Endi'!UBN2</f>
        <v>0</v>
      </c>
      <c r="UBP3">
        <f>'[12]Summary Report - 12 Months Endi'!UBO2</f>
        <v>0</v>
      </c>
      <c r="UBQ3">
        <f>'[12]Summary Report - 12 Months Endi'!UBP2</f>
        <v>0</v>
      </c>
      <c r="UBR3">
        <f>'[12]Summary Report - 12 Months Endi'!UBQ2</f>
        <v>0</v>
      </c>
      <c r="UBS3">
        <f>'[12]Summary Report - 12 Months Endi'!UBR2</f>
        <v>0</v>
      </c>
      <c r="UBT3">
        <f>'[12]Summary Report - 12 Months Endi'!UBS2</f>
        <v>0</v>
      </c>
      <c r="UBU3">
        <f>'[12]Summary Report - 12 Months Endi'!UBT2</f>
        <v>0</v>
      </c>
      <c r="UBV3">
        <f>'[12]Summary Report - 12 Months Endi'!UBU2</f>
        <v>0</v>
      </c>
      <c r="UBW3">
        <f>'[12]Summary Report - 12 Months Endi'!UBV2</f>
        <v>0</v>
      </c>
      <c r="UBX3">
        <f>'[12]Summary Report - 12 Months Endi'!UBW2</f>
        <v>0</v>
      </c>
      <c r="UBY3">
        <f>'[12]Summary Report - 12 Months Endi'!UBX2</f>
        <v>0</v>
      </c>
      <c r="UBZ3">
        <f>'[12]Summary Report - 12 Months Endi'!UBY2</f>
        <v>0</v>
      </c>
      <c r="UCA3">
        <f>'[12]Summary Report - 12 Months Endi'!UBZ2</f>
        <v>0</v>
      </c>
      <c r="UCB3">
        <f>'[12]Summary Report - 12 Months Endi'!UCA2</f>
        <v>0</v>
      </c>
      <c r="UCC3">
        <f>'[12]Summary Report - 12 Months Endi'!UCB2</f>
        <v>0</v>
      </c>
      <c r="UCD3">
        <f>'[12]Summary Report - 12 Months Endi'!UCC2</f>
        <v>0</v>
      </c>
      <c r="UCE3">
        <f>'[12]Summary Report - 12 Months Endi'!UCD2</f>
        <v>0</v>
      </c>
      <c r="UCF3">
        <f>'[12]Summary Report - 12 Months Endi'!UCE2</f>
        <v>0</v>
      </c>
      <c r="UCG3">
        <f>'[12]Summary Report - 12 Months Endi'!UCF2</f>
        <v>0</v>
      </c>
      <c r="UCH3">
        <f>'[12]Summary Report - 12 Months Endi'!UCG2</f>
        <v>0</v>
      </c>
      <c r="UCI3">
        <f>'[12]Summary Report - 12 Months Endi'!UCH2</f>
        <v>0</v>
      </c>
      <c r="UCJ3">
        <f>'[12]Summary Report - 12 Months Endi'!UCI2</f>
        <v>0</v>
      </c>
      <c r="UCK3">
        <f>'[12]Summary Report - 12 Months Endi'!UCJ2</f>
        <v>0</v>
      </c>
      <c r="UCL3">
        <f>'[12]Summary Report - 12 Months Endi'!UCK2</f>
        <v>0</v>
      </c>
      <c r="UCM3">
        <f>'[12]Summary Report - 12 Months Endi'!UCL2</f>
        <v>0</v>
      </c>
      <c r="UCN3">
        <f>'[12]Summary Report - 12 Months Endi'!UCM2</f>
        <v>0</v>
      </c>
      <c r="UCO3">
        <f>'[12]Summary Report - 12 Months Endi'!UCN2</f>
        <v>0</v>
      </c>
      <c r="UCP3">
        <f>'[12]Summary Report - 12 Months Endi'!UCO2</f>
        <v>0</v>
      </c>
      <c r="UCQ3">
        <f>'[12]Summary Report - 12 Months Endi'!UCP2</f>
        <v>0</v>
      </c>
      <c r="UCR3">
        <f>'[12]Summary Report - 12 Months Endi'!UCQ2</f>
        <v>0</v>
      </c>
      <c r="UCS3">
        <f>'[12]Summary Report - 12 Months Endi'!UCR2</f>
        <v>0</v>
      </c>
      <c r="UCT3">
        <f>'[12]Summary Report - 12 Months Endi'!UCS2</f>
        <v>0</v>
      </c>
      <c r="UCU3">
        <f>'[12]Summary Report - 12 Months Endi'!UCT2</f>
        <v>0</v>
      </c>
      <c r="UCV3">
        <f>'[12]Summary Report - 12 Months Endi'!UCU2</f>
        <v>0</v>
      </c>
      <c r="UCW3">
        <f>'[12]Summary Report - 12 Months Endi'!UCV2</f>
        <v>0</v>
      </c>
      <c r="UCX3">
        <f>'[12]Summary Report - 12 Months Endi'!UCW2</f>
        <v>0</v>
      </c>
      <c r="UCY3">
        <f>'[12]Summary Report - 12 Months Endi'!UCX2</f>
        <v>0</v>
      </c>
      <c r="UCZ3">
        <f>'[12]Summary Report - 12 Months Endi'!UCY2</f>
        <v>0</v>
      </c>
      <c r="UDA3">
        <f>'[12]Summary Report - 12 Months Endi'!UCZ2</f>
        <v>0</v>
      </c>
      <c r="UDB3">
        <f>'[12]Summary Report - 12 Months Endi'!UDA2</f>
        <v>0</v>
      </c>
      <c r="UDC3">
        <f>'[12]Summary Report - 12 Months Endi'!UDB2</f>
        <v>0</v>
      </c>
      <c r="UDD3">
        <f>'[12]Summary Report - 12 Months Endi'!UDC2</f>
        <v>0</v>
      </c>
      <c r="UDE3">
        <f>'[12]Summary Report - 12 Months Endi'!UDD2</f>
        <v>0</v>
      </c>
      <c r="UDF3">
        <f>'[12]Summary Report - 12 Months Endi'!UDE2</f>
        <v>0</v>
      </c>
      <c r="UDG3">
        <f>'[12]Summary Report - 12 Months Endi'!UDF2</f>
        <v>0</v>
      </c>
      <c r="UDH3">
        <f>'[12]Summary Report - 12 Months Endi'!UDG2</f>
        <v>0</v>
      </c>
      <c r="UDI3">
        <f>'[12]Summary Report - 12 Months Endi'!UDH2</f>
        <v>0</v>
      </c>
      <c r="UDJ3">
        <f>'[12]Summary Report - 12 Months Endi'!UDI2</f>
        <v>0</v>
      </c>
      <c r="UDK3">
        <f>'[12]Summary Report - 12 Months Endi'!UDJ2</f>
        <v>0</v>
      </c>
      <c r="UDL3">
        <f>'[12]Summary Report - 12 Months Endi'!UDK2</f>
        <v>0</v>
      </c>
      <c r="UDM3">
        <f>'[12]Summary Report - 12 Months Endi'!UDL2</f>
        <v>0</v>
      </c>
      <c r="UDN3">
        <f>'[12]Summary Report - 12 Months Endi'!UDM2</f>
        <v>0</v>
      </c>
      <c r="UDO3">
        <f>'[12]Summary Report - 12 Months Endi'!UDN2</f>
        <v>0</v>
      </c>
      <c r="UDP3">
        <f>'[12]Summary Report - 12 Months Endi'!UDO2</f>
        <v>0</v>
      </c>
      <c r="UDQ3">
        <f>'[12]Summary Report - 12 Months Endi'!UDP2</f>
        <v>0</v>
      </c>
      <c r="UDR3">
        <f>'[12]Summary Report - 12 Months Endi'!UDQ2</f>
        <v>0</v>
      </c>
      <c r="UDS3">
        <f>'[12]Summary Report - 12 Months Endi'!UDR2</f>
        <v>0</v>
      </c>
      <c r="UDT3">
        <f>'[12]Summary Report - 12 Months Endi'!UDS2</f>
        <v>0</v>
      </c>
      <c r="UDU3">
        <f>'[12]Summary Report - 12 Months Endi'!UDT2</f>
        <v>0</v>
      </c>
      <c r="UDV3">
        <f>'[12]Summary Report - 12 Months Endi'!UDU2</f>
        <v>0</v>
      </c>
      <c r="UDW3">
        <f>'[12]Summary Report - 12 Months Endi'!UDV2</f>
        <v>0</v>
      </c>
      <c r="UDX3">
        <f>'[12]Summary Report - 12 Months Endi'!UDW2</f>
        <v>0</v>
      </c>
      <c r="UDY3">
        <f>'[12]Summary Report - 12 Months Endi'!UDX2</f>
        <v>0</v>
      </c>
      <c r="UDZ3">
        <f>'[12]Summary Report - 12 Months Endi'!UDY2</f>
        <v>0</v>
      </c>
      <c r="UEA3">
        <f>'[12]Summary Report - 12 Months Endi'!UDZ2</f>
        <v>0</v>
      </c>
      <c r="UEB3">
        <f>'[12]Summary Report - 12 Months Endi'!UEA2</f>
        <v>0</v>
      </c>
      <c r="UEC3">
        <f>'[12]Summary Report - 12 Months Endi'!UEB2</f>
        <v>0</v>
      </c>
      <c r="UED3">
        <f>'[12]Summary Report - 12 Months Endi'!UEC2</f>
        <v>0</v>
      </c>
      <c r="UEE3">
        <f>'[12]Summary Report - 12 Months Endi'!UED2</f>
        <v>0</v>
      </c>
      <c r="UEF3">
        <f>'[12]Summary Report - 12 Months Endi'!UEE2</f>
        <v>0</v>
      </c>
      <c r="UEG3">
        <f>'[12]Summary Report - 12 Months Endi'!UEF2</f>
        <v>0</v>
      </c>
      <c r="UEH3">
        <f>'[12]Summary Report - 12 Months Endi'!UEG2</f>
        <v>0</v>
      </c>
      <c r="UEI3">
        <f>'[12]Summary Report - 12 Months Endi'!UEH2</f>
        <v>0</v>
      </c>
      <c r="UEJ3">
        <f>'[12]Summary Report - 12 Months Endi'!UEI2</f>
        <v>0</v>
      </c>
      <c r="UEK3">
        <f>'[12]Summary Report - 12 Months Endi'!UEJ2</f>
        <v>0</v>
      </c>
      <c r="UEL3">
        <f>'[12]Summary Report - 12 Months Endi'!UEK2</f>
        <v>0</v>
      </c>
      <c r="UEM3">
        <f>'[12]Summary Report - 12 Months Endi'!UEL2</f>
        <v>0</v>
      </c>
      <c r="UEN3">
        <f>'[12]Summary Report - 12 Months Endi'!UEM2</f>
        <v>0</v>
      </c>
      <c r="UEO3">
        <f>'[12]Summary Report - 12 Months Endi'!UEN2</f>
        <v>0</v>
      </c>
      <c r="UEP3">
        <f>'[12]Summary Report - 12 Months Endi'!UEO2</f>
        <v>0</v>
      </c>
      <c r="UEQ3">
        <f>'[12]Summary Report - 12 Months Endi'!UEP2</f>
        <v>0</v>
      </c>
      <c r="UER3">
        <f>'[12]Summary Report - 12 Months Endi'!UEQ2</f>
        <v>0</v>
      </c>
      <c r="UES3">
        <f>'[12]Summary Report - 12 Months Endi'!UER2</f>
        <v>0</v>
      </c>
      <c r="UET3">
        <f>'[12]Summary Report - 12 Months Endi'!UES2</f>
        <v>0</v>
      </c>
      <c r="UEU3">
        <f>'[12]Summary Report - 12 Months Endi'!UET2</f>
        <v>0</v>
      </c>
      <c r="UEV3">
        <f>'[12]Summary Report - 12 Months Endi'!UEU2</f>
        <v>0</v>
      </c>
      <c r="UEW3">
        <f>'[12]Summary Report - 12 Months Endi'!UEV2</f>
        <v>0</v>
      </c>
      <c r="UEX3">
        <f>'[12]Summary Report - 12 Months Endi'!UEW2</f>
        <v>0</v>
      </c>
      <c r="UEY3">
        <f>'[12]Summary Report - 12 Months Endi'!UEX2</f>
        <v>0</v>
      </c>
      <c r="UEZ3">
        <f>'[12]Summary Report - 12 Months Endi'!UEY2</f>
        <v>0</v>
      </c>
      <c r="UFA3">
        <f>'[12]Summary Report - 12 Months Endi'!UEZ2</f>
        <v>0</v>
      </c>
      <c r="UFB3">
        <f>'[12]Summary Report - 12 Months Endi'!UFA2</f>
        <v>0</v>
      </c>
      <c r="UFC3">
        <f>'[12]Summary Report - 12 Months Endi'!UFB2</f>
        <v>0</v>
      </c>
      <c r="UFD3">
        <f>'[12]Summary Report - 12 Months Endi'!UFC2</f>
        <v>0</v>
      </c>
      <c r="UFE3">
        <f>'[12]Summary Report - 12 Months Endi'!UFD2</f>
        <v>0</v>
      </c>
      <c r="UFF3">
        <f>'[12]Summary Report - 12 Months Endi'!UFE2</f>
        <v>0</v>
      </c>
      <c r="UFG3">
        <f>'[12]Summary Report - 12 Months Endi'!UFF2</f>
        <v>0</v>
      </c>
      <c r="UFH3">
        <f>'[12]Summary Report - 12 Months Endi'!UFG2</f>
        <v>0</v>
      </c>
      <c r="UFI3">
        <f>'[12]Summary Report - 12 Months Endi'!UFH2</f>
        <v>0</v>
      </c>
      <c r="UFJ3">
        <f>'[12]Summary Report - 12 Months Endi'!UFI2</f>
        <v>0</v>
      </c>
      <c r="UFK3">
        <f>'[12]Summary Report - 12 Months Endi'!UFJ2</f>
        <v>0</v>
      </c>
      <c r="UFL3">
        <f>'[12]Summary Report - 12 Months Endi'!UFK2</f>
        <v>0</v>
      </c>
      <c r="UFM3">
        <f>'[12]Summary Report - 12 Months Endi'!UFL2</f>
        <v>0</v>
      </c>
      <c r="UFN3">
        <f>'[12]Summary Report - 12 Months Endi'!UFM2</f>
        <v>0</v>
      </c>
      <c r="UFO3">
        <f>'[12]Summary Report - 12 Months Endi'!UFN2</f>
        <v>0</v>
      </c>
      <c r="UFP3">
        <f>'[12]Summary Report - 12 Months Endi'!UFO2</f>
        <v>0</v>
      </c>
      <c r="UFQ3">
        <f>'[12]Summary Report - 12 Months Endi'!UFP2</f>
        <v>0</v>
      </c>
      <c r="UFR3">
        <f>'[12]Summary Report - 12 Months Endi'!UFQ2</f>
        <v>0</v>
      </c>
      <c r="UFS3">
        <f>'[12]Summary Report - 12 Months Endi'!UFR2</f>
        <v>0</v>
      </c>
      <c r="UFT3">
        <f>'[12]Summary Report - 12 Months Endi'!UFS2</f>
        <v>0</v>
      </c>
      <c r="UFU3">
        <f>'[12]Summary Report - 12 Months Endi'!UFT2</f>
        <v>0</v>
      </c>
      <c r="UFV3">
        <f>'[12]Summary Report - 12 Months Endi'!UFU2</f>
        <v>0</v>
      </c>
      <c r="UFW3">
        <f>'[12]Summary Report - 12 Months Endi'!UFV2</f>
        <v>0</v>
      </c>
      <c r="UFX3">
        <f>'[12]Summary Report - 12 Months Endi'!UFW2</f>
        <v>0</v>
      </c>
      <c r="UFY3">
        <f>'[12]Summary Report - 12 Months Endi'!UFX2</f>
        <v>0</v>
      </c>
      <c r="UFZ3">
        <f>'[12]Summary Report - 12 Months Endi'!UFY2</f>
        <v>0</v>
      </c>
      <c r="UGA3">
        <f>'[12]Summary Report - 12 Months Endi'!UFZ2</f>
        <v>0</v>
      </c>
      <c r="UGB3">
        <f>'[12]Summary Report - 12 Months Endi'!UGA2</f>
        <v>0</v>
      </c>
      <c r="UGC3">
        <f>'[12]Summary Report - 12 Months Endi'!UGB2</f>
        <v>0</v>
      </c>
      <c r="UGD3">
        <f>'[12]Summary Report - 12 Months Endi'!UGC2</f>
        <v>0</v>
      </c>
      <c r="UGE3">
        <f>'[12]Summary Report - 12 Months Endi'!UGD2</f>
        <v>0</v>
      </c>
      <c r="UGF3">
        <f>'[12]Summary Report - 12 Months Endi'!UGE2</f>
        <v>0</v>
      </c>
      <c r="UGG3">
        <f>'[12]Summary Report - 12 Months Endi'!UGF2</f>
        <v>0</v>
      </c>
      <c r="UGH3">
        <f>'[12]Summary Report - 12 Months Endi'!UGG2</f>
        <v>0</v>
      </c>
      <c r="UGI3">
        <f>'[12]Summary Report - 12 Months Endi'!UGH2</f>
        <v>0</v>
      </c>
      <c r="UGJ3">
        <f>'[12]Summary Report - 12 Months Endi'!UGI2</f>
        <v>0</v>
      </c>
      <c r="UGK3">
        <f>'[12]Summary Report - 12 Months Endi'!UGJ2</f>
        <v>0</v>
      </c>
      <c r="UGL3">
        <f>'[12]Summary Report - 12 Months Endi'!UGK2</f>
        <v>0</v>
      </c>
      <c r="UGM3">
        <f>'[12]Summary Report - 12 Months Endi'!UGL2</f>
        <v>0</v>
      </c>
      <c r="UGN3">
        <f>'[12]Summary Report - 12 Months Endi'!UGM2</f>
        <v>0</v>
      </c>
      <c r="UGO3">
        <f>'[12]Summary Report - 12 Months Endi'!UGN2</f>
        <v>0</v>
      </c>
      <c r="UGP3">
        <f>'[12]Summary Report - 12 Months Endi'!UGO2</f>
        <v>0</v>
      </c>
      <c r="UGQ3">
        <f>'[12]Summary Report - 12 Months Endi'!UGP2</f>
        <v>0</v>
      </c>
      <c r="UGR3">
        <f>'[12]Summary Report - 12 Months Endi'!UGQ2</f>
        <v>0</v>
      </c>
      <c r="UGS3">
        <f>'[12]Summary Report - 12 Months Endi'!UGR2</f>
        <v>0</v>
      </c>
      <c r="UGT3">
        <f>'[12]Summary Report - 12 Months Endi'!UGS2</f>
        <v>0</v>
      </c>
      <c r="UGU3">
        <f>'[12]Summary Report - 12 Months Endi'!UGT2</f>
        <v>0</v>
      </c>
      <c r="UGV3">
        <f>'[12]Summary Report - 12 Months Endi'!UGU2</f>
        <v>0</v>
      </c>
      <c r="UGW3">
        <f>'[12]Summary Report - 12 Months Endi'!UGV2</f>
        <v>0</v>
      </c>
      <c r="UGX3">
        <f>'[12]Summary Report - 12 Months Endi'!UGW2</f>
        <v>0</v>
      </c>
      <c r="UGY3">
        <f>'[12]Summary Report - 12 Months Endi'!UGX2</f>
        <v>0</v>
      </c>
      <c r="UGZ3">
        <f>'[12]Summary Report - 12 Months Endi'!UGY2</f>
        <v>0</v>
      </c>
      <c r="UHA3">
        <f>'[12]Summary Report - 12 Months Endi'!UGZ2</f>
        <v>0</v>
      </c>
      <c r="UHB3">
        <f>'[12]Summary Report - 12 Months Endi'!UHA2</f>
        <v>0</v>
      </c>
      <c r="UHC3">
        <f>'[12]Summary Report - 12 Months Endi'!UHB2</f>
        <v>0</v>
      </c>
      <c r="UHD3">
        <f>'[12]Summary Report - 12 Months Endi'!UHC2</f>
        <v>0</v>
      </c>
      <c r="UHE3">
        <f>'[12]Summary Report - 12 Months Endi'!UHD2</f>
        <v>0</v>
      </c>
      <c r="UHF3">
        <f>'[12]Summary Report - 12 Months Endi'!UHE2</f>
        <v>0</v>
      </c>
      <c r="UHG3">
        <f>'[12]Summary Report - 12 Months Endi'!UHF2</f>
        <v>0</v>
      </c>
      <c r="UHH3">
        <f>'[12]Summary Report - 12 Months Endi'!UHG2</f>
        <v>0</v>
      </c>
      <c r="UHI3">
        <f>'[12]Summary Report - 12 Months Endi'!UHH2</f>
        <v>0</v>
      </c>
      <c r="UHJ3">
        <f>'[12]Summary Report - 12 Months Endi'!UHI2</f>
        <v>0</v>
      </c>
      <c r="UHK3">
        <f>'[12]Summary Report - 12 Months Endi'!UHJ2</f>
        <v>0</v>
      </c>
      <c r="UHL3">
        <f>'[12]Summary Report - 12 Months Endi'!UHK2</f>
        <v>0</v>
      </c>
      <c r="UHM3">
        <f>'[12]Summary Report - 12 Months Endi'!UHL2</f>
        <v>0</v>
      </c>
      <c r="UHN3">
        <f>'[12]Summary Report - 12 Months Endi'!UHM2</f>
        <v>0</v>
      </c>
      <c r="UHO3">
        <f>'[12]Summary Report - 12 Months Endi'!UHN2</f>
        <v>0</v>
      </c>
      <c r="UHP3">
        <f>'[12]Summary Report - 12 Months Endi'!UHO2</f>
        <v>0</v>
      </c>
      <c r="UHQ3">
        <f>'[12]Summary Report - 12 Months Endi'!UHP2</f>
        <v>0</v>
      </c>
      <c r="UHR3">
        <f>'[12]Summary Report - 12 Months Endi'!UHQ2</f>
        <v>0</v>
      </c>
      <c r="UHS3">
        <f>'[12]Summary Report - 12 Months Endi'!UHR2</f>
        <v>0</v>
      </c>
      <c r="UHT3">
        <f>'[12]Summary Report - 12 Months Endi'!UHS2</f>
        <v>0</v>
      </c>
      <c r="UHU3">
        <f>'[12]Summary Report - 12 Months Endi'!UHT2</f>
        <v>0</v>
      </c>
      <c r="UHV3">
        <f>'[12]Summary Report - 12 Months Endi'!UHU2</f>
        <v>0</v>
      </c>
      <c r="UHW3">
        <f>'[12]Summary Report - 12 Months Endi'!UHV2</f>
        <v>0</v>
      </c>
      <c r="UHX3">
        <f>'[12]Summary Report - 12 Months Endi'!UHW2</f>
        <v>0</v>
      </c>
      <c r="UHY3">
        <f>'[12]Summary Report - 12 Months Endi'!UHX2</f>
        <v>0</v>
      </c>
      <c r="UHZ3">
        <f>'[12]Summary Report - 12 Months Endi'!UHY2</f>
        <v>0</v>
      </c>
      <c r="UIA3">
        <f>'[12]Summary Report - 12 Months Endi'!UHZ2</f>
        <v>0</v>
      </c>
      <c r="UIB3">
        <f>'[12]Summary Report - 12 Months Endi'!UIA2</f>
        <v>0</v>
      </c>
      <c r="UIC3">
        <f>'[12]Summary Report - 12 Months Endi'!UIB2</f>
        <v>0</v>
      </c>
      <c r="UID3">
        <f>'[12]Summary Report - 12 Months Endi'!UIC2</f>
        <v>0</v>
      </c>
      <c r="UIE3">
        <f>'[12]Summary Report - 12 Months Endi'!UID2</f>
        <v>0</v>
      </c>
      <c r="UIF3">
        <f>'[12]Summary Report - 12 Months Endi'!UIE2</f>
        <v>0</v>
      </c>
      <c r="UIG3">
        <f>'[12]Summary Report - 12 Months Endi'!UIF2</f>
        <v>0</v>
      </c>
      <c r="UIH3">
        <f>'[12]Summary Report - 12 Months Endi'!UIG2</f>
        <v>0</v>
      </c>
      <c r="UII3">
        <f>'[12]Summary Report - 12 Months Endi'!UIH2</f>
        <v>0</v>
      </c>
      <c r="UIJ3">
        <f>'[12]Summary Report - 12 Months Endi'!UII2</f>
        <v>0</v>
      </c>
      <c r="UIK3">
        <f>'[12]Summary Report - 12 Months Endi'!UIJ2</f>
        <v>0</v>
      </c>
      <c r="UIL3">
        <f>'[12]Summary Report - 12 Months Endi'!UIK2</f>
        <v>0</v>
      </c>
      <c r="UIM3">
        <f>'[12]Summary Report - 12 Months Endi'!UIL2</f>
        <v>0</v>
      </c>
      <c r="UIN3">
        <f>'[12]Summary Report - 12 Months Endi'!UIM2</f>
        <v>0</v>
      </c>
      <c r="UIO3">
        <f>'[12]Summary Report - 12 Months Endi'!UIN2</f>
        <v>0</v>
      </c>
      <c r="UIP3">
        <f>'[12]Summary Report - 12 Months Endi'!UIO2</f>
        <v>0</v>
      </c>
      <c r="UIQ3">
        <f>'[12]Summary Report - 12 Months Endi'!UIP2</f>
        <v>0</v>
      </c>
      <c r="UIR3">
        <f>'[12]Summary Report - 12 Months Endi'!UIQ2</f>
        <v>0</v>
      </c>
      <c r="UIS3">
        <f>'[12]Summary Report - 12 Months Endi'!UIR2</f>
        <v>0</v>
      </c>
      <c r="UIT3">
        <f>'[12]Summary Report - 12 Months Endi'!UIS2</f>
        <v>0</v>
      </c>
      <c r="UIU3">
        <f>'[12]Summary Report - 12 Months Endi'!UIT2</f>
        <v>0</v>
      </c>
      <c r="UIV3">
        <f>'[12]Summary Report - 12 Months Endi'!UIU2</f>
        <v>0</v>
      </c>
      <c r="UIW3">
        <f>'[12]Summary Report - 12 Months Endi'!UIV2</f>
        <v>0</v>
      </c>
      <c r="UIX3">
        <f>'[12]Summary Report - 12 Months Endi'!UIW2</f>
        <v>0</v>
      </c>
      <c r="UIY3">
        <f>'[12]Summary Report - 12 Months Endi'!UIX2</f>
        <v>0</v>
      </c>
      <c r="UIZ3">
        <f>'[12]Summary Report - 12 Months Endi'!UIY2</f>
        <v>0</v>
      </c>
      <c r="UJA3">
        <f>'[12]Summary Report - 12 Months Endi'!UIZ2</f>
        <v>0</v>
      </c>
      <c r="UJB3">
        <f>'[12]Summary Report - 12 Months Endi'!UJA2</f>
        <v>0</v>
      </c>
      <c r="UJC3">
        <f>'[12]Summary Report - 12 Months Endi'!UJB2</f>
        <v>0</v>
      </c>
      <c r="UJD3">
        <f>'[12]Summary Report - 12 Months Endi'!UJC2</f>
        <v>0</v>
      </c>
      <c r="UJE3">
        <f>'[12]Summary Report - 12 Months Endi'!UJD2</f>
        <v>0</v>
      </c>
      <c r="UJF3">
        <f>'[12]Summary Report - 12 Months Endi'!UJE2</f>
        <v>0</v>
      </c>
      <c r="UJG3">
        <f>'[12]Summary Report - 12 Months Endi'!UJF2</f>
        <v>0</v>
      </c>
      <c r="UJH3">
        <f>'[12]Summary Report - 12 Months Endi'!UJG2</f>
        <v>0</v>
      </c>
      <c r="UJI3">
        <f>'[12]Summary Report - 12 Months Endi'!UJH2</f>
        <v>0</v>
      </c>
      <c r="UJJ3">
        <f>'[12]Summary Report - 12 Months Endi'!UJI2</f>
        <v>0</v>
      </c>
      <c r="UJK3">
        <f>'[12]Summary Report - 12 Months Endi'!UJJ2</f>
        <v>0</v>
      </c>
      <c r="UJL3">
        <f>'[12]Summary Report - 12 Months Endi'!UJK2</f>
        <v>0</v>
      </c>
      <c r="UJM3">
        <f>'[12]Summary Report - 12 Months Endi'!UJL2</f>
        <v>0</v>
      </c>
      <c r="UJN3">
        <f>'[12]Summary Report - 12 Months Endi'!UJM2</f>
        <v>0</v>
      </c>
      <c r="UJO3">
        <f>'[12]Summary Report - 12 Months Endi'!UJN2</f>
        <v>0</v>
      </c>
      <c r="UJP3">
        <f>'[12]Summary Report - 12 Months Endi'!UJO2</f>
        <v>0</v>
      </c>
      <c r="UJQ3">
        <f>'[12]Summary Report - 12 Months Endi'!UJP2</f>
        <v>0</v>
      </c>
      <c r="UJR3">
        <f>'[12]Summary Report - 12 Months Endi'!UJQ2</f>
        <v>0</v>
      </c>
      <c r="UJS3">
        <f>'[12]Summary Report - 12 Months Endi'!UJR2</f>
        <v>0</v>
      </c>
      <c r="UJT3">
        <f>'[12]Summary Report - 12 Months Endi'!UJS2</f>
        <v>0</v>
      </c>
      <c r="UJU3">
        <f>'[12]Summary Report - 12 Months Endi'!UJT2</f>
        <v>0</v>
      </c>
      <c r="UJV3">
        <f>'[12]Summary Report - 12 Months Endi'!UJU2</f>
        <v>0</v>
      </c>
      <c r="UJW3">
        <f>'[12]Summary Report - 12 Months Endi'!UJV2</f>
        <v>0</v>
      </c>
      <c r="UJX3">
        <f>'[12]Summary Report - 12 Months Endi'!UJW2</f>
        <v>0</v>
      </c>
      <c r="UJY3">
        <f>'[12]Summary Report - 12 Months Endi'!UJX2</f>
        <v>0</v>
      </c>
      <c r="UJZ3">
        <f>'[12]Summary Report - 12 Months Endi'!UJY2</f>
        <v>0</v>
      </c>
      <c r="UKA3">
        <f>'[12]Summary Report - 12 Months Endi'!UJZ2</f>
        <v>0</v>
      </c>
      <c r="UKB3">
        <f>'[12]Summary Report - 12 Months Endi'!UKA2</f>
        <v>0</v>
      </c>
      <c r="UKC3">
        <f>'[12]Summary Report - 12 Months Endi'!UKB2</f>
        <v>0</v>
      </c>
      <c r="UKD3">
        <f>'[12]Summary Report - 12 Months Endi'!UKC2</f>
        <v>0</v>
      </c>
      <c r="UKE3">
        <f>'[12]Summary Report - 12 Months Endi'!UKD2</f>
        <v>0</v>
      </c>
      <c r="UKF3">
        <f>'[12]Summary Report - 12 Months Endi'!UKE2</f>
        <v>0</v>
      </c>
      <c r="UKG3">
        <f>'[12]Summary Report - 12 Months Endi'!UKF2</f>
        <v>0</v>
      </c>
      <c r="UKH3">
        <f>'[12]Summary Report - 12 Months Endi'!UKG2</f>
        <v>0</v>
      </c>
      <c r="UKI3">
        <f>'[12]Summary Report - 12 Months Endi'!UKH2</f>
        <v>0</v>
      </c>
      <c r="UKJ3">
        <f>'[12]Summary Report - 12 Months Endi'!UKI2</f>
        <v>0</v>
      </c>
      <c r="UKK3">
        <f>'[12]Summary Report - 12 Months Endi'!UKJ2</f>
        <v>0</v>
      </c>
      <c r="UKL3">
        <f>'[12]Summary Report - 12 Months Endi'!UKK2</f>
        <v>0</v>
      </c>
      <c r="UKM3">
        <f>'[12]Summary Report - 12 Months Endi'!UKL2</f>
        <v>0</v>
      </c>
      <c r="UKN3">
        <f>'[12]Summary Report - 12 Months Endi'!UKM2</f>
        <v>0</v>
      </c>
      <c r="UKO3">
        <f>'[12]Summary Report - 12 Months Endi'!UKN2</f>
        <v>0</v>
      </c>
      <c r="UKP3">
        <f>'[12]Summary Report - 12 Months Endi'!UKO2</f>
        <v>0</v>
      </c>
      <c r="UKQ3">
        <f>'[12]Summary Report - 12 Months Endi'!UKP2</f>
        <v>0</v>
      </c>
      <c r="UKR3">
        <f>'[12]Summary Report - 12 Months Endi'!UKQ2</f>
        <v>0</v>
      </c>
      <c r="UKS3">
        <f>'[12]Summary Report - 12 Months Endi'!UKR2</f>
        <v>0</v>
      </c>
      <c r="UKT3">
        <f>'[12]Summary Report - 12 Months Endi'!UKS2</f>
        <v>0</v>
      </c>
      <c r="UKU3">
        <f>'[12]Summary Report - 12 Months Endi'!UKT2</f>
        <v>0</v>
      </c>
      <c r="UKV3">
        <f>'[12]Summary Report - 12 Months Endi'!UKU2</f>
        <v>0</v>
      </c>
      <c r="UKW3">
        <f>'[12]Summary Report - 12 Months Endi'!UKV2</f>
        <v>0</v>
      </c>
      <c r="UKX3">
        <f>'[12]Summary Report - 12 Months Endi'!UKW2</f>
        <v>0</v>
      </c>
      <c r="UKY3">
        <f>'[12]Summary Report - 12 Months Endi'!UKX2</f>
        <v>0</v>
      </c>
      <c r="UKZ3">
        <f>'[12]Summary Report - 12 Months Endi'!UKY2</f>
        <v>0</v>
      </c>
      <c r="ULA3">
        <f>'[12]Summary Report - 12 Months Endi'!UKZ2</f>
        <v>0</v>
      </c>
      <c r="ULB3">
        <f>'[12]Summary Report - 12 Months Endi'!ULA2</f>
        <v>0</v>
      </c>
      <c r="ULC3">
        <f>'[12]Summary Report - 12 Months Endi'!ULB2</f>
        <v>0</v>
      </c>
      <c r="ULD3">
        <f>'[12]Summary Report - 12 Months Endi'!ULC2</f>
        <v>0</v>
      </c>
      <c r="ULE3">
        <f>'[12]Summary Report - 12 Months Endi'!ULD2</f>
        <v>0</v>
      </c>
      <c r="ULF3">
        <f>'[12]Summary Report - 12 Months Endi'!ULE2</f>
        <v>0</v>
      </c>
      <c r="ULG3">
        <f>'[12]Summary Report - 12 Months Endi'!ULF2</f>
        <v>0</v>
      </c>
      <c r="ULH3">
        <f>'[12]Summary Report - 12 Months Endi'!ULG2</f>
        <v>0</v>
      </c>
      <c r="ULI3">
        <f>'[12]Summary Report - 12 Months Endi'!ULH2</f>
        <v>0</v>
      </c>
      <c r="ULJ3">
        <f>'[12]Summary Report - 12 Months Endi'!ULI2</f>
        <v>0</v>
      </c>
      <c r="ULK3">
        <f>'[12]Summary Report - 12 Months Endi'!ULJ2</f>
        <v>0</v>
      </c>
      <c r="ULL3">
        <f>'[12]Summary Report - 12 Months Endi'!ULK2</f>
        <v>0</v>
      </c>
      <c r="ULM3">
        <f>'[12]Summary Report - 12 Months Endi'!ULL2</f>
        <v>0</v>
      </c>
      <c r="ULN3">
        <f>'[12]Summary Report - 12 Months Endi'!ULM2</f>
        <v>0</v>
      </c>
      <c r="ULO3">
        <f>'[12]Summary Report - 12 Months Endi'!ULN2</f>
        <v>0</v>
      </c>
      <c r="ULP3">
        <f>'[12]Summary Report - 12 Months Endi'!ULO2</f>
        <v>0</v>
      </c>
      <c r="ULQ3">
        <f>'[12]Summary Report - 12 Months Endi'!ULP2</f>
        <v>0</v>
      </c>
      <c r="ULR3">
        <f>'[12]Summary Report - 12 Months Endi'!ULQ2</f>
        <v>0</v>
      </c>
      <c r="ULS3">
        <f>'[12]Summary Report - 12 Months Endi'!ULR2</f>
        <v>0</v>
      </c>
      <c r="ULT3">
        <f>'[12]Summary Report - 12 Months Endi'!ULS2</f>
        <v>0</v>
      </c>
      <c r="ULU3">
        <f>'[12]Summary Report - 12 Months Endi'!ULT2</f>
        <v>0</v>
      </c>
      <c r="ULV3">
        <f>'[12]Summary Report - 12 Months Endi'!ULU2</f>
        <v>0</v>
      </c>
      <c r="ULW3">
        <f>'[12]Summary Report - 12 Months Endi'!ULV2</f>
        <v>0</v>
      </c>
      <c r="ULX3">
        <f>'[12]Summary Report - 12 Months Endi'!ULW2</f>
        <v>0</v>
      </c>
      <c r="ULY3">
        <f>'[12]Summary Report - 12 Months Endi'!ULX2</f>
        <v>0</v>
      </c>
      <c r="ULZ3">
        <f>'[12]Summary Report - 12 Months Endi'!ULY2</f>
        <v>0</v>
      </c>
      <c r="UMA3">
        <f>'[12]Summary Report - 12 Months Endi'!ULZ2</f>
        <v>0</v>
      </c>
      <c r="UMB3">
        <f>'[12]Summary Report - 12 Months Endi'!UMA2</f>
        <v>0</v>
      </c>
      <c r="UMC3">
        <f>'[12]Summary Report - 12 Months Endi'!UMB2</f>
        <v>0</v>
      </c>
      <c r="UMD3">
        <f>'[12]Summary Report - 12 Months Endi'!UMC2</f>
        <v>0</v>
      </c>
      <c r="UME3">
        <f>'[12]Summary Report - 12 Months Endi'!UMD2</f>
        <v>0</v>
      </c>
      <c r="UMF3">
        <f>'[12]Summary Report - 12 Months Endi'!UME2</f>
        <v>0</v>
      </c>
      <c r="UMG3">
        <f>'[12]Summary Report - 12 Months Endi'!UMF2</f>
        <v>0</v>
      </c>
      <c r="UMH3">
        <f>'[12]Summary Report - 12 Months Endi'!UMG2</f>
        <v>0</v>
      </c>
      <c r="UMI3">
        <f>'[12]Summary Report - 12 Months Endi'!UMH2</f>
        <v>0</v>
      </c>
      <c r="UMJ3">
        <f>'[12]Summary Report - 12 Months Endi'!UMI2</f>
        <v>0</v>
      </c>
      <c r="UMK3">
        <f>'[12]Summary Report - 12 Months Endi'!UMJ2</f>
        <v>0</v>
      </c>
      <c r="UML3">
        <f>'[12]Summary Report - 12 Months Endi'!UMK2</f>
        <v>0</v>
      </c>
      <c r="UMM3">
        <f>'[12]Summary Report - 12 Months Endi'!UML2</f>
        <v>0</v>
      </c>
      <c r="UMN3">
        <f>'[12]Summary Report - 12 Months Endi'!UMM2</f>
        <v>0</v>
      </c>
      <c r="UMO3">
        <f>'[12]Summary Report - 12 Months Endi'!UMN2</f>
        <v>0</v>
      </c>
      <c r="UMP3">
        <f>'[12]Summary Report - 12 Months Endi'!UMO2</f>
        <v>0</v>
      </c>
      <c r="UMQ3">
        <f>'[12]Summary Report - 12 Months Endi'!UMP2</f>
        <v>0</v>
      </c>
      <c r="UMR3">
        <f>'[12]Summary Report - 12 Months Endi'!UMQ2</f>
        <v>0</v>
      </c>
      <c r="UMS3">
        <f>'[12]Summary Report - 12 Months Endi'!UMR2</f>
        <v>0</v>
      </c>
      <c r="UMT3">
        <f>'[12]Summary Report - 12 Months Endi'!UMS2</f>
        <v>0</v>
      </c>
      <c r="UMU3">
        <f>'[12]Summary Report - 12 Months Endi'!UMT2</f>
        <v>0</v>
      </c>
      <c r="UMV3">
        <f>'[12]Summary Report - 12 Months Endi'!UMU2</f>
        <v>0</v>
      </c>
      <c r="UMW3">
        <f>'[12]Summary Report - 12 Months Endi'!UMV2</f>
        <v>0</v>
      </c>
      <c r="UMX3">
        <f>'[12]Summary Report - 12 Months Endi'!UMW2</f>
        <v>0</v>
      </c>
      <c r="UMY3">
        <f>'[12]Summary Report - 12 Months Endi'!UMX2</f>
        <v>0</v>
      </c>
      <c r="UMZ3">
        <f>'[12]Summary Report - 12 Months Endi'!UMY2</f>
        <v>0</v>
      </c>
      <c r="UNA3">
        <f>'[12]Summary Report - 12 Months Endi'!UMZ2</f>
        <v>0</v>
      </c>
      <c r="UNB3">
        <f>'[12]Summary Report - 12 Months Endi'!UNA2</f>
        <v>0</v>
      </c>
      <c r="UNC3">
        <f>'[12]Summary Report - 12 Months Endi'!UNB2</f>
        <v>0</v>
      </c>
      <c r="UND3">
        <f>'[12]Summary Report - 12 Months Endi'!UNC2</f>
        <v>0</v>
      </c>
      <c r="UNE3">
        <f>'[12]Summary Report - 12 Months Endi'!UND2</f>
        <v>0</v>
      </c>
      <c r="UNF3">
        <f>'[12]Summary Report - 12 Months Endi'!UNE2</f>
        <v>0</v>
      </c>
      <c r="UNG3">
        <f>'[12]Summary Report - 12 Months Endi'!UNF2</f>
        <v>0</v>
      </c>
      <c r="UNH3">
        <f>'[12]Summary Report - 12 Months Endi'!UNG2</f>
        <v>0</v>
      </c>
      <c r="UNI3">
        <f>'[12]Summary Report - 12 Months Endi'!UNH2</f>
        <v>0</v>
      </c>
      <c r="UNJ3">
        <f>'[12]Summary Report - 12 Months Endi'!UNI2</f>
        <v>0</v>
      </c>
      <c r="UNK3">
        <f>'[12]Summary Report - 12 Months Endi'!UNJ2</f>
        <v>0</v>
      </c>
      <c r="UNL3">
        <f>'[12]Summary Report - 12 Months Endi'!UNK2</f>
        <v>0</v>
      </c>
      <c r="UNM3">
        <f>'[12]Summary Report - 12 Months Endi'!UNL2</f>
        <v>0</v>
      </c>
      <c r="UNN3">
        <f>'[12]Summary Report - 12 Months Endi'!UNM2</f>
        <v>0</v>
      </c>
      <c r="UNO3">
        <f>'[12]Summary Report - 12 Months Endi'!UNN2</f>
        <v>0</v>
      </c>
      <c r="UNP3">
        <f>'[12]Summary Report - 12 Months Endi'!UNO2</f>
        <v>0</v>
      </c>
      <c r="UNQ3">
        <f>'[12]Summary Report - 12 Months Endi'!UNP2</f>
        <v>0</v>
      </c>
      <c r="UNR3">
        <f>'[12]Summary Report - 12 Months Endi'!UNQ2</f>
        <v>0</v>
      </c>
      <c r="UNS3">
        <f>'[12]Summary Report - 12 Months Endi'!UNR2</f>
        <v>0</v>
      </c>
      <c r="UNT3">
        <f>'[12]Summary Report - 12 Months Endi'!UNS2</f>
        <v>0</v>
      </c>
      <c r="UNU3">
        <f>'[12]Summary Report - 12 Months Endi'!UNT2</f>
        <v>0</v>
      </c>
      <c r="UNV3">
        <f>'[12]Summary Report - 12 Months Endi'!UNU2</f>
        <v>0</v>
      </c>
      <c r="UNW3">
        <f>'[12]Summary Report - 12 Months Endi'!UNV2</f>
        <v>0</v>
      </c>
      <c r="UNX3">
        <f>'[12]Summary Report - 12 Months Endi'!UNW2</f>
        <v>0</v>
      </c>
      <c r="UNY3">
        <f>'[12]Summary Report - 12 Months Endi'!UNX2</f>
        <v>0</v>
      </c>
      <c r="UNZ3">
        <f>'[12]Summary Report - 12 Months Endi'!UNY2</f>
        <v>0</v>
      </c>
      <c r="UOA3">
        <f>'[12]Summary Report - 12 Months Endi'!UNZ2</f>
        <v>0</v>
      </c>
      <c r="UOB3">
        <f>'[12]Summary Report - 12 Months Endi'!UOA2</f>
        <v>0</v>
      </c>
      <c r="UOC3">
        <f>'[12]Summary Report - 12 Months Endi'!UOB2</f>
        <v>0</v>
      </c>
      <c r="UOD3">
        <f>'[12]Summary Report - 12 Months Endi'!UOC2</f>
        <v>0</v>
      </c>
      <c r="UOE3">
        <f>'[12]Summary Report - 12 Months Endi'!UOD2</f>
        <v>0</v>
      </c>
      <c r="UOF3">
        <f>'[12]Summary Report - 12 Months Endi'!UOE2</f>
        <v>0</v>
      </c>
      <c r="UOG3">
        <f>'[12]Summary Report - 12 Months Endi'!UOF2</f>
        <v>0</v>
      </c>
      <c r="UOH3">
        <f>'[12]Summary Report - 12 Months Endi'!UOG2</f>
        <v>0</v>
      </c>
      <c r="UOI3">
        <f>'[12]Summary Report - 12 Months Endi'!UOH2</f>
        <v>0</v>
      </c>
      <c r="UOJ3">
        <f>'[12]Summary Report - 12 Months Endi'!UOI2</f>
        <v>0</v>
      </c>
      <c r="UOK3">
        <f>'[12]Summary Report - 12 Months Endi'!UOJ2</f>
        <v>0</v>
      </c>
      <c r="UOL3">
        <f>'[12]Summary Report - 12 Months Endi'!UOK2</f>
        <v>0</v>
      </c>
      <c r="UOM3">
        <f>'[12]Summary Report - 12 Months Endi'!UOL2</f>
        <v>0</v>
      </c>
      <c r="UON3">
        <f>'[12]Summary Report - 12 Months Endi'!UOM2</f>
        <v>0</v>
      </c>
      <c r="UOO3">
        <f>'[12]Summary Report - 12 Months Endi'!UON2</f>
        <v>0</v>
      </c>
      <c r="UOP3">
        <f>'[12]Summary Report - 12 Months Endi'!UOO2</f>
        <v>0</v>
      </c>
      <c r="UOQ3">
        <f>'[12]Summary Report - 12 Months Endi'!UOP2</f>
        <v>0</v>
      </c>
      <c r="UOR3">
        <f>'[12]Summary Report - 12 Months Endi'!UOQ2</f>
        <v>0</v>
      </c>
      <c r="UOS3">
        <f>'[12]Summary Report - 12 Months Endi'!UOR2</f>
        <v>0</v>
      </c>
      <c r="UOT3">
        <f>'[12]Summary Report - 12 Months Endi'!UOS2</f>
        <v>0</v>
      </c>
      <c r="UOU3">
        <f>'[12]Summary Report - 12 Months Endi'!UOT2</f>
        <v>0</v>
      </c>
      <c r="UOV3">
        <f>'[12]Summary Report - 12 Months Endi'!UOU2</f>
        <v>0</v>
      </c>
      <c r="UOW3">
        <f>'[12]Summary Report - 12 Months Endi'!UOV2</f>
        <v>0</v>
      </c>
      <c r="UOX3">
        <f>'[12]Summary Report - 12 Months Endi'!UOW2</f>
        <v>0</v>
      </c>
      <c r="UOY3">
        <f>'[12]Summary Report - 12 Months Endi'!UOX2</f>
        <v>0</v>
      </c>
      <c r="UOZ3">
        <f>'[12]Summary Report - 12 Months Endi'!UOY2</f>
        <v>0</v>
      </c>
      <c r="UPA3">
        <f>'[12]Summary Report - 12 Months Endi'!UOZ2</f>
        <v>0</v>
      </c>
      <c r="UPB3">
        <f>'[12]Summary Report - 12 Months Endi'!UPA2</f>
        <v>0</v>
      </c>
      <c r="UPC3">
        <f>'[12]Summary Report - 12 Months Endi'!UPB2</f>
        <v>0</v>
      </c>
      <c r="UPD3">
        <f>'[12]Summary Report - 12 Months Endi'!UPC2</f>
        <v>0</v>
      </c>
      <c r="UPE3">
        <f>'[12]Summary Report - 12 Months Endi'!UPD2</f>
        <v>0</v>
      </c>
      <c r="UPF3">
        <f>'[12]Summary Report - 12 Months Endi'!UPE2</f>
        <v>0</v>
      </c>
      <c r="UPG3">
        <f>'[12]Summary Report - 12 Months Endi'!UPF2</f>
        <v>0</v>
      </c>
      <c r="UPH3">
        <f>'[12]Summary Report - 12 Months Endi'!UPG2</f>
        <v>0</v>
      </c>
      <c r="UPI3">
        <f>'[12]Summary Report - 12 Months Endi'!UPH2</f>
        <v>0</v>
      </c>
      <c r="UPJ3">
        <f>'[12]Summary Report - 12 Months Endi'!UPI2</f>
        <v>0</v>
      </c>
      <c r="UPK3">
        <f>'[12]Summary Report - 12 Months Endi'!UPJ2</f>
        <v>0</v>
      </c>
      <c r="UPL3">
        <f>'[12]Summary Report - 12 Months Endi'!UPK2</f>
        <v>0</v>
      </c>
      <c r="UPM3">
        <f>'[12]Summary Report - 12 Months Endi'!UPL2</f>
        <v>0</v>
      </c>
      <c r="UPN3">
        <f>'[12]Summary Report - 12 Months Endi'!UPM2</f>
        <v>0</v>
      </c>
      <c r="UPO3">
        <f>'[12]Summary Report - 12 Months Endi'!UPN2</f>
        <v>0</v>
      </c>
      <c r="UPP3">
        <f>'[12]Summary Report - 12 Months Endi'!UPO2</f>
        <v>0</v>
      </c>
      <c r="UPQ3">
        <f>'[12]Summary Report - 12 Months Endi'!UPP2</f>
        <v>0</v>
      </c>
      <c r="UPR3">
        <f>'[12]Summary Report - 12 Months Endi'!UPQ2</f>
        <v>0</v>
      </c>
      <c r="UPS3">
        <f>'[12]Summary Report - 12 Months Endi'!UPR2</f>
        <v>0</v>
      </c>
      <c r="UPT3">
        <f>'[12]Summary Report - 12 Months Endi'!UPS2</f>
        <v>0</v>
      </c>
      <c r="UPU3">
        <f>'[12]Summary Report - 12 Months Endi'!UPT2</f>
        <v>0</v>
      </c>
      <c r="UPV3">
        <f>'[12]Summary Report - 12 Months Endi'!UPU2</f>
        <v>0</v>
      </c>
      <c r="UPW3">
        <f>'[12]Summary Report - 12 Months Endi'!UPV2</f>
        <v>0</v>
      </c>
      <c r="UPX3">
        <f>'[12]Summary Report - 12 Months Endi'!UPW2</f>
        <v>0</v>
      </c>
      <c r="UPY3">
        <f>'[12]Summary Report - 12 Months Endi'!UPX2</f>
        <v>0</v>
      </c>
      <c r="UPZ3">
        <f>'[12]Summary Report - 12 Months Endi'!UPY2</f>
        <v>0</v>
      </c>
      <c r="UQA3">
        <f>'[12]Summary Report - 12 Months Endi'!UPZ2</f>
        <v>0</v>
      </c>
      <c r="UQB3">
        <f>'[12]Summary Report - 12 Months Endi'!UQA2</f>
        <v>0</v>
      </c>
      <c r="UQC3">
        <f>'[12]Summary Report - 12 Months Endi'!UQB2</f>
        <v>0</v>
      </c>
      <c r="UQD3">
        <f>'[12]Summary Report - 12 Months Endi'!UQC2</f>
        <v>0</v>
      </c>
      <c r="UQE3">
        <f>'[12]Summary Report - 12 Months Endi'!UQD2</f>
        <v>0</v>
      </c>
      <c r="UQF3">
        <f>'[12]Summary Report - 12 Months Endi'!UQE2</f>
        <v>0</v>
      </c>
      <c r="UQG3">
        <f>'[12]Summary Report - 12 Months Endi'!UQF2</f>
        <v>0</v>
      </c>
      <c r="UQH3">
        <f>'[12]Summary Report - 12 Months Endi'!UQG2</f>
        <v>0</v>
      </c>
      <c r="UQI3">
        <f>'[12]Summary Report - 12 Months Endi'!UQH2</f>
        <v>0</v>
      </c>
      <c r="UQJ3">
        <f>'[12]Summary Report - 12 Months Endi'!UQI2</f>
        <v>0</v>
      </c>
      <c r="UQK3">
        <f>'[12]Summary Report - 12 Months Endi'!UQJ2</f>
        <v>0</v>
      </c>
      <c r="UQL3">
        <f>'[12]Summary Report - 12 Months Endi'!UQK2</f>
        <v>0</v>
      </c>
      <c r="UQM3">
        <f>'[12]Summary Report - 12 Months Endi'!UQL2</f>
        <v>0</v>
      </c>
      <c r="UQN3">
        <f>'[12]Summary Report - 12 Months Endi'!UQM2</f>
        <v>0</v>
      </c>
      <c r="UQO3">
        <f>'[12]Summary Report - 12 Months Endi'!UQN2</f>
        <v>0</v>
      </c>
      <c r="UQP3">
        <f>'[12]Summary Report - 12 Months Endi'!UQO2</f>
        <v>0</v>
      </c>
      <c r="UQQ3">
        <f>'[12]Summary Report - 12 Months Endi'!UQP2</f>
        <v>0</v>
      </c>
      <c r="UQR3">
        <f>'[12]Summary Report - 12 Months Endi'!UQQ2</f>
        <v>0</v>
      </c>
      <c r="UQS3">
        <f>'[12]Summary Report - 12 Months Endi'!UQR2</f>
        <v>0</v>
      </c>
      <c r="UQT3">
        <f>'[12]Summary Report - 12 Months Endi'!UQS2</f>
        <v>0</v>
      </c>
      <c r="UQU3">
        <f>'[12]Summary Report - 12 Months Endi'!UQT2</f>
        <v>0</v>
      </c>
      <c r="UQV3">
        <f>'[12]Summary Report - 12 Months Endi'!UQU2</f>
        <v>0</v>
      </c>
      <c r="UQW3">
        <f>'[12]Summary Report - 12 Months Endi'!UQV2</f>
        <v>0</v>
      </c>
      <c r="UQX3">
        <f>'[12]Summary Report - 12 Months Endi'!UQW2</f>
        <v>0</v>
      </c>
      <c r="UQY3">
        <f>'[12]Summary Report - 12 Months Endi'!UQX2</f>
        <v>0</v>
      </c>
      <c r="UQZ3">
        <f>'[12]Summary Report - 12 Months Endi'!UQY2</f>
        <v>0</v>
      </c>
      <c r="URA3">
        <f>'[12]Summary Report - 12 Months Endi'!UQZ2</f>
        <v>0</v>
      </c>
      <c r="URB3">
        <f>'[12]Summary Report - 12 Months Endi'!URA2</f>
        <v>0</v>
      </c>
      <c r="URC3">
        <f>'[12]Summary Report - 12 Months Endi'!URB2</f>
        <v>0</v>
      </c>
      <c r="URD3">
        <f>'[12]Summary Report - 12 Months Endi'!URC2</f>
        <v>0</v>
      </c>
      <c r="URE3">
        <f>'[12]Summary Report - 12 Months Endi'!URD2</f>
        <v>0</v>
      </c>
      <c r="URF3">
        <f>'[12]Summary Report - 12 Months Endi'!URE2</f>
        <v>0</v>
      </c>
      <c r="URG3">
        <f>'[12]Summary Report - 12 Months Endi'!URF2</f>
        <v>0</v>
      </c>
      <c r="URH3">
        <f>'[12]Summary Report - 12 Months Endi'!URG2</f>
        <v>0</v>
      </c>
      <c r="URI3">
        <f>'[12]Summary Report - 12 Months Endi'!URH2</f>
        <v>0</v>
      </c>
      <c r="URJ3">
        <f>'[12]Summary Report - 12 Months Endi'!URI2</f>
        <v>0</v>
      </c>
      <c r="URK3">
        <f>'[12]Summary Report - 12 Months Endi'!URJ2</f>
        <v>0</v>
      </c>
      <c r="URL3">
        <f>'[12]Summary Report - 12 Months Endi'!URK2</f>
        <v>0</v>
      </c>
      <c r="URM3">
        <f>'[12]Summary Report - 12 Months Endi'!URL2</f>
        <v>0</v>
      </c>
      <c r="URN3">
        <f>'[12]Summary Report - 12 Months Endi'!URM2</f>
        <v>0</v>
      </c>
      <c r="URO3">
        <f>'[12]Summary Report - 12 Months Endi'!URN2</f>
        <v>0</v>
      </c>
      <c r="URP3">
        <f>'[12]Summary Report - 12 Months Endi'!URO2</f>
        <v>0</v>
      </c>
      <c r="URQ3">
        <f>'[12]Summary Report - 12 Months Endi'!URP2</f>
        <v>0</v>
      </c>
      <c r="URR3">
        <f>'[12]Summary Report - 12 Months Endi'!URQ2</f>
        <v>0</v>
      </c>
      <c r="URS3">
        <f>'[12]Summary Report - 12 Months Endi'!URR2</f>
        <v>0</v>
      </c>
      <c r="URT3">
        <f>'[12]Summary Report - 12 Months Endi'!URS2</f>
        <v>0</v>
      </c>
      <c r="URU3">
        <f>'[12]Summary Report - 12 Months Endi'!URT2</f>
        <v>0</v>
      </c>
      <c r="URV3">
        <f>'[12]Summary Report - 12 Months Endi'!URU2</f>
        <v>0</v>
      </c>
      <c r="URW3">
        <f>'[12]Summary Report - 12 Months Endi'!URV2</f>
        <v>0</v>
      </c>
      <c r="URX3">
        <f>'[12]Summary Report - 12 Months Endi'!URW2</f>
        <v>0</v>
      </c>
      <c r="URY3">
        <f>'[12]Summary Report - 12 Months Endi'!URX2</f>
        <v>0</v>
      </c>
      <c r="URZ3">
        <f>'[12]Summary Report - 12 Months Endi'!URY2</f>
        <v>0</v>
      </c>
      <c r="USA3">
        <f>'[12]Summary Report - 12 Months Endi'!URZ2</f>
        <v>0</v>
      </c>
      <c r="USB3">
        <f>'[12]Summary Report - 12 Months Endi'!USA2</f>
        <v>0</v>
      </c>
      <c r="USC3">
        <f>'[12]Summary Report - 12 Months Endi'!USB2</f>
        <v>0</v>
      </c>
      <c r="USD3">
        <f>'[12]Summary Report - 12 Months Endi'!USC2</f>
        <v>0</v>
      </c>
      <c r="USE3">
        <f>'[12]Summary Report - 12 Months Endi'!USD2</f>
        <v>0</v>
      </c>
      <c r="USF3">
        <f>'[12]Summary Report - 12 Months Endi'!USE2</f>
        <v>0</v>
      </c>
      <c r="USG3">
        <f>'[12]Summary Report - 12 Months Endi'!USF2</f>
        <v>0</v>
      </c>
      <c r="USH3">
        <f>'[12]Summary Report - 12 Months Endi'!USG2</f>
        <v>0</v>
      </c>
      <c r="USI3">
        <f>'[12]Summary Report - 12 Months Endi'!USH2</f>
        <v>0</v>
      </c>
      <c r="USJ3">
        <f>'[12]Summary Report - 12 Months Endi'!USI2</f>
        <v>0</v>
      </c>
      <c r="USK3">
        <f>'[12]Summary Report - 12 Months Endi'!USJ2</f>
        <v>0</v>
      </c>
      <c r="USL3">
        <f>'[12]Summary Report - 12 Months Endi'!USK2</f>
        <v>0</v>
      </c>
      <c r="USM3">
        <f>'[12]Summary Report - 12 Months Endi'!USL2</f>
        <v>0</v>
      </c>
      <c r="USN3">
        <f>'[12]Summary Report - 12 Months Endi'!USM2</f>
        <v>0</v>
      </c>
      <c r="USO3">
        <f>'[12]Summary Report - 12 Months Endi'!USN2</f>
        <v>0</v>
      </c>
      <c r="USP3">
        <f>'[12]Summary Report - 12 Months Endi'!USO2</f>
        <v>0</v>
      </c>
      <c r="USQ3">
        <f>'[12]Summary Report - 12 Months Endi'!USP2</f>
        <v>0</v>
      </c>
      <c r="USR3">
        <f>'[12]Summary Report - 12 Months Endi'!USQ2</f>
        <v>0</v>
      </c>
      <c r="USS3">
        <f>'[12]Summary Report - 12 Months Endi'!USR2</f>
        <v>0</v>
      </c>
      <c r="UST3">
        <f>'[12]Summary Report - 12 Months Endi'!USS2</f>
        <v>0</v>
      </c>
      <c r="USU3">
        <f>'[12]Summary Report - 12 Months Endi'!UST2</f>
        <v>0</v>
      </c>
      <c r="USV3">
        <f>'[12]Summary Report - 12 Months Endi'!USU2</f>
        <v>0</v>
      </c>
      <c r="USW3">
        <f>'[12]Summary Report - 12 Months Endi'!USV2</f>
        <v>0</v>
      </c>
      <c r="USX3">
        <f>'[12]Summary Report - 12 Months Endi'!USW2</f>
        <v>0</v>
      </c>
      <c r="USY3">
        <f>'[12]Summary Report - 12 Months Endi'!USX2</f>
        <v>0</v>
      </c>
      <c r="USZ3">
        <f>'[12]Summary Report - 12 Months Endi'!USY2</f>
        <v>0</v>
      </c>
      <c r="UTA3">
        <f>'[12]Summary Report - 12 Months Endi'!USZ2</f>
        <v>0</v>
      </c>
      <c r="UTB3">
        <f>'[12]Summary Report - 12 Months Endi'!UTA2</f>
        <v>0</v>
      </c>
      <c r="UTC3">
        <f>'[12]Summary Report - 12 Months Endi'!UTB2</f>
        <v>0</v>
      </c>
      <c r="UTD3">
        <f>'[12]Summary Report - 12 Months Endi'!UTC2</f>
        <v>0</v>
      </c>
      <c r="UTE3">
        <f>'[12]Summary Report - 12 Months Endi'!UTD2</f>
        <v>0</v>
      </c>
      <c r="UTF3">
        <f>'[12]Summary Report - 12 Months Endi'!UTE2</f>
        <v>0</v>
      </c>
      <c r="UTG3">
        <f>'[12]Summary Report - 12 Months Endi'!UTF2</f>
        <v>0</v>
      </c>
      <c r="UTH3">
        <f>'[12]Summary Report - 12 Months Endi'!UTG2</f>
        <v>0</v>
      </c>
      <c r="UTI3">
        <f>'[12]Summary Report - 12 Months Endi'!UTH2</f>
        <v>0</v>
      </c>
      <c r="UTJ3">
        <f>'[12]Summary Report - 12 Months Endi'!UTI2</f>
        <v>0</v>
      </c>
      <c r="UTK3">
        <f>'[12]Summary Report - 12 Months Endi'!UTJ2</f>
        <v>0</v>
      </c>
      <c r="UTL3">
        <f>'[12]Summary Report - 12 Months Endi'!UTK2</f>
        <v>0</v>
      </c>
      <c r="UTM3">
        <f>'[12]Summary Report - 12 Months Endi'!UTL2</f>
        <v>0</v>
      </c>
      <c r="UTN3">
        <f>'[12]Summary Report - 12 Months Endi'!UTM2</f>
        <v>0</v>
      </c>
      <c r="UTO3">
        <f>'[12]Summary Report - 12 Months Endi'!UTN2</f>
        <v>0</v>
      </c>
      <c r="UTP3">
        <f>'[12]Summary Report - 12 Months Endi'!UTO2</f>
        <v>0</v>
      </c>
      <c r="UTQ3">
        <f>'[12]Summary Report - 12 Months Endi'!UTP2</f>
        <v>0</v>
      </c>
      <c r="UTR3">
        <f>'[12]Summary Report - 12 Months Endi'!UTQ2</f>
        <v>0</v>
      </c>
      <c r="UTS3">
        <f>'[12]Summary Report - 12 Months Endi'!UTR2</f>
        <v>0</v>
      </c>
      <c r="UTT3">
        <f>'[12]Summary Report - 12 Months Endi'!UTS2</f>
        <v>0</v>
      </c>
      <c r="UTU3">
        <f>'[12]Summary Report - 12 Months Endi'!UTT2</f>
        <v>0</v>
      </c>
      <c r="UTV3">
        <f>'[12]Summary Report - 12 Months Endi'!UTU2</f>
        <v>0</v>
      </c>
      <c r="UTW3">
        <f>'[12]Summary Report - 12 Months Endi'!UTV2</f>
        <v>0</v>
      </c>
      <c r="UTX3">
        <f>'[12]Summary Report - 12 Months Endi'!UTW2</f>
        <v>0</v>
      </c>
      <c r="UTY3">
        <f>'[12]Summary Report - 12 Months Endi'!UTX2</f>
        <v>0</v>
      </c>
      <c r="UTZ3">
        <f>'[12]Summary Report - 12 Months Endi'!UTY2</f>
        <v>0</v>
      </c>
      <c r="UUA3">
        <f>'[12]Summary Report - 12 Months Endi'!UTZ2</f>
        <v>0</v>
      </c>
      <c r="UUB3">
        <f>'[12]Summary Report - 12 Months Endi'!UUA2</f>
        <v>0</v>
      </c>
      <c r="UUC3">
        <f>'[12]Summary Report - 12 Months Endi'!UUB2</f>
        <v>0</v>
      </c>
      <c r="UUD3">
        <f>'[12]Summary Report - 12 Months Endi'!UUC2</f>
        <v>0</v>
      </c>
      <c r="UUE3">
        <f>'[12]Summary Report - 12 Months Endi'!UUD2</f>
        <v>0</v>
      </c>
      <c r="UUF3">
        <f>'[12]Summary Report - 12 Months Endi'!UUE2</f>
        <v>0</v>
      </c>
      <c r="UUG3">
        <f>'[12]Summary Report - 12 Months Endi'!UUF2</f>
        <v>0</v>
      </c>
      <c r="UUH3">
        <f>'[12]Summary Report - 12 Months Endi'!UUG2</f>
        <v>0</v>
      </c>
      <c r="UUI3">
        <f>'[12]Summary Report - 12 Months Endi'!UUH2</f>
        <v>0</v>
      </c>
      <c r="UUJ3">
        <f>'[12]Summary Report - 12 Months Endi'!UUI2</f>
        <v>0</v>
      </c>
      <c r="UUK3">
        <f>'[12]Summary Report - 12 Months Endi'!UUJ2</f>
        <v>0</v>
      </c>
      <c r="UUL3">
        <f>'[12]Summary Report - 12 Months Endi'!UUK2</f>
        <v>0</v>
      </c>
      <c r="UUM3">
        <f>'[12]Summary Report - 12 Months Endi'!UUL2</f>
        <v>0</v>
      </c>
      <c r="UUN3">
        <f>'[12]Summary Report - 12 Months Endi'!UUM2</f>
        <v>0</v>
      </c>
      <c r="UUO3">
        <f>'[12]Summary Report - 12 Months Endi'!UUN2</f>
        <v>0</v>
      </c>
      <c r="UUP3">
        <f>'[12]Summary Report - 12 Months Endi'!UUO2</f>
        <v>0</v>
      </c>
      <c r="UUQ3">
        <f>'[12]Summary Report - 12 Months Endi'!UUP2</f>
        <v>0</v>
      </c>
      <c r="UUR3">
        <f>'[12]Summary Report - 12 Months Endi'!UUQ2</f>
        <v>0</v>
      </c>
      <c r="UUS3">
        <f>'[12]Summary Report - 12 Months Endi'!UUR2</f>
        <v>0</v>
      </c>
      <c r="UUT3">
        <f>'[12]Summary Report - 12 Months Endi'!UUS2</f>
        <v>0</v>
      </c>
      <c r="UUU3">
        <f>'[12]Summary Report - 12 Months Endi'!UUT2</f>
        <v>0</v>
      </c>
      <c r="UUV3">
        <f>'[12]Summary Report - 12 Months Endi'!UUU2</f>
        <v>0</v>
      </c>
      <c r="UUW3">
        <f>'[12]Summary Report - 12 Months Endi'!UUV2</f>
        <v>0</v>
      </c>
      <c r="UUX3">
        <f>'[12]Summary Report - 12 Months Endi'!UUW2</f>
        <v>0</v>
      </c>
      <c r="UUY3">
        <f>'[12]Summary Report - 12 Months Endi'!UUX2</f>
        <v>0</v>
      </c>
      <c r="UUZ3">
        <f>'[12]Summary Report - 12 Months Endi'!UUY2</f>
        <v>0</v>
      </c>
      <c r="UVA3">
        <f>'[12]Summary Report - 12 Months Endi'!UUZ2</f>
        <v>0</v>
      </c>
      <c r="UVB3">
        <f>'[12]Summary Report - 12 Months Endi'!UVA2</f>
        <v>0</v>
      </c>
      <c r="UVC3">
        <f>'[12]Summary Report - 12 Months Endi'!UVB2</f>
        <v>0</v>
      </c>
      <c r="UVD3">
        <f>'[12]Summary Report - 12 Months Endi'!UVC2</f>
        <v>0</v>
      </c>
      <c r="UVE3">
        <f>'[12]Summary Report - 12 Months Endi'!UVD2</f>
        <v>0</v>
      </c>
      <c r="UVF3">
        <f>'[12]Summary Report - 12 Months Endi'!UVE2</f>
        <v>0</v>
      </c>
      <c r="UVG3">
        <f>'[12]Summary Report - 12 Months Endi'!UVF2</f>
        <v>0</v>
      </c>
      <c r="UVH3">
        <f>'[12]Summary Report - 12 Months Endi'!UVG2</f>
        <v>0</v>
      </c>
      <c r="UVI3">
        <f>'[12]Summary Report - 12 Months Endi'!UVH2</f>
        <v>0</v>
      </c>
      <c r="UVJ3">
        <f>'[12]Summary Report - 12 Months Endi'!UVI2</f>
        <v>0</v>
      </c>
      <c r="UVK3">
        <f>'[12]Summary Report - 12 Months Endi'!UVJ2</f>
        <v>0</v>
      </c>
      <c r="UVL3">
        <f>'[12]Summary Report - 12 Months Endi'!UVK2</f>
        <v>0</v>
      </c>
      <c r="UVM3">
        <f>'[12]Summary Report - 12 Months Endi'!UVL2</f>
        <v>0</v>
      </c>
      <c r="UVN3">
        <f>'[12]Summary Report - 12 Months Endi'!UVM2</f>
        <v>0</v>
      </c>
      <c r="UVO3">
        <f>'[12]Summary Report - 12 Months Endi'!UVN2</f>
        <v>0</v>
      </c>
      <c r="UVP3">
        <f>'[12]Summary Report - 12 Months Endi'!UVO2</f>
        <v>0</v>
      </c>
      <c r="UVQ3">
        <f>'[12]Summary Report - 12 Months Endi'!UVP2</f>
        <v>0</v>
      </c>
      <c r="UVR3">
        <f>'[12]Summary Report - 12 Months Endi'!UVQ2</f>
        <v>0</v>
      </c>
      <c r="UVS3">
        <f>'[12]Summary Report - 12 Months Endi'!UVR2</f>
        <v>0</v>
      </c>
      <c r="UVT3">
        <f>'[12]Summary Report - 12 Months Endi'!UVS2</f>
        <v>0</v>
      </c>
      <c r="UVU3">
        <f>'[12]Summary Report - 12 Months Endi'!UVT2</f>
        <v>0</v>
      </c>
      <c r="UVV3">
        <f>'[12]Summary Report - 12 Months Endi'!UVU2</f>
        <v>0</v>
      </c>
      <c r="UVW3">
        <f>'[12]Summary Report - 12 Months Endi'!UVV2</f>
        <v>0</v>
      </c>
      <c r="UVX3">
        <f>'[12]Summary Report - 12 Months Endi'!UVW2</f>
        <v>0</v>
      </c>
      <c r="UVY3">
        <f>'[12]Summary Report - 12 Months Endi'!UVX2</f>
        <v>0</v>
      </c>
      <c r="UVZ3">
        <f>'[12]Summary Report - 12 Months Endi'!UVY2</f>
        <v>0</v>
      </c>
      <c r="UWA3">
        <f>'[12]Summary Report - 12 Months Endi'!UVZ2</f>
        <v>0</v>
      </c>
      <c r="UWB3">
        <f>'[12]Summary Report - 12 Months Endi'!UWA2</f>
        <v>0</v>
      </c>
      <c r="UWC3">
        <f>'[12]Summary Report - 12 Months Endi'!UWB2</f>
        <v>0</v>
      </c>
      <c r="UWD3">
        <f>'[12]Summary Report - 12 Months Endi'!UWC2</f>
        <v>0</v>
      </c>
      <c r="UWE3">
        <f>'[12]Summary Report - 12 Months Endi'!UWD2</f>
        <v>0</v>
      </c>
      <c r="UWF3">
        <f>'[12]Summary Report - 12 Months Endi'!UWE2</f>
        <v>0</v>
      </c>
      <c r="UWG3">
        <f>'[12]Summary Report - 12 Months Endi'!UWF2</f>
        <v>0</v>
      </c>
      <c r="UWH3">
        <f>'[12]Summary Report - 12 Months Endi'!UWG2</f>
        <v>0</v>
      </c>
      <c r="UWI3">
        <f>'[12]Summary Report - 12 Months Endi'!UWH2</f>
        <v>0</v>
      </c>
      <c r="UWJ3">
        <f>'[12]Summary Report - 12 Months Endi'!UWI2</f>
        <v>0</v>
      </c>
      <c r="UWK3">
        <f>'[12]Summary Report - 12 Months Endi'!UWJ2</f>
        <v>0</v>
      </c>
      <c r="UWL3">
        <f>'[12]Summary Report - 12 Months Endi'!UWK2</f>
        <v>0</v>
      </c>
      <c r="UWM3">
        <f>'[12]Summary Report - 12 Months Endi'!UWL2</f>
        <v>0</v>
      </c>
      <c r="UWN3">
        <f>'[12]Summary Report - 12 Months Endi'!UWM2</f>
        <v>0</v>
      </c>
      <c r="UWO3">
        <f>'[12]Summary Report - 12 Months Endi'!UWN2</f>
        <v>0</v>
      </c>
      <c r="UWP3">
        <f>'[12]Summary Report - 12 Months Endi'!UWO2</f>
        <v>0</v>
      </c>
      <c r="UWQ3">
        <f>'[12]Summary Report - 12 Months Endi'!UWP2</f>
        <v>0</v>
      </c>
      <c r="UWR3">
        <f>'[12]Summary Report - 12 Months Endi'!UWQ2</f>
        <v>0</v>
      </c>
      <c r="UWS3">
        <f>'[12]Summary Report - 12 Months Endi'!UWR2</f>
        <v>0</v>
      </c>
      <c r="UWT3">
        <f>'[12]Summary Report - 12 Months Endi'!UWS2</f>
        <v>0</v>
      </c>
      <c r="UWU3">
        <f>'[12]Summary Report - 12 Months Endi'!UWT2</f>
        <v>0</v>
      </c>
      <c r="UWV3">
        <f>'[12]Summary Report - 12 Months Endi'!UWU2</f>
        <v>0</v>
      </c>
      <c r="UWW3">
        <f>'[12]Summary Report - 12 Months Endi'!UWV2</f>
        <v>0</v>
      </c>
      <c r="UWX3">
        <f>'[12]Summary Report - 12 Months Endi'!UWW2</f>
        <v>0</v>
      </c>
      <c r="UWY3">
        <f>'[12]Summary Report - 12 Months Endi'!UWX2</f>
        <v>0</v>
      </c>
      <c r="UWZ3">
        <f>'[12]Summary Report - 12 Months Endi'!UWY2</f>
        <v>0</v>
      </c>
      <c r="UXA3">
        <f>'[12]Summary Report - 12 Months Endi'!UWZ2</f>
        <v>0</v>
      </c>
      <c r="UXB3">
        <f>'[12]Summary Report - 12 Months Endi'!UXA2</f>
        <v>0</v>
      </c>
      <c r="UXC3">
        <f>'[12]Summary Report - 12 Months Endi'!UXB2</f>
        <v>0</v>
      </c>
      <c r="UXD3">
        <f>'[12]Summary Report - 12 Months Endi'!UXC2</f>
        <v>0</v>
      </c>
      <c r="UXE3">
        <f>'[12]Summary Report - 12 Months Endi'!UXD2</f>
        <v>0</v>
      </c>
      <c r="UXF3">
        <f>'[12]Summary Report - 12 Months Endi'!UXE2</f>
        <v>0</v>
      </c>
      <c r="UXG3">
        <f>'[12]Summary Report - 12 Months Endi'!UXF2</f>
        <v>0</v>
      </c>
      <c r="UXH3">
        <f>'[12]Summary Report - 12 Months Endi'!UXG2</f>
        <v>0</v>
      </c>
      <c r="UXI3">
        <f>'[12]Summary Report - 12 Months Endi'!UXH2</f>
        <v>0</v>
      </c>
      <c r="UXJ3">
        <f>'[12]Summary Report - 12 Months Endi'!UXI2</f>
        <v>0</v>
      </c>
      <c r="UXK3">
        <f>'[12]Summary Report - 12 Months Endi'!UXJ2</f>
        <v>0</v>
      </c>
      <c r="UXL3">
        <f>'[12]Summary Report - 12 Months Endi'!UXK2</f>
        <v>0</v>
      </c>
      <c r="UXM3">
        <f>'[12]Summary Report - 12 Months Endi'!UXL2</f>
        <v>0</v>
      </c>
      <c r="UXN3">
        <f>'[12]Summary Report - 12 Months Endi'!UXM2</f>
        <v>0</v>
      </c>
      <c r="UXO3">
        <f>'[12]Summary Report - 12 Months Endi'!UXN2</f>
        <v>0</v>
      </c>
      <c r="UXP3">
        <f>'[12]Summary Report - 12 Months Endi'!UXO2</f>
        <v>0</v>
      </c>
      <c r="UXQ3">
        <f>'[12]Summary Report - 12 Months Endi'!UXP2</f>
        <v>0</v>
      </c>
      <c r="UXR3">
        <f>'[12]Summary Report - 12 Months Endi'!UXQ2</f>
        <v>0</v>
      </c>
      <c r="UXS3">
        <f>'[12]Summary Report - 12 Months Endi'!UXR2</f>
        <v>0</v>
      </c>
      <c r="UXT3">
        <f>'[12]Summary Report - 12 Months Endi'!UXS2</f>
        <v>0</v>
      </c>
      <c r="UXU3">
        <f>'[12]Summary Report - 12 Months Endi'!UXT2</f>
        <v>0</v>
      </c>
      <c r="UXV3">
        <f>'[12]Summary Report - 12 Months Endi'!UXU2</f>
        <v>0</v>
      </c>
      <c r="UXW3">
        <f>'[12]Summary Report - 12 Months Endi'!UXV2</f>
        <v>0</v>
      </c>
      <c r="UXX3">
        <f>'[12]Summary Report - 12 Months Endi'!UXW2</f>
        <v>0</v>
      </c>
      <c r="UXY3">
        <f>'[12]Summary Report - 12 Months Endi'!UXX2</f>
        <v>0</v>
      </c>
      <c r="UXZ3">
        <f>'[12]Summary Report - 12 Months Endi'!UXY2</f>
        <v>0</v>
      </c>
      <c r="UYA3">
        <f>'[12]Summary Report - 12 Months Endi'!UXZ2</f>
        <v>0</v>
      </c>
      <c r="UYB3">
        <f>'[12]Summary Report - 12 Months Endi'!UYA2</f>
        <v>0</v>
      </c>
      <c r="UYC3">
        <f>'[12]Summary Report - 12 Months Endi'!UYB2</f>
        <v>0</v>
      </c>
      <c r="UYD3">
        <f>'[12]Summary Report - 12 Months Endi'!UYC2</f>
        <v>0</v>
      </c>
      <c r="UYE3">
        <f>'[12]Summary Report - 12 Months Endi'!UYD2</f>
        <v>0</v>
      </c>
      <c r="UYF3">
        <f>'[12]Summary Report - 12 Months Endi'!UYE2</f>
        <v>0</v>
      </c>
      <c r="UYG3">
        <f>'[12]Summary Report - 12 Months Endi'!UYF2</f>
        <v>0</v>
      </c>
      <c r="UYH3">
        <f>'[12]Summary Report - 12 Months Endi'!UYG2</f>
        <v>0</v>
      </c>
      <c r="UYI3">
        <f>'[12]Summary Report - 12 Months Endi'!UYH2</f>
        <v>0</v>
      </c>
      <c r="UYJ3">
        <f>'[12]Summary Report - 12 Months Endi'!UYI2</f>
        <v>0</v>
      </c>
      <c r="UYK3">
        <f>'[12]Summary Report - 12 Months Endi'!UYJ2</f>
        <v>0</v>
      </c>
      <c r="UYL3">
        <f>'[12]Summary Report - 12 Months Endi'!UYK2</f>
        <v>0</v>
      </c>
      <c r="UYM3">
        <f>'[12]Summary Report - 12 Months Endi'!UYL2</f>
        <v>0</v>
      </c>
      <c r="UYN3">
        <f>'[12]Summary Report - 12 Months Endi'!UYM2</f>
        <v>0</v>
      </c>
      <c r="UYO3">
        <f>'[12]Summary Report - 12 Months Endi'!UYN2</f>
        <v>0</v>
      </c>
      <c r="UYP3">
        <f>'[12]Summary Report - 12 Months Endi'!UYO2</f>
        <v>0</v>
      </c>
      <c r="UYQ3">
        <f>'[12]Summary Report - 12 Months Endi'!UYP2</f>
        <v>0</v>
      </c>
      <c r="UYR3">
        <f>'[12]Summary Report - 12 Months Endi'!UYQ2</f>
        <v>0</v>
      </c>
      <c r="UYS3">
        <f>'[12]Summary Report - 12 Months Endi'!UYR2</f>
        <v>0</v>
      </c>
      <c r="UYT3">
        <f>'[12]Summary Report - 12 Months Endi'!UYS2</f>
        <v>0</v>
      </c>
      <c r="UYU3">
        <f>'[12]Summary Report - 12 Months Endi'!UYT2</f>
        <v>0</v>
      </c>
      <c r="UYV3">
        <f>'[12]Summary Report - 12 Months Endi'!UYU2</f>
        <v>0</v>
      </c>
      <c r="UYW3">
        <f>'[12]Summary Report - 12 Months Endi'!UYV2</f>
        <v>0</v>
      </c>
      <c r="UYX3">
        <f>'[12]Summary Report - 12 Months Endi'!UYW2</f>
        <v>0</v>
      </c>
      <c r="UYY3">
        <f>'[12]Summary Report - 12 Months Endi'!UYX2</f>
        <v>0</v>
      </c>
      <c r="UYZ3">
        <f>'[12]Summary Report - 12 Months Endi'!UYY2</f>
        <v>0</v>
      </c>
      <c r="UZA3">
        <f>'[12]Summary Report - 12 Months Endi'!UYZ2</f>
        <v>0</v>
      </c>
      <c r="UZB3">
        <f>'[12]Summary Report - 12 Months Endi'!UZA2</f>
        <v>0</v>
      </c>
      <c r="UZC3">
        <f>'[12]Summary Report - 12 Months Endi'!UZB2</f>
        <v>0</v>
      </c>
      <c r="UZD3">
        <f>'[12]Summary Report - 12 Months Endi'!UZC2</f>
        <v>0</v>
      </c>
      <c r="UZE3">
        <f>'[12]Summary Report - 12 Months Endi'!UZD2</f>
        <v>0</v>
      </c>
      <c r="UZF3">
        <f>'[12]Summary Report - 12 Months Endi'!UZE2</f>
        <v>0</v>
      </c>
      <c r="UZG3">
        <f>'[12]Summary Report - 12 Months Endi'!UZF2</f>
        <v>0</v>
      </c>
      <c r="UZH3">
        <f>'[12]Summary Report - 12 Months Endi'!UZG2</f>
        <v>0</v>
      </c>
      <c r="UZI3">
        <f>'[12]Summary Report - 12 Months Endi'!UZH2</f>
        <v>0</v>
      </c>
      <c r="UZJ3">
        <f>'[12]Summary Report - 12 Months Endi'!UZI2</f>
        <v>0</v>
      </c>
      <c r="UZK3">
        <f>'[12]Summary Report - 12 Months Endi'!UZJ2</f>
        <v>0</v>
      </c>
      <c r="UZL3">
        <f>'[12]Summary Report - 12 Months Endi'!UZK2</f>
        <v>0</v>
      </c>
      <c r="UZM3">
        <f>'[12]Summary Report - 12 Months Endi'!UZL2</f>
        <v>0</v>
      </c>
      <c r="UZN3">
        <f>'[12]Summary Report - 12 Months Endi'!UZM2</f>
        <v>0</v>
      </c>
      <c r="UZO3">
        <f>'[12]Summary Report - 12 Months Endi'!UZN2</f>
        <v>0</v>
      </c>
      <c r="UZP3">
        <f>'[12]Summary Report - 12 Months Endi'!UZO2</f>
        <v>0</v>
      </c>
      <c r="UZQ3">
        <f>'[12]Summary Report - 12 Months Endi'!UZP2</f>
        <v>0</v>
      </c>
      <c r="UZR3">
        <f>'[12]Summary Report - 12 Months Endi'!UZQ2</f>
        <v>0</v>
      </c>
      <c r="UZS3">
        <f>'[12]Summary Report - 12 Months Endi'!UZR2</f>
        <v>0</v>
      </c>
      <c r="UZT3">
        <f>'[12]Summary Report - 12 Months Endi'!UZS2</f>
        <v>0</v>
      </c>
      <c r="UZU3">
        <f>'[12]Summary Report - 12 Months Endi'!UZT2</f>
        <v>0</v>
      </c>
      <c r="UZV3">
        <f>'[12]Summary Report - 12 Months Endi'!UZU2</f>
        <v>0</v>
      </c>
      <c r="UZW3">
        <f>'[12]Summary Report - 12 Months Endi'!UZV2</f>
        <v>0</v>
      </c>
      <c r="UZX3">
        <f>'[12]Summary Report - 12 Months Endi'!UZW2</f>
        <v>0</v>
      </c>
      <c r="UZY3">
        <f>'[12]Summary Report - 12 Months Endi'!UZX2</f>
        <v>0</v>
      </c>
      <c r="UZZ3">
        <f>'[12]Summary Report - 12 Months Endi'!UZY2</f>
        <v>0</v>
      </c>
      <c r="VAA3">
        <f>'[12]Summary Report - 12 Months Endi'!UZZ2</f>
        <v>0</v>
      </c>
      <c r="VAB3">
        <f>'[12]Summary Report - 12 Months Endi'!VAA2</f>
        <v>0</v>
      </c>
      <c r="VAC3">
        <f>'[12]Summary Report - 12 Months Endi'!VAB2</f>
        <v>0</v>
      </c>
      <c r="VAD3">
        <f>'[12]Summary Report - 12 Months Endi'!VAC2</f>
        <v>0</v>
      </c>
      <c r="VAE3">
        <f>'[12]Summary Report - 12 Months Endi'!VAD2</f>
        <v>0</v>
      </c>
      <c r="VAF3">
        <f>'[12]Summary Report - 12 Months Endi'!VAE2</f>
        <v>0</v>
      </c>
      <c r="VAG3">
        <f>'[12]Summary Report - 12 Months Endi'!VAF2</f>
        <v>0</v>
      </c>
      <c r="VAH3">
        <f>'[12]Summary Report - 12 Months Endi'!VAG2</f>
        <v>0</v>
      </c>
      <c r="VAI3">
        <f>'[12]Summary Report - 12 Months Endi'!VAH2</f>
        <v>0</v>
      </c>
      <c r="VAJ3">
        <f>'[12]Summary Report - 12 Months Endi'!VAI2</f>
        <v>0</v>
      </c>
      <c r="VAK3">
        <f>'[12]Summary Report - 12 Months Endi'!VAJ2</f>
        <v>0</v>
      </c>
      <c r="VAL3">
        <f>'[12]Summary Report - 12 Months Endi'!VAK2</f>
        <v>0</v>
      </c>
      <c r="VAM3">
        <f>'[12]Summary Report - 12 Months Endi'!VAL2</f>
        <v>0</v>
      </c>
      <c r="VAN3">
        <f>'[12]Summary Report - 12 Months Endi'!VAM2</f>
        <v>0</v>
      </c>
      <c r="VAO3">
        <f>'[12]Summary Report - 12 Months Endi'!VAN2</f>
        <v>0</v>
      </c>
      <c r="VAP3">
        <f>'[12]Summary Report - 12 Months Endi'!VAO2</f>
        <v>0</v>
      </c>
      <c r="VAQ3">
        <f>'[12]Summary Report - 12 Months Endi'!VAP2</f>
        <v>0</v>
      </c>
      <c r="VAR3">
        <f>'[12]Summary Report - 12 Months Endi'!VAQ2</f>
        <v>0</v>
      </c>
      <c r="VAS3">
        <f>'[12]Summary Report - 12 Months Endi'!VAR2</f>
        <v>0</v>
      </c>
      <c r="VAT3">
        <f>'[12]Summary Report - 12 Months Endi'!VAS2</f>
        <v>0</v>
      </c>
      <c r="VAU3">
        <f>'[12]Summary Report - 12 Months Endi'!VAT2</f>
        <v>0</v>
      </c>
      <c r="VAV3">
        <f>'[12]Summary Report - 12 Months Endi'!VAU2</f>
        <v>0</v>
      </c>
      <c r="VAW3">
        <f>'[12]Summary Report - 12 Months Endi'!VAV2</f>
        <v>0</v>
      </c>
      <c r="VAX3">
        <f>'[12]Summary Report - 12 Months Endi'!VAW2</f>
        <v>0</v>
      </c>
      <c r="VAY3">
        <f>'[12]Summary Report - 12 Months Endi'!VAX2</f>
        <v>0</v>
      </c>
      <c r="VAZ3">
        <f>'[12]Summary Report - 12 Months Endi'!VAY2</f>
        <v>0</v>
      </c>
      <c r="VBA3">
        <f>'[12]Summary Report - 12 Months Endi'!VAZ2</f>
        <v>0</v>
      </c>
      <c r="VBB3">
        <f>'[12]Summary Report - 12 Months Endi'!VBA2</f>
        <v>0</v>
      </c>
      <c r="VBC3">
        <f>'[12]Summary Report - 12 Months Endi'!VBB2</f>
        <v>0</v>
      </c>
      <c r="VBD3">
        <f>'[12]Summary Report - 12 Months Endi'!VBC2</f>
        <v>0</v>
      </c>
      <c r="VBE3">
        <f>'[12]Summary Report - 12 Months Endi'!VBD2</f>
        <v>0</v>
      </c>
      <c r="VBF3">
        <f>'[12]Summary Report - 12 Months Endi'!VBE2</f>
        <v>0</v>
      </c>
      <c r="VBG3">
        <f>'[12]Summary Report - 12 Months Endi'!VBF2</f>
        <v>0</v>
      </c>
      <c r="VBH3">
        <f>'[12]Summary Report - 12 Months Endi'!VBG2</f>
        <v>0</v>
      </c>
      <c r="VBI3">
        <f>'[12]Summary Report - 12 Months Endi'!VBH2</f>
        <v>0</v>
      </c>
      <c r="VBJ3">
        <f>'[12]Summary Report - 12 Months Endi'!VBI2</f>
        <v>0</v>
      </c>
      <c r="VBK3">
        <f>'[12]Summary Report - 12 Months Endi'!VBJ2</f>
        <v>0</v>
      </c>
      <c r="VBL3">
        <f>'[12]Summary Report - 12 Months Endi'!VBK2</f>
        <v>0</v>
      </c>
      <c r="VBM3">
        <f>'[12]Summary Report - 12 Months Endi'!VBL2</f>
        <v>0</v>
      </c>
      <c r="VBN3">
        <f>'[12]Summary Report - 12 Months Endi'!VBM2</f>
        <v>0</v>
      </c>
      <c r="VBO3">
        <f>'[12]Summary Report - 12 Months Endi'!VBN2</f>
        <v>0</v>
      </c>
      <c r="VBP3">
        <f>'[12]Summary Report - 12 Months Endi'!VBO2</f>
        <v>0</v>
      </c>
      <c r="VBQ3">
        <f>'[12]Summary Report - 12 Months Endi'!VBP2</f>
        <v>0</v>
      </c>
      <c r="VBR3">
        <f>'[12]Summary Report - 12 Months Endi'!VBQ2</f>
        <v>0</v>
      </c>
      <c r="VBS3">
        <f>'[12]Summary Report - 12 Months Endi'!VBR2</f>
        <v>0</v>
      </c>
      <c r="VBT3">
        <f>'[12]Summary Report - 12 Months Endi'!VBS2</f>
        <v>0</v>
      </c>
      <c r="VBU3">
        <f>'[12]Summary Report - 12 Months Endi'!VBT2</f>
        <v>0</v>
      </c>
      <c r="VBV3">
        <f>'[12]Summary Report - 12 Months Endi'!VBU2</f>
        <v>0</v>
      </c>
      <c r="VBW3">
        <f>'[12]Summary Report - 12 Months Endi'!VBV2</f>
        <v>0</v>
      </c>
      <c r="VBX3">
        <f>'[12]Summary Report - 12 Months Endi'!VBW2</f>
        <v>0</v>
      </c>
      <c r="VBY3">
        <f>'[12]Summary Report - 12 Months Endi'!VBX2</f>
        <v>0</v>
      </c>
      <c r="VBZ3">
        <f>'[12]Summary Report - 12 Months Endi'!VBY2</f>
        <v>0</v>
      </c>
      <c r="VCA3">
        <f>'[12]Summary Report - 12 Months Endi'!VBZ2</f>
        <v>0</v>
      </c>
      <c r="VCB3">
        <f>'[12]Summary Report - 12 Months Endi'!VCA2</f>
        <v>0</v>
      </c>
      <c r="VCC3">
        <f>'[12]Summary Report - 12 Months Endi'!VCB2</f>
        <v>0</v>
      </c>
      <c r="VCD3">
        <f>'[12]Summary Report - 12 Months Endi'!VCC2</f>
        <v>0</v>
      </c>
      <c r="VCE3">
        <f>'[12]Summary Report - 12 Months Endi'!VCD2</f>
        <v>0</v>
      </c>
      <c r="VCF3">
        <f>'[12]Summary Report - 12 Months Endi'!VCE2</f>
        <v>0</v>
      </c>
      <c r="VCG3">
        <f>'[12]Summary Report - 12 Months Endi'!VCF2</f>
        <v>0</v>
      </c>
      <c r="VCH3">
        <f>'[12]Summary Report - 12 Months Endi'!VCG2</f>
        <v>0</v>
      </c>
      <c r="VCI3">
        <f>'[12]Summary Report - 12 Months Endi'!VCH2</f>
        <v>0</v>
      </c>
      <c r="VCJ3">
        <f>'[12]Summary Report - 12 Months Endi'!VCI2</f>
        <v>0</v>
      </c>
      <c r="VCK3">
        <f>'[12]Summary Report - 12 Months Endi'!VCJ2</f>
        <v>0</v>
      </c>
      <c r="VCL3">
        <f>'[12]Summary Report - 12 Months Endi'!VCK2</f>
        <v>0</v>
      </c>
      <c r="VCM3">
        <f>'[12]Summary Report - 12 Months Endi'!VCL2</f>
        <v>0</v>
      </c>
      <c r="VCN3">
        <f>'[12]Summary Report - 12 Months Endi'!VCM2</f>
        <v>0</v>
      </c>
      <c r="VCO3">
        <f>'[12]Summary Report - 12 Months Endi'!VCN2</f>
        <v>0</v>
      </c>
      <c r="VCP3">
        <f>'[12]Summary Report - 12 Months Endi'!VCO2</f>
        <v>0</v>
      </c>
      <c r="VCQ3">
        <f>'[12]Summary Report - 12 Months Endi'!VCP2</f>
        <v>0</v>
      </c>
      <c r="VCR3">
        <f>'[12]Summary Report - 12 Months Endi'!VCQ2</f>
        <v>0</v>
      </c>
      <c r="VCS3">
        <f>'[12]Summary Report - 12 Months Endi'!VCR2</f>
        <v>0</v>
      </c>
      <c r="VCT3">
        <f>'[12]Summary Report - 12 Months Endi'!VCS2</f>
        <v>0</v>
      </c>
      <c r="VCU3">
        <f>'[12]Summary Report - 12 Months Endi'!VCT2</f>
        <v>0</v>
      </c>
      <c r="VCV3">
        <f>'[12]Summary Report - 12 Months Endi'!VCU2</f>
        <v>0</v>
      </c>
      <c r="VCW3">
        <f>'[12]Summary Report - 12 Months Endi'!VCV2</f>
        <v>0</v>
      </c>
      <c r="VCX3">
        <f>'[12]Summary Report - 12 Months Endi'!VCW2</f>
        <v>0</v>
      </c>
      <c r="VCY3">
        <f>'[12]Summary Report - 12 Months Endi'!VCX2</f>
        <v>0</v>
      </c>
      <c r="VCZ3">
        <f>'[12]Summary Report - 12 Months Endi'!VCY2</f>
        <v>0</v>
      </c>
      <c r="VDA3">
        <f>'[12]Summary Report - 12 Months Endi'!VCZ2</f>
        <v>0</v>
      </c>
      <c r="VDB3">
        <f>'[12]Summary Report - 12 Months Endi'!VDA2</f>
        <v>0</v>
      </c>
      <c r="VDC3">
        <f>'[12]Summary Report - 12 Months Endi'!VDB2</f>
        <v>0</v>
      </c>
      <c r="VDD3">
        <f>'[12]Summary Report - 12 Months Endi'!VDC2</f>
        <v>0</v>
      </c>
      <c r="VDE3">
        <f>'[12]Summary Report - 12 Months Endi'!VDD2</f>
        <v>0</v>
      </c>
      <c r="VDF3">
        <f>'[12]Summary Report - 12 Months Endi'!VDE2</f>
        <v>0</v>
      </c>
      <c r="VDG3">
        <f>'[12]Summary Report - 12 Months Endi'!VDF2</f>
        <v>0</v>
      </c>
      <c r="VDH3">
        <f>'[12]Summary Report - 12 Months Endi'!VDG2</f>
        <v>0</v>
      </c>
      <c r="VDI3">
        <f>'[12]Summary Report - 12 Months Endi'!VDH2</f>
        <v>0</v>
      </c>
      <c r="VDJ3">
        <f>'[12]Summary Report - 12 Months Endi'!VDI2</f>
        <v>0</v>
      </c>
      <c r="VDK3">
        <f>'[12]Summary Report - 12 Months Endi'!VDJ2</f>
        <v>0</v>
      </c>
      <c r="VDL3">
        <f>'[12]Summary Report - 12 Months Endi'!VDK2</f>
        <v>0</v>
      </c>
      <c r="VDM3">
        <f>'[12]Summary Report - 12 Months Endi'!VDL2</f>
        <v>0</v>
      </c>
      <c r="VDN3">
        <f>'[12]Summary Report - 12 Months Endi'!VDM2</f>
        <v>0</v>
      </c>
      <c r="VDO3">
        <f>'[12]Summary Report - 12 Months Endi'!VDN2</f>
        <v>0</v>
      </c>
      <c r="VDP3">
        <f>'[12]Summary Report - 12 Months Endi'!VDO2</f>
        <v>0</v>
      </c>
      <c r="VDQ3">
        <f>'[12]Summary Report - 12 Months Endi'!VDP2</f>
        <v>0</v>
      </c>
      <c r="VDR3">
        <f>'[12]Summary Report - 12 Months Endi'!VDQ2</f>
        <v>0</v>
      </c>
      <c r="VDS3">
        <f>'[12]Summary Report - 12 Months Endi'!VDR2</f>
        <v>0</v>
      </c>
      <c r="VDT3">
        <f>'[12]Summary Report - 12 Months Endi'!VDS2</f>
        <v>0</v>
      </c>
      <c r="VDU3">
        <f>'[12]Summary Report - 12 Months Endi'!VDT2</f>
        <v>0</v>
      </c>
      <c r="VDV3">
        <f>'[12]Summary Report - 12 Months Endi'!VDU2</f>
        <v>0</v>
      </c>
      <c r="VDW3">
        <f>'[12]Summary Report - 12 Months Endi'!VDV2</f>
        <v>0</v>
      </c>
      <c r="VDX3">
        <f>'[12]Summary Report - 12 Months Endi'!VDW2</f>
        <v>0</v>
      </c>
      <c r="VDY3">
        <f>'[12]Summary Report - 12 Months Endi'!VDX2</f>
        <v>0</v>
      </c>
      <c r="VDZ3">
        <f>'[12]Summary Report - 12 Months Endi'!VDY2</f>
        <v>0</v>
      </c>
      <c r="VEA3">
        <f>'[12]Summary Report - 12 Months Endi'!VDZ2</f>
        <v>0</v>
      </c>
      <c r="VEB3">
        <f>'[12]Summary Report - 12 Months Endi'!VEA2</f>
        <v>0</v>
      </c>
      <c r="VEC3">
        <f>'[12]Summary Report - 12 Months Endi'!VEB2</f>
        <v>0</v>
      </c>
      <c r="VED3">
        <f>'[12]Summary Report - 12 Months Endi'!VEC2</f>
        <v>0</v>
      </c>
      <c r="VEE3">
        <f>'[12]Summary Report - 12 Months Endi'!VED2</f>
        <v>0</v>
      </c>
      <c r="VEF3">
        <f>'[12]Summary Report - 12 Months Endi'!VEE2</f>
        <v>0</v>
      </c>
      <c r="VEG3">
        <f>'[12]Summary Report - 12 Months Endi'!VEF2</f>
        <v>0</v>
      </c>
      <c r="VEH3">
        <f>'[12]Summary Report - 12 Months Endi'!VEG2</f>
        <v>0</v>
      </c>
      <c r="VEI3">
        <f>'[12]Summary Report - 12 Months Endi'!VEH2</f>
        <v>0</v>
      </c>
      <c r="VEJ3">
        <f>'[12]Summary Report - 12 Months Endi'!VEI2</f>
        <v>0</v>
      </c>
      <c r="VEK3">
        <f>'[12]Summary Report - 12 Months Endi'!VEJ2</f>
        <v>0</v>
      </c>
      <c r="VEL3">
        <f>'[12]Summary Report - 12 Months Endi'!VEK2</f>
        <v>0</v>
      </c>
      <c r="VEM3">
        <f>'[12]Summary Report - 12 Months Endi'!VEL2</f>
        <v>0</v>
      </c>
      <c r="VEN3">
        <f>'[12]Summary Report - 12 Months Endi'!VEM2</f>
        <v>0</v>
      </c>
      <c r="VEO3">
        <f>'[12]Summary Report - 12 Months Endi'!VEN2</f>
        <v>0</v>
      </c>
      <c r="VEP3">
        <f>'[12]Summary Report - 12 Months Endi'!VEO2</f>
        <v>0</v>
      </c>
      <c r="VEQ3">
        <f>'[12]Summary Report - 12 Months Endi'!VEP2</f>
        <v>0</v>
      </c>
      <c r="VER3">
        <f>'[12]Summary Report - 12 Months Endi'!VEQ2</f>
        <v>0</v>
      </c>
      <c r="VES3">
        <f>'[12]Summary Report - 12 Months Endi'!VER2</f>
        <v>0</v>
      </c>
      <c r="VET3">
        <f>'[12]Summary Report - 12 Months Endi'!VES2</f>
        <v>0</v>
      </c>
      <c r="VEU3">
        <f>'[12]Summary Report - 12 Months Endi'!VET2</f>
        <v>0</v>
      </c>
      <c r="VEV3">
        <f>'[12]Summary Report - 12 Months Endi'!VEU2</f>
        <v>0</v>
      </c>
      <c r="VEW3">
        <f>'[12]Summary Report - 12 Months Endi'!VEV2</f>
        <v>0</v>
      </c>
      <c r="VEX3">
        <f>'[12]Summary Report - 12 Months Endi'!VEW2</f>
        <v>0</v>
      </c>
      <c r="VEY3">
        <f>'[12]Summary Report - 12 Months Endi'!VEX2</f>
        <v>0</v>
      </c>
      <c r="VEZ3">
        <f>'[12]Summary Report - 12 Months Endi'!VEY2</f>
        <v>0</v>
      </c>
      <c r="VFA3">
        <f>'[12]Summary Report - 12 Months Endi'!VEZ2</f>
        <v>0</v>
      </c>
      <c r="VFB3">
        <f>'[12]Summary Report - 12 Months Endi'!VFA2</f>
        <v>0</v>
      </c>
      <c r="VFC3">
        <f>'[12]Summary Report - 12 Months Endi'!VFB2</f>
        <v>0</v>
      </c>
      <c r="VFD3">
        <f>'[12]Summary Report - 12 Months Endi'!VFC2</f>
        <v>0</v>
      </c>
      <c r="VFE3">
        <f>'[12]Summary Report - 12 Months Endi'!VFD2</f>
        <v>0</v>
      </c>
      <c r="VFF3">
        <f>'[12]Summary Report - 12 Months Endi'!VFE2</f>
        <v>0</v>
      </c>
      <c r="VFG3">
        <f>'[12]Summary Report - 12 Months Endi'!VFF2</f>
        <v>0</v>
      </c>
      <c r="VFH3">
        <f>'[12]Summary Report - 12 Months Endi'!VFG2</f>
        <v>0</v>
      </c>
      <c r="VFI3">
        <f>'[12]Summary Report - 12 Months Endi'!VFH2</f>
        <v>0</v>
      </c>
      <c r="VFJ3">
        <f>'[12]Summary Report - 12 Months Endi'!VFI2</f>
        <v>0</v>
      </c>
      <c r="VFK3">
        <f>'[12]Summary Report - 12 Months Endi'!VFJ2</f>
        <v>0</v>
      </c>
      <c r="VFL3">
        <f>'[12]Summary Report - 12 Months Endi'!VFK2</f>
        <v>0</v>
      </c>
      <c r="VFM3">
        <f>'[12]Summary Report - 12 Months Endi'!VFL2</f>
        <v>0</v>
      </c>
      <c r="VFN3">
        <f>'[12]Summary Report - 12 Months Endi'!VFM2</f>
        <v>0</v>
      </c>
      <c r="VFO3">
        <f>'[12]Summary Report - 12 Months Endi'!VFN2</f>
        <v>0</v>
      </c>
      <c r="VFP3">
        <f>'[12]Summary Report - 12 Months Endi'!VFO2</f>
        <v>0</v>
      </c>
      <c r="VFQ3">
        <f>'[12]Summary Report - 12 Months Endi'!VFP2</f>
        <v>0</v>
      </c>
      <c r="VFR3">
        <f>'[12]Summary Report - 12 Months Endi'!VFQ2</f>
        <v>0</v>
      </c>
      <c r="VFS3">
        <f>'[12]Summary Report - 12 Months Endi'!VFR2</f>
        <v>0</v>
      </c>
      <c r="VFT3">
        <f>'[12]Summary Report - 12 Months Endi'!VFS2</f>
        <v>0</v>
      </c>
      <c r="VFU3">
        <f>'[12]Summary Report - 12 Months Endi'!VFT2</f>
        <v>0</v>
      </c>
      <c r="VFV3">
        <f>'[12]Summary Report - 12 Months Endi'!VFU2</f>
        <v>0</v>
      </c>
      <c r="VFW3">
        <f>'[12]Summary Report - 12 Months Endi'!VFV2</f>
        <v>0</v>
      </c>
      <c r="VFX3">
        <f>'[12]Summary Report - 12 Months Endi'!VFW2</f>
        <v>0</v>
      </c>
      <c r="VFY3">
        <f>'[12]Summary Report - 12 Months Endi'!VFX2</f>
        <v>0</v>
      </c>
      <c r="VFZ3">
        <f>'[12]Summary Report - 12 Months Endi'!VFY2</f>
        <v>0</v>
      </c>
      <c r="VGA3">
        <f>'[12]Summary Report - 12 Months Endi'!VFZ2</f>
        <v>0</v>
      </c>
      <c r="VGB3">
        <f>'[12]Summary Report - 12 Months Endi'!VGA2</f>
        <v>0</v>
      </c>
      <c r="VGC3">
        <f>'[12]Summary Report - 12 Months Endi'!VGB2</f>
        <v>0</v>
      </c>
      <c r="VGD3">
        <f>'[12]Summary Report - 12 Months Endi'!VGC2</f>
        <v>0</v>
      </c>
      <c r="VGE3">
        <f>'[12]Summary Report - 12 Months Endi'!VGD2</f>
        <v>0</v>
      </c>
      <c r="VGF3">
        <f>'[12]Summary Report - 12 Months Endi'!VGE2</f>
        <v>0</v>
      </c>
      <c r="VGG3">
        <f>'[12]Summary Report - 12 Months Endi'!VGF2</f>
        <v>0</v>
      </c>
      <c r="VGH3">
        <f>'[12]Summary Report - 12 Months Endi'!VGG2</f>
        <v>0</v>
      </c>
      <c r="VGI3">
        <f>'[12]Summary Report - 12 Months Endi'!VGH2</f>
        <v>0</v>
      </c>
      <c r="VGJ3">
        <f>'[12]Summary Report - 12 Months Endi'!VGI2</f>
        <v>0</v>
      </c>
      <c r="VGK3">
        <f>'[12]Summary Report - 12 Months Endi'!VGJ2</f>
        <v>0</v>
      </c>
      <c r="VGL3">
        <f>'[12]Summary Report - 12 Months Endi'!VGK2</f>
        <v>0</v>
      </c>
      <c r="VGM3">
        <f>'[12]Summary Report - 12 Months Endi'!VGL2</f>
        <v>0</v>
      </c>
      <c r="VGN3">
        <f>'[12]Summary Report - 12 Months Endi'!VGM2</f>
        <v>0</v>
      </c>
      <c r="VGO3">
        <f>'[12]Summary Report - 12 Months Endi'!VGN2</f>
        <v>0</v>
      </c>
      <c r="VGP3">
        <f>'[12]Summary Report - 12 Months Endi'!VGO2</f>
        <v>0</v>
      </c>
      <c r="VGQ3">
        <f>'[12]Summary Report - 12 Months Endi'!VGP2</f>
        <v>0</v>
      </c>
      <c r="VGR3">
        <f>'[12]Summary Report - 12 Months Endi'!VGQ2</f>
        <v>0</v>
      </c>
      <c r="VGS3">
        <f>'[12]Summary Report - 12 Months Endi'!VGR2</f>
        <v>0</v>
      </c>
      <c r="VGT3">
        <f>'[12]Summary Report - 12 Months Endi'!VGS2</f>
        <v>0</v>
      </c>
      <c r="VGU3">
        <f>'[12]Summary Report - 12 Months Endi'!VGT2</f>
        <v>0</v>
      </c>
      <c r="VGV3">
        <f>'[12]Summary Report - 12 Months Endi'!VGU2</f>
        <v>0</v>
      </c>
      <c r="VGW3">
        <f>'[12]Summary Report - 12 Months Endi'!VGV2</f>
        <v>0</v>
      </c>
      <c r="VGX3">
        <f>'[12]Summary Report - 12 Months Endi'!VGW2</f>
        <v>0</v>
      </c>
      <c r="VGY3">
        <f>'[12]Summary Report - 12 Months Endi'!VGX2</f>
        <v>0</v>
      </c>
      <c r="VGZ3">
        <f>'[12]Summary Report - 12 Months Endi'!VGY2</f>
        <v>0</v>
      </c>
      <c r="VHA3">
        <f>'[12]Summary Report - 12 Months Endi'!VGZ2</f>
        <v>0</v>
      </c>
      <c r="VHB3">
        <f>'[12]Summary Report - 12 Months Endi'!VHA2</f>
        <v>0</v>
      </c>
      <c r="VHC3">
        <f>'[12]Summary Report - 12 Months Endi'!VHB2</f>
        <v>0</v>
      </c>
      <c r="VHD3">
        <f>'[12]Summary Report - 12 Months Endi'!VHC2</f>
        <v>0</v>
      </c>
      <c r="VHE3">
        <f>'[12]Summary Report - 12 Months Endi'!VHD2</f>
        <v>0</v>
      </c>
      <c r="VHF3">
        <f>'[12]Summary Report - 12 Months Endi'!VHE2</f>
        <v>0</v>
      </c>
      <c r="VHG3">
        <f>'[12]Summary Report - 12 Months Endi'!VHF2</f>
        <v>0</v>
      </c>
      <c r="VHH3">
        <f>'[12]Summary Report - 12 Months Endi'!VHG2</f>
        <v>0</v>
      </c>
      <c r="VHI3">
        <f>'[12]Summary Report - 12 Months Endi'!VHH2</f>
        <v>0</v>
      </c>
      <c r="VHJ3">
        <f>'[12]Summary Report - 12 Months Endi'!VHI2</f>
        <v>0</v>
      </c>
      <c r="VHK3">
        <f>'[12]Summary Report - 12 Months Endi'!VHJ2</f>
        <v>0</v>
      </c>
      <c r="VHL3">
        <f>'[12]Summary Report - 12 Months Endi'!VHK2</f>
        <v>0</v>
      </c>
      <c r="VHM3">
        <f>'[12]Summary Report - 12 Months Endi'!VHL2</f>
        <v>0</v>
      </c>
      <c r="VHN3">
        <f>'[12]Summary Report - 12 Months Endi'!VHM2</f>
        <v>0</v>
      </c>
      <c r="VHO3">
        <f>'[12]Summary Report - 12 Months Endi'!VHN2</f>
        <v>0</v>
      </c>
      <c r="VHP3">
        <f>'[12]Summary Report - 12 Months Endi'!VHO2</f>
        <v>0</v>
      </c>
      <c r="VHQ3">
        <f>'[12]Summary Report - 12 Months Endi'!VHP2</f>
        <v>0</v>
      </c>
      <c r="VHR3">
        <f>'[12]Summary Report - 12 Months Endi'!VHQ2</f>
        <v>0</v>
      </c>
      <c r="VHS3">
        <f>'[12]Summary Report - 12 Months Endi'!VHR2</f>
        <v>0</v>
      </c>
      <c r="VHT3">
        <f>'[12]Summary Report - 12 Months Endi'!VHS2</f>
        <v>0</v>
      </c>
      <c r="VHU3">
        <f>'[12]Summary Report - 12 Months Endi'!VHT2</f>
        <v>0</v>
      </c>
      <c r="VHV3">
        <f>'[12]Summary Report - 12 Months Endi'!VHU2</f>
        <v>0</v>
      </c>
      <c r="VHW3">
        <f>'[12]Summary Report - 12 Months Endi'!VHV2</f>
        <v>0</v>
      </c>
      <c r="VHX3">
        <f>'[12]Summary Report - 12 Months Endi'!VHW2</f>
        <v>0</v>
      </c>
      <c r="VHY3">
        <f>'[12]Summary Report - 12 Months Endi'!VHX2</f>
        <v>0</v>
      </c>
      <c r="VHZ3">
        <f>'[12]Summary Report - 12 Months Endi'!VHY2</f>
        <v>0</v>
      </c>
      <c r="VIA3">
        <f>'[12]Summary Report - 12 Months Endi'!VHZ2</f>
        <v>0</v>
      </c>
      <c r="VIB3">
        <f>'[12]Summary Report - 12 Months Endi'!VIA2</f>
        <v>0</v>
      </c>
      <c r="VIC3">
        <f>'[12]Summary Report - 12 Months Endi'!VIB2</f>
        <v>0</v>
      </c>
      <c r="VID3">
        <f>'[12]Summary Report - 12 Months Endi'!VIC2</f>
        <v>0</v>
      </c>
      <c r="VIE3">
        <f>'[12]Summary Report - 12 Months Endi'!VID2</f>
        <v>0</v>
      </c>
      <c r="VIF3">
        <f>'[12]Summary Report - 12 Months Endi'!VIE2</f>
        <v>0</v>
      </c>
      <c r="VIG3">
        <f>'[12]Summary Report - 12 Months Endi'!VIF2</f>
        <v>0</v>
      </c>
      <c r="VIH3">
        <f>'[12]Summary Report - 12 Months Endi'!VIG2</f>
        <v>0</v>
      </c>
      <c r="VII3">
        <f>'[12]Summary Report - 12 Months Endi'!VIH2</f>
        <v>0</v>
      </c>
      <c r="VIJ3">
        <f>'[12]Summary Report - 12 Months Endi'!VII2</f>
        <v>0</v>
      </c>
      <c r="VIK3">
        <f>'[12]Summary Report - 12 Months Endi'!VIJ2</f>
        <v>0</v>
      </c>
      <c r="VIL3">
        <f>'[12]Summary Report - 12 Months Endi'!VIK2</f>
        <v>0</v>
      </c>
      <c r="VIM3">
        <f>'[12]Summary Report - 12 Months Endi'!VIL2</f>
        <v>0</v>
      </c>
      <c r="VIN3">
        <f>'[12]Summary Report - 12 Months Endi'!VIM2</f>
        <v>0</v>
      </c>
      <c r="VIO3">
        <f>'[12]Summary Report - 12 Months Endi'!VIN2</f>
        <v>0</v>
      </c>
      <c r="VIP3">
        <f>'[12]Summary Report - 12 Months Endi'!VIO2</f>
        <v>0</v>
      </c>
      <c r="VIQ3">
        <f>'[12]Summary Report - 12 Months Endi'!VIP2</f>
        <v>0</v>
      </c>
      <c r="VIR3">
        <f>'[12]Summary Report - 12 Months Endi'!VIQ2</f>
        <v>0</v>
      </c>
      <c r="VIS3">
        <f>'[12]Summary Report - 12 Months Endi'!VIR2</f>
        <v>0</v>
      </c>
      <c r="VIT3">
        <f>'[12]Summary Report - 12 Months Endi'!VIS2</f>
        <v>0</v>
      </c>
      <c r="VIU3">
        <f>'[12]Summary Report - 12 Months Endi'!VIT2</f>
        <v>0</v>
      </c>
      <c r="VIV3">
        <f>'[12]Summary Report - 12 Months Endi'!VIU2</f>
        <v>0</v>
      </c>
      <c r="VIW3">
        <f>'[12]Summary Report - 12 Months Endi'!VIV2</f>
        <v>0</v>
      </c>
      <c r="VIX3">
        <f>'[12]Summary Report - 12 Months Endi'!VIW2</f>
        <v>0</v>
      </c>
      <c r="VIY3">
        <f>'[12]Summary Report - 12 Months Endi'!VIX2</f>
        <v>0</v>
      </c>
      <c r="VIZ3">
        <f>'[12]Summary Report - 12 Months Endi'!VIY2</f>
        <v>0</v>
      </c>
      <c r="VJA3">
        <f>'[12]Summary Report - 12 Months Endi'!VIZ2</f>
        <v>0</v>
      </c>
      <c r="VJB3">
        <f>'[12]Summary Report - 12 Months Endi'!VJA2</f>
        <v>0</v>
      </c>
      <c r="VJC3">
        <f>'[12]Summary Report - 12 Months Endi'!VJB2</f>
        <v>0</v>
      </c>
      <c r="VJD3">
        <f>'[12]Summary Report - 12 Months Endi'!VJC2</f>
        <v>0</v>
      </c>
      <c r="VJE3">
        <f>'[12]Summary Report - 12 Months Endi'!VJD2</f>
        <v>0</v>
      </c>
      <c r="VJF3">
        <f>'[12]Summary Report - 12 Months Endi'!VJE2</f>
        <v>0</v>
      </c>
      <c r="VJG3">
        <f>'[12]Summary Report - 12 Months Endi'!VJF2</f>
        <v>0</v>
      </c>
      <c r="VJH3">
        <f>'[12]Summary Report - 12 Months Endi'!VJG2</f>
        <v>0</v>
      </c>
      <c r="VJI3">
        <f>'[12]Summary Report - 12 Months Endi'!VJH2</f>
        <v>0</v>
      </c>
      <c r="VJJ3">
        <f>'[12]Summary Report - 12 Months Endi'!VJI2</f>
        <v>0</v>
      </c>
      <c r="VJK3">
        <f>'[12]Summary Report - 12 Months Endi'!VJJ2</f>
        <v>0</v>
      </c>
      <c r="VJL3">
        <f>'[12]Summary Report - 12 Months Endi'!VJK2</f>
        <v>0</v>
      </c>
      <c r="VJM3">
        <f>'[12]Summary Report - 12 Months Endi'!VJL2</f>
        <v>0</v>
      </c>
      <c r="VJN3">
        <f>'[12]Summary Report - 12 Months Endi'!VJM2</f>
        <v>0</v>
      </c>
      <c r="VJO3">
        <f>'[12]Summary Report - 12 Months Endi'!VJN2</f>
        <v>0</v>
      </c>
      <c r="VJP3">
        <f>'[12]Summary Report - 12 Months Endi'!VJO2</f>
        <v>0</v>
      </c>
      <c r="VJQ3">
        <f>'[12]Summary Report - 12 Months Endi'!VJP2</f>
        <v>0</v>
      </c>
      <c r="VJR3">
        <f>'[12]Summary Report - 12 Months Endi'!VJQ2</f>
        <v>0</v>
      </c>
      <c r="VJS3">
        <f>'[12]Summary Report - 12 Months Endi'!VJR2</f>
        <v>0</v>
      </c>
      <c r="VJT3">
        <f>'[12]Summary Report - 12 Months Endi'!VJS2</f>
        <v>0</v>
      </c>
      <c r="VJU3">
        <f>'[12]Summary Report - 12 Months Endi'!VJT2</f>
        <v>0</v>
      </c>
      <c r="VJV3">
        <f>'[12]Summary Report - 12 Months Endi'!VJU2</f>
        <v>0</v>
      </c>
      <c r="VJW3">
        <f>'[12]Summary Report - 12 Months Endi'!VJV2</f>
        <v>0</v>
      </c>
      <c r="VJX3">
        <f>'[12]Summary Report - 12 Months Endi'!VJW2</f>
        <v>0</v>
      </c>
      <c r="VJY3">
        <f>'[12]Summary Report - 12 Months Endi'!VJX2</f>
        <v>0</v>
      </c>
      <c r="VJZ3">
        <f>'[12]Summary Report - 12 Months Endi'!VJY2</f>
        <v>0</v>
      </c>
      <c r="VKA3">
        <f>'[12]Summary Report - 12 Months Endi'!VJZ2</f>
        <v>0</v>
      </c>
      <c r="VKB3">
        <f>'[12]Summary Report - 12 Months Endi'!VKA2</f>
        <v>0</v>
      </c>
      <c r="VKC3">
        <f>'[12]Summary Report - 12 Months Endi'!VKB2</f>
        <v>0</v>
      </c>
      <c r="VKD3">
        <f>'[12]Summary Report - 12 Months Endi'!VKC2</f>
        <v>0</v>
      </c>
      <c r="VKE3">
        <f>'[12]Summary Report - 12 Months Endi'!VKD2</f>
        <v>0</v>
      </c>
      <c r="VKF3">
        <f>'[12]Summary Report - 12 Months Endi'!VKE2</f>
        <v>0</v>
      </c>
      <c r="VKG3">
        <f>'[12]Summary Report - 12 Months Endi'!VKF2</f>
        <v>0</v>
      </c>
      <c r="VKH3">
        <f>'[12]Summary Report - 12 Months Endi'!VKG2</f>
        <v>0</v>
      </c>
      <c r="VKI3">
        <f>'[12]Summary Report - 12 Months Endi'!VKH2</f>
        <v>0</v>
      </c>
      <c r="VKJ3">
        <f>'[12]Summary Report - 12 Months Endi'!VKI2</f>
        <v>0</v>
      </c>
      <c r="VKK3">
        <f>'[12]Summary Report - 12 Months Endi'!VKJ2</f>
        <v>0</v>
      </c>
      <c r="VKL3">
        <f>'[12]Summary Report - 12 Months Endi'!VKK2</f>
        <v>0</v>
      </c>
      <c r="VKM3">
        <f>'[12]Summary Report - 12 Months Endi'!VKL2</f>
        <v>0</v>
      </c>
      <c r="VKN3">
        <f>'[12]Summary Report - 12 Months Endi'!VKM2</f>
        <v>0</v>
      </c>
      <c r="VKO3">
        <f>'[12]Summary Report - 12 Months Endi'!VKN2</f>
        <v>0</v>
      </c>
      <c r="VKP3">
        <f>'[12]Summary Report - 12 Months Endi'!VKO2</f>
        <v>0</v>
      </c>
      <c r="VKQ3">
        <f>'[12]Summary Report - 12 Months Endi'!VKP2</f>
        <v>0</v>
      </c>
      <c r="VKR3">
        <f>'[12]Summary Report - 12 Months Endi'!VKQ2</f>
        <v>0</v>
      </c>
      <c r="VKS3">
        <f>'[12]Summary Report - 12 Months Endi'!VKR2</f>
        <v>0</v>
      </c>
      <c r="VKT3">
        <f>'[12]Summary Report - 12 Months Endi'!VKS2</f>
        <v>0</v>
      </c>
      <c r="VKU3">
        <f>'[12]Summary Report - 12 Months Endi'!VKT2</f>
        <v>0</v>
      </c>
      <c r="VKV3">
        <f>'[12]Summary Report - 12 Months Endi'!VKU2</f>
        <v>0</v>
      </c>
      <c r="VKW3">
        <f>'[12]Summary Report - 12 Months Endi'!VKV2</f>
        <v>0</v>
      </c>
      <c r="VKX3">
        <f>'[12]Summary Report - 12 Months Endi'!VKW2</f>
        <v>0</v>
      </c>
      <c r="VKY3">
        <f>'[12]Summary Report - 12 Months Endi'!VKX2</f>
        <v>0</v>
      </c>
      <c r="VKZ3">
        <f>'[12]Summary Report - 12 Months Endi'!VKY2</f>
        <v>0</v>
      </c>
      <c r="VLA3">
        <f>'[12]Summary Report - 12 Months Endi'!VKZ2</f>
        <v>0</v>
      </c>
      <c r="VLB3">
        <f>'[12]Summary Report - 12 Months Endi'!VLA2</f>
        <v>0</v>
      </c>
      <c r="VLC3">
        <f>'[12]Summary Report - 12 Months Endi'!VLB2</f>
        <v>0</v>
      </c>
      <c r="VLD3">
        <f>'[12]Summary Report - 12 Months Endi'!VLC2</f>
        <v>0</v>
      </c>
      <c r="VLE3">
        <f>'[12]Summary Report - 12 Months Endi'!VLD2</f>
        <v>0</v>
      </c>
      <c r="VLF3">
        <f>'[12]Summary Report - 12 Months Endi'!VLE2</f>
        <v>0</v>
      </c>
      <c r="VLG3">
        <f>'[12]Summary Report - 12 Months Endi'!VLF2</f>
        <v>0</v>
      </c>
      <c r="VLH3">
        <f>'[12]Summary Report - 12 Months Endi'!VLG2</f>
        <v>0</v>
      </c>
      <c r="VLI3">
        <f>'[12]Summary Report - 12 Months Endi'!VLH2</f>
        <v>0</v>
      </c>
      <c r="VLJ3">
        <f>'[12]Summary Report - 12 Months Endi'!VLI2</f>
        <v>0</v>
      </c>
      <c r="VLK3">
        <f>'[12]Summary Report - 12 Months Endi'!VLJ2</f>
        <v>0</v>
      </c>
      <c r="VLL3">
        <f>'[12]Summary Report - 12 Months Endi'!VLK2</f>
        <v>0</v>
      </c>
      <c r="VLM3">
        <f>'[12]Summary Report - 12 Months Endi'!VLL2</f>
        <v>0</v>
      </c>
      <c r="VLN3">
        <f>'[12]Summary Report - 12 Months Endi'!VLM2</f>
        <v>0</v>
      </c>
      <c r="VLO3">
        <f>'[12]Summary Report - 12 Months Endi'!VLN2</f>
        <v>0</v>
      </c>
      <c r="VLP3">
        <f>'[12]Summary Report - 12 Months Endi'!VLO2</f>
        <v>0</v>
      </c>
      <c r="VLQ3">
        <f>'[12]Summary Report - 12 Months Endi'!VLP2</f>
        <v>0</v>
      </c>
      <c r="VLR3">
        <f>'[12]Summary Report - 12 Months Endi'!VLQ2</f>
        <v>0</v>
      </c>
      <c r="VLS3">
        <f>'[12]Summary Report - 12 Months Endi'!VLR2</f>
        <v>0</v>
      </c>
      <c r="VLT3">
        <f>'[12]Summary Report - 12 Months Endi'!VLS2</f>
        <v>0</v>
      </c>
      <c r="VLU3">
        <f>'[12]Summary Report - 12 Months Endi'!VLT2</f>
        <v>0</v>
      </c>
      <c r="VLV3">
        <f>'[12]Summary Report - 12 Months Endi'!VLU2</f>
        <v>0</v>
      </c>
      <c r="VLW3">
        <f>'[12]Summary Report - 12 Months Endi'!VLV2</f>
        <v>0</v>
      </c>
      <c r="VLX3">
        <f>'[12]Summary Report - 12 Months Endi'!VLW2</f>
        <v>0</v>
      </c>
      <c r="VLY3">
        <f>'[12]Summary Report - 12 Months Endi'!VLX2</f>
        <v>0</v>
      </c>
      <c r="VLZ3">
        <f>'[12]Summary Report - 12 Months Endi'!VLY2</f>
        <v>0</v>
      </c>
      <c r="VMA3">
        <f>'[12]Summary Report - 12 Months Endi'!VLZ2</f>
        <v>0</v>
      </c>
      <c r="VMB3">
        <f>'[12]Summary Report - 12 Months Endi'!VMA2</f>
        <v>0</v>
      </c>
      <c r="VMC3">
        <f>'[12]Summary Report - 12 Months Endi'!VMB2</f>
        <v>0</v>
      </c>
      <c r="VMD3">
        <f>'[12]Summary Report - 12 Months Endi'!VMC2</f>
        <v>0</v>
      </c>
      <c r="VME3">
        <f>'[12]Summary Report - 12 Months Endi'!VMD2</f>
        <v>0</v>
      </c>
      <c r="VMF3">
        <f>'[12]Summary Report - 12 Months Endi'!VME2</f>
        <v>0</v>
      </c>
      <c r="VMG3">
        <f>'[12]Summary Report - 12 Months Endi'!VMF2</f>
        <v>0</v>
      </c>
      <c r="VMH3">
        <f>'[12]Summary Report - 12 Months Endi'!VMG2</f>
        <v>0</v>
      </c>
      <c r="VMI3">
        <f>'[12]Summary Report - 12 Months Endi'!VMH2</f>
        <v>0</v>
      </c>
      <c r="VMJ3">
        <f>'[12]Summary Report - 12 Months Endi'!VMI2</f>
        <v>0</v>
      </c>
      <c r="VMK3">
        <f>'[12]Summary Report - 12 Months Endi'!VMJ2</f>
        <v>0</v>
      </c>
      <c r="VML3">
        <f>'[12]Summary Report - 12 Months Endi'!VMK2</f>
        <v>0</v>
      </c>
      <c r="VMM3">
        <f>'[12]Summary Report - 12 Months Endi'!VML2</f>
        <v>0</v>
      </c>
      <c r="VMN3">
        <f>'[12]Summary Report - 12 Months Endi'!VMM2</f>
        <v>0</v>
      </c>
      <c r="VMO3">
        <f>'[12]Summary Report - 12 Months Endi'!VMN2</f>
        <v>0</v>
      </c>
      <c r="VMP3">
        <f>'[12]Summary Report - 12 Months Endi'!VMO2</f>
        <v>0</v>
      </c>
      <c r="VMQ3">
        <f>'[12]Summary Report - 12 Months Endi'!VMP2</f>
        <v>0</v>
      </c>
      <c r="VMR3">
        <f>'[12]Summary Report - 12 Months Endi'!VMQ2</f>
        <v>0</v>
      </c>
      <c r="VMS3">
        <f>'[12]Summary Report - 12 Months Endi'!VMR2</f>
        <v>0</v>
      </c>
      <c r="VMT3">
        <f>'[12]Summary Report - 12 Months Endi'!VMS2</f>
        <v>0</v>
      </c>
      <c r="VMU3">
        <f>'[12]Summary Report - 12 Months Endi'!VMT2</f>
        <v>0</v>
      </c>
      <c r="VMV3">
        <f>'[12]Summary Report - 12 Months Endi'!VMU2</f>
        <v>0</v>
      </c>
      <c r="VMW3">
        <f>'[12]Summary Report - 12 Months Endi'!VMV2</f>
        <v>0</v>
      </c>
      <c r="VMX3">
        <f>'[12]Summary Report - 12 Months Endi'!VMW2</f>
        <v>0</v>
      </c>
      <c r="VMY3">
        <f>'[12]Summary Report - 12 Months Endi'!VMX2</f>
        <v>0</v>
      </c>
      <c r="VMZ3">
        <f>'[12]Summary Report - 12 Months Endi'!VMY2</f>
        <v>0</v>
      </c>
      <c r="VNA3">
        <f>'[12]Summary Report - 12 Months Endi'!VMZ2</f>
        <v>0</v>
      </c>
      <c r="VNB3">
        <f>'[12]Summary Report - 12 Months Endi'!VNA2</f>
        <v>0</v>
      </c>
      <c r="VNC3">
        <f>'[12]Summary Report - 12 Months Endi'!VNB2</f>
        <v>0</v>
      </c>
      <c r="VND3">
        <f>'[12]Summary Report - 12 Months Endi'!VNC2</f>
        <v>0</v>
      </c>
      <c r="VNE3">
        <f>'[12]Summary Report - 12 Months Endi'!VND2</f>
        <v>0</v>
      </c>
      <c r="VNF3">
        <f>'[12]Summary Report - 12 Months Endi'!VNE2</f>
        <v>0</v>
      </c>
      <c r="VNG3">
        <f>'[12]Summary Report - 12 Months Endi'!VNF2</f>
        <v>0</v>
      </c>
      <c r="VNH3">
        <f>'[12]Summary Report - 12 Months Endi'!VNG2</f>
        <v>0</v>
      </c>
      <c r="VNI3">
        <f>'[12]Summary Report - 12 Months Endi'!VNH2</f>
        <v>0</v>
      </c>
      <c r="VNJ3">
        <f>'[12]Summary Report - 12 Months Endi'!VNI2</f>
        <v>0</v>
      </c>
      <c r="VNK3">
        <f>'[12]Summary Report - 12 Months Endi'!VNJ2</f>
        <v>0</v>
      </c>
      <c r="VNL3">
        <f>'[12]Summary Report - 12 Months Endi'!VNK2</f>
        <v>0</v>
      </c>
      <c r="VNM3">
        <f>'[12]Summary Report - 12 Months Endi'!VNL2</f>
        <v>0</v>
      </c>
      <c r="VNN3">
        <f>'[12]Summary Report - 12 Months Endi'!VNM2</f>
        <v>0</v>
      </c>
      <c r="VNO3">
        <f>'[12]Summary Report - 12 Months Endi'!VNN2</f>
        <v>0</v>
      </c>
      <c r="VNP3">
        <f>'[12]Summary Report - 12 Months Endi'!VNO2</f>
        <v>0</v>
      </c>
      <c r="VNQ3">
        <f>'[12]Summary Report - 12 Months Endi'!VNP2</f>
        <v>0</v>
      </c>
      <c r="VNR3">
        <f>'[12]Summary Report - 12 Months Endi'!VNQ2</f>
        <v>0</v>
      </c>
      <c r="VNS3">
        <f>'[12]Summary Report - 12 Months Endi'!VNR2</f>
        <v>0</v>
      </c>
      <c r="VNT3">
        <f>'[12]Summary Report - 12 Months Endi'!VNS2</f>
        <v>0</v>
      </c>
      <c r="VNU3">
        <f>'[12]Summary Report - 12 Months Endi'!VNT2</f>
        <v>0</v>
      </c>
      <c r="VNV3">
        <f>'[12]Summary Report - 12 Months Endi'!VNU2</f>
        <v>0</v>
      </c>
      <c r="VNW3">
        <f>'[12]Summary Report - 12 Months Endi'!VNV2</f>
        <v>0</v>
      </c>
      <c r="VNX3">
        <f>'[12]Summary Report - 12 Months Endi'!VNW2</f>
        <v>0</v>
      </c>
      <c r="VNY3">
        <f>'[12]Summary Report - 12 Months Endi'!VNX2</f>
        <v>0</v>
      </c>
      <c r="VNZ3">
        <f>'[12]Summary Report - 12 Months Endi'!VNY2</f>
        <v>0</v>
      </c>
      <c r="VOA3">
        <f>'[12]Summary Report - 12 Months Endi'!VNZ2</f>
        <v>0</v>
      </c>
      <c r="VOB3">
        <f>'[12]Summary Report - 12 Months Endi'!VOA2</f>
        <v>0</v>
      </c>
      <c r="VOC3">
        <f>'[12]Summary Report - 12 Months Endi'!VOB2</f>
        <v>0</v>
      </c>
      <c r="VOD3">
        <f>'[12]Summary Report - 12 Months Endi'!VOC2</f>
        <v>0</v>
      </c>
      <c r="VOE3">
        <f>'[12]Summary Report - 12 Months Endi'!VOD2</f>
        <v>0</v>
      </c>
      <c r="VOF3">
        <f>'[12]Summary Report - 12 Months Endi'!VOE2</f>
        <v>0</v>
      </c>
      <c r="VOG3">
        <f>'[12]Summary Report - 12 Months Endi'!VOF2</f>
        <v>0</v>
      </c>
      <c r="VOH3">
        <f>'[12]Summary Report - 12 Months Endi'!VOG2</f>
        <v>0</v>
      </c>
      <c r="VOI3">
        <f>'[12]Summary Report - 12 Months Endi'!VOH2</f>
        <v>0</v>
      </c>
      <c r="VOJ3">
        <f>'[12]Summary Report - 12 Months Endi'!VOI2</f>
        <v>0</v>
      </c>
      <c r="VOK3">
        <f>'[12]Summary Report - 12 Months Endi'!VOJ2</f>
        <v>0</v>
      </c>
      <c r="VOL3">
        <f>'[12]Summary Report - 12 Months Endi'!VOK2</f>
        <v>0</v>
      </c>
      <c r="VOM3">
        <f>'[12]Summary Report - 12 Months Endi'!VOL2</f>
        <v>0</v>
      </c>
      <c r="VON3">
        <f>'[12]Summary Report - 12 Months Endi'!VOM2</f>
        <v>0</v>
      </c>
      <c r="VOO3">
        <f>'[12]Summary Report - 12 Months Endi'!VON2</f>
        <v>0</v>
      </c>
      <c r="VOP3">
        <f>'[12]Summary Report - 12 Months Endi'!VOO2</f>
        <v>0</v>
      </c>
      <c r="VOQ3">
        <f>'[12]Summary Report - 12 Months Endi'!VOP2</f>
        <v>0</v>
      </c>
      <c r="VOR3">
        <f>'[12]Summary Report - 12 Months Endi'!VOQ2</f>
        <v>0</v>
      </c>
      <c r="VOS3">
        <f>'[12]Summary Report - 12 Months Endi'!VOR2</f>
        <v>0</v>
      </c>
      <c r="VOT3">
        <f>'[12]Summary Report - 12 Months Endi'!VOS2</f>
        <v>0</v>
      </c>
      <c r="VOU3">
        <f>'[12]Summary Report - 12 Months Endi'!VOT2</f>
        <v>0</v>
      </c>
      <c r="VOV3">
        <f>'[12]Summary Report - 12 Months Endi'!VOU2</f>
        <v>0</v>
      </c>
      <c r="VOW3">
        <f>'[12]Summary Report - 12 Months Endi'!VOV2</f>
        <v>0</v>
      </c>
      <c r="VOX3">
        <f>'[12]Summary Report - 12 Months Endi'!VOW2</f>
        <v>0</v>
      </c>
      <c r="VOY3">
        <f>'[12]Summary Report - 12 Months Endi'!VOX2</f>
        <v>0</v>
      </c>
      <c r="VOZ3">
        <f>'[12]Summary Report - 12 Months Endi'!VOY2</f>
        <v>0</v>
      </c>
      <c r="VPA3">
        <f>'[12]Summary Report - 12 Months Endi'!VOZ2</f>
        <v>0</v>
      </c>
      <c r="VPB3">
        <f>'[12]Summary Report - 12 Months Endi'!VPA2</f>
        <v>0</v>
      </c>
      <c r="VPC3">
        <f>'[12]Summary Report - 12 Months Endi'!VPB2</f>
        <v>0</v>
      </c>
      <c r="VPD3">
        <f>'[12]Summary Report - 12 Months Endi'!VPC2</f>
        <v>0</v>
      </c>
      <c r="VPE3">
        <f>'[12]Summary Report - 12 Months Endi'!VPD2</f>
        <v>0</v>
      </c>
      <c r="VPF3">
        <f>'[12]Summary Report - 12 Months Endi'!VPE2</f>
        <v>0</v>
      </c>
      <c r="VPG3">
        <f>'[12]Summary Report - 12 Months Endi'!VPF2</f>
        <v>0</v>
      </c>
      <c r="VPH3">
        <f>'[12]Summary Report - 12 Months Endi'!VPG2</f>
        <v>0</v>
      </c>
      <c r="VPI3">
        <f>'[12]Summary Report - 12 Months Endi'!VPH2</f>
        <v>0</v>
      </c>
      <c r="VPJ3">
        <f>'[12]Summary Report - 12 Months Endi'!VPI2</f>
        <v>0</v>
      </c>
      <c r="VPK3">
        <f>'[12]Summary Report - 12 Months Endi'!VPJ2</f>
        <v>0</v>
      </c>
      <c r="VPL3">
        <f>'[12]Summary Report - 12 Months Endi'!VPK2</f>
        <v>0</v>
      </c>
      <c r="VPM3">
        <f>'[12]Summary Report - 12 Months Endi'!VPL2</f>
        <v>0</v>
      </c>
      <c r="VPN3">
        <f>'[12]Summary Report - 12 Months Endi'!VPM2</f>
        <v>0</v>
      </c>
      <c r="VPO3">
        <f>'[12]Summary Report - 12 Months Endi'!VPN2</f>
        <v>0</v>
      </c>
      <c r="VPP3">
        <f>'[12]Summary Report - 12 Months Endi'!VPO2</f>
        <v>0</v>
      </c>
      <c r="VPQ3">
        <f>'[12]Summary Report - 12 Months Endi'!VPP2</f>
        <v>0</v>
      </c>
      <c r="VPR3">
        <f>'[12]Summary Report - 12 Months Endi'!VPQ2</f>
        <v>0</v>
      </c>
      <c r="VPS3">
        <f>'[12]Summary Report - 12 Months Endi'!VPR2</f>
        <v>0</v>
      </c>
      <c r="VPT3">
        <f>'[12]Summary Report - 12 Months Endi'!VPS2</f>
        <v>0</v>
      </c>
      <c r="VPU3">
        <f>'[12]Summary Report - 12 Months Endi'!VPT2</f>
        <v>0</v>
      </c>
      <c r="VPV3">
        <f>'[12]Summary Report - 12 Months Endi'!VPU2</f>
        <v>0</v>
      </c>
      <c r="VPW3">
        <f>'[12]Summary Report - 12 Months Endi'!VPV2</f>
        <v>0</v>
      </c>
      <c r="VPX3">
        <f>'[12]Summary Report - 12 Months Endi'!VPW2</f>
        <v>0</v>
      </c>
      <c r="VPY3">
        <f>'[12]Summary Report - 12 Months Endi'!VPX2</f>
        <v>0</v>
      </c>
      <c r="VPZ3">
        <f>'[12]Summary Report - 12 Months Endi'!VPY2</f>
        <v>0</v>
      </c>
      <c r="VQA3">
        <f>'[12]Summary Report - 12 Months Endi'!VPZ2</f>
        <v>0</v>
      </c>
      <c r="VQB3">
        <f>'[12]Summary Report - 12 Months Endi'!VQA2</f>
        <v>0</v>
      </c>
      <c r="VQC3">
        <f>'[12]Summary Report - 12 Months Endi'!VQB2</f>
        <v>0</v>
      </c>
      <c r="VQD3">
        <f>'[12]Summary Report - 12 Months Endi'!VQC2</f>
        <v>0</v>
      </c>
      <c r="VQE3">
        <f>'[12]Summary Report - 12 Months Endi'!VQD2</f>
        <v>0</v>
      </c>
      <c r="VQF3">
        <f>'[12]Summary Report - 12 Months Endi'!VQE2</f>
        <v>0</v>
      </c>
      <c r="VQG3">
        <f>'[12]Summary Report - 12 Months Endi'!VQF2</f>
        <v>0</v>
      </c>
      <c r="VQH3">
        <f>'[12]Summary Report - 12 Months Endi'!VQG2</f>
        <v>0</v>
      </c>
      <c r="VQI3">
        <f>'[12]Summary Report - 12 Months Endi'!VQH2</f>
        <v>0</v>
      </c>
      <c r="VQJ3">
        <f>'[12]Summary Report - 12 Months Endi'!VQI2</f>
        <v>0</v>
      </c>
      <c r="VQK3">
        <f>'[12]Summary Report - 12 Months Endi'!VQJ2</f>
        <v>0</v>
      </c>
      <c r="VQL3">
        <f>'[12]Summary Report - 12 Months Endi'!VQK2</f>
        <v>0</v>
      </c>
      <c r="VQM3">
        <f>'[12]Summary Report - 12 Months Endi'!VQL2</f>
        <v>0</v>
      </c>
      <c r="VQN3">
        <f>'[12]Summary Report - 12 Months Endi'!VQM2</f>
        <v>0</v>
      </c>
      <c r="VQO3">
        <f>'[12]Summary Report - 12 Months Endi'!VQN2</f>
        <v>0</v>
      </c>
      <c r="VQP3">
        <f>'[12]Summary Report - 12 Months Endi'!VQO2</f>
        <v>0</v>
      </c>
      <c r="VQQ3">
        <f>'[12]Summary Report - 12 Months Endi'!VQP2</f>
        <v>0</v>
      </c>
      <c r="VQR3">
        <f>'[12]Summary Report - 12 Months Endi'!VQQ2</f>
        <v>0</v>
      </c>
      <c r="VQS3">
        <f>'[12]Summary Report - 12 Months Endi'!VQR2</f>
        <v>0</v>
      </c>
      <c r="VQT3">
        <f>'[12]Summary Report - 12 Months Endi'!VQS2</f>
        <v>0</v>
      </c>
      <c r="VQU3">
        <f>'[12]Summary Report - 12 Months Endi'!VQT2</f>
        <v>0</v>
      </c>
      <c r="VQV3">
        <f>'[12]Summary Report - 12 Months Endi'!VQU2</f>
        <v>0</v>
      </c>
      <c r="VQW3">
        <f>'[12]Summary Report - 12 Months Endi'!VQV2</f>
        <v>0</v>
      </c>
      <c r="VQX3">
        <f>'[12]Summary Report - 12 Months Endi'!VQW2</f>
        <v>0</v>
      </c>
      <c r="VQY3">
        <f>'[12]Summary Report - 12 Months Endi'!VQX2</f>
        <v>0</v>
      </c>
      <c r="VQZ3">
        <f>'[12]Summary Report - 12 Months Endi'!VQY2</f>
        <v>0</v>
      </c>
      <c r="VRA3">
        <f>'[12]Summary Report - 12 Months Endi'!VQZ2</f>
        <v>0</v>
      </c>
      <c r="VRB3">
        <f>'[12]Summary Report - 12 Months Endi'!VRA2</f>
        <v>0</v>
      </c>
      <c r="VRC3">
        <f>'[12]Summary Report - 12 Months Endi'!VRB2</f>
        <v>0</v>
      </c>
      <c r="VRD3">
        <f>'[12]Summary Report - 12 Months Endi'!VRC2</f>
        <v>0</v>
      </c>
      <c r="VRE3">
        <f>'[12]Summary Report - 12 Months Endi'!VRD2</f>
        <v>0</v>
      </c>
      <c r="VRF3">
        <f>'[12]Summary Report - 12 Months Endi'!VRE2</f>
        <v>0</v>
      </c>
      <c r="VRG3">
        <f>'[12]Summary Report - 12 Months Endi'!VRF2</f>
        <v>0</v>
      </c>
      <c r="VRH3">
        <f>'[12]Summary Report - 12 Months Endi'!VRG2</f>
        <v>0</v>
      </c>
      <c r="VRI3">
        <f>'[12]Summary Report - 12 Months Endi'!VRH2</f>
        <v>0</v>
      </c>
      <c r="VRJ3">
        <f>'[12]Summary Report - 12 Months Endi'!VRI2</f>
        <v>0</v>
      </c>
      <c r="VRK3">
        <f>'[12]Summary Report - 12 Months Endi'!VRJ2</f>
        <v>0</v>
      </c>
      <c r="VRL3">
        <f>'[12]Summary Report - 12 Months Endi'!VRK2</f>
        <v>0</v>
      </c>
      <c r="VRM3">
        <f>'[12]Summary Report - 12 Months Endi'!VRL2</f>
        <v>0</v>
      </c>
      <c r="VRN3">
        <f>'[12]Summary Report - 12 Months Endi'!VRM2</f>
        <v>0</v>
      </c>
      <c r="VRO3">
        <f>'[12]Summary Report - 12 Months Endi'!VRN2</f>
        <v>0</v>
      </c>
      <c r="VRP3">
        <f>'[12]Summary Report - 12 Months Endi'!VRO2</f>
        <v>0</v>
      </c>
      <c r="VRQ3">
        <f>'[12]Summary Report - 12 Months Endi'!VRP2</f>
        <v>0</v>
      </c>
      <c r="VRR3">
        <f>'[12]Summary Report - 12 Months Endi'!VRQ2</f>
        <v>0</v>
      </c>
      <c r="VRS3">
        <f>'[12]Summary Report - 12 Months Endi'!VRR2</f>
        <v>0</v>
      </c>
      <c r="VRT3">
        <f>'[12]Summary Report - 12 Months Endi'!VRS2</f>
        <v>0</v>
      </c>
      <c r="VRU3">
        <f>'[12]Summary Report - 12 Months Endi'!VRT2</f>
        <v>0</v>
      </c>
      <c r="VRV3">
        <f>'[12]Summary Report - 12 Months Endi'!VRU2</f>
        <v>0</v>
      </c>
      <c r="VRW3">
        <f>'[12]Summary Report - 12 Months Endi'!VRV2</f>
        <v>0</v>
      </c>
      <c r="VRX3">
        <f>'[12]Summary Report - 12 Months Endi'!VRW2</f>
        <v>0</v>
      </c>
      <c r="VRY3">
        <f>'[12]Summary Report - 12 Months Endi'!VRX2</f>
        <v>0</v>
      </c>
      <c r="VRZ3">
        <f>'[12]Summary Report - 12 Months Endi'!VRY2</f>
        <v>0</v>
      </c>
      <c r="VSA3">
        <f>'[12]Summary Report - 12 Months Endi'!VRZ2</f>
        <v>0</v>
      </c>
      <c r="VSB3">
        <f>'[12]Summary Report - 12 Months Endi'!VSA2</f>
        <v>0</v>
      </c>
      <c r="VSC3">
        <f>'[12]Summary Report - 12 Months Endi'!VSB2</f>
        <v>0</v>
      </c>
      <c r="VSD3">
        <f>'[12]Summary Report - 12 Months Endi'!VSC2</f>
        <v>0</v>
      </c>
      <c r="VSE3">
        <f>'[12]Summary Report - 12 Months Endi'!VSD2</f>
        <v>0</v>
      </c>
      <c r="VSF3">
        <f>'[12]Summary Report - 12 Months Endi'!VSE2</f>
        <v>0</v>
      </c>
      <c r="VSG3">
        <f>'[12]Summary Report - 12 Months Endi'!VSF2</f>
        <v>0</v>
      </c>
      <c r="VSH3">
        <f>'[12]Summary Report - 12 Months Endi'!VSG2</f>
        <v>0</v>
      </c>
      <c r="VSI3">
        <f>'[12]Summary Report - 12 Months Endi'!VSH2</f>
        <v>0</v>
      </c>
      <c r="VSJ3">
        <f>'[12]Summary Report - 12 Months Endi'!VSI2</f>
        <v>0</v>
      </c>
      <c r="VSK3">
        <f>'[12]Summary Report - 12 Months Endi'!VSJ2</f>
        <v>0</v>
      </c>
      <c r="VSL3">
        <f>'[12]Summary Report - 12 Months Endi'!VSK2</f>
        <v>0</v>
      </c>
      <c r="VSM3">
        <f>'[12]Summary Report - 12 Months Endi'!VSL2</f>
        <v>0</v>
      </c>
      <c r="VSN3">
        <f>'[12]Summary Report - 12 Months Endi'!VSM2</f>
        <v>0</v>
      </c>
      <c r="VSO3">
        <f>'[12]Summary Report - 12 Months Endi'!VSN2</f>
        <v>0</v>
      </c>
      <c r="VSP3">
        <f>'[12]Summary Report - 12 Months Endi'!VSO2</f>
        <v>0</v>
      </c>
      <c r="VSQ3">
        <f>'[12]Summary Report - 12 Months Endi'!VSP2</f>
        <v>0</v>
      </c>
      <c r="VSR3">
        <f>'[12]Summary Report - 12 Months Endi'!VSQ2</f>
        <v>0</v>
      </c>
      <c r="VSS3">
        <f>'[12]Summary Report - 12 Months Endi'!VSR2</f>
        <v>0</v>
      </c>
      <c r="VST3">
        <f>'[12]Summary Report - 12 Months Endi'!VSS2</f>
        <v>0</v>
      </c>
      <c r="VSU3">
        <f>'[12]Summary Report - 12 Months Endi'!VST2</f>
        <v>0</v>
      </c>
      <c r="VSV3">
        <f>'[12]Summary Report - 12 Months Endi'!VSU2</f>
        <v>0</v>
      </c>
      <c r="VSW3">
        <f>'[12]Summary Report - 12 Months Endi'!VSV2</f>
        <v>0</v>
      </c>
      <c r="VSX3">
        <f>'[12]Summary Report - 12 Months Endi'!VSW2</f>
        <v>0</v>
      </c>
      <c r="VSY3">
        <f>'[12]Summary Report - 12 Months Endi'!VSX2</f>
        <v>0</v>
      </c>
      <c r="VSZ3">
        <f>'[12]Summary Report - 12 Months Endi'!VSY2</f>
        <v>0</v>
      </c>
      <c r="VTA3">
        <f>'[12]Summary Report - 12 Months Endi'!VSZ2</f>
        <v>0</v>
      </c>
      <c r="VTB3">
        <f>'[12]Summary Report - 12 Months Endi'!VTA2</f>
        <v>0</v>
      </c>
      <c r="VTC3">
        <f>'[12]Summary Report - 12 Months Endi'!VTB2</f>
        <v>0</v>
      </c>
      <c r="VTD3">
        <f>'[12]Summary Report - 12 Months Endi'!VTC2</f>
        <v>0</v>
      </c>
      <c r="VTE3">
        <f>'[12]Summary Report - 12 Months Endi'!VTD2</f>
        <v>0</v>
      </c>
      <c r="VTF3">
        <f>'[12]Summary Report - 12 Months Endi'!VTE2</f>
        <v>0</v>
      </c>
      <c r="VTG3">
        <f>'[12]Summary Report - 12 Months Endi'!VTF2</f>
        <v>0</v>
      </c>
      <c r="VTH3">
        <f>'[12]Summary Report - 12 Months Endi'!VTG2</f>
        <v>0</v>
      </c>
      <c r="VTI3">
        <f>'[12]Summary Report - 12 Months Endi'!VTH2</f>
        <v>0</v>
      </c>
      <c r="VTJ3">
        <f>'[12]Summary Report - 12 Months Endi'!VTI2</f>
        <v>0</v>
      </c>
      <c r="VTK3">
        <f>'[12]Summary Report - 12 Months Endi'!VTJ2</f>
        <v>0</v>
      </c>
      <c r="VTL3">
        <f>'[12]Summary Report - 12 Months Endi'!VTK2</f>
        <v>0</v>
      </c>
      <c r="VTM3">
        <f>'[12]Summary Report - 12 Months Endi'!VTL2</f>
        <v>0</v>
      </c>
      <c r="VTN3">
        <f>'[12]Summary Report - 12 Months Endi'!VTM2</f>
        <v>0</v>
      </c>
      <c r="VTO3">
        <f>'[12]Summary Report - 12 Months Endi'!VTN2</f>
        <v>0</v>
      </c>
      <c r="VTP3">
        <f>'[12]Summary Report - 12 Months Endi'!VTO2</f>
        <v>0</v>
      </c>
      <c r="VTQ3">
        <f>'[12]Summary Report - 12 Months Endi'!VTP2</f>
        <v>0</v>
      </c>
      <c r="VTR3">
        <f>'[12]Summary Report - 12 Months Endi'!VTQ2</f>
        <v>0</v>
      </c>
      <c r="VTS3">
        <f>'[12]Summary Report - 12 Months Endi'!VTR2</f>
        <v>0</v>
      </c>
      <c r="VTT3">
        <f>'[12]Summary Report - 12 Months Endi'!VTS2</f>
        <v>0</v>
      </c>
      <c r="VTU3">
        <f>'[12]Summary Report - 12 Months Endi'!VTT2</f>
        <v>0</v>
      </c>
      <c r="VTV3">
        <f>'[12]Summary Report - 12 Months Endi'!VTU2</f>
        <v>0</v>
      </c>
      <c r="VTW3">
        <f>'[12]Summary Report - 12 Months Endi'!VTV2</f>
        <v>0</v>
      </c>
      <c r="VTX3">
        <f>'[12]Summary Report - 12 Months Endi'!VTW2</f>
        <v>0</v>
      </c>
      <c r="VTY3">
        <f>'[12]Summary Report - 12 Months Endi'!VTX2</f>
        <v>0</v>
      </c>
      <c r="VTZ3">
        <f>'[12]Summary Report - 12 Months Endi'!VTY2</f>
        <v>0</v>
      </c>
      <c r="VUA3">
        <f>'[12]Summary Report - 12 Months Endi'!VTZ2</f>
        <v>0</v>
      </c>
      <c r="VUB3">
        <f>'[12]Summary Report - 12 Months Endi'!VUA2</f>
        <v>0</v>
      </c>
      <c r="VUC3">
        <f>'[12]Summary Report - 12 Months Endi'!VUB2</f>
        <v>0</v>
      </c>
      <c r="VUD3">
        <f>'[12]Summary Report - 12 Months Endi'!VUC2</f>
        <v>0</v>
      </c>
      <c r="VUE3">
        <f>'[12]Summary Report - 12 Months Endi'!VUD2</f>
        <v>0</v>
      </c>
      <c r="VUF3">
        <f>'[12]Summary Report - 12 Months Endi'!VUE2</f>
        <v>0</v>
      </c>
      <c r="VUG3">
        <f>'[12]Summary Report - 12 Months Endi'!VUF2</f>
        <v>0</v>
      </c>
      <c r="VUH3">
        <f>'[12]Summary Report - 12 Months Endi'!VUG2</f>
        <v>0</v>
      </c>
      <c r="VUI3">
        <f>'[12]Summary Report - 12 Months Endi'!VUH2</f>
        <v>0</v>
      </c>
      <c r="VUJ3">
        <f>'[12]Summary Report - 12 Months Endi'!VUI2</f>
        <v>0</v>
      </c>
      <c r="VUK3">
        <f>'[12]Summary Report - 12 Months Endi'!VUJ2</f>
        <v>0</v>
      </c>
      <c r="VUL3">
        <f>'[12]Summary Report - 12 Months Endi'!VUK2</f>
        <v>0</v>
      </c>
      <c r="VUM3">
        <f>'[12]Summary Report - 12 Months Endi'!VUL2</f>
        <v>0</v>
      </c>
      <c r="VUN3">
        <f>'[12]Summary Report - 12 Months Endi'!VUM2</f>
        <v>0</v>
      </c>
      <c r="VUO3">
        <f>'[12]Summary Report - 12 Months Endi'!VUN2</f>
        <v>0</v>
      </c>
      <c r="VUP3">
        <f>'[12]Summary Report - 12 Months Endi'!VUO2</f>
        <v>0</v>
      </c>
      <c r="VUQ3">
        <f>'[12]Summary Report - 12 Months Endi'!VUP2</f>
        <v>0</v>
      </c>
      <c r="VUR3">
        <f>'[12]Summary Report - 12 Months Endi'!VUQ2</f>
        <v>0</v>
      </c>
      <c r="VUS3">
        <f>'[12]Summary Report - 12 Months Endi'!VUR2</f>
        <v>0</v>
      </c>
      <c r="VUT3">
        <f>'[12]Summary Report - 12 Months Endi'!VUS2</f>
        <v>0</v>
      </c>
      <c r="VUU3">
        <f>'[12]Summary Report - 12 Months Endi'!VUT2</f>
        <v>0</v>
      </c>
      <c r="VUV3">
        <f>'[12]Summary Report - 12 Months Endi'!VUU2</f>
        <v>0</v>
      </c>
      <c r="VUW3">
        <f>'[12]Summary Report - 12 Months Endi'!VUV2</f>
        <v>0</v>
      </c>
      <c r="VUX3">
        <f>'[12]Summary Report - 12 Months Endi'!VUW2</f>
        <v>0</v>
      </c>
      <c r="VUY3">
        <f>'[12]Summary Report - 12 Months Endi'!VUX2</f>
        <v>0</v>
      </c>
      <c r="VUZ3">
        <f>'[12]Summary Report - 12 Months Endi'!VUY2</f>
        <v>0</v>
      </c>
      <c r="VVA3">
        <f>'[12]Summary Report - 12 Months Endi'!VUZ2</f>
        <v>0</v>
      </c>
      <c r="VVB3">
        <f>'[12]Summary Report - 12 Months Endi'!VVA2</f>
        <v>0</v>
      </c>
      <c r="VVC3">
        <f>'[12]Summary Report - 12 Months Endi'!VVB2</f>
        <v>0</v>
      </c>
      <c r="VVD3">
        <f>'[12]Summary Report - 12 Months Endi'!VVC2</f>
        <v>0</v>
      </c>
      <c r="VVE3">
        <f>'[12]Summary Report - 12 Months Endi'!VVD2</f>
        <v>0</v>
      </c>
      <c r="VVF3">
        <f>'[12]Summary Report - 12 Months Endi'!VVE2</f>
        <v>0</v>
      </c>
      <c r="VVG3">
        <f>'[12]Summary Report - 12 Months Endi'!VVF2</f>
        <v>0</v>
      </c>
      <c r="VVH3">
        <f>'[12]Summary Report - 12 Months Endi'!VVG2</f>
        <v>0</v>
      </c>
      <c r="VVI3">
        <f>'[12]Summary Report - 12 Months Endi'!VVH2</f>
        <v>0</v>
      </c>
      <c r="VVJ3">
        <f>'[12]Summary Report - 12 Months Endi'!VVI2</f>
        <v>0</v>
      </c>
      <c r="VVK3">
        <f>'[12]Summary Report - 12 Months Endi'!VVJ2</f>
        <v>0</v>
      </c>
      <c r="VVL3">
        <f>'[12]Summary Report - 12 Months Endi'!VVK2</f>
        <v>0</v>
      </c>
      <c r="VVM3">
        <f>'[12]Summary Report - 12 Months Endi'!VVL2</f>
        <v>0</v>
      </c>
      <c r="VVN3">
        <f>'[12]Summary Report - 12 Months Endi'!VVM2</f>
        <v>0</v>
      </c>
      <c r="VVO3">
        <f>'[12]Summary Report - 12 Months Endi'!VVN2</f>
        <v>0</v>
      </c>
      <c r="VVP3">
        <f>'[12]Summary Report - 12 Months Endi'!VVO2</f>
        <v>0</v>
      </c>
      <c r="VVQ3">
        <f>'[12]Summary Report - 12 Months Endi'!VVP2</f>
        <v>0</v>
      </c>
      <c r="VVR3">
        <f>'[12]Summary Report - 12 Months Endi'!VVQ2</f>
        <v>0</v>
      </c>
      <c r="VVS3">
        <f>'[12]Summary Report - 12 Months Endi'!VVR2</f>
        <v>0</v>
      </c>
      <c r="VVT3">
        <f>'[12]Summary Report - 12 Months Endi'!VVS2</f>
        <v>0</v>
      </c>
      <c r="VVU3">
        <f>'[12]Summary Report - 12 Months Endi'!VVT2</f>
        <v>0</v>
      </c>
      <c r="VVV3">
        <f>'[12]Summary Report - 12 Months Endi'!VVU2</f>
        <v>0</v>
      </c>
      <c r="VVW3">
        <f>'[12]Summary Report - 12 Months Endi'!VVV2</f>
        <v>0</v>
      </c>
      <c r="VVX3">
        <f>'[12]Summary Report - 12 Months Endi'!VVW2</f>
        <v>0</v>
      </c>
      <c r="VVY3">
        <f>'[12]Summary Report - 12 Months Endi'!VVX2</f>
        <v>0</v>
      </c>
      <c r="VVZ3">
        <f>'[12]Summary Report - 12 Months Endi'!VVY2</f>
        <v>0</v>
      </c>
      <c r="VWA3">
        <f>'[12]Summary Report - 12 Months Endi'!VVZ2</f>
        <v>0</v>
      </c>
      <c r="VWB3">
        <f>'[12]Summary Report - 12 Months Endi'!VWA2</f>
        <v>0</v>
      </c>
      <c r="VWC3">
        <f>'[12]Summary Report - 12 Months Endi'!VWB2</f>
        <v>0</v>
      </c>
      <c r="VWD3">
        <f>'[12]Summary Report - 12 Months Endi'!VWC2</f>
        <v>0</v>
      </c>
      <c r="VWE3">
        <f>'[12]Summary Report - 12 Months Endi'!VWD2</f>
        <v>0</v>
      </c>
      <c r="VWF3">
        <f>'[12]Summary Report - 12 Months Endi'!VWE2</f>
        <v>0</v>
      </c>
      <c r="VWG3">
        <f>'[12]Summary Report - 12 Months Endi'!VWF2</f>
        <v>0</v>
      </c>
      <c r="VWH3">
        <f>'[12]Summary Report - 12 Months Endi'!VWG2</f>
        <v>0</v>
      </c>
      <c r="VWI3">
        <f>'[12]Summary Report - 12 Months Endi'!VWH2</f>
        <v>0</v>
      </c>
      <c r="VWJ3">
        <f>'[12]Summary Report - 12 Months Endi'!VWI2</f>
        <v>0</v>
      </c>
      <c r="VWK3">
        <f>'[12]Summary Report - 12 Months Endi'!VWJ2</f>
        <v>0</v>
      </c>
      <c r="VWL3">
        <f>'[12]Summary Report - 12 Months Endi'!VWK2</f>
        <v>0</v>
      </c>
      <c r="VWM3">
        <f>'[12]Summary Report - 12 Months Endi'!VWL2</f>
        <v>0</v>
      </c>
      <c r="VWN3">
        <f>'[12]Summary Report - 12 Months Endi'!VWM2</f>
        <v>0</v>
      </c>
      <c r="VWO3">
        <f>'[12]Summary Report - 12 Months Endi'!VWN2</f>
        <v>0</v>
      </c>
      <c r="VWP3">
        <f>'[12]Summary Report - 12 Months Endi'!VWO2</f>
        <v>0</v>
      </c>
      <c r="VWQ3">
        <f>'[12]Summary Report - 12 Months Endi'!VWP2</f>
        <v>0</v>
      </c>
      <c r="VWR3">
        <f>'[12]Summary Report - 12 Months Endi'!VWQ2</f>
        <v>0</v>
      </c>
      <c r="VWS3">
        <f>'[12]Summary Report - 12 Months Endi'!VWR2</f>
        <v>0</v>
      </c>
      <c r="VWT3">
        <f>'[12]Summary Report - 12 Months Endi'!VWS2</f>
        <v>0</v>
      </c>
      <c r="VWU3">
        <f>'[12]Summary Report - 12 Months Endi'!VWT2</f>
        <v>0</v>
      </c>
      <c r="VWV3">
        <f>'[12]Summary Report - 12 Months Endi'!VWU2</f>
        <v>0</v>
      </c>
      <c r="VWW3">
        <f>'[12]Summary Report - 12 Months Endi'!VWV2</f>
        <v>0</v>
      </c>
      <c r="VWX3">
        <f>'[12]Summary Report - 12 Months Endi'!VWW2</f>
        <v>0</v>
      </c>
      <c r="VWY3">
        <f>'[12]Summary Report - 12 Months Endi'!VWX2</f>
        <v>0</v>
      </c>
      <c r="VWZ3">
        <f>'[12]Summary Report - 12 Months Endi'!VWY2</f>
        <v>0</v>
      </c>
      <c r="VXA3">
        <f>'[12]Summary Report - 12 Months Endi'!VWZ2</f>
        <v>0</v>
      </c>
      <c r="VXB3">
        <f>'[12]Summary Report - 12 Months Endi'!VXA2</f>
        <v>0</v>
      </c>
      <c r="VXC3">
        <f>'[12]Summary Report - 12 Months Endi'!VXB2</f>
        <v>0</v>
      </c>
      <c r="VXD3">
        <f>'[12]Summary Report - 12 Months Endi'!VXC2</f>
        <v>0</v>
      </c>
      <c r="VXE3">
        <f>'[12]Summary Report - 12 Months Endi'!VXD2</f>
        <v>0</v>
      </c>
      <c r="VXF3">
        <f>'[12]Summary Report - 12 Months Endi'!VXE2</f>
        <v>0</v>
      </c>
      <c r="VXG3">
        <f>'[12]Summary Report - 12 Months Endi'!VXF2</f>
        <v>0</v>
      </c>
      <c r="VXH3">
        <f>'[12]Summary Report - 12 Months Endi'!VXG2</f>
        <v>0</v>
      </c>
      <c r="VXI3">
        <f>'[12]Summary Report - 12 Months Endi'!VXH2</f>
        <v>0</v>
      </c>
      <c r="VXJ3">
        <f>'[12]Summary Report - 12 Months Endi'!VXI2</f>
        <v>0</v>
      </c>
      <c r="VXK3">
        <f>'[12]Summary Report - 12 Months Endi'!VXJ2</f>
        <v>0</v>
      </c>
      <c r="VXL3">
        <f>'[12]Summary Report - 12 Months Endi'!VXK2</f>
        <v>0</v>
      </c>
      <c r="VXM3">
        <f>'[12]Summary Report - 12 Months Endi'!VXL2</f>
        <v>0</v>
      </c>
      <c r="VXN3">
        <f>'[12]Summary Report - 12 Months Endi'!VXM2</f>
        <v>0</v>
      </c>
      <c r="VXO3">
        <f>'[12]Summary Report - 12 Months Endi'!VXN2</f>
        <v>0</v>
      </c>
      <c r="VXP3">
        <f>'[12]Summary Report - 12 Months Endi'!VXO2</f>
        <v>0</v>
      </c>
      <c r="VXQ3">
        <f>'[12]Summary Report - 12 Months Endi'!VXP2</f>
        <v>0</v>
      </c>
      <c r="VXR3">
        <f>'[12]Summary Report - 12 Months Endi'!VXQ2</f>
        <v>0</v>
      </c>
      <c r="VXS3">
        <f>'[12]Summary Report - 12 Months Endi'!VXR2</f>
        <v>0</v>
      </c>
      <c r="VXT3">
        <f>'[12]Summary Report - 12 Months Endi'!VXS2</f>
        <v>0</v>
      </c>
      <c r="VXU3">
        <f>'[12]Summary Report - 12 Months Endi'!VXT2</f>
        <v>0</v>
      </c>
      <c r="VXV3">
        <f>'[12]Summary Report - 12 Months Endi'!VXU2</f>
        <v>0</v>
      </c>
      <c r="VXW3">
        <f>'[12]Summary Report - 12 Months Endi'!VXV2</f>
        <v>0</v>
      </c>
      <c r="VXX3">
        <f>'[12]Summary Report - 12 Months Endi'!VXW2</f>
        <v>0</v>
      </c>
      <c r="VXY3">
        <f>'[12]Summary Report - 12 Months Endi'!VXX2</f>
        <v>0</v>
      </c>
      <c r="VXZ3">
        <f>'[12]Summary Report - 12 Months Endi'!VXY2</f>
        <v>0</v>
      </c>
      <c r="VYA3">
        <f>'[12]Summary Report - 12 Months Endi'!VXZ2</f>
        <v>0</v>
      </c>
      <c r="VYB3">
        <f>'[12]Summary Report - 12 Months Endi'!VYA2</f>
        <v>0</v>
      </c>
      <c r="VYC3">
        <f>'[12]Summary Report - 12 Months Endi'!VYB2</f>
        <v>0</v>
      </c>
      <c r="VYD3">
        <f>'[12]Summary Report - 12 Months Endi'!VYC2</f>
        <v>0</v>
      </c>
      <c r="VYE3">
        <f>'[12]Summary Report - 12 Months Endi'!VYD2</f>
        <v>0</v>
      </c>
      <c r="VYF3">
        <f>'[12]Summary Report - 12 Months Endi'!VYE2</f>
        <v>0</v>
      </c>
      <c r="VYG3">
        <f>'[12]Summary Report - 12 Months Endi'!VYF2</f>
        <v>0</v>
      </c>
      <c r="VYH3">
        <f>'[12]Summary Report - 12 Months Endi'!VYG2</f>
        <v>0</v>
      </c>
      <c r="VYI3">
        <f>'[12]Summary Report - 12 Months Endi'!VYH2</f>
        <v>0</v>
      </c>
      <c r="VYJ3">
        <f>'[12]Summary Report - 12 Months Endi'!VYI2</f>
        <v>0</v>
      </c>
      <c r="VYK3">
        <f>'[12]Summary Report - 12 Months Endi'!VYJ2</f>
        <v>0</v>
      </c>
      <c r="VYL3">
        <f>'[12]Summary Report - 12 Months Endi'!VYK2</f>
        <v>0</v>
      </c>
      <c r="VYM3">
        <f>'[12]Summary Report - 12 Months Endi'!VYL2</f>
        <v>0</v>
      </c>
      <c r="VYN3">
        <f>'[12]Summary Report - 12 Months Endi'!VYM2</f>
        <v>0</v>
      </c>
      <c r="VYO3">
        <f>'[12]Summary Report - 12 Months Endi'!VYN2</f>
        <v>0</v>
      </c>
      <c r="VYP3">
        <f>'[12]Summary Report - 12 Months Endi'!VYO2</f>
        <v>0</v>
      </c>
      <c r="VYQ3">
        <f>'[12]Summary Report - 12 Months Endi'!VYP2</f>
        <v>0</v>
      </c>
      <c r="VYR3">
        <f>'[12]Summary Report - 12 Months Endi'!VYQ2</f>
        <v>0</v>
      </c>
      <c r="VYS3">
        <f>'[12]Summary Report - 12 Months Endi'!VYR2</f>
        <v>0</v>
      </c>
      <c r="VYT3">
        <f>'[12]Summary Report - 12 Months Endi'!VYS2</f>
        <v>0</v>
      </c>
      <c r="VYU3">
        <f>'[12]Summary Report - 12 Months Endi'!VYT2</f>
        <v>0</v>
      </c>
      <c r="VYV3">
        <f>'[12]Summary Report - 12 Months Endi'!VYU2</f>
        <v>0</v>
      </c>
      <c r="VYW3">
        <f>'[12]Summary Report - 12 Months Endi'!VYV2</f>
        <v>0</v>
      </c>
      <c r="VYX3">
        <f>'[12]Summary Report - 12 Months Endi'!VYW2</f>
        <v>0</v>
      </c>
      <c r="VYY3">
        <f>'[12]Summary Report - 12 Months Endi'!VYX2</f>
        <v>0</v>
      </c>
      <c r="VYZ3">
        <f>'[12]Summary Report - 12 Months Endi'!VYY2</f>
        <v>0</v>
      </c>
      <c r="VZA3">
        <f>'[12]Summary Report - 12 Months Endi'!VYZ2</f>
        <v>0</v>
      </c>
      <c r="VZB3">
        <f>'[12]Summary Report - 12 Months Endi'!VZA2</f>
        <v>0</v>
      </c>
      <c r="VZC3">
        <f>'[12]Summary Report - 12 Months Endi'!VZB2</f>
        <v>0</v>
      </c>
      <c r="VZD3">
        <f>'[12]Summary Report - 12 Months Endi'!VZC2</f>
        <v>0</v>
      </c>
      <c r="VZE3">
        <f>'[12]Summary Report - 12 Months Endi'!VZD2</f>
        <v>0</v>
      </c>
      <c r="VZF3">
        <f>'[12]Summary Report - 12 Months Endi'!VZE2</f>
        <v>0</v>
      </c>
      <c r="VZG3">
        <f>'[12]Summary Report - 12 Months Endi'!VZF2</f>
        <v>0</v>
      </c>
      <c r="VZH3">
        <f>'[12]Summary Report - 12 Months Endi'!VZG2</f>
        <v>0</v>
      </c>
      <c r="VZI3">
        <f>'[12]Summary Report - 12 Months Endi'!VZH2</f>
        <v>0</v>
      </c>
      <c r="VZJ3">
        <f>'[12]Summary Report - 12 Months Endi'!VZI2</f>
        <v>0</v>
      </c>
      <c r="VZK3">
        <f>'[12]Summary Report - 12 Months Endi'!VZJ2</f>
        <v>0</v>
      </c>
      <c r="VZL3">
        <f>'[12]Summary Report - 12 Months Endi'!VZK2</f>
        <v>0</v>
      </c>
      <c r="VZM3">
        <f>'[12]Summary Report - 12 Months Endi'!VZL2</f>
        <v>0</v>
      </c>
      <c r="VZN3">
        <f>'[12]Summary Report - 12 Months Endi'!VZM2</f>
        <v>0</v>
      </c>
      <c r="VZO3">
        <f>'[12]Summary Report - 12 Months Endi'!VZN2</f>
        <v>0</v>
      </c>
      <c r="VZP3">
        <f>'[12]Summary Report - 12 Months Endi'!VZO2</f>
        <v>0</v>
      </c>
      <c r="VZQ3">
        <f>'[12]Summary Report - 12 Months Endi'!VZP2</f>
        <v>0</v>
      </c>
      <c r="VZR3">
        <f>'[12]Summary Report - 12 Months Endi'!VZQ2</f>
        <v>0</v>
      </c>
      <c r="VZS3">
        <f>'[12]Summary Report - 12 Months Endi'!VZR2</f>
        <v>0</v>
      </c>
      <c r="VZT3">
        <f>'[12]Summary Report - 12 Months Endi'!VZS2</f>
        <v>0</v>
      </c>
      <c r="VZU3">
        <f>'[12]Summary Report - 12 Months Endi'!VZT2</f>
        <v>0</v>
      </c>
      <c r="VZV3">
        <f>'[12]Summary Report - 12 Months Endi'!VZU2</f>
        <v>0</v>
      </c>
      <c r="VZW3">
        <f>'[12]Summary Report - 12 Months Endi'!VZV2</f>
        <v>0</v>
      </c>
      <c r="VZX3">
        <f>'[12]Summary Report - 12 Months Endi'!VZW2</f>
        <v>0</v>
      </c>
      <c r="VZY3">
        <f>'[12]Summary Report - 12 Months Endi'!VZX2</f>
        <v>0</v>
      </c>
      <c r="VZZ3">
        <f>'[12]Summary Report - 12 Months Endi'!VZY2</f>
        <v>0</v>
      </c>
      <c r="WAA3">
        <f>'[12]Summary Report - 12 Months Endi'!VZZ2</f>
        <v>0</v>
      </c>
      <c r="WAB3">
        <f>'[12]Summary Report - 12 Months Endi'!WAA2</f>
        <v>0</v>
      </c>
      <c r="WAC3">
        <f>'[12]Summary Report - 12 Months Endi'!WAB2</f>
        <v>0</v>
      </c>
      <c r="WAD3">
        <f>'[12]Summary Report - 12 Months Endi'!WAC2</f>
        <v>0</v>
      </c>
      <c r="WAE3">
        <f>'[12]Summary Report - 12 Months Endi'!WAD2</f>
        <v>0</v>
      </c>
      <c r="WAF3">
        <f>'[12]Summary Report - 12 Months Endi'!WAE2</f>
        <v>0</v>
      </c>
      <c r="WAG3">
        <f>'[12]Summary Report - 12 Months Endi'!WAF2</f>
        <v>0</v>
      </c>
      <c r="WAH3">
        <f>'[12]Summary Report - 12 Months Endi'!WAG2</f>
        <v>0</v>
      </c>
      <c r="WAI3">
        <f>'[12]Summary Report - 12 Months Endi'!WAH2</f>
        <v>0</v>
      </c>
      <c r="WAJ3">
        <f>'[12]Summary Report - 12 Months Endi'!WAI2</f>
        <v>0</v>
      </c>
      <c r="WAK3">
        <f>'[12]Summary Report - 12 Months Endi'!WAJ2</f>
        <v>0</v>
      </c>
      <c r="WAL3">
        <f>'[12]Summary Report - 12 Months Endi'!WAK2</f>
        <v>0</v>
      </c>
      <c r="WAM3">
        <f>'[12]Summary Report - 12 Months Endi'!WAL2</f>
        <v>0</v>
      </c>
      <c r="WAN3">
        <f>'[12]Summary Report - 12 Months Endi'!WAM2</f>
        <v>0</v>
      </c>
      <c r="WAO3">
        <f>'[12]Summary Report - 12 Months Endi'!WAN2</f>
        <v>0</v>
      </c>
      <c r="WAP3">
        <f>'[12]Summary Report - 12 Months Endi'!WAO2</f>
        <v>0</v>
      </c>
      <c r="WAQ3">
        <f>'[12]Summary Report - 12 Months Endi'!WAP2</f>
        <v>0</v>
      </c>
      <c r="WAR3">
        <f>'[12]Summary Report - 12 Months Endi'!WAQ2</f>
        <v>0</v>
      </c>
      <c r="WAS3">
        <f>'[12]Summary Report - 12 Months Endi'!WAR2</f>
        <v>0</v>
      </c>
      <c r="WAT3">
        <f>'[12]Summary Report - 12 Months Endi'!WAS2</f>
        <v>0</v>
      </c>
      <c r="WAU3">
        <f>'[12]Summary Report - 12 Months Endi'!WAT2</f>
        <v>0</v>
      </c>
      <c r="WAV3">
        <f>'[12]Summary Report - 12 Months Endi'!WAU2</f>
        <v>0</v>
      </c>
      <c r="WAW3">
        <f>'[12]Summary Report - 12 Months Endi'!WAV2</f>
        <v>0</v>
      </c>
      <c r="WAX3">
        <f>'[12]Summary Report - 12 Months Endi'!WAW2</f>
        <v>0</v>
      </c>
      <c r="WAY3">
        <f>'[12]Summary Report - 12 Months Endi'!WAX2</f>
        <v>0</v>
      </c>
      <c r="WAZ3">
        <f>'[12]Summary Report - 12 Months Endi'!WAY2</f>
        <v>0</v>
      </c>
      <c r="WBA3">
        <f>'[12]Summary Report - 12 Months Endi'!WAZ2</f>
        <v>0</v>
      </c>
      <c r="WBB3">
        <f>'[12]Summary Report - 12 Months Endi'!WBA2</f>
        <v>0</v>
      </c>
      <c r="WBC3">
        <f>'[12]Summary Report - 12 Months Endi'!WBB2</f>
        <v>0</v>
      </c>
      <c r="WBD3">
        <f>'[12]Summary Report - 12 Months Endi'!WBC2</f>
        <v>0</v>
      </c>
      <c r="WBE3">
        <f>'[12]Summary Report - 12 Months Endi'!WBD2</f>
        <v>0</v>
      </c>
      <c r="WBF3">
        <f>'[12]Summary Report - 12 Months Endi'!WBE2</f>
        <v>0</v>
      </c>
      <c r="WBG3">
        <f>'[12]Summary Report - 12 Months Endi'!WBF2</f>
        <v>0</v>
      </c>
      <c r="WBH3">
        <f>'[12]Summary Report - 12 Months Endi'!WBG2</f>
        <v>0</v>
      </c>
      <c r="WBI3">
        <f>'[12]Summary Report - 12 Months Endi'!WBH2</f>
        <v>0</v>
      </c>
      <c r="WBJ3">
        <f>'[12]Summary Report - 12 Months Endi'!WBI2</f>
        <v>0</v>
      </c>
      <c r="WBK3">
        <f>'[12]Summary Report - 12 Months Endi'!WBJ2</f>
        <v>0</v>
      </c>
      <c r="WBL3">
        <f>'[12]Summary Report - 12 Months Endi'!WBK2</f>
        <v>0</v>
      </c>
      <c r="WBM3">
        <f>'[12]Summary Report - 12 Months Endi'!WBL2</f>
        <v>0</v>
      </c>
      <c r="WBN3">
        <f>'[12]Summary Report - 12 Months Endi'!WBM2</f>
        <v>0</v>
      </c>
      <c r="WBO3">
        <f>'[12]Summary Report - 12 Months Endi'!WBN2</f>
        <v>0</v>
      </c>
      <c r="WBP3">
        <f>'[12]Summary Report - 12 Months Endi'!WBO2</f>
        <v>0</v>
      </c>
      <c r="WBQ3">
        <f>'[12]Summary Report - 12 Months Endi'!WBP2</f>
        <v>0</v>
      </c>
      <c r="WBR3">
        <f>'[12]Summary Report - 12 Months Endi'!WBQ2</f>
        <v>0</v>
      </c>
      <c r="WBS3">
        <f>'[12]Summary Report - 12 Months Endi'!WBR2</f>
        <v>0</v>
      </c>
      <c r="WBT3">
        <f>'[12]Summary Report - 12 Months Endi'!WBS2</f>
        <v>0</v>
      </c>
      <c r="WBU3">
        <f>'[12]Summary Report - 12 Months Endi'!WBT2</f>
        <v>0</v>
      </c>
      <c r="WBV3">
        <f>'[12]Summary Report - 12 Months Endi'!WBU2</f>
        <v>0</v>
      </c>
      <c r="WBW3">
        <f>'[12]Summary Report - 12 Months Endi'!WBV2</f>
        <v>0</v>
      </c>
      <c r="WBX3">
        <f>'[12]Summary Report - 12 Months Endi'!WBW2</f>
        <v>0</v>
      </c>
      <c r="WBY3">
        <f>'[12]Summary Report - 12 Months Endi'!WBX2</f>
        <v>0</v>
      </c>
      <c r="WBZ3">
        <f>'[12]Summary Report - 12 Months Endi'!WBY2</f>
        <v>0</v>
      </c>
      <c r="WCA3">
        <f>'[12]Summary Report - 12 Months Endi'!WBZ2</f>
        <v>0</v>
      </c>
      <c r="WCB3">
        <f>'[12]Summary Report - 12 Months Endi'!WCA2</f>
        <v>0</v>
      </c>
      <c r="WCC3">
        <f>'[12]Summary Report - 12 Months Endi'!WCB2</f>
        <v>0</v>
      </c>
      <c r="WCD3">
        <f>'[12]Summary Report - 12 Months Endi'!WCC2</f>
        <v>0</v>
      </c>
      <c r="WCE3">
        <f>'[12]Summary Report - 12 Months Endi'!WCD2</f>
        <v>0</v>
      </c>
      <c r="WCF3">
        <f>'[12]Summary Report - 12 Months Endi'!WCE2</f>
        <v>0</v>
      </c>
      <c r="WCG3">
        <f>'[12]Summary Report - 12 Months Endi'!WCF2</f>
        <v>0</v>
      </c>
      <c r="WCH3">
        <f>'[12]Summary Report - 12 Months Endi'!WCG2</f>
        <v>0</v>
      </c>
      <c r="WCI3">
        <f>'[12]Summary Report - 12 Months Endi'!WCH2</f>
        <v>0</v>
      </c>
      <c r="WCJ3">
        <f>'[12]Summary Report - 12 Months Endi'!WCI2</f>
        <v>0</v>
      </c>
      <c r="WCK3">
        <f>'[12]Summary Report - 12 Months Endi'!WCJ2</f>
        <v>0</v>
      </c>
      <c r="WCL3">
        <f>'[12]Summary Report - 12 Months Endi'!WCK2</f>
        <v>0</v>
      </c>
      <c r="WCM3">
        <f>'[12]Summary Report - 12 Months Endi'!WCL2</f>
        <v>0</v>
      </c>
      <c r="WCN3">
        <f>'[12]Summary Report - 12 Months Endi'!WCM2</f>
        <v>0</v>
      </c>
      <c r="WCO3">
        <f>'[12]Summary Report - 12 Months Endi'!WCN2</f>
        <v>0</v>
      </c>
      <c r="WCP3">
        <f>'[12]Summary Report - 12 Months Endi'!WCO2</f>
        <v>0</v>
      </c>
      <c r="WCQ3">
        <f>'[12]Summary Report - 12 Months Endi'!WCP2</f>
        <v>0</v>
      </c>
      <c r="WCR3">
        <f>'[12]Summary Report - 12 Months Endi'!WCQ2</f>
        <v>0</v>
      </c>
      <c r="WCS3">
        <f>'[12]Summary Report - 12 Months Endi'!WCR2</f>
        <v>0</v>
      </c>
      <c r="WCT3">
        <f>'[12]Summary Report - 12 Months Endi'!WCS2</f>
        <v>0</v>
      </c>
      <c r="WCU3">
        <f>'[12]Summary Report - 12 Months Endi'!WCT2</f>
        <v>0</v>
      </c>
      <c r="WCV3">
        <f>'[12]Summary Report - 12 Months Endi'!WCU2</f>
        <v>0</v>
      </c>
      <c r="WCW3">
        <f>'[12]Summary Report - 12 Months Endi'!WCV2</f>
        <v>0</v>
      </c>
      <c r="WCX3">
        <f>'[12]Summary Report - 12 Months Endi'!WCW2</f>
        <v>0</v>
      </c>
      <c r="WCY3">
        <f>'[12]Summary Report - 12 Months Endi'!WCX2</f>
        <v>0</v>
      </c>
      <c r="WCZ3">
        <f>'[12]Summary Report - 12 Months Endi'!WCY2</f>
        <v>0</v>
      </c>
      <c r="WDA3">
        <f>'[12]Summary Report - 12 Months Endi'!WCZ2</f>
        <v>0</v>
      </c>
      <c r="WDB3">
        <f>'[12]Summary Report - 12 Months Endi'!WDA2</f>
        <v>0</v>
      </c>
      <c r="WDC3">
        <f>'[12]Summary Report - 12 Months Endi'!WDB2</f>
        <v>0</v>
      </c>
      <c r="WDD3">
        <f>'[12]Summary Report - 12 Months Endi'!WDC2</f>
        <v>0</v>
      </c>
      <c r="WDE3">
        <f>'[12]Summary Report - 12 Months Endi'!WDD2</f>
        <v>0</v>
      </c>
      <c r="WDF3">
        <f>'[12]Summary Report - 12 Months Endi'!WDE2</f>
        <v>0</v>
      </c>
      <c r="WDG3">
        <f>'[12]Summary Report - 12 Months Endi'!WDF2</f>
        <v>0</v>
      </c>
      <c r="WDH3">
        <f>'[12]Summary Report - 12 Months Endi'!WDG2</f>
        <v>0</v>
      </c>
      <c r="WDI3">
        <f>'[12]Summary Report - 12 Months Endi'!WDH2</f>
        <v>0</v>
      </c>
      <c r="WDJ3">
        <f>'[12]Summary Report - 12 Months Endi'!WDI2</f>
        <v>0</v>
      </c>
      <c r="WDK3">
        <f>'[12]Summary Report - 12 Months Endi'!WDJ2</f>
        <v>0</v>
      </c>
      <c r="WDL3">
        <f>'[12]Summary Report - 12 Months Endi'!WDK2</f>
        <v>0</v>
      </c>
      <c r="WDM3">
        <f>'[12]Summary Report - 12 Months Endi'!WDL2</f>
        <v>0</v>
      </c>
      <c r="WDN3">
        <f>'[12]Summary Report - 12 Months Endi'!WDM2</f>
        <v>0</v>
      </c>
      <c r="WDO3">
        <f>'[12]Summary Report - 12 Months Endi'!WDN2</f>
        <v>0</v>
      </c>
      <c r="WDP3">
        <f>'[12]Summary Report - 12 Months Endi'!WDO2</f>
        <v>0</v>
      </c>
      <c r="WDQ3">
        <f>'[12]Summary Report - 12 Months Endi'!WDP2</f>
        <v>0</v>
      </c>
      <c r="WDR3">
        <f>'[12]Summary Report - 12 Months Endi'!WDQ2</f>
        <v>0</v>
      </c>
      <c r="WDS3">
        <f>'[12]Summary Report - 12 Months Endi'!WDR2</f>
        <v>0</v>
      </c>
      <c r="WDT3">
        <f>'[12]Summary Report - 12 Months Endi'!WDS2</f>
        <v>0</v>
      </c>
      <c r="WDU3">
        <f>'[12]Summary Report - 12 Months Endi'!WDT2</f>
        <v>0</v>
      </c>
      <c r="WDV3">
        <f>'[12]Summary Report - 12 Months Endi'!WDU2</f>
        <v>0</v>
      </c>
      <c r="WDW3">
        <f>'[12]Summary Report - 12 Months Endi'!WDV2</f>
        <v>0</v>
      </c>
      <c r="WDX3">
        <f>'[12]Summary Report - 12 Months Endi'!WDW2</f>
        <v>0</v>
      </c>
      <c r="WDY3">
        <f>'[12]Summary Report - 12 Months Endi'!WDX2</f>
        <v>0</v>
      </c>
      <c r="WDZ3">
        <f>'[12]Summary Report - 12 Months Endi'!WDY2</f>
        <v>0</v>
      </c>
      <c r="WEA3">
        <f>'[12]Summary Report - 12 Months Endi'!WDZ2</f>
        <v>0</v>
      </c>
      <c r="WEB3">
        <f>'[12]Summary Report - 12 Months Endi'!WEA2</f>
        <v>0</v>
      </c>
      <c r="WEC3">
        <f>'[12]Summary Report - 12 Months Endi'!WEB2</f>
        <v>0</v>
      </c>
      <c r="WED3">
        <f>'[12]Summary Report - 12 Months Endi'!WEC2</f>
        <v>0</v>
      </c>
      <c r="WEE3">
        <f>'[12]Summary Report - 12 Months Endi'!WED2</f>
        <v>0</v>
      </c>
      <c r="WEF3">
        <f>'[12]Summary Report - 12 Months Endi'!WEE2</f>
        <v>0</v>
      </c>
      <c r="WEG3">
        <f>'[12]Summary Report - 12 Months Endi'!WEF2</f>
        <v>0</v>
      </c>
      <c r="WEH3">
        <f>'[12]Summary Report - 12 Months Endi'!WEG2</f>
        <v>0</v>
      </c>
      <c r="WEI3">
        <f>'[12]Summary Report - 12 Months Endi'!WEH2</f>
        <v>0</v>
      </c>
      <c r="WEJ3">
        <f>'[12]Summary Report - 12 Months Endi'!WEI2</f>
        <v>0</v>
      </c>
      <c r="WEK3">
        <f>'[12]Summary Report - 12 Months Endi'!WEJ2</f>
        <v>0</v>
      </c>
      <c r="WEL3">
        <f>'[12]Summary Report - 12 Months Endi'!WEK2</f>
        <v>0</v>
      </c>
      <c r="WEM3">
        <f>'[12]Summary Report - 12 Months Endi'!WEL2</f>
        <v>0</v>
      </c>
      <c r="WEN3">
        <f>'[12]Summary Report - 12 Months Endi'!WEM2</f>
        <v>0</v>
      </c>
      <c r="WEO3">
        <f>'[12]Summary Report - 12 Months Endi'!WEN2</f>
        <v>0</v>
      </c>
      <c r="WEP3">
        <f>'[12]Summary Report - 12 Months Endi'!WEO2</f>
        <v>0</v>
      </c>
      <c r="WEQ3">
        <f>'[12]Summary Report - 12 Months Endi'!WEP2</f>
        <v>0</v>
      </c>
      <c r="WER3">
        <f>'[12]Summary Report - 12 Months Endi'!WEQ2</f>
        <v>0</v>
      </c>
      <c r="WES3">
        <f>'[12]Summary Report - 12 Months Endi'!WER2</f>
        <v>0</v>
      </c>
      <c r="WET3">
        <f>'[12]Summary Report - 12 Months Endi'!WES2</f>
        <v>0</v>
      </c>
      <c r="WEU3">
        <f>'[12]Summary Report - 12 Months Endi'!WET2</f>
        <v>0</v>
      </c>
      <c r="WEV3">
        <f>'[12]Summary Report - 12 Months Endi'!WEU2</f>
        <v>0</v>
      </c>
      <c r="WEW3">
        <f>'[12]Summary Report - 12 Months Endi'!WEV2</f>
        <v>0</v>
      </c>
      <c r="WEX3">
        <f>'[12]Summary Report - 12 Months Endi'!WEW2</f>
        <v>0</v>
      </c>
      <c r="WEY3">
        <f>'[12]Summary Report - 12 Months Endi'!WEX2</f>
        <v>0</v>
      </c>
      <c r="WEZ3">
        <f>'[12]Summary Report - 12 Months Endi'!WEY2</f>
        <v>0</v>
      </c>
      <c r="WFA3">
        <f>'[12]Summary Report - 12 Months Endi'!WEZ2</f>
        <v>0</v>
      </c>
      <c r="WFB3">
        <f>'[12]Summary Report - 12 Months Endi'!WFA2</f>
        <v>0</v>
      </c>
      <c r="WFC3">
        <f>'[12]Summary Report - 12 Months Endi'!WFB2</f>
        <v>0</v>
      </c>
      <c r="WFD3">
        <f>'[12]Summary Report - 12 Months Endi'!WFC2</f>
        <v>0</v>
      </c>
      <c r="WFE3">
        <f>'[12]Summary Report - 12 Months Endi'!WFD2</f>
        <v>0</v>
      </c>
      <c r="WFF3">
        <f>'[12]Summary Report - 12 Months Endi'!WFE2</f>
        <v>0</v>
      </c>
      <c r="WFG3">
        <f>'[12]Summary Report - 12 Months Endi'!WFF2</f>
        <v>0</v>
      </c>
      <c r="WFH3">
        <f>'[12]Summary Report - 12 Months Endi'!WFG2</f>
        <v>0</v>
      </c>
      <c r="WFI3">
        <f>'[12]Summary Report - 12 Months Endi'!WFH2</f>
        <v>0</v>
      </c>
      <c r="WFJ3">
        <f>'[12]Summary Report - 12 Months Endi'!WFI2</f>
        <v>0</v>
      </c>
      <c r="WFK3">
        <f>'[12]Summary Report - 12 Months Endi'!WFJ2</f>
        <v>0</v>
      </c>
      <c r="WFL3">
        <f>'[12]Summary Report - 12 Months Endi'!WFK2</f>
        <v>0</v>
      </c>
      <c r="WFM3">
        <f>'[12]Summary Report - 12 Months Endi'!WFL2</f>
        <v>0</v>
      </c>
      <c r="WFN3">
        <f>'[12]Summary Report - 12 Months Endi'!WFM2</f>
        <v>0</v>
      </c>
      <c r="WFO3">
        <f>'[12]Summary Report - 12 Months Endi'!WFN2</f>
        <v>0</v>
      </c>
      <c r="WFP3">
        <f>'[12]Summary Report - 12 Months Endi'!WFO2</f>
        <v>0</v>
      </c>
      <c r="WFQ3">
        <f>'[12]Summary Report - 12 Months Endi'!WFP2</f>
        <v>0</v>
      </c>
      <c r="WFR3">
        <f>'[12]Summary Report - 12 Months Endi'!WFQ2</f>
        <v>0</v>
      </c>
      <c r="WFS3">
        <f>'[12]Summary Report - 12 Months Endi'!WFR2</f>
        <v>0</v>
      </c>
      <c r="WFT3">
        <f>'[12]Summary Report - 12 Months Endi'!WFS2</f>
        <v>0</v>
      </c>
      <c r="WFU3">
        <f>'[12]Summary Report - 12 Months Endi'!WFT2</f>
        <v>0</v>
      </c>
      <c r="WFV3">
        <f>'[12]Summary Report - 12 Months Endi'!WFU2</f>
        <v>0</v>
      </c>
      <c r="WFW3">
        <f>'[12]Summary Report - 12 Months Endi'!WFV2</f>
        <v>0</v>
      </c>
      <c r="WFX3">
        <f>'[12]Summary Report - 12 Months Endi'!WFW2</f>
        <v>0</v>
      </c>
      <c r="WFY3">
        <f>'[12]Summary Report - 12 Months Endi'!WFX2</f>
        <v>0</v>
      </c>
      <c r="WFZ3">
        <f>'[12]Summary Report - 12 Months Endi'!WFY2</f>
        <v>0</v>
      </c>
      <c r="WGA3">
        <f>'[12]Summary Report - 12 Months Endi'!WFZ2</f>
        <v>0</v>
      </c>
      <c r="WGB3">
        <f>'[12]Summary Report - 12 Months Endi'!WGA2</f>
        <v>0</v>
      </c>
      <c r="WGC3">
        <f>'[12]Summary Report - 12 Months Endi'!WGB2</f>
        <v>0</v>
      </c>
      <c r="WGD3">
        <f>'[12]Summary Report - 12 Months Endi'!WGC2</f>
        <v>0</v>
      </c>
      <c r="WGE3">
        <f>'[12]Summary Report - 12 Months Endi'!WGD2</f>
        <v>0</v>
      </c>
      <c r="WGF3">
        <f>'[12]Summary Report - 12 Months Endi'!WGE2</f>
        <v>0</v>
      </c>
      <c r="WGG3">
        <f>'[12]Summary Report - 12 Months Endi'!WGF2</f>
        <v>0</v>
      </c>
      <c r="WGH3">
        <f>'[12]Summary Report - 12 Months Endi'!WGG2</f>
        <v>0</v>
      </c>
      <c r="WGI3">
        <f>'[12]Summary Report - 12 Months Endi'!WGH2</f>
        <v>0</v>
      </c>
      <c r="WGJ3">
        <f>'[12]Summary Report - 12 Months Endi'!WGI2</f>
        <v>0</v>
      </c>
      <c r="WGK3">
        <f>'[12]Summary Report - 12 Months Endi'!WGJ2</f>
        <v>0</v>
      </c>
      <c r="WGL3">
        <f>'[12]Summary Report - 12 Months Endi'!WGK2</f>
        <v>0</v>
      </c>
      <c r="WGM3">
        <f>'[12]Summary Report - 12 Months Endi'!WGL2</f>
        <v>0</v>
      </c>
      <c r="WGN3">
        <f>'[12]Summary Report - 12 Months Endi'!WGM2</f>
        <v>0</v>
      </c>
      <c r="WGO3">
        <f>'[12]Summary Report - 12 Months Endi'!WGN2</f>
        <v>0</v>
      </c>
      <c r="WGP3">
        <f>'[12]Summary Report - 12 Months Endi'!WGO2</f>
        <v>0</v>
      </c>
      <c r="WGQ3">
        <f>'[12]Summary Report - 12 Months Endi'!WGP2</f>
        <v>0</v>
      </c>
      <c r="WGR3">
        <f>'[12]Summary Report - 12 Months Endi'!WGQ2</f>
        <v>0</v>
      </c>
      <c r="WGS3">
        <f>'[12]Summary Report - 12 Months Endi'!WGR2</f>
        <v>0</v>
      </c>
      <c r="WGT3">
        <f>'[12]Summary Report - 12 Months Endi'!WGS2</f>
        <v>0</v>
      </c>
      <c r="WGU3">
        <f>'[12]Summary Report - 12 Months Endi'!WGT2</f>
        <v>0</v>
      </c>
      <c r="WGV3">
        <f>'[12]Summary Report - 12 Months Endi'!WGU2</f>
        <v>0</v>
      </c>
      <c r="WGW3">
        <f>'[12]Summary Report - 12 Months Endi'!WGV2</f>
        <v>0</v>
      </c>
      <c r="WGX3">
        <f>'[12]Summary Report - 12 Months Endi'!WGW2</f>
        <v>0</v>
      </c>
      <c r="WGY3">
        <f>'[12]Summary Report - 12 Months Endi'!WGX2</f>
        <v>0</v>
      </c>
      <c r="WGZ3">
        <f>'[12]Summary Report - 12 Months Endi'!WGY2</f>
        <v>0</v>
      </c>
      <c r="WHA3">
        <f>'[12]Summary Report - 12 Months Endi'!WGZ2</f>
        <v>0</v>
      </c>
      <c r="WHB3">
        <f>'[12]Summary Report - 12 Months Endi'!WHA2</f>
        <v>0</v>
      </c>
      <c r="WHC3">
        <f>'[12]Summary Report - 12 Months Endi'!WHB2</f>
        <v>0</v>
      </c>
      <c r="WHD3">
        <f>'[12]Summary Report - 12 Months Endi'!WHC2</f>
        <v>0</v>
      </c>
      <c r="WHE3">
        <f>'[12]Summary Report - 12 Months Endi'!WHD2</f>
        <v>0</v>
      </c>
      <c r="WHF3">
        <f>'[12]Summary Report - 12 Months Endi'!WHE2</f>
        <v>0</v>
      </c>
      <c r="WHG3">
        <f>'[12]Summary Report - 12 Months Endi'!WHF2</f>
        <v>0</v>
      </c>
      <c r="WHH3">
        <f>'[12]Summary Report - 12 Months Endi'!WHG2</f>
        <v>0</v>
      </c>
      <c r="WHI3">
        <f>'[12]Summary Report - 12 Months Endi'!WHH2</f>
        <v>0</v>
      </c>
      <c r="WHJ3">
        <f>'[12]Summary Report - 12 Months Endi'!WHI2</f>
        <v>0</v>
      </c>
      <c r="WHK3">
        <f>'[12]Summary Report - 12 Months Endi'!WHJ2</f>
        <v>0</v>
      </c>
      <c r="WHL3">
        <f>'[12]Summary Report - 12 Months Endi'!WHK2</f>
        <v>0</v>
      </c>
      <c r="WHM3">
        <f>'[12]Summary Report - 12 Months Endi'!WHL2</f>
        <v>0</v>
      </c>
      <c r="WHN3">
        <f>'[12]Summary Report - 12 Months Endi'!WHM2</f>
        <v>0</v>
      </c>
      <c r="WHO3">
        <f>'[12]Summary Report - 12 Months Endi'!WHN2</f>
        <v>0</v>
      </c>
      <c r="WHP3">
        <f>'[12]Summary Report - 12 Months Endi'!WHO2</f>
        <v>0</v>
      </c>
      <c r="WHQ3">
        <f>'[12]Summary Report - 12 Months Endi'!WHP2</f>
        <v>0</v>
      </c>
      <c r="WHR3">
        <f>'[12]Summary Report - 12 Months Endi'!WHQ2</f>
        <v>0</v>
      </c>
      <c r="WHS3">
        <f>'[12]Summary Report - 12 Months Endi'!WHR2</f>
        <v>0</v>
      </c>
      <c r="WHT3">
        <f>'[12]Summary Report - 12 Months Endi'!WHS2</f>
        <v>0</v>
      </c>
      <c r="WHU3">
        <f>'[12]Summary Report - 12 Months Endi'!WHT2</f>
        <v>0</v>
      </c>
      <c r="WHV3">
        <f>'[12]Summary Report - 12 Months Endi'!WHU2</f>
        <v>0</v>
      </c>
      <c r="WHW3">
        <f>'[12]Summary Report - 12 Months Endi'!WHV2</f>
        <v>0</v>
      </c>
      <c r="WHX3">
        <f>'[12]Summary Report - 12 Months Endi'!WHW2</f>
        <v>0</v>
      </c>
      <c r="WHY3">
        <f>'[12]Summary Report - 12 Months Endi'!WHX2</f>
        <v>0</v>
      </c>
      <c r="WHZ3">
        <f>'[12]Summary Report - 12 Months Endi'!WHY2</f>
        <v>0</v>
      </c>
      <c r="WIA3">
        <f>'[12]Summary Report - 12 Months Endi'!WHZ2</f>
        <v>0</v>
      </c>
      <c r="WIB3">
        <f>'[12]Summary Report - 12 Months Endi'!WIA2</f>
        <v>0</v>
      </c>
      <c r="WIC3">
        <f>'[12]Summary Report - 12 Months Endi'!WIB2</f>
        <v>0</v>
      </c>
      <c r="WID3">
        <f>'[12]Summary Report - 12 Months Endi'!WIC2</f>
        <v>0</v>
      </c>
      <c r="WIE3">
        <f>'[12]Summary Report - 12 Months Endi'!WID2</f>
        <v>0</v>
      </c>
      <c r="WIF3">
        <f>'[12]Summary Report - 12 Months Endi'!WIE2</f>
        <v>0</v>
      </c>
      <c r="WIG3">
        <f>'[12]Summary Report - 12 Months Endi'!WIF2</f>
        <v>0</v>
      </c>
      <c r="WIH3">
        <f>'[12]Summary Report - 12 Months Endi'!WIG2</f>
        <v>0</v>
      </c>
      <c r="WII3">
        <f>'[12]Summary Report - 12 Months Endi'!WIH2</f>
        <v>0</v>
      </c>
      <c r="WIJ3">
        <f>'[12]Summary Report - 12 Months Endi'!WII2</f>
        <v>0</v>
      </c>
      <c r="WIK3">
        <f>'[12]Summary Report - 12 Months Endi'!WIJ2</f>
        <v>0</v>
      </c>
      <c r="WIL3">
        <f>'[12]Summary Report - 12 Months Endi'!WIK2</f>
        <v>0</v>
      </c>
      <c r="WIM3">
        <f>'[12]Summary Report - 12 Months Endi'!WIL2</f>
        <v>0</v>
      </c>
      <c r="WIN3">
        <f>'[12]Summary Report - 12 Months Endi'!WIM2</f>
        <v>0</v>
      </c>
      <c r="WIO3">
        <f>'[12]Summary Report - 12 Months Endi'!WIN2</f>
        <v>0</v>
      </c>
      <c r="WIP3">
        <f>'[12]Summary Report - 12 Months Endi'!WIO2</f>
        <v>0</v>
      </c>
      <c r="WIQ3">
        <f>'[12]Summary Report - 12 Months Endi'!WIP2</f>
        <v>0</v>
      </c>
      <c r="WIR3">
        <f>'[12]Summary Report - 12 Months Endi'!WIQ2</f>
        <v>0</v>
      </c>
      <c r="WIS3">
        <f>'[12]Summary Report - 12 Months Endi'!WIR2</f>
        <v>0</v>
      </c>
      <c r="WIT3">
        <f>'[12]Summary Report - 12 Months Endi'!WIS2</f>
        <v>0</v>
      </c>
      <c r="WIU3">
        <f>'[12]Summary Report - 12 Months Endi'!WIT2</f>
        <v>0</v>
      </c>
      <c r="WIV3">
        <f>'[12]Summary Report - 12 Months Endi'!WIU2</f>
        <v>0</v>
      </c>
      <c r="WIW3">
        <f>'[12]Summary Report - 12 Months Endi'!WIV2</f>
        <v>0</v>
      </c>
      <c r="WIX3">
        <f>'[12]Summary Report - 12 Months Endi'!WIW2</f>
        <v>0</v>
      </c>
      <c r="WIY3">
        <f>'[12]Summary Report - 12 Months Endi'!WIX2</f>
        <v>0</v>
      </c>
      <c r="WIZ3">
        <f>'[12]Summary Report - 12 Months Endi'!WIY2</f>
        <v>0</v>
      </c>
      <c r="WJA3">
        <f>'[12]Summary Report - 12 Months Endi'!WIZ2</f>
        <v>0</v>
      </c>
      <c r="WJB3">
        <f>'[12]Summary Report - 12 Months Endi'!WJA2</f>
        <v>0</v>
      </c>
      <c r="WJC3">
        <f>'[12]Summary Report - 12 Months Endi'!WJB2</f>
        <v>0</v>
      </c>
      <c r="WJD3">
        <f>'[12]Summary Report - 12 Months Endi'!WJC2</f>
        <v>0</v>
      </c>
      <c r="WJE3">
        <f>'[12]Summary Report - 12 Months Endi'!WJD2</f>
        <v>0</v>
      </c>
      <c r="WJF3">
        <f>'[12]Summary Report - 12 Months Endi'!WJE2</f>
        <v>0</v>
      </c>
      <c r="WJG3">
        <f>'[12]Summary Report - 12 Months Endi'!WJF2</f>
        <v>0</v>
      </c>
      <c r="WJH3">
        <f>'[12]Summary Report - 12 Months Endi'!WJG2</f>
        <v>0</v>
      </c>
      <c r="WJI3">
        <f>'[12]Summary Report - 12 Months Endi'!WJH2</f>
        <v>0</v>
      </c>
      <c r="WJJ3">
        <f>'[12]Summary Report - 12 Months Endi'!WJI2</f>
        <v>0</v>
      </c>
      <c r="WJK3">
        <f>'[12]Summary Report - 12 Months Endi'!WJJ2</f>
        <v>0</v>
      </c>
      <c r="WJL3">
        <f>'[12]Summary Report - 12 Months Endi'!WJK2</f>
        <v>0</v>
      </c>
      <c r="WJM3">
        <f>'[12]Summary Report - 12 Months Endi'!WJL2</f>
        <v>0</v>
      </c>
      <c r="WJN3">
        <f>'[12]Summary Report - 12 Months Endi'!WJM2</f>
        <v>0</v>
      </c>
      <c r="WJO3">
        <f>'[12]Summary Report - 12 Months Endi'!WJN2</f>
        <v>0</v>
      </c>
      <c r="WJP3">
        <f>'[12]Summary Report - 12 Months Endi'!WJO2</f>
        <v>0</v>
      </c>
      <c r="WJQ3">
        <f>'[12]Summary Report - 12 Months Endi'!WJP2</f>
        <v>0</v>
      </c>
      <c r="WJR3">
        <f>'[12]Summary Report - 12 Months Endi'!WJQ2</f>
        <v>0</v>
      </c>
      <c r="WJS3">
        <f>'[12]Summary Report - 12 Months Endi'!WJR2</f>
        <v>0</v>
      </c>
      <c r="WJT3">
        <f>'[12]Summary Report - 12 Months Endi'!WJS2</f>
        <v>0</v>
      </c>
      <c r="WJU3">
        <f>'[12]Summary Report - 12 Months Endi'!WJT2</f>
        <v>0</v>
      </c>
      <c r="WJV3">
        <f>'[12]Summary Report - 12 Months Endi'!WJU2</f>
        <v>0</v>
      </c>
      <c r="WJW3">
        <f>'[12]Summary Report - 12 Months Endi'!WJV2</f>
        <v>0</v>
      </c>
      <c r="WJX3">
        <f>'[12]Summary Report - 12 Months Endi'!WJW2</f>
        <v>0</v>
      </c>
      <c r="WJY3">
        <f>'[12]Summary Report - 12 Months Endi'!WJX2</f>
        <v>0</v>
      </c>
      <c r="WJZ3">
        <f>'[12]Summary Report - 12 Months Endi'!WJY2</f>
        <v>0</v>
      </c>
      <c r="WKA3">
        <f>'[12]Summary Report - 12 Months Endi'!WJZ2</f>
        <v>0</v>
      </c>
      <c r="WKB3">
        <f>'[12]Summary Report - 12 Months Endi'!WKA2</f>
        <v>0</v>
      </c>
      <c r="WKC3">
        <f>'[12]Summary Report - 12 Months Endi'!WKB2</f>
        <v>0</v>
      </c>
      <c r="WKD3">
        <f>'[12]Summary Report - 12 Months Endi'!WKC2</f>
        <v>0</v>
      </c>
      <c r="WKE3">
        <f>'[12]Summary Report - 12 Months Endi'!WKD2</f>
        <v>0</v>
      </c>
      <c r="WKF3">
        <f>'[12]Summary Report - 12 Months Endi'!WKE2</f>
        <v>0</v>
      </c>
      <c r="WKG3">
        <f>'[12]Summary Report - 12 Months Endi'!WKF2</f>
        <v>0</v>
      </c>
      <c r="WKH3">
        <f>'[12]Summary Report - 12 Months Endi'!WKG2</f>
        <v>0</v>
      </c>
      <c r="WKI3">
        <f>'[12]Summary Report - 12 Months Endi'!WKH2</f>
        <v>0</v>
      </c>
      <c r="WKJ3">
        <f>'[12]Summary Report - 12 Months Endi'!WKI2</f>
        <v>0</v>
      </c>
      <c r="WKK3">
        <f>'[12]Summary Report - 12 Months Endi'!WKJ2</f>
        <v>0</v>
      </c>
      <c r="WKL3">
        <f>'[12]Summary Report - 12 Months Endi'!WKK2</f>
        <v>0</v>
      </c>
      <c r="WKM3">
        <f>'[12]Summary Report - 12 Months Endi'!WKL2</f>
        <v>0</v>
      </c>
      <c r="WKN3">
        <f>'[12]Summary Report - 12 Months Endi'!WKM2</f>
        <v>0</v>
      </c>
      <c r="WKO3">
        <f>'[12]Summary Report - 12 Months Endi'!WKN2</f>
        <v>0</v>
      </c>
      <c r="WKP3">
        <f>'[12]Summary Report - 12 Months Endi'!WKO2</f>
        <v>0</v>
      </c>
      <c r="WKQ3">
        <f>'[12]Summary Report - 12 Months Endi'!WKP2</f>
        <v>0</v>
      </c>
      <c r="WKR3">
        <f>'[12]Summary Report - 12 Months Endi'!WKQ2</f>
        <v>0</v>
      </c>
      <c r="WKS3">
        <f>'[12]Summary Report - 12 Months Endi'!WKR2</f>
        <v>0</v>
      </c>
      <c r="WKT3">
        <f>'[12]Summary Report - 12 Months Endi'!WKS2</f>
        <v>0</v>
      </c>
      <c r="WKU3">
        <f>'[12]Summary Report - 12 Months Endi'!WKT2</f>
        <v>0</v>
      </c>
      <c r="WKV3">
        <f>'[12]Summary Report - 12 Months Endi'!WKU2</f>
        <v>0</v>
      </c>
      <c r="WKW3">
        <f>'[12]Summary Report - 12 Months Endi'!WKV2</f>
        <v>0</v>
      </c>
      <c r="WKX3">
        <f>'[12]Summary Report - 12 Months Endi'!WKW2</f>
        <v>0</v>
      </c>
      <c r="WKY3">
        <f>'[12]Summary Report - 12 Months Endi'!WKX2</f>
        <v>0</v>
      </c>
      <c r="WKZ3">
        <f>'[12]Summary Report - 12 Months Endi'!WKY2</f>
        <v>0</v>
      </c>
      <c r="WLA3">
        <f>'[12]Summary Report - 12 Months Endi'!WKZ2</f>
        <v>0</v>
      </c>
      <c r="WLB3">
        <f>'[12]Summary Report - 12 Months Endi'!WLA2</f>
        <v>0</v>
      </c>
      <c r="WLC3">
        <f>'[12]Summary Report - 12 Months Endi'!WLB2</f>
        <v>0</v>
      </c>
      <c r="WLD3">
        <f>'[12]Summary Report - 12 Months Endi'!WLC2</f>
        <v>0</v>
      </c>
      <c r="WLE3">
        <f>'[12]Summary Report - 12 Months Endi'!WLD2</f>
        <v>0</v>
      </c>
      <c r="WLF3">
        <f>'[12]Summary Report - 12 Months Endi'!WLE2</f>
        <v>0</v>
      </c>
      <c r="WLG3">
        <f>'[12]Summary Report - 12 Months Endi'!WLF2</f>
        <v>0</v>
      </c>
      <c r="WLH3">
        <f>'[12]Summary Report - 12 Months Endi'!WLG2</f>
        <v>0</v>
      </c>
      <c r="WLI3">
        <f>'[12]Summary Report - 12 Months Endi'!WLH2</f>
        <v>0</v>
      </c>
      <c r="WLJ3">
        <f>'[12]Summary Report - 12 Months Endi'!WLI2</f>
        <v>0</v>
      </c>
      <c r="WLK3">
        <f>'[12]Summary Report - 12 Months Endi'!WLJ2</f>
        <v>0</v>
      </c>
      <c r="WLL3">
        <f>'[12]Summary Report - 12 Months Endi'!WLK2</f>
        <v>0</v>
      </c>
      <c r="WLM3">
        <f>'[12]Summary Report - 12 Months Endi'!WLL2</f>
        <v>0</v>
      </c>
      <c r="WLN3">
        <f>'[12]Summary Report - 12 Months Endi'!WLM2</f>
        <v>0</v>
      </c>
      <c r="WLO3">
        <f>'[12]Summary Report - 12 Months Endi'!WLN2</f>
        <v>0</v>
      </c>
      <c r="WLP3">
        <f>'[12]Summary Report - 12 Months Endi'!WLO2</f>
        <v>0</v>
      </c>
      <c r="WLQ3">
        <f>'[12]Summary Report - 12 Months Endi'!WLP2</f>
        <v>0</v>
      </c>
      <c r="WLR3">
        <f>'[12]Summary Report - 12 Months Endi'!WLQ2</f>
        <v>0</v>
      </c>
      <c r="WLS3">
        <f>'[12]Summary Report - 12 Months Endi'!WLR2</f>
        <v>0</v>
      </c>
      <c r="WLT3">
        <f>'[12]Summary Report - 12 Months Endi'!WLS2</f>
        <v>0</v>
      </c>
      <c r="WLU3">
        <f>'[12]Summary Report - 12 Months Endi'!WLT2</f>
        <v>0</v>
      </c>
      <c r="WLV3">
        <f>'[12]Summary Report - 12 Months Endi'!WLU2</f>
        <v>0</v>
      </c>
      <c r="WLW3">
        <f>'[12]Summary Report - 12 Months Endi'!WLV2</f>
        <v>0</v>
      </c>
      <c r="WLX3">
        <f>'[12]Summary Report - 12 Months Endi'!WLW2</f>
        <v>0</v>
      </c>
      <c r="WLY3">
        <f>'[12]Summary Report - 12 Months Endi'!WLX2</f>
        <v>0</v>
      </c>
      <c r="WLZ3">
        <f>'[12]Summary Report - 12 Months Endi'!WLY2</f>
        <v>0</v>
      </c>
      <c r="WMA3">
        <f>'[12]Summary Report - 12 Months Endi'!WLZ2</f>
        <v>0</v>
      </c>
      <c r="WMB3">
        <f>'[12]Summary Report - 12 Months Endi'!WMA2</f>
        <v>0</v>
      </c>
      <c r="WMC3">
        <f>'[12]Summary Report - 12 Months Endi'!WMB2</f>
        <v>0</v>
      </c>
      <c r="WMD3">
        <f>'[12]Summary Report - 12 Months Endi'!WMC2</f>
        <v>0</v>
      </c>
      <c r="WME3">
        <f>'[12]Summary Report - 12 Months Endi'!WMD2</f>
        <v>0</v>
      </c>
      <c r="WMF3">
        <f>'[12]Summary Report - 12 Months Endi'!WME2</f>
        <v>0</v>
      </c>
      <c r="WMG3">
        <f>'[12]Summary Report - 12 Months Endi'!WMF2</f>
        <v>0</v>
      </c>
      <c r="WMH3">
        <f>'[12]Summary Report - 12 Months Endi'!WMG2</f>
        <v>0</v>
      </c>
      <c r="WMI3">
        <f>'[12]Summary Report - 12 Months Endi'!WMH2</f>
        <v>0</v>
      </c>
      <c r="WMJ3">
        <f>'[12]Summary Report - 12 Months Endi'!WMI2</f>
        <v>0</v>
      </c>
      <c r="WMK3">
        <f>'[12]Summary Report - 12 Months Endi'!WMJ2</f>
        <v>0</v>
      </c>
      <c r="WML3">
        <f>'[12]Summary Report - 12 Months Endi'!WMK2</f>
        <v>0</v>
      </c>
      <c r="WMM3">
        <f>'[12]Summary Report - 12 Months Endi'!WML2</f>
        <v>0</v>
      </c>
      <c r="WMN3">
        <f>'[12]Summary Report - 12 Months Endi'!WMM2</f>
        <v>0</v>
      </c>
      <c r="WMO3">
        <f>'[12]Summary Report - 12 Months Endi'!WMN2</f>
        <v>0</v>
      </c>
      <c r="WMP3">
        <f>'[12]Summary Report - 12 Months Endi'!WMO2</f>
        <v>0</v>
      </c>
      <c r="WMQ3">
        <f>'[12]Summary Report - 12 Months Endi'!WMP2</f>
        <v>0</v>
      </c>
      <c r="WMR3">
        <f>'[12]Summary Report - 12 Months Endi'!WMQ2</f>
        <v>0</v>
      </c>
      <c r="WMS3">
        <f>'[12]Summary Report - 12 Months Endi'!WMR2</f>
        <v>0</v>
      </c>
      <c r="WMT3">
        <f>'[12]Summary Report - 12 Months Endi'!WMS2</f>
        <v>0</v>
      </c>
      <c r="WMU3">
        <f>'[12]Summary Report - 12 Months Endi'!WMT2</f>
        <v>0</v>
      </c>
      <c r="WMV3">
        <f>'[12]Summary Report - 12 Months Endi'!WMU2</f>
        <v>0</v>
      </c>
      <c r="WMW3">
        <f>'[12]Summary Report - 12 Months Endi'!WMV2</f>
        <v>0</v>
      </c>
      <c r="WMX3">
        <f>'[12]Summary Report - 12 Months Endi'!WMW2</f>
        <v>0</v>
      </c>
      <c r="WMY3">
        <f>'[12]Summary Report - 12 Months Endi'!WMX2</f>
        <v>0</v>
      </c>
      <c r="WMZ3">
        <f>'[12]Summary Report - 12 Months Endi'!WMY2</f>
        <v>0</v>
      </c>
      <c r="WNA3">
        <f>'[12]Summary Report - 12 Months Endi'!WMZ2</f>
        <v>0</v>
      </c>
      <c r="WNB3">
        <f>'[12]Summary Report - 12 Months Endi'!WNA2</f>
        <v>0</v>
      </c>
      <c r="WNC3">
        <f>'[12]Summary Report - 12 Months Endi'!WNB2</f>
        <v>0</v>
      </c>
      <c r="WND3">
        <f>'[12]Summary Report - 12 Months Endi'!WNC2</f>
        <v>0</v>
      </c>
      <c r="WNE3">
        <f>'[12]Summary Report - 12 Months Endi'!WND2</f>
        <v>0</v>
      </c>
      <c r="WNF3">
        <f>'[12]Summary Report - 12 Months Endi'!WNE2</f>
        <v>0</v>
      </c>
      <c r="WNG3">
        <f>'[12]Summary Report - 12 Months Endi'!WNF2</f>
        <v>0</v>
      </c>
      <c r="WNH3">
        <f>'[12]Summary Report - 12 Months Endi'!WNG2</f>
        <v>0</v>
      </c>
      <c r="WNI3">
        <f>'[12]Summary Report - 12 Months Endi'!WNH2</f>
        <v>0</v>
      </c>
      <c r="WNJ3">
        <f>'[12]Summary Report - 12 Months Endi'!WNI2</f>
        <v>0</v>
      </c>
      <c r="WNK3">
        <f>'[12]Summary Report - 12 Months Endi'!WNJ2</f>
        <v>0</v>
      </c>
      <c r="WNL3">
        <f>'[12]Summary Report - 12 Months Endi'!WNK2</f>
        <v>0</v>
      </c>
      <c r="WNM3">
        <f>'[12]Summary Report - 12 Months Endi'!WNL2</f>
        <v>0</v>
      </c>
      <c r="WNN3">
        <f>'[12]Summary Report - 12 Months Endi'!WNM2</f>
        <v>0</v>
      </c>
      <c r="WNO3">
        <f>'[12]Summary Report - 12 Months Endi'!WNN2</f>
        <v>0</v>
      </c>
      <c r="WNP3">
        <f>'[12]Summary Report - 12 Months Endi'!WNO2</f>
        <v>0</v>
      </c>
      <c r="WNQ3">
        <f>'[12]Summary Report - 12 Months Endi'!WNP2</f>
        <v>0</v>
      </c>
      <c r="WNR3">
        <f>'[12]Summary Report - 12 Months Endi'!WNQ2</f>
        <v>0</v>
      </c>
      <c r="WNS3">
        <f>'[12]Summary Report - 12 Months Endi'!WNR2</f>
        <v>0</v>
      </c>
      <c r="WNT3">
        <f>'[12]Summary Report - 12 Months Endi'!WNS2</f>
        <v>0</v>
      </c>
      <c r="WNU3">
        <f>'[12]Summary Report - 12 Months Endi'!WNT2</f>
        <v>0</v>
      </c>
      <c r="WNV3">
        <f>'[12]Summary Report - 12 Months Endi'!WNU2</f>
        <v>0</v>
      </c>
      <c r="WNW3">
        <f>'[12]Summary Report - 12 Months Endi'!WNV2</f>
        <v>0</v>
      </c>
      <c r="WNX3">
        <f>'[12]Summary Report - 12 Months Endi'!WNW2</f>
        <v>0</v>
      </c>
      <c r="WNY3">
        <f>'[12]Summary Report - 12 Months Endi'!WNX2</f>
        <v>0</v>
      </c>
      <c r="WNZ3">
        <f>'[12]Summary Report - 12 Months Endi'!WNY2</f>
        <v>0</v>
      </c>
      <c r="WOA3">
        <f>'[12]Summary Report - 12 Months Endi'!WNZ2</f>
        <v>0</v>
      </c>
      <c r="WOB3">
        <f>'[12]Summary Report - 12 Months Endi'!WOA2</f>
        <v>0</v>
      </c>
      <c r="WOC3">
        <f>'[12]Summary Report - 12 Months Endi'!WOB2</f>
        <v>0</v>
      </c>
      <c r="WOD3">
        <f>'[12]Summary Report - 12 Months Endi'!WOC2</f>
        <v>0</v>
      </c>
      <c r="WOE3">
        <f>'[12]Summary Report - 12 Months Endi'!WOD2</f>
        <v>0</v>
      </c>
      <c r="WOF3">
        <f>'[12]Summary Report - 12 Months Endi'!WOE2</f>
        <v>0</v>
      </c>
      <c r="WOG3">
        <f>'[12]Summary Report - 12 Months Endi'!WOF2</f>
        <v>0</v>
      </c>
      <c r="WOH3">
        <f>'[12]Summary Report - 12 Months Endi'!WOG2</f>
        <v>0</v>
      </c>
      <c r="WOI3">
        <f>'[12]Summary Report - 12 Months Endi'!WOH2</f>
        <v>0</v>
      </c>
      <c r="WOJ3">
        <f>'[12]Summary Report - 12 Months Endi'!WOI2</f>
        <v>0</v>
      </c>
      <c r="WOK3">
        <f>'[12]Summary Report - 12 Months Endi'!WOJ2</f>
        <v>0</v>
      </c>
      <c r="WOL3">
        <f>'[12]Summary Report - 12 Months Endi'!WOK2</f>
        <v>0</v>
      </c>
      <c r="WOM3">
        <f>'[12]Summary Report - 12 Months Endi'!WOL2</f>
        <v>0</v>
      </c>
      <c r="WON3">
        <f>'[12]Summary Report - 12 Months Endi'!WOM2</f>
        <v>0</v>
      </c>
      <c r="WOO3">
        <f>'[12]Summary Report - 12 Months Endi'!WON2</f>
        <v>0</v>
      </c>
      <c r="WOP3">
        <f>'[12]Summary Report - 12 Months Endi'!WOO2</f>
        <v>0</v>
      </c>
      <c r="WOQ3">
        <f>'[12]Summary Report - 12 Months Endi'!WOP2</f>
        <v>0</v>
      </c>
      <c r="WOR3">
        <f>'[12]Summary Report - 12 Months Endi'!WOQ2</f>
        <v>0</v>
      </c>
      <c r="WOS3">
        <f>'[12]Summary Report - 12 Months Endi'!WOR2</f>
        <v>0</v>
      </c>
      <c r="WOT3">
        <f>'[12]Summary Report - 12 Months Endi'!WOS2</f>
        <v>0</v>
      </c>
      <c r="WOU3">
        <f>'[12]Summary Report - 12 Months Endi'!WOT2</f>
        <v>0</v>
      </c>
      <c r="WOV3">
        <f>'[12]Summary Report - 12 Months Endi'!WOU2</f>
        <v>0</v>
      </c>
      <c r="WOW3">
        <f>'[12]Summary Report - 12 Months Endi'!WOV2</f>
        <v>0</v>
      </c>
      <c r="WOX3">
        <f>'[12]Summary Report - 12 Months Endi'!WOW2</f>
        <v>0</v>
      </c>
      <c r="WOY3">
        <f>'[12]Summary Report - 12 Months Endi'!WOX2</f>
        <v>0</v>
      </c>
      <c r="WOZ3">
        <f>'[12]Summary Report - 12 Months Endi'!WOY2</f>
        <v>0</v>
      </c>
      <c r="WPA3">
        <f>'[12]Summary Report - 12 Months Endi'!WOZ2</f>
        <v>0</v>
      </c>
      <c r="WPB3">
        <f>'[12]Summary Report - 12 Months Endi'!WPA2</f>
        <v>0</v>
      </c>
      <c r="WPC3">
        <f>'[12]Summary Report - 12 Months Endi'!WPB2</f>
        <v>0</v>
      </c>
      <c r="WPD3">
        <f>'[12]Summary Report - 12 Months Endi'!WPC2</f>
        <v>0</v>
      </c>
      <c r="WPE3">
        <f>'[12]Summary Report - 12 Months Endi'!WPD2</f>
        <v>0</v>
      </c>
      <c r="WPF3">
        <f>'[12]Summary Report - 12 Months Endi'!WPE2</f>
        <v>0</v>
      </c>
      <c r="WPG3">
        <f>'[12]Summary Report - 12 Months Endi'!WPF2</f>
        <v>0</v>
      </c>
      <c r="WPH3">
        <f>'[12]Summary Report - 12 Months Endi'!WPG2</f>
        <v>0</v>
      </c>
      <c r="WPI3">
        <f>'[12]Summary Report - 12 Months Endi'!WPH2</f>
        <v>0</v>
      </c>
      <c r="WPJ3">
        <f>'[12]Summary Report - 12 Months Endi'!WPI2</f>
        <v>0</v>
      </c>
      <c r="WPK3">
        <f>'[12]Summary Report - 12 Months Endi'!WPJ2</f>
        <v>0</v>
      </c>
      <c r="WPL3">
        <f>'[12]Summary Report - 12 Months Endi'!WPK2</f>
        <v>0</v>
      </c>
      <c r="WPM3">
        <f>'[12]Summary Report - 12 Months Endi'!WPL2</f>
        <v>0</v>
      </c>
      <c r="WPN3">
        <f>'[12]Summary Report - 12 Months Endi'!WPM2</f>
        <v>0</v>
      </c>
      <c r="WPO3">
        <f>'[12]Summary Report - 12 Months Endi'!WPN2</f>
        <v>0</v>
      </c>
      <c r="WPP3">
        <f>'[12]Summary Report - 12 Months Endi'!WPO2</f>
        <v>0</v>
      </c>
      <c r="WPQ3">
        <f>'[12]Summary Report - 12 Months Endi'!WPP2</f>
        <v>0</v>
      </c>
      <c r="WPR3">
        <f>'[12]Summary Report - 12 Months Endi'!WPQ2</f>
        <v>0</v>
      </c>
      <c r="WPS3">
        <f>'[12]Summary Report - 12 Months Endi'!WPR2</f>
        <v>0</v>
      </c>
      <c r="WPT3">
        <f>'[12]Summary Report - 12 Months Endi'!WPS2</f>
        <v>0</v>
      </c>
      <c r="WPU3">
        <f>'[12]Summary Report - 12 Months Endi'!WPT2</f>
        <v>0</v>
      </c>
      <c r="WPV3">
        <f>'[12]Summary Report - 12 Months Endi'!WPU2</f>
        <v>0</v>
      </c>
      <c r="WPW3">
        <f>'[12]Summary Report - 12 Months Endi'!WPV2</f>
        <v>0</v>
      </c>
      <c r="WPX3">
        <f>'[12]Summary Report - 12 Months Endi'!WPW2</f>
        <v>0</v>
      </c>
      <c r="WPY3">
        <f>'[12]Summary Report - 12 Months Endi'!WPX2</f>
        <v>0</v>
      </c>
      <c r="WPZ3">
        <f>'[12]Summary Report - 12 Months Endi'!WPY2</f>
        <v>0</v>
      </c>
      <c r="WQA3">
        <f>'[12]Summary Report - 12 Months Endi'!WPZ2</f>
        <v>0</v>
      </c>
      <c r="WQB3">
        <f>'[12]Summary Report - 12 Months Endi'!WQA2</f>
        <v>0</v>
      </c>
      <c r="WQC3">
        <f>'[12]Summary Report - 12 Months Endi'!WQB2</f>
        <v>0</v>
      </c>
      <c r="WQD3">
        <f>'[12]Summary Report - 12 Months Endi'!WQC2</f>
        <v>0</v>
      </c>
      <c r="WQE3">
        <f>'[12]Summary Report - 12 Months Endi'!WQD2</f>
        <v>0</v>
      </c>
      <c r="WQF3">
        <f>'[12]Summary Report - 12 Months Endi'!WQE2</f>
        <v>0</v>
      </c>
      <c r="WQG3">
        <f>'[12]Summary Report - 12 Months Endi'!WQF2</f>
        <v>0</v>
      </c>
      <c r="WQH3">
        <f>'[12]Summary Report - 12 Months Endi'!WQG2</f>
        <v>0</v>
      </c>
      <c r="WQI3">
        <f>'[12]Summary Report - 12 Months Endi'!WQH2</f>
        <v>0</v>
      </c>
      <c r="WQJ3">
        <f>'[12]Summary Report - 12 Months Endi'!WQI2</f>
        <v>0</v>
      </c>
      <c r="WQK3">
        <f>'[12]Summary Report - 12 Months Endi'!WQJ2</f>
        <v>0</v>
      </c>
      <c r="WQL3">
        <f>'[12]Summary Report - 12 Months Endi'!WQK2</f>
        <v>0</v>
      </c>
      <c r="WQM3">
        <f>'[12]Summary Report - 12 Months Endi'!WQL2</f>
        <v>0</v>
      </c>
      <c r="WQN3">
        <f>'[12]Summary Report - 12 Months Endi'!WQM2</f>
        <v>0</v>
      </c>
      <c r="WQO3">
        <f>'[12]Summary Report - 12 Months Endi'!WQN2</f>
        <v>0</v>
      </c>
      <c r="WQP3">
        <f>'[12]Summary Report - 12 Months Endi'!WQO2</f>
        <v>0</v>
      </c>
      <c r="WQQ3">
        <f>'[12]Summary Report - 12 Months Endi'!WQP2</f>
        <v>0</v>
      </c>
      <c r="WQR3">
        <f>'[12]Summary Report - 12 Months Endi'!WQQ2</f>
        <v>0</v>
      </c>
      <c r="WQS3">
        <f>'[12]Summary Report - 12 Months Endi'!WQR2</f>
        <v>0</v>
      </c>
      <c r="WQT3">
        <f>'[12]Summary Report - 12 Months Endi'!WQS2</f>
        <v>0</v>
      </c>
      <c r="WQU3">
        <f>'[12]Summary Report - 12 Months Endi'!WQT2</f>
        <v>0</v>
      </c>
      <c r="WQV3">
        <f>'[12]Summary Report - 12 Months Endi'!WQU2</f>
        <v>0</v>
      </c>
      <c r="WQW3">
        <f>'[12]Summary Report - 12 Months Endi'!WQV2</f>
        <v>0</v>
      </c>
      <c r="WQX3">
        <f>'[12]Summary Report - 12 Months Endi'!WQW2</f>
        <v>0</v>
      </c>
      <c r="WQY3">
        <f>'[12]Summary Report - 12 Months Endi'!WQX2</f>
        <v>0</v>
      </c>
      <c r="WQZ3">
        <f>'[12]Summary Report - 12 Months Endi'!WQY2</f>
        <v>0</v>
      </c>
      <c r="WRA3">
        <f>'[12]Summary Report - 12 Months Endi'!WQZ2</f>
        <v>0</v>
      </c>
      <c r="WRB3">
        <f>'[12]Summary Report - 12 Months Endi'!WRA2</f>
        <v>0</v>
      </c>
      <c r="WRC3">
        <f>'[12]Summary Report - 12 Months Endi'!WRB2</f>
        <v>0</v>
      </c>
      <c r="WRD3">
        <f>'[12]Summary Report - 12 Months Endi'!WRC2</f>
        <v>0</v>
      </c>
      <c r="WRE3">
        <f>'[12]Summary Report - 12 Months Endi'!WRD2</f>
        <v>0</v>
      </c>
      <c r="WRF3">
        <f>'[12]Summary Report - 12 Months Endi'!WRE2</f>
        <v>0</v>
      </c>
      <c r="WRG3">
        <f>'[12]Summary Report - 12 Months Endi'!WRF2</f>
        <v>0</v>
      </c>
      <c r="WRH3">
        <f>'[12]Summary Report - 12 Months Endi'!WRG2</f>
        <v>0</v>
      </c>
      <c r="WRI3">
        <f>'[12]Summary Report - 12 Months Endi'!WRH2</f>
        <v>0</v>
      </c>
      <c r="WRJ3">
        <f>'[12]Summary Report - 12 Months Endi'!WRI2</f>
        <v>0</v>
      </c>
      <c r="WRK3">
        <f>'[12]Summary Report - 12 Months Endi'!WRJ2</f>
        <v>0</v>
      </c>
      <c r="WRL3">
        <f>'[12]Summary Report - 12 Months Endi'!WRK2</f>
        <v>0</v>
      </c>
      <c r="WRM3">
        <f>'[12]Summary Report - 12 Months Endi'!WRL2</f>
        <v>0</v>
      </c>
      <c r="WRN3">
        <f>'[12]Summary Report - 12 Months Endi'!WRM2</f>
        <v>0</v>
      </c>
      <c r="WRO3">
        <f>'[12]Summary Report - 12 Months Endi'!WRN2</f>
        <v>0</v>
      </c>
      <c r="WRP3">
        <f>'[12]Summary Report - 12 Months Endi'!WRO2</f>
        <v>0</v>
      </c>
      <c r="WRQ3">
        <f>'[12]Summary Report - 12 Months Endi'!WRP2</f>
        <v>0</v>
      </c>
      <c r="WRR3">
        <f>'[12]Summary Report - 12 Months Endi'!WRQ2</f>
        <v>0</v>
      </c>
      <c r="WRS3">
        <f>'[12]Summary Report - 12 Months Endi'!WRR2</f>
        <v>0</v>
      </c>
      <c r="WRT3">
        <f>'[12]Summary Report - 12 Months Endi'!WRS2</f>
        <v>0</v>
      </c>
      <c r="WRU3">
        <f>'[12]Summary Report - 12 Months Endi'!WRT2</f>
        <v>0</v>
      </c>
      <c r="WRV3">
        <f>'[12]Summary Report - 12 Months Endi'!WRU2</f>
        <v>0</v>
      </c>
      <c r="WRW3">
        <f>'[12]Summary Report - 12 Months Endi'!WRV2</f>
        <v>0</v>
      </c>
      <c r="WRX3">
        <f>'[12]Summary Report - 12 Months Endi'!WRW2</f>
        <v>0</v>
      </c>
      <c r="WRY3">
        <f>'[12]Summary Report - 12 Months Endi'!WRX2</f>
        <v>0</v>
      </c>
      <c r="WRZ3">
        <f>'[12]Summary Report - 12 Months Endi'!WRY2</f>
        <v>0</v>
      </c>
      <c r="WSA3">
        <f>'[12]Summary Report - 12 Months Endi'!WRZ2</f>
        <v>0</v>
      </c>
      <c r="WSB3">
        <f>'[12]Summary Report - 12 Months Endi'!WSA2</f>
        <v>0</v>
      </c>
      <c r="WSC3">
        <f>'[12]Summary Report - 12 Months Endi'!WSB2</f>
        <v>0</v>
      </c>
      <c r="WSD3">
        <f>'[12]Summary Report - 12 Months Endi'!WSC2</f>
        <v>0</v>
      </c>
      <c r="WSE3">
        <f>'[12]Summary Report - 12 Months Endi'!WSD2</f>
        <v>0</v>
      </c>
      <c r="WSF3">
        <f>'[12]Summary Report - 12 Months Endi'!WSE2</f>
        <v>0</v>
      </c>
      <c r="WSG3">
        <f>'[12]Summary Report - 12 Months Endi'!WSF2</f>
        <v>0</v>
      </c>
      <c r="WSH3">
        <f>'[12]Summary Report - 12 Months Endi'!WSG2</f>
        <v>0</v>
      </c>
      <c r="WSI3">
        <f>'[12]Summary Report - 12 Months Endi'!WSH2</f>
        <v>0</v>
      </c>
      <c r="WSJ3">
        <f>'[12]Summary Report - 12 Months Endi'!WSI2</f>
        <v>0</v>
      </c>
      <c r="WSK3">
        <f>'[12]Summary Report - 12 Months Endi'!WSJ2</f>
        <v>0</v>
      </c>
      <c r="WSL3">
        <f>'[12]Summary Report - 12 Months Endi'!WSK2</f>
        <v>0</v>
      </c>
      <c r="WSM3">
        <f>'[12]Summary Report - 12 Months Endi'!WSL2</f>
        <v>0</v>
      </c>
      <c r="WSN3">
        <f>'[12]Summary Report - 12 Months Endi'!WSM2</f>
        <v>0</v>
      </c>
      <c r="WSO3">
        <f>'[12]Summary Report - 12 Months Endi'!WSN2</f>
        <v>0</v>
      </c>
      <c r="WSP3">
        <f>'[12]Summary Report - 12 Months Endi'!WSO2</f>
        <v>0</v>
      </c>
      <c r="WSQ3">
        <f>'[12]Summary Report - 12 Months Endi'!WSP2</f>
        <v>0</v>
      </c>
      <c r="WSR3">
        <f>'[12]Summary Report - 12 Months Endi'!WSQ2</f>
        <v>0</v>
      </c>
      <c r="WSS3">
        <f>'[12]Summary Report - 12 Months Endi'!WSR2</f>
        <v>0</v>
      </c>
      <c r="WST3">
        <f>'[12]Summary Report - 12 Months Endi'!WSS2</f>
        <v>0</v>
      </c>
      <c r="WSU3">
        <f>'[12]Summary Report - 12 Months Endi'!WST2</f>
        <v>0</v>
      </c>
      <c r="WSV3">
        <f>'[12]Summary Report - 12 Months Endi'!WSU2</f>
        <v>0</v>
      </c>
      <c r="WSW3">
        <f>'[12]Summary Report - 12 Months Endi'!WSV2</f>
        <v>0</v>
      </c>
      <c r="WSX3">
        <f>'[12]Summary Report - 12 Months Endi'!WSW2</f>
        <v>0</v>
      </c>
      <c r="WSY3">
        <f>'[12]Summary Report - 12 Months Endi'!WSX2</f>
        <v>0</v>
      </c>
      <c r="WSZ3">
        <f>'[12]Summary Report - 12 Months Endi'!WSY2</f>
        <v>0</v>
      </c>
      <c r="WTA3">
        <f>'[12]Summary Report - 12 Months Endi'!WSZ2</f>
        <v>0</v>
      </c>
      <c r="WTB3">
        <f>'[12]Summary Report - 12 Months Endi'!WTA2</f>
        <v>0</v>
      </c>
      <c r="WTC3">
        <f>'[12]Summary Report - 12 Months Endi'!WTB2</f>
        <v>0</v>
      </c>
      <c r="WTD3">
        <f>'[12]Summary Report - 12 Months Endi'!WTC2</f>
        <v>0</v>
      </c>
      <c r="WTE3">
        <f>'[12]Summary Report - 12 Months Endi'!WTD2</f>
        <v>0</v>
      </c>
      <c r="WTF3">
        <f>'[12]Summary Report - 12 Months Endi'!WTE2</f>
        <v>0</v>
      </c>
      <c r="WTG3">
        <f>'[12]Summary Report - 12 Months Endi'!WTF2</f>
        <v>0</v>
      </c>
      <c r="WTH3">
        <f>'[12]Summary Report - 12 Months Endi'!WTG2</f>
        <v>0</v>
      </c>
      <c r="WTI3">
        <f>'[12]Summary Report - 12 Months Endi'!WTH2</f>
        <v>0</v>
      </c>
      <c r="WTJ3">
        <f>'[12]Summary Report - 12 Months Endi'!WTI2</f>
        <v>0</v>
      </c>
      <c r="WTK3">
        <f>'[12]Summary Report - 12 Months Endi'!WTJ2</f>
        <v>0</v>
      </c>
      <c r="WTL3">
        <f>'[12]Summary Report - 12 Months Endi'!WTK2</f>
        <v>0</v>
      </c>
      <c r="WTM3">
        <f>'[12]Summary Report - 12 Months Endi'!WTL2</f>
        <v>0</v>
      </c>
      <c r="WTN3">
        <f>'[12]Summary Report - 12 Months Endi'!WTM2</f>
        <v>0</v>
      </c>
      <c r="WTO3">
        <f>'[12]Summary Report - 12 Months Endi'!WTN2</f>
        <v>0</v>
      </c>
      <c r="WTP3">
        <f>'[12]Summary Report - 12 Months Endi'!WTO2</f>
        <v>0</v>
      </c>
      <c r="WTQ3">
        <f>'[12]Summary Report - 12 Months Endi'!WTP2</f>
        <v>0</v>
      </c>
      <c r="WTR3">
        <f>'[12]Summary Report - 12 Months Endi'!WTQ2</f>
        <v>0</v>
      </c>
      <c r="WTS3">
        <f>'[12]Summary Report - 12 Months Endi'!WTR2</f>
        <v>0</v>
      </c>
      <c r="WTT3">
        <f>'[12]Summary Report - 12 Months Endi'!WTS2</f>
        <v>0</v>
      </c>
      <c r="WTU3">
        <f>'[12]Summary Report - 12 Months Endi'!WTT2</f>
        <v>0</v>
      </c>
      <c r="WTV3">
        <f>'[12]Summary Report - 12 Months Endi'!WTU2</f>
        <v>0</v>
      </c>
      <c r="WTW3">
        <f>'[12]Summary Report - 12 Months Endi'!WTV2</f>
        <v>0</v>
      </c>
      <c r="WTX3">
        <f>'[12]Summary Report - 12 Months Endi'!WTW2</f>
        <v>0</v>
      </c>
      <c r="WTY3">
        <f>'[12]Summary Report - 12 Months Endi'!WTX2</f>
        <v>0</v>
      </c>
      <c r="WTZ3">
        <f>'[12]Summary Report - 12 Months Endi'!WTY2</f>
        <v>0</v>
      </c>
      <c r="WUA3">
        <f>'[12]Summary Report - 12 Months Endi'!WTZ2</f>
        <v>0</v>
      </c>
      <c r="WUB3">
        <f>'[12]Summary Report - 12 Months Endi'!WUA2</f>
        <v>0</v>
      </c>
      <c r="WUC3">
        <f>'[12]Summary Report - 12 Months Endi'!WUB2</f>
        <v>0</v>
      </c>
      <c r="WUD3">
        <f>'[12]Summary Report - 12 Months Endi'!WUC2</f>
        <v>0</v>
      </c>
      <c r="WUE3">
        <f>'[12]Summary Report - 12 Months Endi'!WUD2</f>
        <v>0</v>
      </c>
      <c r="WUF3">
        <f>'[12]Summary Report - 12 Months Endi'!WUE2</f>
        <v>0</v>
      </c>
      <c r="WUG3">
        <f>'[12]Summary Report - 12 Months Endi'!WUF2</f>
        <v>0</v>
      </c>
      <c r="WUH3">
        <f>'[12]Summary Report - 12 Months Endi'!WUG2</f>
        <v>0</v>
      </c>
      <c r="WUI3">
        <f>'[12]Summary Report - 12 Months Endi'!WUH2</f>
        <v>0</v>
      </c>
      <c r="WUJ3">
        <f>'[12]Summary Report - 12 Months Endi'!WUI2</f>
        <v>0</v>
      </c>
      <c r="WUK3">
        <f>'[12]Summary Report - 12 Months Endi'!WUJ2</f>
        <v>0</v>
      </c>
      <c r="WUL3">
        <f>'[12]Summary Report - 12 Months Endi'!WUK2</f>
        <v>0</v>
      </c>
      <c r="WUM3">
        <f>'[12]Summary Report - 12 Months Endi'!WUL2</f>
        <v>0</v>
      </c>
      <c r="WUN3">
        <f>'[12]Summary Report - 12 Months Endi'!WUM2</f>
        <v>0</v>
      </c>
      <c r="WUO3">
        <f>'[12]Summary Report - 12 Months Endi'!WUN2</f>
        <v>0</v>
      </c>
      <c r="WUP3">
        <f>'[12]Summary Report - 12 Months Endi'!WUO2</f>
        <v>0</v>
      </c>
      <c r="WUQ3">
        <f>'[12]Summary Report - 12 Months Endi'!WUP2</f>
        <v>0</v>
      </c>
      <c r="WUR3">
        <f>'[12]Summary Report - 12 Months Endi'!WUQ2</f>
        <v>0</v>
      </c>
      <c r="WUS3">
        <f>'[12]Summary Report - 12 Months Endi'!WUR2</f>
        <v>0</v>
      </c>
      <c r="WUT3">
        <f>'[12]Summary Report - 12 Months Endi'!WUS2</f>
        <v>0</v>
      </c>
      <c r="WUU3">
        <f>'[12]Summary Report - 12 Months Endi'!WUT2</f>
        <v>0</v>
      </c>
      <c r="WUV3">
        <f>'[12]Summary Report - 12 Months Endi'!WUU2</f>
        <v>0</v>
      </c>
      <c r="WUW3">
        <f>'[12]Summary Report - 12 Months Endi'!WUV2</f>
        <v>0</v>
      </c>
      <c r="WUX3">
        <f>'[12]Summary Report - 12 Months Endi'!WUW2</f>
        <v>0</v>
      </c>
      <c r="WUY3">
        <f>'[12]Summary Report - 12 Months Endi'!WUX2</f>
        <v>0</v>
      </c>
      <c r="WUZ3">
        <f>'[12]Summary Report - 12 Months Endi'!WUY2</f>
        <v>0</v>
      </c>
      <c r="WVA3">
        <f>'[12]Summary Report - 12 Months Endi'!WUZ2</f>
        <v>0</v>
      </c>
      <c r="WVB3">
        <f>'[12]Summary Report - 12 Months Endi'!WVA2</f>
        <v>0</v>
      </c>
      <c r="WVC3">
        <f>'[12]Summary Report - 12 Months Endi'!WVB2</f>
        <v>0</v>
      </c>
      <c r="WVD3">
        <f>'[12]Summary Report - 12 Months Endi'!WVC2</f>
        <v>0</v>
      </c>
      <c r="WVE3">
        <f>'[12]Summary Report - 12 Months Endi'!WVD2</f>
        <v>0</v>
      </c>
      <c r="WVF3">
        <f>'[12]Summary Report - 12 Months Endi'!WVE2</f>
        <v>0</v>
      </c>
      <c r="WVG3">
        <f>'[12]Summary Report - 12 Months Endi'!WVF2</f>
        <v>0</v>
      </c>
      <c r="WVH3">
        <f>'[12]Summary Report - 12 Months Endi'!WVG2</f>
        <v>0</v>
      </c>
      <c r="WVI3">
        <f>'[12]Summary Report - 12 Months Endi'!WVH2</f>
        <v>0</v>
      </c>
      <c r="WVJ3">
        <f>'[12]Summary Report - 12 Months Endi'!WVI2</f>
        <v>0</v>
      </c>
      <c r="WVK3">
        <f>'[12]Summary Report - 12 Months Endi'!WVJ2</f>
        <v>0</v>
      </c>
      <c r="WVL3">
        <f>'[12]Summary Report - 12 Months Endi'!WVK2</f>
        <v>0</v>
      </c>
      <c r="WVM3">
        <f>'[12]Summary Report - 12 Months Endi'!WVL2</f>
        <v>0</v>
      </c>
      <c r="WVN3">
        <f>'[12]Summary Report - 12 Months Endi'!WVM2</f>
        <v>0</v>
      </c>
      <c r="WVO3">
        <f>'[12]Summary Report - 12 Months Endi'!WVN2</f>
        <v>0</v>
      </c>
      <c r="WVP3">
        <f>'[12]Summary Report - 12 Months Endi'!WVO2</f>
        <v>0</v>
      </c>
      <c r="WVQ3">
        <f>'[12]Summary Report - 12 Months Endi'!WVP2</f>
        <v>0</v>
      </c>
      <c r="WVR3">
        <f>'[12]Summary Report - 12 Months Endi'!WVQ2</f>
        <v>0</v>
      </c>
      <c r="WVS3">
        <f>'[12]Summary Report - 12 Months Endi'!WVR2</f>
        <v>0</v>
      </c>
      <c r="WVT3">
        <f>'[12]Summary Report - 12 Months Endi'!WVS2</f>
        <v>0</v>
      </c>
      <c r="WVU3">
        <f>'[12]Summary Report - 12 Months Endi'!WVT2</f>
        <v>0</v>
      </c>
      <c r="WVV3">
        <f>'[12]Summary Report - 12 Months Endi'!WVU2</f>
        <v>0</v>
      </c>
      <c r="WVW3">
        <f>'[12]Summary Report - 12 Months Endi'!WVV2</f>
        <v>0</v>
      </c>
      <c r="WVX3">
        <f>'[12]Summary Report - 12 Months Endi'!WVW2</f>
        <v>0</v>
      </c>
      <c r="WVY3">
        <f>'[12]Summary Report - 12 Months Endi'!WVX2</f>
        <v>0</v>
      </c>
      <c r="WVZ3">
        <f>'[12]Summary Report - 12 Months Endi'!WVY2</f>
        <v>0</v>
      </c>
      <c r="WWA3">
        <f>'[12]Summary Report - 12 Months Endi'!WVZ2</f>
        <v>0</v>
      </c>
      <c r="WWB3">
        <f>'[12]Summary Report - 12 Months Endi'!WWA2</f>
        <v>0</v>
      </c>
      <c r="WWC3">
        <f>'[12]Summary Report - 12 Months Endi'!WWB2</f>
        <v>0</v>
      </c>
      <c r="WWD3">
        <f>'[12]Summary Report - 12 Months Endi'!WWC2</f>
        <v>0</v>
      </c>
      <c r="WWE3">
        <f>'[12]Summary Report - 12 Months Endi'!WWD2</f>
        <v>0</v>
      </c>
      <c r="WWF3">
        <f>'[12]Summary Report - 12 Months Endi'!WWE2</f>
        <v>0</v>
      </c>
      <c r="WWG3">
        <f>'[12]Summary Report - 12 Months Endi'!WWF2</f>
        <v>0</v>
      </c>
      <c r="WWH3">
        <f>'[12]Summary Report - 12 Months Endi'!WWG2</f>
        <v>0</v>
      </c>
      <c r="WWI3">
        <f>'[12]Summary Report - 12 Months Endi'!WWH2</f>
        <v>0</v>
      </c>
      <c r="WWJ3">
        <f>'[12]Summary Report - 12 Months Endi'!WWI2</f>
        <v>0</v>
      </c>
      <c r="WWK3">
        <f>'[12]Summary Report - 12 Months Endi'!WWJ2</f>
        <v>0</v>
      </c>
      <c r="WWL3">
        <f>'[12]Summary Report - 12 Months Endi'!WWK2</f>
        <v>0</v>
      </c>
      <c r="WWM3">
        <f>'[12]Summary Report - 12 Months Endi'!WWL2</f>
        <v>0</v>
      </c>
      <c r="WWN3">
        <f>'[12]Summary Report - 12 Months Endi'!WWM2</f>
        <v>0</v>
      </c>
      <c r="WWO3">
        <f>'[12]Summary Report - 12 Months Endi'!WWN2</f>
        <v>0</v>
      </c>
      <c r="WWP3">
        <f>'[12]Summary Report - 12 Months Endi'!WWO2</f>
        <v>0</v>
      </c>
      <c r="WWQ3">
        <f>'[12]Summary Report - 12 Months Endi'!WWP2</f>
        <v>0</v>
      </c>
      <c r="WWR3">
        <f>'[12]Summary Report - 12 Months Endi'!WWQ2</f>
        <v>0</v>
      </c>
      <c r="WWS3">
        <f>'[12]Summary Report - 12 Months Endi'!WWR2</f>
        <v>0</v>
      </c>
      <c r="WWT3">
        <f>'[12]Summary Report - 12 Months Endi'!WWS2</f>
        <v>0</v>
      </c>
      <c r="WWU3">
        <f>'[12]Summary Report - 12 Months Endi'!WWT2</f>
        <v>0</v>
      </c>
      <c r="WWV3">
        <f>'[12]Summary Report - 12 Months Endi'!WWU2</f>
        <v>0</v>
      </c>
      <c r="WWW3">
        <f>'[12]Summary Report - 12 Months Endi'!WWV2</f>
        <v>0</v>
      </c>
      <c r="WWX3">
        <f>'[12]Summary Report - 12 Months Endi'!WWW2</f>
        <v>0</v>
      </c>
      <c r="WWY3">
        <f>'[12]Summary Report - 12 Months Endi'!WWX2</f>
        <v>0</v>
      </c>
      <c r="WWZ3">
        <f>'[12]Summary Report - 12 Months Endi'!WWY2</f>
        <v>0</v>
      </c>
      <c r="WXA3">
        <f>'[12]Summary Report - 12 Months Endi'!WWZ2</f>
        <v>0</v>
      </c>
      <c r="WXB3">
        <f>'[12]Summary Report - 12 Months Endi'!WXA2</f>
        <v>0</v>
      </c>
      <c r="WXC3">
        <f>'[12]Summary Report - 12 Months Endi'!WXB2</f>
        <v>0</v>
      </c>
      <c r="WXD3">
        <f>'[12]Summary Report - 12 Months Endi'!WXC2</f>
        <v>0</v>
      </c>
      <c r="WXE3">
        <f>'[12]Summary Report - 12 Months Endi'!WXD2</f>
        <v>0</v>
      </c>
      <c r="WXF3">
        <f>'[12]Summary Report - 12 Months Endi'!WXE2</f>
        <v>0</v>
      </c>
      <c r="WXG3">
        <f>'[12]Summary Report - 12 Months Endi'!WXF2</f>
        <v>0</v>
      </c>
      <c r="WXH3">
        <f>'[12]Summary Report - 12 Months Endi'!WXG2</f>
        <v>0</v>
      </c>
      <c r="WXI3">
        <f>'[12]Summary Report - 12 Months Endi'!WXH2</f>
        <v>0</v>
      </c>
      <c r="WXJ3">
        <f>'[12]Summary Report - 12 Months Endi'!WXI2</f>
        <v>0</v>
      </c>
      <c r="WXK3">
        <f>'[12]Summary Report - 12 Months Endi'!WXJ2</f>
        <v>0</v>
      </c>
      <c r="WXL3">
        <f>'[12]Summary Report - 12 Months Endi'!WXK2</f>
        <v>0</v>
      </c>
      <c r="WXM3">
        <f>'[12]Summary Report - 12 Months Endi'!WXL2</f>
        <v>0</v>
      </c>
      <c r="WXN3">
        <f>'[12]Summary Report - 12 Months Endi'!WXM2</f>
        <v>0</v>
      </c>
      <c r="WXO3">
        <f>'[12]Summary Report - 12 Months Endi'!WXN2</f>
        <v>0</v>
      </c>
      <c r="WXP3">
        <f>'[12]Summary Report - 12 Months Endi'!WXO2</f>
        <v>0</v>
      </c>
      <c r="WXQ3">
        <f>'[12]Summary Report - 12 Months Endi'!WXP2</f>
        <v>0</v>
      </c>
      <c r="WXR3">
        <f>'[12]Summary Report - 12 Months Endi'!WXQ2</f>
        <v>0</v>
      </c>
      <c r="WXS3">
        <f>'[12]Summary Report - 12 Months Endi'!WXR2</f>
        <v>0</v>
      </c>
      <c r="WXT3">
        <f>'[12]Summary Report - 12 Months Endi'!WXS2</f>
        <v>0</v>
      </c>
      <c r="WXU3">
        <f>'[12]Summary Report - 12 Months Endi'!WXT2</f>
        <v>0</v>
      </c>
      <c r="WXV3">
        <f>'[12]Summary Report - 12 Months Endi'!WXU2</f>
        <v>0</v>
      </c>
      <c r="WXW3">
        <f>'[12]Summary Report - 12 Months Endi'!WXV2</f>
        <v>0</v>
      </c>
      <c r="WXX3">
        <f>'[12]Summary Report - 12 Months Endi'!WXW2</f>
        <v>0</v>
      </c>
      <c r="WXY3">
        <f>'[12]Summary Report - 12 Months Endi'!WXX2</f>
        <v>0</v>
      </c>
      <c r="WXZ3">
        <f>'[12]Summary Report - 12 Months Endi'!WXY2</f>
        <v>0</v>
      </c>
      <c r="WYA3">
        <f>'[12]Summary Report - 12 Months Endi'!WXZ2</f>
        <v>0</v>
      </c>
      <c r="WYB3">
        <f>'[12]Summary Report - 12 Months Endi'!WYA2</f>
        <v>0</v>
      </c>
      <c r="WYC3">
        <f>'[12]Summary Report - 12 Months Endi'!WYB2</f>
        <v>0</v>
      </c>
      <c r="WYD3">
        <f>'[12]Summary Report - 12 Months Endi'!WYC2</f>
        <v>0</v>
      </c>
      <c r="WYE3">
        <f>'[12]Summary Report - 12 Months Endi'!WYD2</f>
        <v>0</v>
      </c>
      <c r="WYF3">
        <f>'[12]Summary Report - 12 Months Endi'!WYE2</f>
        <v>0</v>
      </c>
      <c r="WYG3">
        <f>'[12]Summary Report - 12 Months Endi'!WYF2</f>
        <v>0</v>
      </c>
      <c r="WYH3">
        <f>'[12]Summary Report - 12 Months Endi'!WYG2</f>
        <v>0</v>
      </c>
      <c r="WYI3">
        <f>'[12]Summary Report - 12 Months Endi'!WYH2</f>
        <v>0</v>
      </c>
      <c r="WYJ3">
        <f>'[12]Summary Report - 12 Months Endi'!WYI2</f>
        <v>0</v>
      </c>
      <c r="WYK3">
        <f>'[12]Summary Report - 12 Months Endi'!WYJ2</f>
        <v>0</v>
      </c>
      <c r="WYL3">
        <f>'[12]Summary Report - 12 Months Endi'!WYK2</f>
        <v>0</v>
      </c>
      <c r="WYM3">
        <f>'[12]Summary Report - 12 Months Endi'!WYL2</f>
        <v>0</v>
      </c>
      <c r="WYN3">
        <f>'[12]Summary Report - 12 Months Endi'!WYM2</f>
        <v>0</v>
      </c>
      <c r="WYO3">
        <f>'[12]Summary Report - 12 Months Endi'!WYN2</f>
        <v>0</v>
      </c>
      <c r="WYP3">
        <f>'[12]Summary Report - 12 Months Endi'!WYO2</f>
        <v>0</v>
      </c>
      <c r="WYQ3">
        <f>'[12]Summary Report - 12 Months Endi'!WYP2</f>
        <v>0</v>
      </c>
      <c r="WYR3">
        <f>'[12]Summary Report - 12 Months Endi'!WYQ2</f>
        <v>0</v>
      </c>
      <c r="WYS3">
        <f>'[12]Summary Report - 12 Months Endi'!WYR2</f>
        <v>0</v>
      </c>
      <c r="WYT3">
        <f>'[12]Summary Report - 12 Months Endi'!WYS2</f>
        <v>0</v>
      </c>
      <c r="WYU3">
        <f>'[12]Summary Report - 12 Months Endi'!WYT2</f>
        <v>0</v>
      </c>
      <c r="WYV3">
        <f>'[12]Summary Report - 12 Months Endi'!WYU2</f>
        <v>0</v>
      </c>
      <c r="WYW3">
        <f>'[12]Summary Report - 12 Months Endi'!WYV2</f>
        <v>0</v>
      </c>
      <c r="WYX3">
        <f>'[12]Summary Report - 12 Months Endi'!WYW2</f>
        <v>0</v>
      </c>
      <c r="WYY3">
        <f>'[12]Summary Report - 12 Months Endi'!WYX2</f>
        <v>0</v>
      </c>
      <c r="WYZ3">
        <f>'[12]Summary Report - 12 Months Endi'!WYY2</f>
        <v>0</v>
      </c>
      <c r="WZA3">
        <f>'[12]Summary Report - 12 Months Endi'!WYZ2</f>
        <v>0</v>
      </c>
      <c r="WZB3">
        <f>'[12]Summary Report - 12 Months Endi'!WZA2</f>
        <v>0</v>
      </c>
      <c r="WZC3">
        <f>'[12]Summary Report - 12 Months Endi'!WZB2</f>
        <v>0</v>
      </c>
      <c r="WZD3">
        <f>'[12]Summary Report - 12 Months Endi'!WZC2</f>
        <v>0</v>
      </c>
      <c r="WZE3">
        <f>'[12]Summary Report - 12 Months Endi'!WZD2</f>
        <v>0</v>
      </c>
      <c r="WZF3">
        <f>'[12]Summary Report - 12 Months Endi'!WZE2</f>
        <v>0</v>
      </c>
      <c r="WZG3">
        <f>'[12]Summary Report - 12 Months Endi'!WZF2</f>
        <v>0</v>
      </c>
      <c r="WZH3">
        <f>'[12]Summary Report - 12 Months Endi'!WZG2</f>
        <v>0</v>
      </c>
      <c r="WZI3">
        <f>'[12]Summary Report - 12 Months Endi'!WZH2</f>
        <v>0</v>
      </c>
      <c r="WZJ3">
        <f>'[12]Summary Report - 12 Months Endi'!WZI2</f>
        <v>0</v>
      </c>
      <c r="WZK3">
        <f>'[12]Summary Report - 12 Months Endi'!WZJ2</f>
        <v>0</v>
      </c>
      <c r="WZL3">
        <f>'[12]Summary Report - 12 Months Endi'!WZK2</f>
        <v>0</v>
      </c>
      <c r="WZM3">
        <f>'[12]Summary Report - 12 Months Endi'!WZL2</f>
        <v>0</v>
      </c>
      <c r="WZN3">
        <f>'[12]Summary Report - 12 Months Endi'!WZM2</f>
        <v>0</v>
      </c>
      <c r="WZO3">
        <f>'[12]Summary Report - 12 Months Endi'!WZN2</f>
        <v>0</v>
      </c>
      <c r="WZP3">
        <f>'[12]Summary Report - 12 Months Endi'!WZO2</f>
        <v>0</v>
      </c>
      <c r="WZQ3">
        <f>'[12]Summary Report - 12 Months Endi'!WZP2</f>
        <v>0</v>
      </c>
      <c r="WZR3">
        <f>'[12]Summary Report - 12 Months Endi'!WZQ2</f>
        <v>0</v>
      </c>
      <c r="WZS3">
        <f>'[12]Summary Report - 12 Months Endi'!WZR2</f>
        <v>0</v>
      </c>
      <c r="WZT3">
        <f>'[12]Summary Report - 12 Months Endi'!WZS2</f>
        <v>0</v>
      </c>
      <c r="WZU3">
        <f>'[12]Summary Report - 12 Months Endi'!WZT2</f>
        <v>0</v>
      </c>
      <c r="WZV3">
        <f>'[12]Summary Report - 12 Months Endi'!WZU2</f>
        <v>0</v>
      </c>
      <c r="WZW3">
        <f>'[12]Summary Report - 12 Months Endi'!WZV2</f>
        <v>0</v>
      </c>
      <c r="WZX3">
        <f>'[12]Summary Report - 12 Months Endi'!WZW2</f>
        <v>0</v>
      </c>
      <c r="WZY3">
        <f>'[12]Summary Report - 12 Months Endi'!WZX2</f>
        <v>0</v>
      </c>
      <c r="WZZ3">
        <f>'[12]Summary Report - 12 Months Endi'!WZY2</f>
        <v>0</v>
      </c>
      <c r="XAA3">
        <f>'[12]Summary Report - 12 Months Endi'!WZZ2</f>
        <v>0</v>
      </c>
      <c r="XAB3">
        <f>'[12]Summary Report - 12 Months Endi'!XAA2</f>
        <v>0</v>
      </c>
      <c r="XAC3">
        <f>'[12]Summary Report - 12 Months Endi'!XAB2</f>
        <v>0</v>
      </c>
      <c r="XAD3">
        <f>'[12]Summary Report - 12 Months Endi'!XAC2</f>
        <v>0</v>
      </c>
      <c r="XAE3">
        <f>'[12]Summary Report - 12 Months Endi'!XAD2</f>
        <v>0</v>
      </c>
      <c r="XAF3">
        <f>'[12]Summary Report - 12 Months Endi'!XAE2</f>
        <v>0</v>
      </c>
      <c r="XAG3">
        <f>'[12]Summary Report - 12 Months Endi'!XAF2</f>
        <v>0</v>
      </c>
      <c r="XAH3">
        <f>'[12]Summary Report - 12 Months Endi'!XAG2</f>
        <v>0</v>
      </c>
      <c r="XAI3">
        <f>'[12]Summary Report - 12 Months Endi'!XAH2</f>
        <v>0</v>
      </c>
      <c r="XAJ3">
        <f>'[12]Summary Report - 12 Months Endi'!XAI2</f>
        <v>0</v>
      </c>
      <c r="XAK3">
        <f>'[12]Summary Report - 12 Months Endi'!XAJ2</f>
        <v>0</v>
      </c>
      <c r="XAL3">
        <f>'[12]Summary Report - 12 Months Endi'!XAK2</f>
        <v>0</v>
      </c>
      <c r="XAM3">
        <f>'[12]Summary Report - 12 Months Endi'!XAL2</f>
        <v>0</v>
      </c>
      <c r="XAN3">
        <f>'[12]Summary Report - 12 Months Endi'!XAM2</f>
        <v>0</v>
      </c>
      <c r="XAO3">
        <f>'[12]Summary Report - 12 Months Endi'!XAN2</f>
        <v>0</v>
      </c>
      <c r="XAP3">
        <f>'[12]Summary Report - 12 Months Endi'!XAO2</f>
        <v>0</v>
      </c>
      <c r="XAQ3">
        <f>'[12]Summary Report - 12 Months Endi'!XAP2</f>
        <v>0</v>
      </c>
      <c r="XAR3">
        <f>'[12]Summary Report - 12 Months Endi'!XAQ2</f>
        <v>0</v>
      </c>
      <c r="XAS3">
        <f>'[12]Summary Report - 12 Months Endi'!XAR2</f>
        <v>0</v>
      </c>
      <c r="XAT3">
        <f>'[12]Summary Report - 12 Months Endi'!XAS2</f>
        <v>0</v>
      </c>
      <c r="XAU3">
        <f>'[12]Summary Report - 12 Months Endi'!XAT2</f>
        <v>0</v>
      </c>
      <c r="XAV3">
        <f>'[12]Summary Report - 12 Months Endi'!XAU2</f>
        <v>0</v>
      </c>
      <c r="XAW3">
        <f>'[12]Summary Report - 12 Months Endi'!XAV2</f>
        <v>0</v>
      </c>
      <c r="XAX3">
        <f>'[12]Summary Report - 12 Months Endi'!XAW2</f>
        <v>0</v>
      </c>
      <c r="XAY3">
        <f>'[12]Summary Report - 12 Months Endi'!XAX2</f>
        <v>0</v>
      </c>
      <c r="XAZ3">
        <f>'[12]Summary Report - 12 Months Endi'!XAY2</f>
        <v>0</v>
      </c>
      <c r="XBA3">
        <f>'[12]Summary Report - 12 Months Endi'!XAZ2</f>
        <v>0</v>
      </c>
      <c r="XBB3">
        <f>'[12]Summary Report - 12 Months Endi'!XBA2</f>
        <v>0</v>
      </c>
      <c r="XBC3">
        <f>'[12]Summary Report - 12 Months Endi'!XBB2</f>
        <v>0</v>
      </c>
      <c r="XBD3">
        <f>'[12]Summary Report - 12 Months Endi'!XBC2</f>
        <v>0</v>
      </c>
      <c r="XBE3">
        <f>'[12]Summary Report - 12 Months Endi'!XBD2</f>
        <v>0</v>
      </c>
      <c r="XBF3">
        <f>'[12]Summary Report - 12 Months Endi'!XBE2</f>
        <v>0</v>
      </c>
      <c r="XBG3">
        <f>'[12]Summary Report - 12 Months Endi'!XBF2</f>
        <v>0</v>
      </c>
      <c r="XBH3">
        <f>'[12]Summary Report - 12 Months Endi'!XBG2</f>
        <v>0</v>
      </c>
      <c r="XBI3">
        <f>'[12]Summary Report - 12 Months Endi'!XBH2</f>
        <v>0</v>
      </c>
      <c r="XBJ3">
        <f>'[12]Summary Report - 12 Months Endi'!XBI2</f>
        <v>0</v>
      </c>
      <c r="XBK3">
        <f>'[12]Summary Report - 12 Months Endi'!XBJ2</f>
        <v>0</v>
      </c>
      <c r="XBL3">
        <f>'[12]Summary Report - 12 Months Endi'!XBK2</f>
        <v>0</v>
      </c>
      <c r="XBM3">
        <f>'[12]Summary Report - 12 Months Endi'!XBL2</f>
        <v>0</v>
      </c>
      <c r="XBN3">
        <f>'[12]Summary Report - 12 Months Endi'!XBM2</f>
        <v>0</v>
      </c>
      <c r="XBO3">
        <f>'[12]Summary Report - 12 Months Endi'!XBN2</f>
        <v>0</v>
      </c>
      <c r="XBP3">
        <f>'[12]Summary Report - 12 Months Endi'!XBO2</f>
        <v>0</v>
      </c>
      <c r="XBQ3">
        <f>'[12]Summary Report - 12 Months Endi'!XBP2</f>
        <v>0</v>
      </c>
      <c r="XBR3">
        <f>'[12]Summary Report - 12 Months Endi'!XBQ2</f>
        <v>0</v>
      </c>
      <c r="XBS3">
        <f>'[12]Summary Report - 12 Months Endi'!XBR2</f>
        <v>0</v>
      </c>
      <c r="XBT3">
        <f>'[12]Summary Report - 12 Months Endi'!XBS2</f>
        <v>0</v>
      </c>
      <c r="XBU3">
        <f>'[12]Summary Report - 12 Months Endi'!XBT2</f>
        <v>0</v>
      </c>
      <c r="XBV3">
        <f>'[12]Summary Report - 12 Months Endi'!XBU2</f>
        <v>0</v>
      </c>
      <c r="XBW3">
        <f>'[12]Summary Report - 12 Months Endi'!XBV2</f>
        <v>0</v>
      </c>
      <c r="XBX3">
        <f>'[12]Summary Report - 12 Months Endi'!XBW2</f>
        <v>0</v>
      </c>
      <c r="XBY3">
        <f>'[12]Summary Report - 12 Months Endi'!XBX2</f>
        <v>0</v>
      </c>
      <c r="XBZ3">
        <f>'[12]Summary Report - 12 Months Endi'!XBY2</f>
        <v>0</v>
      </c>
      <c r="XCA3">
        <f>'[12]Summary Report - 12 Months Endi'!XBZ2</f>
        <v>0</v>
      </c>
      <c r="XCB3">
        <f>'[12]Summary Report - 12 Months Endi'!XCA2</f>
        <v>0</v>
      </c>
      <c r="XCC3">
        <f>'[12]Summary Report - 12 Months Endi'!XCB2</f>
        <v>0</v>
      </c>
      <c r="XCD3">
        <f>'[12]Summary Report - 12 Months Endi'!XCC2</f>
        <v>0</v>
      </c>
      <c r="XCE3">
        <f>'[12]Summary Report - 12 Months Endi'!XCD2</f>
        <v>0</v>
      </c>
      <c r="XCF3">
        <f>'[12]Summary Report - 12 Months Endi'!XCE2</f>
        <v>0</v>
      </c>
      <c r="XCG3">
        <f>'[12]Summary Report - 12 Months Endi'!XCF2</f>
        <v>0</v>
      </c>
      <c r="XCH3">
        <f>'[12]Summary Report - 12 Months Endi'!XCG2</f>
        <v>0</v>
      </c>
      <c r="XCI3">
        <f>'[12]Summary Report - 12 Months Endi'!XCH2</f>
        <v>0</v>
      </c>
      <c r="XCJ3">
        <f>'[12]Summary Report - 12 Months Endi'!XCI2</f>
        <v>0</v>
      </c>
      <c r="XCK3">
        <f>'[12]Summary Report - 12 Months Endi'!XCJ2</f>
        <v>0</v>
      </c>
      <c r="XCL3">
        <f>'[12]Summary Report - 12 Months Endi'!XCK2</f>
        <v>0</v>
      </c>
      <c r="XCM3">
        <f>'[12]Summary Report - 12 Months Endi'!XCL2</f>
        <v>0</v>
      </c>
      <c r="XCN3">
        <f>'[12]Summary Report - 12 Months Endi'!XCM2</f>
        <v>0</v>
      </c>
      <c r="XCO3">
        <f>'[12]Summary Report - 12 Months Endi'!XCN2</f>
        <v>0</v>
      </c>
      <c r="XCP3">
        <f>'[12]Summary Report - 12 Months Endi'!XCO2</f>
        <v>0</v>
      </c>
      <c r="XCQ3">
        <f>'[12]Summary Report - 12 Months Endi'!XCP2</f>
        <v>0</v>
      </c>
      <c r="XCR3">
        <f>'[12]Summary Report - 12 Months Endi'!XCQ2</f>
        <v>0</v>
      </c>
      <c r="XCS3">
        <f>'[12]Summary Report - 12 Months Endi'!XCR2</f>
        <v>0</v>
      </c>
      <c r="XCT3">
        <f>'[12]Summary Report - 12 Months Endi'!XCS2</f>
        <v>0</v>
      </c>
      <c r="XCU3">
        <f>'[12]Summary Report - 12 Months Endi'!XCT2</f>
        <v>0</v>
      </c>
      <c r="XCV3">
        <f>'[12]Summary Report - 12 Months Endi'!XCU2</f>
        <v>0</v>
      </c>
      <c r="XCW3">
        <f>'[12]Summary Report - 12 Months Endi'!XCV2</f>
        <v>0</v>
      </c>
      <c r="XCX3">
        <f>'[12]Summary Report - 12 Months Endi'!XCW2</f>
        <v>0</v>
      </c>
      <c r="XCY3">
        <f>'[12]Summary Report - 12 Months Endi'!XCX2</f>
        <v>0</v>
      </c>
      <c r="XCZ3">
        <f>'[12]Summary Report - 12 Months Endi'!XCY2</f>
        <v>0</v>
      </c>
      <c r="XDA3">
        <f>'[12]Summary Report - 12 Months Endi'!XCZ2</f>
        <v>0</v>
      </c>
      <c r="XDB3">
        <f>'[12]Summary Report - 12 Months Endi'!XDA2</f>
        <v>0</v>
      </c>
      <c r="XDC3">
        <f>'[12]Summary Report - 12 Months Endi'!XDB2</f>
        <v>0</v>
      </c>
      <c r="XDD3">
        <f>'[12]Summary Report - 12 Months Endi'!XDC2</f>
        <v>0</v>
      </c>
      <c r="XDE3">
        <f>'[12]Summary Report - 12 Months Endi'!XDD2</f>
        <v>0</v>
      </c>
      <c r="XDF3">
        <f>'[12]Summary Report - 12 Months Endi'!XDE2</f>
        <v>0</v>
      </c>
      <c r="XDG3">
        <f>'[12]Summary Report - 12 Months Endi'!XDF2</f>
        <v>0</v>
      </c>
      <c r="XDH3">
        <f>'[12]Summary Report - 12 Months Endi'!XDG2</f>
        <v>0</v>
      </c>
      <c r="XDI3">
        <f>'[12]Summary Report - 12 Months Endi'!XDH2</f>
        <v>0</v>
      </c>
      <c r="XDJ3">
        <f>'[12]Summary Report - 12 Months Endi'!XDI2</f>
        <v>0</v>
      </c>
      <c r="XDK3">
        <f>'[12]Summary Report - 12 Months Endi'!XDJ2</f>
        <v>0</v>
      </c>
      <c r="XDL3">
        <f>'[12]Summary Report - 12 Months Endi'!XDK2</f>
        <v>0</v>
      </c>
      <c r="XDM3">
        <f>'[12]Summary Report - 12 Months Endi'!XDL2</f>
        <v>0</v>
      </c>
      <c r="XDN3">
        <f>'[12]Summary Report - 12 Months Endi'!XDM2</f>
        <v>0</v>
      </c>
      <c r="XDO3">
        <f>'[12]Summary Report - 12 Months Endi'!XDN2</f>
        <v>0</v>
      </c>
      <c r="XDP3">
        <f>'[12]Summary Report - 12 Months Endi'!XDO2</f>
        <v>0</v>
      </c>
      <c r="XDQ3">
        <f>'[12]Summary Report - 12 Months Endi'!XDP2</f>
        <v>0</v>
      </c>
      <c r="XDR3">
        <f>'[12]Summary Report - 12 Months Endi'!XDQ2</f>
        <v>0</v>
      </c>
      <c r="XDS3">
        <f>'[12]Summary Report - 12 Months Endi'!XDR2</f>
        <v>0</v>
      </c>
      <c r="XDT3">
        <f>'[12]Summary Report - 12 Months Endi'!XDS2</f>
        <v>0</v>
      </c>
      <c r="XDU3">
        <f>'[12]Summary Report - 12 Months Endi'!XDT2</f>
        <v>0</v>
      </c>
      <c r="XDV3">
        <f>'[12]Summary Report - 12 Months Endi'!XDU2</f>
        <v>0</v>
      </c>
      <c r="XDW3">
        <f>'[12]Summary Report - 12 Months Endi'!XDV2</f>
        <v>0</v>
      </c>
      <c r="XDX3">
        <f>'[12]Summary Report - 12 Months Endi'!XDW2</f>
        <v>0</v>
      </c>
      <c r="XDY3">
        <f>'[12]Summary Report - 12 Months Endi'!XDX2</f>
        <v>0</v>
      </c>
      <c r="XDZ3">
        <f>'[12]Summary Report - 12 Months Endi'!XDY2</f>
        <v>0</v>
      </c>
      <c r="XEA3">
        <f>'[12]Summary Report - 12 Months Endi'!XDZ2</f>
        <v>0</v>
      </c>
      <c r="XEB3">
        <f>'[12]Summary Report - 12 Months Endi'!XEA2</f>
        <v>0</v>
      </c>
      <c r="XEC3">
        <f>'[12]Summary Report - 12 Months Endi'!XEB2</f>
        <v>0</v>
      </c>
      <c r="XED3">
        <f>'[12]Summary Report - 12 Months Endi'!XEC2</f>
        <v>0</v>
      </c>
      <c r="XEE3">
        <f>'[12]Summary Report - 12 Months Endi'!XED2</f>
        <v>0</v>
      </c>
      <c r="XEF3">
        <f>'[12]Summary Report - 12 Months Endi'!XEE2</f>
        <v>0</v>
      </c>
      <c r="XEG3">
        <f>'[12]Summary Report - 12 Months Endi'!XEF2</f>
        <v>0</v>
      </c>
      <c r="XEH3">
        <f>'[12]Summary Report - 12 Months Endi'!XEG2</f>
        <v>0</v>
      </c>
      <c r="XEI3">
        <f>'[12]Summary Report - 12 Months Endi'!XEH2</f>
        <v>0</v>
      </c>
      <c r="XEJ3">
        <f>'[12]Summary Report - 12 Months Endi'!XEI2</f>
        <v>0</v>
      </c>
      <c r="XEK3">
        <f>'[12]Summary Report - 12 Months Endi'!XEJ2</f>
        <v>0</v>
      </c>
      <c r="XEL3">
        <f>'[12]Summary Report - 12 Months Endi'!XEK2</f>
        <v>0</v>
      </c>
      <c r="XEM3">
        <f>'[12]Summary Report - 12 Months Endi'!XEL2</f>
        <v>0</v>
      </c>
      <c r="XEN3">
        <f>'[12]Summary Report - 12 Months Endi'!XEM2</f>
        <v>0</v>
      </c>
      <c r="XEO3">
        <f>'[12]Summary Report - 12 Months Endi'!XEN2</f>
        <v>0</v>
      </c>
      <c r="XEP3">
        <f>'[12]Summary Report - 12 Months Endi'!XEO2</f>
        <v>0</v>
      </c>
      <c r="XEQ3">
        <f>'[12]Summary Report - 12 Months Endi'!XEP2</f>
        <v>0</v>
      </c>
      <c r="XER3">
        <f>'[12]Summary Report - 12 Months Endi'!XEQ2</f>
        <v>0</v>
      </c>
      <c r="XES3">
        <f>'[12]Summary Report - 12 Months Endi'!XER2</f>
        <v>0</v>
      </c>
      <c r="XET3">
        <f>'[12]Summary Report - 12 Months Endi'!XES2</f>
        <v>0</v>
      </c>
      <c r="XEU3">
        <f>'[12]Summary Report - 12 Months Endi'!XET2</f>
        <v>0</v>
      </c>
      <c r="XEV3">
        <f>'[12]Summary Report - 12 Months Endi'!XEU2</f>
        <v>0</v>
      </c>
      <c r="XEW3">
        <f>'[12]Summary Report - 12 Months Endi'!XEV2</f>
        <v>0</v>
      </c>
      <c r="XEX3">
        <f>'[12]Summary Report - 12 Months Endi'!XEW2</f>
        <v>0</v>
      </c>
      <c r="XEY3">
        <f>'[12]Summary Report - 12 Months Endi'!XEX2</f>
        <v>0</v>
      </c>
      <c r="XEZ3">
        <f>'[12]Summary Report - 12 Months Endi'!XEY2</f>
        <v>0</v>
      </c>
      <c r="XFA3">
        <f>'[12]Summary Report - 12 Months Endi'!XEZ2</f>
        <v>0</v>
      </c>
      <c r="XFB3">
        <f>'[12]Summary Report - 12 Months Endi'!XFA2</f>
        <v>0</v>
      </c>
      <c r="XFC3">
        <f>'[12]Summary Report - 12 Months Endi'!XFB2</f>
        <v>0</v>
      </c>
      <c r="XFD3">
        <f>'[12]Summary Report - 12 Months Endi'!XFC2</f>
        <v>0</v>
      </c>
    </row>
    <row r="4" spans="1:16384" hidden="1"/>
    <row r="5" spans="1:16384" hidden="1"/>
    <row r="6" spans="1:16384">
      <c r="A6" s="298" t="s">
        <v>119</v>
      </c>
      <c r="B6" s="304" t="s">
        <v>278</v>
      </c>
      <c r="C6" s="305" t="s">
        <v>277</v>
      </c>
      <c r="H6" t="s">
        <v>246</v>
      </c>
    </row>
    <row r="7" spans="1:16384">
      <c r="A7" s="298" t="s">
        <v>247</v>
      </c>
      <c r="B7" s="316" cm="1">
        <f t="array" ref="B7">INDEX($B$2:$AM$2, ROW(B2))</f>
        <v>2834800</v>
      </c>
      <c r="C7" s="301" cm="1">
        <f t="array" ref="C7">INDEX($B$3:$AM$3, ROW(B2))</f>
        <v>2704727</v>
      </c>
    </row>
    <row r="8" spans="1:16384">
      <c r="A8" s="298" t="s">
        <v>248</v>
      </c>
      <c r="B8" s="303" cm="1">
        <f t="array" ref="B8">INDEX($B$2:$AM$2, ROW(B3))</f>
        <v>1806283</v>
      </c>
      <c r="C8" s="301" cm="1">
        <f t="array" ref="C8">INDEX($B$3:$AM$3, ROW(B3))</f>
        <v>1659395</v>
      </c>
    </row>
    <row r="9" spans="1:16384">
      <c r="A9" s="298" t="s">
        <v>249</v>
      </c>
      <c r="B9" s="303" cm="1">
        <f t="array" ref="B9">INDEX($B$2:$AM$2, ROW(B4))</f>
        <v>889016</v>
      </c>
      <c r="C9" s="301" cm="1">
        <f t="array" ref="C9">INDEX($B$3:$AM$3, ROW(B4))</f>
        <v>802232</v>
      </c>
    </row>
    <row r="10" spans="1:16384">
      <c r="A10" s="298" t="s">
        <v>250</v>
      </c>
      <c r="B10" s="303" cm="1">
        <f t="array" ref="B10">INDEX($B$2:$AM$2, ROW(B5))</f>
        <v>98.091666000000004</v>
      </c>
      <c r="C10" s="301" cm="1">
        <f t="array" ref="C10">INDEX($B$3:$AM$3, ROW(B5))</f>
        <v>98.616665999999995</v>
      </c>
    </row>
    <row r="11" spans="1:16384">
      <c r="A11" s="298" t="s">
        <v>251</v>
      </c>
      <c r="B11" s="303" cm="1">
        <f t="array" ref="B11">INDEX($B$2:$AM$2, ROW(B6))</f>
        <v>1.4166666666666601</v>
      </c>
      <c r="C11" s="301" cm="1">
        <f t="array" ref="C11">INDEX($B$3:$AM$3, ROW(B6))</f>
        <v>1.2249999999999901</v>
      </c>
    </row>
    <row r="12" spans="1:16384">
      <c r="A12" s="298" t="s">
        <v>252</v>
      </c>
      <c r="B12" s="303" cm="1">
        <f t="array" ref="B12">INDEX($B$2:$AM$2, ROW(B7))</f>
        <v>12.3</v>
      </c>
      <c r="C12" s="301" cm="1">
        <f t="array" ref="C12">INDEX($B$3:$AM$3, ROW(B7))</f>
        <v>12.1</v>
      </c>
    </row>
    <row r="13" spans="1:16384">
      <c r="A13" s="298" t="s">
        <v>253</v>
      </c>
      <c r="B13" s="303" cm="1">
        <f t="array" ref="B13">INDEX($B$2:$AM$2, ROW(B8))</f>
        <v>49.9</v>
      </c>
      <c r="C13" s="301" cm="1">
        <f t="array" ref="C13">INDEX($B$3:$AM$3, ROW(B8))</f>
        <v>45.1</v>
      </c>
    </row>
    <row r="14" spans="1:16384">
      <c r="A14" s="298" t="s">
        <v>254</v>
      </c>
      <c r="B14" s="303" cm="1">
        <f t="array" ref="B14">INDEX($B$2:$AM$2, ROW(B9))</f>
        <v>0.34100000000000003</v>
      </c>
      <c r="C14" s="301" cm="1">
        <f t="array" ref="C14">INDEX($B$3:$AM$3, ROW(B9))</f>
        <v>0.34200000000000003</v>
      </c>
    </row>
    <row r="15" spans="1:16384">
      <c r="A15" s="298" t="s">
        <v>49</v>
      </c>
      <c r="B15" s="303" cm="1">
        <f t="array" ref="B15">INDEX($B$2:$AM$2, ROW(B10))</f>
        <v>0.108</v>
      </c>
      <c r="C15" s="301" cm="1">
        <f t="array" ref="C15">INDEX($B$3:$AM$3, ROW(B10))</f>
        <v>0.109</v>
      </c>
    </row>
    <row r="16" spans="1:16384">
      <c r="A16" s="298" t="s">
        <v>50</v>
      </c>
      <c r="B16" s="303" cm="1">
        <f t="array" ref="B16">INDEX($B$2:$AM$2, ROW(B11))</f>
        <v>0.156</v>
      </c>
      <c r="C16" s="301" cm="1">
        <f t="array" ref="C16">INDEX($B$3:$AM$3, ROW(B11))</f>
        <v>0.155</v>
      </c>
    </row>
    <row r="17" spans="1:3">
      <c r="A17" s="298" t="s">
        <v>51</v>
      </c>
      <c r="B17" s="303" cm="1">
        <f t="array" ref="B17">INDEX($B$2:$AM$2, ROW(B12))</f>
        <v>0.16</v>
      </c>
      <c r="C17" s="301" cm="1">
        <f t="array" ref="C17">INDEX($B$3:$AM$3, ROW(B12))</f>
        <v>0.16</v>
      </c>
    </row>
    <row r="18" spans="1:3">
      <c r="A18" s="298" t="s">
        <v>52</v>
      </c>
      <c r="B18" s="303" cm="1">
        <f t="array" ref="B18">INDEX($B$2:$AM$2, ROW(B13))</f>
        <v>0.16200000000000001</v>
      </c>
      <c r="C18" s="301" cm="1">
        <f t="array" ref="C18">INDEX($B$3:$AM$3, ROW(B13))</f>
        <v>0.16200000000000001</v>
      </c>
    </row>
    <row r="19" spans="1:3">
      <c r="A19" s="298" t="s">
        <v>53</v>
      </c>
      <c r="B19" s="303" cm="1">
        <f t="array" ref="B19">INDEX($B$2:$AM$2, ROW(B14))</f>
        <v>0.17299999999999999</v>
      </c>
      <c r="C19" s="301" cm="1">
        <f t="array" ref="C19">INDEX($B$3:$AM$3, ROW(B14))</f>
        <v>0.17299999999999999</v>
      </c>
    </row>
    <row r="20" spans="1:3">
      <c r="A20" s="298" t="s">
        <v>54</v>
      </c>
      <c r="B20" s="303" cm="1">
        <f t="array" ref="B20">INDEX($B$2:$AM$2, ROW(B15))</f>
        <v>0.24099999999999999</v>
      </c>
      <c r="C20" s="301" cm="1">
        <f t="array" ref="C20">INDEX($B$3:$AM$3, ROW(B15))</f>
        <v>0.24199999999999999</v>
      </c>
    </row>
    <row r="21" spans="1:3">
      <c r="A21" s="298" t="s">
        <v>30</v>
      </c>
      <c r="B21" s="303" cm="1">
        <f t="array" ref="B21">INDEX($B$2:$AM$2, ROW(B16))</f>
        <v>47.1</v>
      </c>
      <c r="C21" s="301" cm="1">
        <f t="array" ref="C21">INDEX($B$3:$AM$3, ROW(B16))</f>
        <v>47.1</v>
      </c>
    </row>
    <row r="22" spans="1:3">
      <c r="A22" s="298" t="s">
        <v>255</v>
      </c>
      <c r="B22" s="303" cm="1">
        <f t="array" ref="B22">INDEX($B$2:$AM$2, ROW(B17))</f>
        <v>6.4000000000000001E-2</v>
      </c>
      <c r="C22" s="301" cm="1">
        <f t="array" ref="C22">INDEX($B$3:$AM$3, ROW(B17))</f>
        <v>6.4000000000000001E-2</v>
      </c>
    </row>
    <row r="23" spans="1:3">
      <c r="A23" s="298" t="s">
        <v>256</v>
      </c>
      <c r="B23" s="303" cm="1">
        <f t="array" ref="B23">INDEX($B$2:$AM$2, ROW(B18))</f>
        <v>0.22700000000000001</v>
      </c>
      <c r="C23" s="301" cm="1">
        <f t="array" ref="C23">INDEX($B$3:$AM$3, ROW(B18))</f>
        <v>0.22800000000000001</v>
      </c>
    </row>
    <row r="24" spans="1:3">
      <c r="A24" s="298" t="s">
        <v>26</v>
      </c>
      <c r="B24" s="303" cm="1">
        <f t="array" ref="B24">INDEX($B$2:$AM$2, ROW(B19))</f>
        <v>0.222</v>
      </c>
      <c r="C24" s="301" cm="1">
        <f t="array" ref="C24">INDEX($B$3:$AM$3, ROW(B19))</f>
        <v>0.22</v>
      </c>
    </row>
    <row r="25" spans="1:3">
      <c r="A25" s="298" t="s">
        <v>257</v>
      </c>
      <c r="B25" s="303" cm="1">
        <f t="array" ref="B25">INDEX($B$2:$AM$2, ROW(B20))</f>
        <v>0.20399999999999999</v>
      </c>
      <c r="C25" s="301" cm="1">
        <f t="array" ref="C25">INDEX($B$3:$AM$3, ROW(B20))</f>
        <v>0.20499999999999999</v>
      </c>
    </row>
    <row r="26" spans="1:3">
      <c r="A26" s="298" t="s">
        <v>258</v>
      </c>
      <c r="B26" s="303" cm="1">
        <f t="array" ref="B26">INDEX($B$2:$AM$2, ROW(B21))</f>
        <v>0.215</v>
      </c>
      <c r="C26" s="301" cm="1">
        <f t="array" ref="C26">INDEX($B$3:$AM$3, ROW(B21))</f>
        <v>0.215</v>
      </c>
    </row>
    <row r="27" spans="1:3">
      <c r="A27" s="298" t="s">
        <v>259</v>
      </c>
      <c r="B27" s="303" cm="1">
        <f t="array" ref="B27">INDEX($B$2:$AM$2, ROW(B22))</f>
        <v>6.8000000000000005E-2</v>
      </c>
      <c r="C27" s="301" cm="1">
        <f t="array" ref="C27">INDEX($B$3:$AM$3, ROW(B22))</f>
        <v>6.9000000000000006E-2</v>
      </c>
    </row>
    <row r="28" spans="1:3">
      <c r="A28" s="298" t="s">
        <v>260</v>
      </c>
      <c r="B28" s="303" cm="1">
        <f t="array" ref="B28">INDEX($B$2:$AM$2, ROW(B23))</f>
        <v>0.22</v>
      </c>
      <c r="C28" s="301" cm="1">
        <f t="array" ref="C28">INDEX($B$3:$AM$3, ROW(B23))</f>
        <v>0.214</v>
      </c>
    </row>
    <row r="29" spans="1:3">
      <c r="A29" s="298" t="s">
        <v>58</v>
      </c>
      <c r="B29" s="303" cm="1">
        <f t="array" ref="B29">INDEX($B$2:$AM$2, ROW(B24))</f>
        <v>0.124</v>
      </c>
      <c r="C29" s="301" cm="1">
        <f t="array" ref="C29">INDEX($B$3:$AM$3, ROW(B24))</f>
        <v>0.123</v>
      </c>
    </row>
    <row r="30" spans="1:3">
      <c r="A30" s="298" t="s">
        <v>261</v>
      </c>
      <c r="B30" s="303" cm="1">
        <f t="array" ref="B30">INDEX($B$2:$AM$2, ROW(B25))</f>
        <v>0.114</v>
      </c>
      <c r="C30" s="301" cm="1">
        <f t="array" ref="C30">INDEX($B$3:$AM$3, ROW(B25))</f>
        <v>0.112</v>
      </c>
    </row>
    <row r="31" spans="1:3">
      <c r="A31" s="298" t="s">
        <v>60</v>
      </c>
      <c r="B31" s="303" cm="1">
        <f t="array" ref="B31">INDEX($B$2:$AM$2, ROW(B26))</f>
        <v>0.191</v>
      </c>
      <c r="C31" s="301" cm="1">
        <f t="array" ref="C31">INDEX($B$3:$AM$3, ROW(B26))</f>
        <v>0.191</v>
      </c>
    </row>
    <row r="32" spans="1:3">
      <c r="A32" s="298" t="s">
        <v>61</v>
      </c>
      <c r="B32" s="303" cm="1">
        <f t="array" ref="B32">INDEX($B$2:$AM$2, ROW(B27))</f>
        <v>0.35199999999999998</v>
      </c>
      <c r="C32" s="301" cm="1">
        <f t="array" ref="C32">INDEX($B$3:$AM$3, ROW(B27))</f>
        <v>0.36099999999999999</v>
      </c>
    </row>
    <row r="33" spans="1:3">
      <c r="A33" s="298" t="s">
        <v>262</v>
      </c>
      <c r="B33" s="303" cm="1">
        <f t="array" ref="B33">INDEX($B$2:$AM$2, ROW(B28))</f>
        <v>128869</v>
      </c>
      <c r="C33" s="301" cm="1">
        <f t="array" ref="C33">INDEX($B$3:$AM$3, ROW(B28))</f>
        <v>133173</v>
      </c>
    </row>
    <row r="34" spans="1:3">
      <c r="A34" s="298" t="s">
        <v>64</v>
      </c>
      <c r="B34" s="303" cm="1">
        <f t="array" ref="B34">INDEX($B$2:$AM$2, ROW(B29))</f>
        <v>0.22800000000000001</v>
      </c>
      <c r="C34" s="301" cm="1">
        <f t="array" ref="C34">INDEX($B$3:$AM$3, ROW(B29))</f>
        <v>0.219</v>
      </c>
    </row>
    <row r="35" spans="1:3">
      <c r="A35" s="298" t="s">
        <v>65</v>
      </c>
      <c r="B35" s="303" cm="1">
        <f t="array" ref="B35">INDEX($B$2:$AM$2, ROW(B30))</f>
        <v>0.20300000000000001</v>
      </c>
      <c r="C35" s="301" cm="1">
        <f t="array" ref="C35">INDEX($B$3:$AM$3, ROW(B30))</f>
        <v>0.2</v>
      </c>
    </row>
    <row r="36" spans="1:3">
      <c r="A36" s="298" t="s">
        <v>66</v>
      </c>
      <c r="B36" s="303" cm="1">
        <f t="array" ref="B36">INDEX($B$2:$AM$2, ROW(B31))</f>
        <v>0.317</v>
      </c>
      <c r="C36" s="301" cm="1">
        <f t="array" ref="C36">INDEX($B$3:$AM$3, ROW(B31))</f>
        <v>0.32200000000000001</v>
      </c>
    </row>
    <row r="37" spans="1:3">
      <c r="A37" s="298" t="s">
        <v>263</v>
      </c>
      <c r="B37" s="303" cm="1">
        <f t="array" ref="B37">INDEX($B$2:$AM$2, ROW(B32))</f>
        <v>0.252</v>
      </c>
      <c r="C37" s="301" cm="1">
        <f t="array" ref="C37">INDEX($B$3:$AM$3, ROW(B32))</f>
        <v>0.25800000000000001</v>
      </c>
    </row>
    <row r="38" spans="1:3">
      <c r="A38" s="298" t="s">
        <v>264</v>
      </c>
      <c r="B38" s="303" cm="1">
        <f t="array" ref="B38">INDEX($B$2:$AM$2, ROW(B33))</f>
        <v>0.64200000000000002</v>
      </c>
      <c r="C38" s="301" cm="1">
        <f t="array" ref="C38">INDEX($B$3:$AM$3, ROW(B33))</f>
        <v>0.64600000000000002</v>
      </c>
    </row>
    <row r="39" spans="1:3">
      <c r="A39" s="298" t="s">
        <v>265</v>
      </c>
      <c r="B39" s="303" cm="1">
        <f t="array" ref="B39">INDEX($B$2:$AM$2, ROW(B34))</f>
        <v>5.5E-2</v>
      </c>
      <c r="C39" s="301" cm="1">
        <f t="array" ref="C39">INDEX($B$3:$AM$3, ROW(B34))</f>
        <v>5.2999999999999999E-2</v>
      </c>
    </row>
    <row r="40" spans="1:3">
      <c r="A40" s="298" t="s">
        <v>266</v>
      </c>
      <c r="B40" s="303" cm="1">
        <f t="array" ref="B40">INDEX($B$2:$AM$2, ROW(B35))</f>
        <v>0.152</v>
      </c>
      <c r="C40" s="301" cm="1">
        <f t="array" ref="C40">INDEX($B$3:$AM$3, ROW(B35))</f>
        <v>0.14799999999999999</v>
      </c>
    </row>
    <row r="41" spans="1:3">
      <c r="A41" s="298" t="s">
        <v>72</v>
      </c>
      <c r="B41" s="303" cm="1">
        <f t="array" ref="B41">INDEX($B$2:$AM$2, ROW(B36))</f>
        <v>0.113</v>
      </c>
      <c r="C41" s="301" cm="1">
        <f t="array" ref="C41">INDEX($B$3:$AM$3, ROW(B36))</f>
        <v>0.115</v>
      </c>
    </row>
    <row r="42" spans="1:3">
      <c r="A42" s="298" t="s">
        <v>73</v>
      </c>
      <c r="B42" s="303" cm="1">
        <f t="array" ref="B42">INDEX($B$2:$AM$2, ROW(B37))</f>
        <v>3.9E-2</v>
      </c>
      <c r="C42" s="301" cm="1">
        <f t="array" ref="C42">INDEX($B$3:$AM$3, ROW(B37))</f>
        <v>3.9E-2</v>
      </c>
    </row>
    <row r="43" spans="1:3">
      <c r="A43" s="298" t="s">
        <v>267</v>
      </c>
      <c r="B43" s="303" cm="1">
        <f t="array" ref="B43">INDEX($B$2:$AM$2, ROW(B38))</f>
        <v>0.35799999999999998</v>
      </c>
      <c r="C43" s="301" cm="1">
        <f t="array" ref="C43">INDEX($B$3:$AM$3, ROW(B38))</f>
        <v>0.35399999999999998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8842F-DE1F-49C5-B15C-671A79EC1370}">
  <sheetPr codeName="Sheet14">
    <tabColor theme="9" tint="-0.499984740745262"/>
  </sheetPr>
  <dimension ref="A1:J30"/>
  <sheetViews>
    <sheetView workbookViewId="0">
      <selection activeCell="B3" sqref="B3"/>
    </sheetView>
  </sheetViews>
  <sheetFormatPr defaultRowHeight="15"/>
  <cols>
    <col min="1" max="1" width="42.28515625" bestFit="1" customWidth="1"/>
    <col min="2" max="2" width="29.28515625" bestFit="1" customWidth="1"/>
    <col min="3" max="3" width="25.85546875" bestFit="1" customWidth="1"/>
    <col min="4" max="4" width="16.28515625" bestFit="1" customWidth="1"/>
  </cols>
  <sheetData>
    <row r="1" spans="1:10" ht="23.25">
      <c r="A1" s="285"/>
      <c r="B1" s="315" t="s">
        <v>277</v>
      </c>
      <c r="C1" s="291" t="s">
        <v>278</v>
      </c>
      <c r="I1" s="301" t="s">
        <v>277</v>
      </c>
      <c r="J1" s="303" t="s">
        <v>278</v>
      </c>
    </row>
    <row r="2" spans="1:10" ht="23.25">
      <c r="A2" s="285" t="s">
        <v>45</v>
      </c>
      <c r="B2" s="286">
        <f>Summary!C7</f>
        <v>2704727</v>
      </c>
      <c r="C2" s="292">
        <f>Summary!B7</f>
        <v>2834800</v>
      </c>
      <c r="D2" s="11">
        <f>Summary!B7</f>
        <v>2834800</v>
      </c>
      <c r="H2" t="s">
        <v>70</v>
      </c>
      <c r="I2" s="309">
        <f>Summary!C39</f>
        <v>5.2999999999999999E-2</v>
      </c>
      <c r="J2" s="308">
        <f>Summary!B39</f>
        <v>5.5E-2</v>
      </c>
    </row>
    <row r="3" spans="1:10" ht="23.25">
      <c r="A3" s="285" t="s">
        <v>268</v>
      </c>
      <c r="B3" s="287">
        <f>SUM('Prev Year'!D3:F3)</f>
        <v>0.77300000000000002</v>
      </c>
      <c r="C3" s="293">
        <f>SUM(Table3[[#This Row],[Less than 5 miles]:[11 to 20 miles]])</f>
        <v>0.45299999999999996</v>
      </c>
      <c r="H3" t="s">
        <v>73</v>
      </c>
      <c r="I3" s="309">
        <f>Summary!C42</f>
        <v>3.9E-2</v>
      </c>
      <c r="J3" s="308">
        <f>Summary!B42</f>
        <v>3.9E-2</v>
      </c>
    </row>
    <row r="4" spans="1:10" ht="23.25">
      <c r="A4" s="285" t="s">
        <v>269</v>
      </c>
      <c r="B4" s="287">
        <f>'Prev Year'!G3</f>
        <v>0.155</v>
      </c>
      <c r="C4" s="293">
        <f>DistanceTravelled!E3</f>
        <v>0.154</v>
      </c>
      <c r="H4" t="s">
        <v>71</v>
      </c>
      <c r="I4" s="309">
        <f>Summary!C40</f>
        <v>0.14799999999999999</v>
      </c>
      <c r="J4" s="308">
        <f>Summary!B40</f>
        <v>0.152</v>
      </c>
    </row>
    <row r="5" spans="1:10" ht="23.25">
      <c r="A5" s="285" t="s">
        <v>270</v>
      </c>
      <c r="B5" s="287">
        <f>'Prev Year'!H3</f>
        <v>7.2999999999999995E-2</v>
      </c>
      <c r="C5" s="293">
        <f>DistanceTravelled!F3</f>
        <v>0.39200000000000002</v>
      </c>
      <c r="H5" t="s">
        <v>72</v>
      </c>
      <c r="I5" s="309">
        <f>Summary!C41</f>
        <v>0.115</v>
      </c>
      <c r="J5" s="308">
        <f>Summary!B41</f>
        <v>0.113</v>
      </c>
    </row>
    <row r="6" spans="1:10" ht="23.25">
      <c r="A6" s="285" t="s">
        <v>279</v>
      </c>
      <c r="B6" s="288">
        <f>'Prev Year'!C3</f>
        <v>12.1</v>
      </c>
      <c r="C6" s="294">
        <f>DistanceTravelled!H3</f>
        <v>13.3</v>
      </c>
      <c r="H6" t="s">
        <v>69</v>
      </c>
      <c r="I6" s="309">
        <f>Summary!C38</f>
        <v>0.64600000000000002</v>
      </c>
      <c r="J6" s="308">
        <f>Summary!B38</f>
        <v>0.64200000000000002</v>
      </c>
    </row>
    <row r="7" spans="1:10" ht="23.25">
      <c r="A7" s="285" t="s">
        <v>2553</v>
      </c>
      <c r="B7" s="289">
        <f>'Prev Year'!B3</f>
        <v>45.1</v>
      </c>
      <c r="C7" s="341">
        <f>DistanceTravelled!G3</f>
        <v>162.6</v>
      </c>
    </row>
    <row r="8" spans="1:10" ht="23.25">
      <c r="A8" s="285" t="s">
        <v>271</v>
      </c>
      <c r="B8" s="290">
        <f>Summary!C33</f>
        <v>133173</v>
      </c>
      <c r="C8" s="295">
        <f>Summary!B33</f>
        <v>128869</v>
      </c>
    </row>
    <row r="9" spans="1:10" ht="23.25">
      <c r="A9" s="285" t="s">
        <v>272</v>
      </c>
      <c r="B9" s="287">
        <f>SUM(Summary!C31:C32)</f>
        <v>0.55200000000000005</v>
      </c>
      <c r="C9" s="293">
        <f>SUM(Summary!B31:B32)</f>
        <v>0.54299999999999993</v>
      </c>
      <c r="F9" s="220"/>
    </row>
    <row r="10" spans="1:10" ht="23.25">
      <c r="A10" s="285" t="s">
        <v>273</v>
      </c>
      <c r="B10" s="287">
        <f>SUM(Summary!C36:C37)</f>
        <v>0.58000000000000007</v>
      </c>
      <c r="C10" s="293">
        <f>SUM(Summary!B36:B37)</f>
        <v>0.56899999999999995</v>
      </c>
      <c r="F10" s="215"/>
    </row>
    <row r="11" spans="1:10" ht="23.25">
      <c r="A11" s="285" t="s">
        <v>274</v>
      </c>
      <c r="B11" s="287">
        <f>Summary!C14</f>
        <v>0.34200000000000003</v>
      </c>
      <c r="C11" s="293">
        <f>Summary!B14</f>
        <v>0.34100000000000003</v>
      </c>
      <c r="F11" s="220"/>
    </row>
    <row r="12" spans="1:10">
      <c r="F12" s="215"/>
    </row>
    <row r="13" spans="1:10">
      <c r="F13" s="220"/>
    </row>
    <row r="23" spans="1:3" ht="23.25">
      <c r="A23" t="s">
        <v>275</v>
      </c>
      <c r="B23" s="306" t="s">
        <v>277</v>
      </c>
      <c r="C23" s="307" t="s">
        <v>278</v>
      </c>
    </row>
    <row r="24" spans="1:3">
      <c r="A24">
        <v>1</v>
      </c>
      <c r="B24" s="301" t="str">
        <f>TEXT('Prev Year'!N3&amp;","&amp;" "&amp;'Prev Year'!O3&amp; ", "&amp;'Prev Year'!P3&amp;" ("&amp;TEXT('Prev Year'!R3,"0.0%")&amp;")","")</f>
        <v>60035, Highland Park, IL (7.1%)</v>
      </c>
      <c r="C24" s="303" t="str">
        <f>TEXT(ZipCodes!A2&amp;","&amp;" "&amp;ZipCodes!B2&amp; ", "&amp;ZipCodes!C2&amp;" ("&amp;TEXT(ZipCodes!E2,"0.0%")&amp;")","")</f>
        <v>30309, Atlanta, GA (5.3%)</v>
      </c>
    </row>
    <row r="25" spans="1:3">
      <c r="A25">
        <v>2</v>
      </c>
      <c r="B25" s="301" t="str">
        <f>TEXT('Prev Year'!N4&amp;","&amp;" "&amp;'Prev Year'!O4&amp; ", "&amp;'Prev Year'!P4&amp;" ("&amp;TEXT('Prev Year'!R4,"0.0%")&amp;")","")</f>
        <v>60062, Northbrook, IL (5.4%)</v>
      </c>
      <c r="C25" s="303" t="str">
        <f>TEXT(ZipCodes!A3&amp;","&amp;" "&amp;ZipCodes!B3&amp; ", "&amp;ZipCodes!C3&amp;" ("&amp;TEXT(ZipCodes!E3,"0.0%")&amp;")","")</f>
        <v>30306, Atlanta, GA (1.4%)</v>
      </c>
    </row>
    <row r="26" spans="1:3">
      <c r="A26">
        <v>3</v>
      </c>
      <c r="B26" s="301" t="str">
        <f>TEXT('Prev Year'!N5&amp;","&amp;" "&amp;'Prev Year'!O5&amp; ", "&amp;'Prev Year'!P5&amp;" ("&amp;TEXT('Prev Year'!R5,"0.0%")&amp;")","")</f>
        <v>60022, Glencoe, IL (3.7%)</v>
      </c>
      <c r="C26" s="303" t="str">
        <f>TEXT(ZipCodes!A4&amp;","&amp;" "&amp;ZipCodes!B4&amp; ", "&amp;ZipCodes!C4&amp;" ("&amp;TEXT(ZipCodes!E4,"0.0%")&amp;")","")</f>
        <v>30318, Atlanta, GA (1.4%)</v>
      </c>
    </row>
    <row r="27" spans="1:3">
      <c r="A27">
        <v>4</v>
      </c>
      <c r="B27" s="301" t="str">
        <f>TEXT('Prev Year'!N6&amp;","&amp;" "&amp;'Prev Year'!O6&amp; ", "&amp;'Prev Year'!P6&amp;" ("&amp;TEXT('Prev Year'!R6,"0.0%")&amp;")","")</f>
        <v>60015, Deerfield, IL (3.4%)</v>
      </c>
      <c r="C27" s="303" t="str">
        <f>TEXT(ZipCodes!A5&amp;","&amp;" "&amp;ZipCodes!B5&amp; ", "&amp;ZipCodes!C5&amp;" ("&amp;TEXT(ZipCodes!E5,"0.0%")&amp;")","")</f>
        <v>30324, Atlanta, GA (1.4%)</v>
      </c>
    </row>
    <row r="28" spans="1:3">
      <c r="A28">
        <v>5</v>
      </c>
      <c r="B28" s="301" t="str">
        <f>TEXT('Prev Year'!N7&amp;","&amp;" "&amp;'Prev Year'!O7&amp; ", "&amp;'Prev Year'!P7&amp;" ("&amp;TEXT('Prev Year'!R7,"0.0%")&amp;")","")</f>
        <v>60025, Glenview, IL (2.2%)</v>
      </c>
      <c r="C28" s="303" t="str">
        <f>TEXT(ZipCodes!A6&amp;","&amp;" "&amp;ZipCodes!B6&amp; ", "&amp;ZipCodes!C6&amp;" ("&amp;TEXT(ZipCodes!E6,"0.0%")&amp;")","")</f>
        <v>30308, Atlanta, GA (1.1%)</v>
      </c>
    </row>
    <row r="30" spans="1:3">
      <c r="A30" t="s">
        <v>276</v>
      </c>
      <c r="B30" s="300">
        <f>SUM('Prev Year'!R3:R7)</f>
        <v>0.21730000000000002</v>
      </c>
      <c r="C30" s="300">
        <f>SUM(ZipCodes!E2:E6)</f>
        <v>0.10699999999999998</v>
      </c>
    </row>
  </sheetData>
  <autoFilter ref="H1:J6" xr:uid="{4D5FA726-21C5-4ADC-9EC9-1AD65EC333F5}">
    <sortState xmlns:xlrd2="http://schemas.microsoft.com/office/spreadsheetml/2017/richdata2" ref="H2:J6">
      <sortCondition ref="I1:I6"/>
    </sortState>
  </autoFilter>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98D2-6527-4AE1-B184-CFD37DE97A99}">
  <sheetPr codeName="Sheet16">
    <tabColor theme="9" tint="-0.499984740745262"/>
  </sheetPr>
  <dimension ref="A1:Y3847"/>
  <sheetViews>
    <sheetView topLeftCell="C1" workbookViewId="0">
      <selection activeCell="Y3" sqref="Y3"/>
    </sheetView>
  </sheetViews>
  <sheetFormatPr defaultRowHeight="15"/>
  <cols>
    <col min="2" max="2" width="14.5703125" bestFit="1" customWidth="1"/>
    <col min="3" max="3" width="18.42578125" customWidth="1"/>
    <col min="13" max="13" width="6.140625" bestFit="1" customWidth="1"/>
    <col min="14" max="14" width="8.85546875" bestFit="1" customWidth="1"/>
    <col min="15" max="15" width="8.5703125" bestFit="1" customWidth="1"/>
    <col min="16" max="16" width="10.7109375" customWidth="1"/>
    <col min="18" max="19" width="8.7109375" bestFit="1" customWidth="1"/>
    <col min="20" max="20" width="8.42578125" bestFit="1" customWidth="1"/>
    <col min="22" max="22" width="11.28515625" customWidth="1"/>
  </cols>
  <sheetData>
    <row r="1" spans="1:25" ht="42.75" customHeight="1">
      <c r="A1" s="371" t="s">
        <v>103</v>
      </c>
      <c r="B1" s="371"/>
      <c r="C1" s="371"/>
      <c r="D1" s="371"/>
      <c r="E1" s="371"/>
      <c r="F1" s="371"/>
      <c r="G1" s="371"/>
      <c r="H1" s="371"/>
      <c r="M1" s="376" t="s">
        <v>90</v>
      </c>
      <c r="N1" s="375" t="s">
        <v>280</v>
      </c>
      <c r="O1" s="375" t="s">
        <v>93</v>
      </c>
      <c r="P1" s="375" t="s">
        <v>94</v>
      </c>
      <c r="Q1" s="375" t="s">
        <v>281</v>
      </c>
      <c r="R1" s="375" t="s">
        <v>282</v>
      </c>
      <c r="S1" s="375" t="s">
        <v>283</v>
      </c>
      <c r="T1" s="375" t="s">
        <v>47</v>
      </c>
      <c r="U1" s="375" t="s">
        <v>284</v>
      </c>
      <c r="V1" s="375" t="s">
        <v>285</v>
      </c>
      <c r="W1" s="375" t="s">
        <v>45</v>
      </c>
      <c r="X1" s="375" t="s">
        <v>286</v>
      </c>
    </row>
    <row r="2" spans="1:25" ht="38.25">
      <c r="A2" s="66" t="s">
        <v>119</v>
      </c>
      <c r="B2" s="299" t="s">
        <v>351</v>
      </c>
      <c r="C2" s="299" t="s">
        <v>352</v>
      </c>
      <c r="D2" s="299" t="s">
        <v>104</v>
      </c>
      <c r="E2" s="299" t="s">
        <v>105</v>
      </c>
      <c r="F2" s="299" t="s">
        <v>106</v>
      </c>
      <c r="G2" s="299" t="s">
        <v>107</v>
      </c>
      <c r="H2" s="299" t="s">
        <v>353</v>
      </c>
      <c r="M2" s="376"/>
      <c r="N2" s="375"/>
      <c r="O2" s="375"/>
      <c r="P2" s="375"/>
      <c r="Q2" s="375"/>
      <c r="R2" s="375"/>
      <c r="S2" s="375"/>
      <c r="T2" s="375"/>
      <c r="U2" s="375"/>
      <c r="V2" s="375"/>
      <c r="W2" s="375"/>
      <c r="X2" s="375"/>
    </row>
    <row r="3" spans="1:25">
      <c r="A3" t="s">
        <v>2552</v>
      </c>
      <c r="B3">
        <v>45.1</v>
      </c>
      <c r="C3">
        <v>12.1</v>
      </c>
      <c r="D3" s="296">
        <v>0.245</v>
      </c>
      <c r="E3" s="296">
        <v>0.19400000000000001</v>
      </c>
      <c r="F3" s="296">
        <v>0.33400000000000002</v>
      </c>
      <c r="G3" s="296">
        <v>0.155</v>
      </c>
      <c r="H3" s="296">
        <v>7.2999999999999995E-2</v>
      </c>
      <c r="M3">
        <v>1</v>
      </c>
      <c r="N3">
        <v>60035</v>
      </c>
      <c r="O3" t="s">
        <v>848</v>
      </c>
      <c r="P3" t="s">
        <v>131</v>
      </c>
      <c r="Q3">
        <v>3</v>
      </c>
      <c r="R3" s="296">
        <v>7.0800000000000002E-2</v>
      </c>
      <c r="S3" s="296">
        <v>7.0800000000000002E-2</v>
      </c>
      <c r="T3" s="297">
        <v>11607</v>
      </c>
      <c r="U3" s="340">
        <v>229402</v>
      </c>
      <c r="V3" s="340">
        <v>690588</v>
      </c>
      <c r="W3" s="297">
        <v>29644</v>
      </c>
      <c r="X3" s="296">
        <v>-3.0000000000000001E-3</v>
      </c>
      <c r="Y3" s="79" t="str">
        <f>N3&amp;": "&amp;O3&amp;", "&amp;P3&amp;" ("&amp;TEXT(R3,"0.0%")&amp;")"</f>
        <v>60035: Highland Park, IL (7.1%)</v>
      </c>
    </row>
    <row r="4" spans="1:25">
      <c r="M4">
        <v>2</v>
      </c>
      <c r="N4">
        <v>60062</v>
      </c>
      <c r="O4" t="s">
        <v>600</v>
      </c>
      <c r="P4" t="s">
        <v>131</v>
      </c>
      <c r="Q4">
        <v>3</v>
      </c>
      <c r="R4" s="296">
        <v>5.4100000000000002E-2</v>
      </c>
      <c r="S4" s="296">
        <v>0.1249</v>
      </c>
      <c r="T4" s="297">
        <v>16790</v>
      </c>
      <c r="U4" s="340">
        <v>204921</v>
      </c>
      <c r="V4" s="340">
        <v>655975</v>
      </c>
      <c r="W4" s="297">
        <v>42207</v>
      </c>
      <c r="X4" s="296">
        <v>-3.0000000000000001E-3</v>
      </c>
    </row>
    <row r="5" spans="1:25">
      <c r="M5">
        <v>3</v>
      </c>
      <c r="N5">
        <v>60022</v>
      </c>
      <c r="O5" t="s">
        <v>849</v>
      </c>
      <c r="P5" t="s">
        <v>131</v>
      </c>
      <c r="Q5">
        <v>1</v>
      </c>
      <c r="R5" s="296">
        <v>3.6499999999999998E-2</v>
      </c>
      <c r="S5" s="296">
        <v>0.16139999999999999</v>
      </c>
      <c r="T5" s="297">
        <v>2858</v>
      </c>
      <c r="U5" s="340">
        <v>278776</v>
      </c>
      <c r="V5" s="340">
        <v>1209996</v>
      </c>
      <c r="W5" s="297">
        <v>8176</v>
      </c>
      <c r="X5" s="296">
        <v>-0.01</v>
      </c>
    </row>
    <row r="6" spans="1:25">
      <c r="M6">
        <v>4</v>
      </c>
      <c r="N6">
        <v>60015</v>
      </c>
      <c r="O6" t="s">
        <v>850</v>
      </c>
      <c r="P6" t="s">
        <v>131</v>
      </c>
      <c r="Q6">
        <v>4</v>
      </c>
      <c r="R6" s="296">
        <v>3.3799999999999997E-2</v>
      </c>
      <c r="S6" s="296">
        <v>0.19520000000000001</v>
      </c>
      <c r="T6" s="297">
        <v>9842</v>
      </c>
      <c r="U6" s="340">
        <v>235030</v>
      </c>
      <c r="V6" s="340">
        <v>663256</v>
      </c>
      <c r="W6" s="297">
        <v>27338</v>
      </c>
      <c r="X6" s="296">
        <v>3.0000000000000001E-3</v>
      </c>
    </row>
    <row r="7" spans="1:25">
      <c r="M7">
        <v>5</v>
      </c>
      <c r="N7">
        <v>60025</v>
      </c>
      <c r="O7" t="s">
        <v>851</v>
      </c>
      <c r="P7" t="s">
        <v>131</v>
      </c>
      <c r="Q7">
        <v>5</v>
      </c>
      <c r="R7" s="296">
        <v>2.2100000000000002E-2</v>
      </c>
      <c r="S7" s="296">
        <v>0.21729999999999999</v>
      </c>
      <c r="T7" s="297">
        <v>15273</v>
      </c>
      <c r="U7" s="340">
        <v>175835</v>
      </c>
      <c r="V7" s="340">
        <v>611233</v>
      </c>
      <c r="W7" s="297">
        <v>39812</v>
      </c>
      <c r="X7" s="296">
        <v>-6.0000000000000001E-3</v>
      </c>
    </row>
    <row r="8" spans="1:25">
      <c r="M8">
        <v>6</v>
      </c>
      <c r="N8">
        <v>60089</v>
      </c>
      <c r="O8" t="s">
        <v>852</v>
      </c>
      <c r="P8" t="s">
        <v>131</v>
      </c>
      <c r="Q8">
        <v>9</v>
      </c>
      <c r="R8" s="296">
        <v>2.07E-2</v>
      </c>
      <c r="S8" s="296">
        <v>0.23799999999999999</v>
      </c>
      <c r="T8" s="297">
        <v>16740</v>
      </c>
      <c r="U8" s="340">
        <v>167838</v>
      </c>
      <c r="V8" s="340">
        <v>420590</v>
      </c>
      <c r="W8" s="297">
        <v>43610</v>
      </c>
      <c r="X8" s="296">
        <v>-1E-3</v>
      </c>
    </row>
    <row r="9" spans="1:25">
      <c r="M9">
        <v>7</v>
      </c>
      <c r="N9">
        <v>60091</v>
      </c>
      <c r="O9" t="s">
        <v>853</v>
      </c>
      <c r="P9" t="s">
        <v>131</v>
      </c>
      <c r="Q9">
        <v>6</v>
      </c>
      <c r="R9" s="296">
        <v>1.8499999999999999E-2</v>
      </c>
      <c r="S9" s="296">
        <v>0.25650000000000001</v>
      </c>
      <c r="T9" s="297">
        <v>9910</v>
      </c>
      <c r="U9" s="340">
        <v>255810</v>
      </c>
      <c r="V9" s="340">
        <v>856823</v>
      </c>
      <c r="W9" s="297">
        <v>27121</v>
      </c>
      <c r="X9" s="296">
        <v>-1.0999999999999999E-2</v>
      </c>
    </row>
    <row r="10" spans="1:25">
      <c r="M10">
        <v>8</v>
      </c>
      <c r="N10">
        <v>60004</v>
      </c>
      <c r="O10" t="s">
        <v>854</v>
      </c>
      <c r="P10" t="s">
        <v>131</v>
      </c>
      <c r="Q10">
        <v>10</v>
      </c>
      <c r="R10" s="296">
        <v>1.54E-2</v>
      </c>
      <c r="S10" s="296">
        <v>0.27189999999999998</v>
      </c>
      <c r="T10" s="297">
        <v>20468</v>
      </c>
      <c r="U10" s="340">
        <v>154987</v>
      </c>
      <c r="V10" s="340">
        <v>459519</v>
      </c>
      <c r="W10" s="297">
        <v>51468</v>
      </c>
      <c r="X10" s="296">
        <v>-8.0000000000000002E-3</v>
      </c>
    </row>
    <row r="11" spans="1:25">
      <c r="M11">
        <v>9</v>
      </c>
      <c r="N11">
        <v>60093</v>
      </c>
      <c r="O11" t="s">
        <v>855</v>
      </c>
      <c r="P11" t="s">
        <v>131</v>
      </c>
      <c r="Q11">
        <v>3</v>
      </c>
      <c r="R11" s="296">
        <v>1.46E-2</v>
      </c>
      <c r="S11" s="296">
        <v>0.28649999999999998</v>
      </c>
      <c r="T11" s="297">
        <v>6972</v>
      </c>
      <c r="U11" s="340">
        <v>278962</v>
      </c>
      <c r="V11" s="340">
        <v>1132441</v>
      </c>
      <c r="W11" s="297">
        <v>19878</v>
      </c>
      <c r="X11" s="296">
        <v>-7.0000000000000001E-3</v>
      </c>
    </row>
    <row r="12" spans="1:25">
      <c r="M12">
        <v>10</v>
      </c>
      <c r="N12">
        <v>60047</v>
      </c>
      <c r="O12" t="s">
        <v>856</v>
      </c>
      <c r="P12" t="s">
        <v>131</v>
      </c>
      <c r="Q12">
        <v>14</v>
      </c>
      <c r="R12" s="296">
        <v>1.3899999999999999E-2</v>
      </c>
      <c r="S12" s="296">
        <v>0.3004</v>
      </c>
      <c r="T12" s="297">
        <v>15056</v>
      </c>
      <c r="U12" s="340">
        <v>216145</v>
      </c>
      <c r="V12" s="340">
        <v>548016</v>
      </c>
      <c r="W12" s="297">
        <v>43858</v>
      </c>
      <c r="X12" s="296">
        <v>0</v>
      </c>
    </row>
    <row r="13" spans="1:25">
      <c r="M13">
        <v>11</v>
      </c>
      <c r="N13">
        <v>60201</v>
      </c>
      <c r="O13" t="s">
        <v>627</v>
      </c>
      <c r="P13" t="s">
        <v>131</v>
      </c>
      <c r="Q13">
        <v>8</v>
      </c>
      <c r="R13" s="296">
        <v>1.24E-2</v>
      </c>
      <c r="S13" s="296">
        <v>0.31280000000000002</v>
      </c>
      <c r="T13" s="297">
        <v>17310</v>
      </c>
      <c r="U13" s="340">
        <v>153369</v>
      </c>
      <c r="V13" s="340">
        <v>644709</v>
      </c>
      <c r="W13" s="297">
        <v>40289</v>
      </c>
      <c r="X13" s="296">
        <v>-4.0000000000000001E-3</v>
      </c>
    </row>
    <row r="14" spans="1:25">
      <c r="M14">
        <v>12</v>
      </c>
      <c r="N14">
        <v>60090</v>
      </c>
      <c r="O14" t="s">
        <v>857</v>
      </c>
      <c r="P14" t="s">
        <v>131</v>
      </c>
      <c r="Q14">
        <v>7</v>
      </c>
      <c r="R14" s="296">
        <v>1.2200000000000001E-2</v>
      </c>
      <c r="S14" s="296">
        <v>0.32500000000000001</v>
      </c>
      <c r="T14" s="297">
        <v>15251</v>
      </c>
      <c r="U14" s="340">
        <v>112050</v>
      </c>
      <c r="V14" s="340">
        <v>315800</v>
      </c>
      <c r="W14" s="297">
        <v>37707</v>
      </c>
      <c r="X14" s="296">
        <v>-4.0000000000000001E-3</v>
      </c>
    </row>
    <row r="15" spans="1:25">
      <c r="M15">
        <v>13</v>
      </c>
      <c r="N15">
        <v>60048</v>
      </c>
      <c r="O15" t="s">
        <v>858</v>
      </c>
      <c r="P15" t="s">
        <v>131</v>
      </c>
      <c r="Q15">
        <v>12</v>
      </c>
      <c r="R15" s="296">
        <v>1.18E-2</v>
      </c>
      <c r="S15" s="296">
        <v>0.33679999999999999</v>
      </c>
      <c r="T15" s="297">
        <v>11205</v>
      </c>
      <c r="U15" s="340">
        <v>224032</v>
      </c>
      <c r="V15" s="340">
        <v>586952</v>
      </c>
      <c r="W15" s="297">
        <v>30340</v>
      </c>
      <c r="X15" s="296">
        <v>-3.0000000000000001E-3</v>
      </c>
    </row>
    <row r="16" spans="1:25">
      <c r="M16">
        <v>14</v>
      </c>
      <c r="N16">
        <v>60053</v>
      </c>
      <c r="O16" t="s">
        <v>697</v>
      </c>
      <c r="P16" t="s">
        <v>131</v>
      </c>
      <c r="Q16">
        <v>7</v>
      </c>
      <c r="R16" s="296">
        <v>1.18E-2</v>
      </c>
      <c r="S16" s="296">
        <v>0.34860000000000002</v>
      </c>
      <c r="T16" s="297">
        <v>8755</v>
      </c>
      <c r="U16" s="340">
        <v>132215</v>
      </c>
      <c r="V16" s="340">
        <v>405874</v>
      </c>
      <c r="W16" s="297">
        <v>24219</v>
      </c>
      <c r="X16" s="296">
        <v>-5.0000000000000001E-3</v>
      </c>
    </row>
    <row r="17" spans="13:24">
      <c r="M17">
        <v>15</v>
      </c>
      <c r="N17">
        <v>60068</v>
      </c>
      <c r="O17" t="s">
        <v>859</v>
      </c>
      <c r="P17" t="s">
        <v>131</v>
      </c>
      <c r="Q17">
        <v>10</v>
      </c>
      <c r="R17" s="296">
        <v>1.15E-2</v>
      </c>
      <c r="S17" s="296">
        <v>0.36009999999999998</v>
      </c>
      <c r="T17" s="297">
        <v>14387</v>
      </c>
      <c r="U17" s="340">
        <v>194583</v>
      </c>
      <c r="V17" s="340">
        <v>567401</v>
      </c>
      <c r="W17" s="297">
        <v>37662</v>
      </c>
      <c r="X17" s="296">
        <v>-1.0999999999999999E-2</v>
      </c>
    </row>
    <row r="18" spans="13:24">
      <c r="M18">
        <v>16</v>
      </c>
      <c r="N18">
        <v>60056</v>
      </c>
      <c r="O18" t="s">
        <v>860</v>
      </c>
      <c r="P18" t="s">
        <v>131</v>
      </c>
      <c r="Q18">
        <v>9</v>
      </c>
      <c r="R18" s="296">
        <v>1.1299999999999999E-2</v>
      </c>
      <c r="S18" s="296">
        <v>0.37140000000000001</v>
      </c>
      <c r="T18" s="297">
        <v>22031</v>
      </c>
      <c r="U18" s="340">
        <v>127742</v>
      </c>
      <c r="V18" s="340">
        <v>392691</v>
      </c>
      <c r="W18" s="297">
        <v>55620</v>
      </c>
      <c r="X18" s="296">
        <v>-5.0000000000000001E-3</v>
      </c>
    </row>
    <row r="19" spans="13:24">
      <c r="M19">
        <v>17</v>
      </c>
      <c r="N19">
        <v>60618</v>
      </c>
      <c r="O19" t="s">
        <v>437</v>
      </c>
      <c r="P19" t="s">
        <v>131</v>
      </c>
      <c r="Q19">
        <v>15</v>
      </c>
      <c r="R19" s="296">
        <v>1.0800000000000001E-2</v>
      </c>
      <c r="S19" s="296">
        <v>0.38219999999999998</v>
      </c>
      <c r="T19" s="297">
        <v>36671</v>
      </c>
      <c r="U19" s="340">
        <v>150314</v>
      </c>
      <c r="V19" s="340">
        <v>592348</v>
      </c>
      <c r="W19" s="297">
        <v>87126</v>
      </c>
      <c r="X19" s="296">
        <v>-8.0000000000000002E-3</v>
      </c>
    </row>
    <row r="20" spans="13:24">
      <c r="M20">
        <v>18</v>
      </c>
      <c r="N20">
        <v>60061</v>
      </c>
      <c r="O20" t="s">
        <v>861</v>
      </c>
      <c r="P20" t="s">
        <v>131</v>
      </c>
      <c r="Q20">
        <v>11</v>
      </c>
      <c r="R20" s="296">
        <v>1.0800000000000001E-2</v>
      </c>
      <c r="S20" s="296">
        <v>0.39290000000000003</v>
      </c>
      <c r="T20" s="297">
        <v>10307</v>
      </c>
      <c r="U20" s="340">
        <v>162179</v>
      </c>
      <c r="V20" s="340">
        <v>430745</v>
      </c>
      <c r="W20" s="297">
        <v>26709</v>
      </c>
      <c r="X20" s="296">
        <v>1E-3</v>
      </c>
    </row>
    <row r="21" spans="13:24">
      <c r="M21">
        <v>19</v>
      </c>
      <c r="N21">
        <v>60085</v>
      </c>
      <c r="O21" t="s">
        <v>862</v>
      </c>
      <c r="P21" t="s">
        <v>131</v>
      </c>
      <c r="Q21">
        <v>15</v>
      </c>
      <c r="R21" s="296">
        <v>0.01</v>
      </c>
      <c r="S21" s="296">
        <v>0.40289999999999998</v>
      </c>
      <c r="T21" s="297">
        <v>23498</v>
      </c>
      <c r="U21" s="340">
        <v>80047</v>
      </c>
      <c r="V21" s="340">
        <v>225859</v>
      </c>
      <c r="W21" s="297">
        <v>69360</v>
      </c>
      <c r="X21" s="296">
        <v>-6.0000000000000001E-3</v>
      </c>
    </row>
    <row r="22" spans="13:24">
      <c r="M22">
        <v>20</v>
      </c>
      <c r="N22">
        <v>60076</v>
      </c>
      <c r="O22" t="s">
        <v>863</v>
      </c>
      <c r="P22" t="s">
        <v>131</v>
      </c>
      <c r="Q22">
        <v>8</v>
      </c>
      <c r="R22" s="296">
        <v>9.9000000000000008E-3</v>
      </c>
      <c r="S22" s="296">
        <v>0.41289999999999999</v>
      </c>
      <c r="T22" s="297">
        <v>11447</v>
      </c>
      <c r="U22" s="340">
        <v>135954</v>
      </c>
      <c r="V22" s="340">
        <v>423810</v>
      </c>
      <c r="W22" s="297">
        <v>33280</v>
      </c>
      <c r="X22" s="296">
        <v>-1.0999999999999999E-2</v>
      </c>
    </row>
    <row r="23" spans="13:24">
      <c r="M23">
        <v>21</v>
      </c>
      <c r="N23">
        <v>60077</v>
      </c>
      <c r="O23" t="s">
        <v>863</v>
      </c>
      <c r="P23" t="s">
        <v>131</v>
      </c>
      <c r="Q23">
        <v>8</v>
      </c>
      <c r="R23" s="296">
        <v>9.7999999999999997E-3</v>
      </c>
      <c r="S23" s="296">
        <v>0.42270000000000002</v>
      </c>
      <c r="T23" s="297">
        <v>10843</v>
      </c>
      <c r="U23" s="340">
        <v>107184</v>
      </c>
      <c r="V23" s="340">
        <v>386496</v>
      </c>
      <c r="W23" s="297">
        <v>27446</v>
      </c>
      <c r="X23" s="296">
        <v>-6.0000000000000001E-3</v>
      </c>
    </row>
    <row r="24" spans="13:24">
      <c r="M24">
        <v>22</v>
      </c>
      <c r="N24">
        <v>60045</v>
      </c>
      <c r="O24" t="s">
        <v>864</v>
      </c>
      <c r="P24" t="s">
        <v>131</v>
      </c>
      <c r="Q24">
        <v>7</v>
      </c>
      <c r="R24" s="296">
        <v>9.4999999999999998E-3</v>
      </c>
      <c r="S24" s="296">
        <v>0.43219999999999997</v>
      </c>
      <c r="T24" s="297">
        <v>7650</v>
      </c>
      <c r="U24" s="340">
        <v>257283</v>
      </c>
      <c r="V24" s="340">
        <v>990435</v>
      </c>
      <c r="W24" s="297">
        <v>21215</v>
      </c>
      <c r="X24" s="296">
        <v>1E-3</v>
      </c>
    </row>
    <row r="25" spans="13:24">
      <c r="M25">
        <v>23</v>
      </c>
      <c r="N25">
        <v>60031</v>
      </c>
      <c r="O25" t="s">
        <v>865</v>
      </c>
      <c r="P25" t="s">
        <v>131</v>
      </c>
      <c r="Q25">
        <v>18</v>
      </c>
      <c r="R25" s="296">
        <v>8.6E-3</v>
      </c>
      <c r="S25" s="296">
        <v>0.44080000000000003</v>
      </c>
      <c r="T25" s="297">
        <v>14696</v>
      </c>
      <c r="U25" s="340">
        <v>149795</v>
      </c>
      <c r="V25" s="340">
        <v>367730</v>
      </c>
      <c r="W25" s="297">
        <v>37566</v>
      </c>
      <c r="X25" s="296">
        <v>-2E-3</v>
      </c>
    </row>
    <row r="26" spans="13:24">
      <c r="M26">
        <v>24</v>
      </c>
      <c r="N26">
        <v>60026</v>
      </c>
      <c r="O26" t="s">
        <v>851</v>
      </c>
      <c r="P26" t="s">
        <v>131</v>
      </c>
      <c r="Q26">
        <v>5</v>
      </c>
      <c r="R26" s="296">
        <v>8.3000000000000001E-3</v>
      </c>
      <c r="S26" s="296">
        <v>0.4491</v>
      </c>
      <c r="T26" s="297">
        <v>5257</v>
      </c>
      <c r="U26" s="340">
        <v>203714</v>
      </c>
      <c r="V26" s="340">
        <v>693905</v>
      </c>
      <c r="W26" s="297">
        <v>13999</v>
      </c>
      <c r="X26" s="296">
        <v>-8.0000000000000002E-3</v>
      </c>
    </row>
    <row r="27" spans="13:24">
      <c r="M27">
        <v>25</v>
      </c>
      <c r="N27">
        <v>60630</v>
      </c>
      <c r="O27" t="s">
        <v>437</v>
      </c>
      <c r="P27" t="s">
        <v>131</v>
      </c>
      <c r="Q27">
        <v>12</v>
      </c>
      <c r="R27" s="296">
        <v>8.2000000000000007E-3</v>
      </c>
      <c r="S27" s="296">
        <v>0.45729999999999998</v>
      </c>
      <c r="T27" s="297">
        <v>21317</v>
      </c>
      <c r="U27" s="340">
        <v>121168</v>
      </c>
      <c r="V27" s="340">
        <v>397509</v>
      </c>
      <c r="W27" s="297">
        <v>53338</v>
      </c>
      <c r="X27" s="296">
        <v>-7.0000000000000001E-3</v>
      </c>
    </row>
    <row r="28" spans="13:24">
      <c r="M28">
        <v>26</v>
      </c>
      <c r="N28">
        <v>60016</v>
      </c>
      <c r="O28" t="s">
        <v>341</v>
      </c>
      <c r="P28" t="s">
        <v>131</v>
      </c>
      <c r="Q28">
        <v>9</v>
      </c>
      <c r="R28" s="296">
        <v>8.2000000000000007E-3</v>
      </c>
      <c r="S28" s="296">
        <v>0.46550000000000002</v>
      </c>
      <c r="T28" s="297">
        <v>24305</v>
      </c>
      <c r="U28" s="340">
        <v>108773</v>
      </c>
      <c r="V28" s="340">
        <v>325751</v>
      </c>
      <c r="W28" s="297">
        <v>59086</v>
      </c>
      <c r="X28" s="296">
        <v>-7.0000000000000001E-3</v>
      </c>
    </row>
    <row r="29" spans="13:24">
      <c r="M29">
        <v>27</v>
      </c>
      <c r="N29">
        <v>60030</v>
      </c>
      <c r="O29" t="s">
        <v>866</v>
      </c>
      <c r="P29" t="s">
        <v>131</v>
      </c>
      <c r="Q29">
        <v>20</v>
      </c>
      <c r="R29" s="296">
        <v>8.0999999999999996E-3</v>
      </c>
      <c r="S29" s="296">
        <v>0.47360000000000002</v>
      </c>
      <c r="T29" s="297">
        <v>14574</v>
      </c>
      <c r="U29" s="340">
        <v>141787</v>
      </c>
      <c r="V29" s="340">
        <v>328542</v>
      </c>
      <c r="W29" s="297">
        <v>36296</v>
      </c>
      <c r="X29" s="296">
        <v>-2E-3</v>
      </c>
    </row>
    <row r="30" spans="13:24">
      <c r="M30">
        <v>28</v>
      </c>
      <c r="N30">
        <v>60625</v>
      </c>
      <c r="O30" t="s">
        <v>437</v>
      </c>
      <c r="P30" t="s">
        <v>131</v>
      </c>
      <c r="Q30">
        <v>13</v>
      </c>
      <c r="R30" s="296">
        <v>8.0999999999999996E-3</v>
      </c>
      <c r="S30" s="296">
        <v>0.48170000000000002</v>
      </c>
      <c r="T30" s="297">
        <v>30941</v>
      </c>
      <c r="U30" s="340">
        <v>123429</v>
      </c>
      <c r="V30" s="340">
        <v>520513</v>
      </c>
      <c r="W30" s="297">
        <v>75293</v>
      </c>
      <c r="X30" s="296">
        <v>-7.0000000000000001E-3</v>
      </c>
    </row>
    <row r="31" spans="13:24">
      <c r="M31">
        <v>29</v>
      </c>
      <c r="N31">
        <v>60060</v>
      </c>
      <c r="O31" t="s">
        <v>552</v>
      </c>
      <c r="P31" t="s">
        <v>131</v>
      </c>
      <c r="Q31">
        <v>15</v>
      </c>
      <c r="R31" s="296">
        <v>7.7999999999999996E-3</v>
      </c>
      <c r="S31" s="296">
        <v>0.48949999999999999</v>
      </c>
      <c r="T31" s="297">
        <v>13649</v>
      </c>
      <c r="U31" s="340">
        <v>140928</v>
      </c>
      <c r="V31" s="340">
        <v>370760</v>
      </c>
      <c r="W31" s="297">
        <v>37022</v>
      </c>
      <c r="X31" s="296">
        <v>-4.0000000000000001E-3</v>
      </c>
    </row>
    <row r="32" spans="13:24">
      <c r="M32">
        <v>30</v>
      </c>
      <c r="N32">
        <v>60634</v>
      </c>
      <c r="O32" t="s">
        <v>437</v>
      </c>
      <c r="P32" t="s">
        <v>131</v>
      </c>
      <c r="Q32">
        <v>14</v>
      </c>
      <c r="R32" s="296">
        <v>7.7999999999999996E-3</v>
      </c>
      <c r="S32" s="296">
        <v>0.49719999999999998</v>
      </c>
      <c r="T32" s="297">
        <v>26332</v>
      </c>
      <c r="U32" s="340">
        <v>107107</v>
      </c>
      <c r="V32" s="340">
        <v>342738</v>
      </c>
      <c r="W32" s="297">
        <v>73272</v>
      </c>
      <c r="X32" s="296">
        <v>-8.9999999999999993E-3</v>
      </c>
    </row>
    <row r="33" spans="13:24">
      <c r="M33">
        <v>31</v>
      </c>
      <c r="N33">
        <v>60074</v>
      </c>
      <c r="O33" t="s">
        <v>623</v>
      </c>
      <c r="P33" t="s">
        <v>131</v>
      </c>
      <c r="Q33">
        <v>12</v>
      </c>
      <c r="R33" s="296">
        <v>7.6E-3</v>
      </c>
      <c r="S33" s="296">
        <v>0.50490000000000002</v>
      </c>
      <c r="T33" s="297">
        <v>14845</v>
      </c>
      <c r="U33" s="340">
        <v>111699</v>
      </c>
      <c r="V33" s="340">
        <v>322395</v>
      </c>
      <c r="W33" s="297">
        <v>36595</v>
      </c>
      <c r="X33" s="296">
        <v>-8.0000000000000002E-3</v>
      </c>
    </row>
    <row r="34" spans="13:24">
      <c r="M34">
        <v>32</v>
      </c>
      <c r="N34">
        <v>60067</v>
      </c>
      <c r="O34" t="s">
        <v>623</v>
      </c>
      <c r="P34" t="s">
        <v>131</v>
      </c>
      <c r="Q34">
        <v>13</v>
      </c>
      <c r="R34" s="296">
        <v>7.4999999999999997E-3</v>
      </c>
      <c r="S34" s="296">
        <v>0.51239999999999997</v>
      </c>
      <c r="T34" s="297">
        <v>15879</v>
      </c>
      <c r="U34" s="340">
        <v>171845</v>
      </c>
      <c r="V34" s="340">
        <v>461275</v>
      </c>
      <c r="W34" s="297">
        <v>38472</v>
      </c>
      <c r="X34" s="296">
        <v>-8.9999999999999993E-3</v>
      </c>
    </row>
    <row r="35" spans="13:24">
      <c r="M35">
        <v>33</v>
      </c>
      <c r="N35">
        <v>60646</v>
      </c>
      <c r="O35" t="s">
        <v>437</v>
      </c>
      <c r="P35" t="s">
        <v>131</v>
      </c>
      <c r="Q35">
        <v>11</v>
      </c>
      <c r="R35" s="296">
        <v>7.4000000000000003E-3</v>
      </c>
      <c r="S35" s="296">
        <v>0.51980000000000004</v>
      </c>
      <c r="T35" s="297">
        <v>10139</v>
      </c>
      <c r="U35" s="340">
        <v>169565</v>
      </c>
      <c r="V35" s="340">
        <v>539625</v>
      </c>
      <c r="W35" s="297">
        <v>26169</v>
      </c>
      <c r="X35" s="296">
        <v>-0.01</v>
      </c>
    </row>
    <row r="36" spans="13:24">
      <c r="M36">
        <v>34</v>
      </c>
      <c r="N36">
        <v>60640</v>
      </c>
      <c r="O36" t="s">
        <v>437</v>
      </c>
      <c r="P36" t="s">
        <v>131</v>
      </c>
      <c r="Q36">
        <v>14</v>
      </c>
      <c r="R36" s="296">
        <v>7.1999999999999998E-3</v>
      </c>
      <c r="S36" s="296">
        <v>0.52700000000000002</v>
      </c>
      <c r="T36" s="297">
        <v>39187</v>
      </c>
      <c r="U36" s="340">
        <v>106845</v>
      </c>
      <c r="V36" s="340">
        <v>474394</v>
      </c>
      <c r="W36" s="297">
        <v>68456</v>
      </c>
      <c r="X36" s="296">
        <v>1E-3</v>
      </c>
    </row>
    <row r="37" spans="13:24">
      <c r="M37">
        <v>35</v>
      </c>
      <c r="N37">
        <v>60073</v>
      </c>
      <c r="O37" t="s">
        <v>732</v>
      </c>
      <c r="P37" t="s">
        <v>131</v>
      </c>
      <c r="Q37">
        <v>22</v>
      </c>
      <c r="R37" s="296">
        <v>6.6E-3</v>
      </c>
      <c r="S37" s="296">
        <v>0.53369999999999995</v>
      </c>
      <c r="T37" s="297">
        <v>19313</v>
      </c>
      <c r="U37" s="340">
        <v>110252</v>
      </c>
      <c r="V37" s="340">
        <v>250328</v>
      </c>
      <c r="W37" s="297">
        <v>60239</v>
      </c>
      <c r="X37" s="296">
        <v>-4.0000000000000001E-3</v>
      </c>
    </row>
    <row r="38" spans="13:24">
      <c r="M38">
        <v>36</v>
      </c>
      <c r="N38">
        <v>60010</v>
      </c>
      <c r="O38" t="s">
        <v>455</v>
      </c>
      <c r="P38" t="s">
        <v>131</v>
      </c>
      <c r="Q38">
        <v>19</v>
      </c>
      <c r="R38" s="296">
        <v>6.6E-3</v>
      </c>
      <c r="S38" s="296">
        <v>0.5403</v>
      </c>
      <c r="T38" s="297">
        <v>16587</v>
      </c>
      <c r="U38" s="340">
        <v>221629</v>
      </c>
      <c r="V38" s="340">
        <v>654795</v>
      </c>
      <c r="W38" s="297">
        <v>44902</v>
      </c>
      <c r="X38" s="296">
        <v>-3.0000000000000001E-3</v>
      </c>
    </row>
    <row r="39" spans="13:24">
      <c r="M39">
        <v>37</v>
      </c>
      <c r="N39">
        <v>60202</v>
      </c>
      <c r="O39" t="s">
        <v>627</v>
      </c>
      <c r="P39" t="s">
        <v>131</v>
      </c>
      <c r="Q39">
        <v>10</v>
      </c>
      <c r="R39" s="296">
        <v>6.4999999999999997E-3</v>
      </c>
      <c r="S39" s="296">
        <v>0.54679999999999995</v>
      </c>
      <c r="T39" s="297">
        <v>14196</v>
      </c>
      <c r="U39" s="340">
        <v>144803</v>
      </c>
      <c r="V39" s="340">
        <v>510582</v>
      </c>
      <c r="W39" s="297">
        <v>32123</v>
      </c>
      <c r="X39" s="296">
        <v>-8.0000000000000002E-3</v>
      </c>
    </row>
    <row r="40" spans="13:24">
      <c r="M40">
        <v>38</v>
      </c>
      <c r="N40">
        <v>60631</v>
      </c>
      <c r="O40" t="s">
        <v>437</v>
      </c>
      <c r="P40" t="s">
        <v>131</v>
      </c>
      <c r="Q40">
        <v>11</v>
      </c>
      <c r="R40" s="296">
        <v>6.0000000000000001E-3</v>
      </c>
      <c r="S40" s="296">
        <v>0.55279999999999996</v>
      </c>
      <c r="T40" s="297">
        <v>11747</v>
      </c>
      <c r="U40" s="340">
        <v>150326</v>
      </c>
      <c r="V40" s="340">
        <v>462364</v>
      </c>
      <c r="W40" s="297">
        <v>27792</v>
      </c>
      <c r="X40" s="296">
        <v>-1.0999999999999999E-2</v>
      </c>
    </row>
    <row r="41" spans="13:24">
      <c r="M41">
        <v>39</v>
      </c>
      <c r="N41">
        <v>60046</v>
      </c>
      <c r="O41" t="s">
        <v>867</v>
      </c>
      <c r="P41" t="s">
        <v>131</v>
      </c>
      <c r="Q41">
        <v>19</v>
      </c>
      <c r="R41" s="296">
        <v>5.8999999999999999E-3</v>
      </c>
      <c r="S41" s="296">
        <v>0.55869999999999997</v>
      </c>
      <c r="T41" s="297">
        <v>12471</v>
      </c>
      <c r="U41" s="340">
        <v>142419</v>
      </c>
      <c r="V41" s="340">
        <v>319011</v>
      </c>
      <c r="W41" s="297">
        <v>34061</v>
      </c>
      <c r="X41" s="296">
        <v>-3.0000000000000001E-3</v>
      </c>
    </row>
    <row r="42" spans="13:24">
      <c r="M42">
        <v>40</v>
      </c>
      <c r="N42">
        <v>60641</v>
      </c>
      <c r="O42" t="s">
        <v>437</v>
      </c>
      <c r="P42" t="s">
        <v>131</v>
      </c>
      <c r="Q42">
        <v>14</v>
      </c>
      <c r="R42" s="296">
        <v>5.7000000000000002E-3</v>
      </c>
      <c r="S42" s="296">
        <v>0.56440000000000001</v>
      </c>
      <c r="T42" s="297">
        <v>25546</v>
      </c>
      <c r="U42" s="340">
        <v>113660</v>
      </c>
      <c r="V42" s="340">
        <v>410384</v>
      </c>
      <c r="W42" s="297">
        <v>65966</v>
      </c>
      <c r="X42" s="296">
        <v>-0.01</v>
      </c>
    </row>
    <row r="43" spans="13:24">
      <c r="M43">
        <v>41</v>
      </c>
      <c r="N43">
        <v>60714</v>
      </c>
      <c r="O43" t="s">
        <v>444</v>
      </c>
      <c r="P43" t="s">
        <v>131</v>
      </c>
      <c r="Q43">
        <v>8</v>
      </c>
      <c r="R43" s="296">
        <v>5.7000000000000002E-3</v>
      </c>
      <c r="S43" s="296">
        <v>0.57010000000000005</v>
      </c>
      <c r="T43" s="297">
        <v>12496</v>
      </c>
      <c r="U43" s="340">
        <v>111121</v>
      </c>
      <c r="V43" s="340">
        <v>379779</v>
      </c>
      <c r="W43" s="297">
        <v>31574</v>
      </c>
      <c r="X43" s="296">
        <v>-8.0000000000000002E-3</v>
      </c>
    </row>
    <row r="44" spans="13:24">
      <c r="M44">
        <v>42</v>
      </c>
      <c r="N44">
        <v>60083</v>
      </c>
      <c r="O44" t="s">
        <v>868</v>
      </c>
      <c r="P44" t="s">
        <v>131</v>
      </c>
      <c r="Q44">
        <v>21</v>
      </c>
      <c r="R44" s="296">
        <v>5.5999999999999999E-3</v>
      </c>
      <c r="S44" s="296">
        <v>0.57569999999999999</v>
      </c>
      <c r="T44" s="297">
        <v>3494</v>
      </c>
      <c r="U44" s="340">
        <v>141113</v>
      </c>
      <c r="V44" s="340">
        <v>365312</v>
      </c>
      <c r="W44" s="297">
        <v>9461</v>
      </c>
      <c r="X44" s="296">
        <v>-1E-3</v>
      </c>
    </row>
    <row r="45" spans="13:24">
      <c r="M45">
        <v>43</v>
      </c>
      <c r="N45">
        <v>60645</v>
      </c>
      <c r="O45" t="s">
        <v>437</v>
      </c>
      <c r="P45" t="s">
        <v>131</v>
      </c>
      <c r="Q45">
        <v>11</v>
      </c>
      <c r="R45" s="296">
        <v>5.4999999999999997E-3</v>
      </c>
      <c r="S45" s="296">
        <v>0.58120000000000005</v>
      </c>
      <c r="T45" s="297">
        <v>16339</v>
      </c>
      <c r="U45" s="340">
        <v>105674</v>
      </c>
      <c r="V45" s="340">
        <v>416728</v>
      </c>
      <c r="W45" s="297">
        <v>45587</v>
      </c>
      <c r="X45" s="296">
        <v>-8.0000000000000002E-3</v>
      </c>
    </row>
    <row r="46" spans="13:24">
      <c r="M46">
        <v>44</v>
      </c>
      <c r="N46">
        <v>60657</v>
      </c>
      <c r="O46" t="s">
        <v>437</v>
      </c>
      <c r="P46" t="s">
        <v>131</v>
      </c>
      <c r="Q46">
        <v>16</v>
      </c>
      <c r="R46" s="296">
        <v>5.3E-3</v>
      </c>
      <c r="S46" s="296">
        <v>0.58650000000000002</v>
      </c>
      <c r="T46" s="297">
        <v>42423</v>
      </c>
      <c r="U46" s="340">
        <v>167681</v>
      </c>
      <c r="V46" s="340">
        <v>667184</v>
      </c>
      <c r="W46" s="297">
        <v>75116</v>
      </c>
      <c r="X46" s="296">
        <v>-3.0000000000000001E-3</v>
      </c>
    </row>
    <row r="47" spans="13:24">
      <c r="M47">
        <v>45</v>
      </c>
      <c r="N47">
        <v>60647</v>
      </c>
      <c r="O47" t="s">
        <v>437</v>
      </c>
      <c r="P47" t="s">
        <v>131</v>
      </c>
      <c r="Q47">
        <v>16</v>
      </c>
      <c r="R47" s="296">
        <v>5.3E-3</v>
      </c>
      <c r="S47" s="296">
        <v>0.59179999999999999</v>
      </c>
      <c r="T47" s="297">
        <v>37382</v>
      </c>
      <c r="U47" s="340">
        <v>149821</v>
      </c>
      <c r="V47" s="340">
        <v>611937</v>
      </c>
      <c r="W47" s="297">
        <v>81440</v>
      </c>
      <c r="X47" s="296">
        <v>-5.0000000000000001E-3</v>
      </c>
    </row>
    <row r="48" spans="13:24">
      <c r="M48">
        <v>46</v>
      </c>
      <c r="N48">
        <v>60005</v>
      </c>
      <c r="O48" t="s">
        <v>854</v>
      </c>
      <c r="P48" t="s">
        <v>131</v>
      </c>
      <c r="Q48">
        <v>12</v>
      </c>
      <c r="R48" s="296">
        <v>5.1000000000000004E-3</v>
      </c>
      <c r="S48" s="296">
        <v>0.59689999999999999</v>
      </c>
      <c r="T48" s="297">
        <v>13443</v>
      </c>
      <c r="U48" s="340">
        <v>137914</v>
      </c>
      <c r="V48" s="340">
        <v>429257</v>
      </c>
      <c r="W48" s="297">
        <v>29966</v>
      </c>
      <c r="X48" s="296">
        <v>-8.9999999999999993E-3</v>
      </c>
    </row>
    <row r="49" spans="13:24">
      <c r="M49">
        <v>47</v>
      </c>
      <c r="N49">
        <v>60626</v>
      </c>
      <c r="O49" t="s">
        <v>437</v>
      </c>
      <c r="P49" t="s">
        <v>131</v>
      </c>
      <c r="Q49">
        <v>11</v>
      </c>
      <c r="R49" s="296">
        <v>4.8999999999999998E-3</v>
      </c>
      <c r="S49" s="296">
        <v>0.60170000000000001</v>
      </c>
      <c r="T49" s="297">
        <v>24963</v>
      </c>
      <c r="U49" s="340">
        <v>79919</v>
      </c>
      <c r="V49" s="340">
        <v>385486</v>
      </c>
      <c r="W49" s="297">
        <v>50603</v>
      </c>
      <c r="X49" s="296">
        <v>-8.0000000000000002E-3</v>
      </c>
    </row>
    <row r="50" spans="13:24">
      <c r="M50">
        <v>48</v>
      </c>
      <c r="N50">
        <v>60069</v>
      </c>
      <c r="O50" t="s">
        <v>869</v>
      </c>
      <c r="P50" t="s">
        <v>131</v>
      </c>
      <c r="Q50">
        <v>8</v>
      </c>
      <c r="R50" s="296">
        <v>4.8999999999999998E-3</v>
      </c>
      <c r="S50" s="296">
        <v>0.60660000000000003</v>
      </c>
      <c r="T50" s="297">
        <v>3581</v>
      </c>
      <c r="U50" s="340">
        <v>214633</v>
      </c>
      <c r="V50" s="340">
        <v>622100</v>
      </c>
      <c r="W50" s="297">
        <v>9480</v>
      </c>
      <c r="X50" s="296">
        <v>1.0999999999999999E-2</v>
      </c>
    </row>
    <row r="51" spans="13:24">
      <c r="M51">
        <v>49</v>
      </c>
      <c r="N51">
        <v>60622</v>
      </c>
      <c r="O51" t="s">
        <v>437</v>
      </c>
      <c r="P51" t="s">
        <v>131</v>
      </c>
      <c r="Q51">
        <v>18</v>
      </c>
      <c r="R51" s="296">
        <v>4.7999999999999996E-3</v>
      </c>
      <c r="S51" s="296">
        <v>0.61140000000000005</v>
      </c>
      <c r="T51" s="297">
        <v>25973</v>
      </c>
      <c r="U51" s="340">
        <v>179121</v>
      </c>
      <c r="V51" s="340">
        <v>669931</v>
      </c>
      <c r="W51" s="297">
        <v>53023</v>
      </c>
      <c r="X51" s="296">
        <v>-6.0000000000000001E-3</v>
      </c>
    </row>
    <row r="52" spans="13:24">
      <c r="M52">
        <v>50</v>
      </c>
      <c r="N52">
        <v>60659</v>
      </c>
      <c r="O52" t="s">
        <v>437</v>
      </c>
      <c r="P52" t="s">
        <v>131</v>
      </c>
      <c r="Q52">
        <v>11</v>
      </c>
      <c r="R52" s="296">
        <v>4.5999999999999999E-3</v>
      </c>
      <c r="S52" s="296">
        <v>0.61599999999999999</v>
      </c>
      <c r="T52" s="297">
        <v>13755</v>
      </c>
      <c r="U52" s="340">
        <v>97766</v>
      </c>
      <c r="V52" s="340">
        <v>421085</v>
      </c>
      <c r="W52" s="297">
        <v>38814</v>
      </c>
      <c r="X52" s="296">
        <v>-8.0000000000000002E-3</v>
      </c>
    </row>
    <row r="53" spans="13:24">
      <c r="M53">
        <v>51</v>
      </c>
      <c r="N53">
        <v>60656</v>
      </c>
      <c r="O53" t="s">
        <v>437</v>
      </c>
      <c r="P53" t="s">
        <v>131</v>
      </c>
      <c r="Q53">
        <v>12</v>
      </c>
      <c r="R53" s="296">
        <v>4.4000000000000003E-3</v>
      </c>
      <c r="S53" s="296">
        <v>0.62039999999999995</v>
      </c>
      <c r="T53" s="297">
        <v>11963</v>
      </c>
      <c r="U53" s="340">
        <v>110721</v>
      </c>
      <c r="V53" s="340">
        <v>372839</v>
      </c>
      <c r="W53" s="297">
        <v>28321</v>
      </c>
      <c r="X53" s="296">
        <v>-8.9999999999999993E-3</v>
      </c>
    </row>
    <row r="54" spans="13:24">
      <c r="M54">
        <v>52</v>
      </c>
      <c r="N54">
        <v>60614</v>
      </c>
      <c r="O54" t="s">
        <v>437</v>
      </c>
      <c r="P54" t="s">
        <v>131</v>
      </c>
      <c r="Q54">
        <v>17</v>
      </c>
      <c r="R54" s="296">
        <v>4.3E-3</v>
      </c>
      <c r="S54" s="296">
        <v>0.62470000000000003</v>
      </c>
      <c r="T54" s="297">
        <v>36398</v>
      </c>
      <c r="U54" s="340">
        <v>197435</v>
      </c>
      <c r="V54" s="340">
        <v>906768</v>
      </c>
      <c r="W54" s="297">
        <v>71145</v>
      </c>
      <c r="X54" s="296">
        <v>-2E-3</v>
      </c>
    </row>
    <row r="55" spans="13:24">
      <c r="M55">
        <v>53</v>
      </c>
      <c r="N55">
        <v>60007</v>
      </c>
      <c r="O55" t="s">
        <v>870</v>
      </c>
      <c r="P55" t="s">
        <v>131</v>
      </c>
      <c r="Q55">
        <v>14</v>
      </c>
      <c r="R55" s="296">
        <v>4.3E-3</v>
      </c>
      <c r="S55" s="296">
        <v>0.629</v>
      </c>
      <c r="T55" s="297">
        <v>13607</v>
      </c>
      <c r="U55" s="340">
        <v>123428</v>
      </c>
      <c r="V55" s="340">
        <v>348363</v>
      </c>
      <c r="W55" s="297">
        <v>32417</v>
      </c>
      <c r="X55" s="296">
        <v>-8.9999999999999993E-3</v>
      </c>
    </row>
    <row r="56" spans="13:24">
      <c r="M56">
        <v>54</v>
      </c>
      <c r="N56">
        <v>60660</v>
      </c>
      <c r="O56" t="s">
        <v>437</v>
      </c>
      <c r="P56" t="s">
        <v>131</v>
      </c>
      <c r="Q56">
        <v>13</v>
      </c>
      <c r="R56" s="296">
        <v>4.1000000000000003E-3</v>
      </c>
      <c r="S56" s="296">
        <v>0.6331</v>
      </c>
      <c r="T56" s="297">
        <v>21849</v>
      </c>
      <c r="U56" s="340">
        <v>101036</v>
      </c>
      <c r="V56" s="340">
        <v>444448</v>
      </c>
      <c r="W56" s="297">
        <v>41448</v>
      </c>
      <c r="X56" s="296">
        <v>-4.0000000000000001E-3</v>
      </c>
    </row>
    <row r="57" spans="13:24">
      <c r="M57">
        <v>55</v>
      </c>
      <c r="N57">
        <v>60712</v>
      </c>
      <c r="O57" t="s">
        <v>871</v>
      </c>
      <c r="P57" t="s">
        <v>131</v>
      </c>
      <c r="Q57">
        <v>10</v>
      </c>
      <c r="R57" s="296">
        <v>3.8E-3</v>
      </c>
      <c r="S57" s="296">
        <v>0.63690000000000002</v>
      </c>
      <c r="T57" s="297">
        <v>4618</v>
      </c>
      <c r="U57" s="340">
        <v>152262</v>
      </c>
      <c r="V57" s="340">
        <v>517609</v>
      </c>
      <c r="W57" s="297">
        <v>13797</v>
      </c>
      <c r="X57" s="296">
        <v>6.0000000000000001E-3</v>
      </c>
    </row>
    <row r="58" spans="13:24">
      <c r="M58">
        <v>56</v>
      </c>
      <c r="N58">
        <v>60639</v>
      </c>
      <c r="O58" t="s">
        <v>437</v>
      </c>
      <c r="P58" t="s">
        <v>131</v>
      </c>
      <c r="Q58">
        <v>16</v>
      </c>
      <c r="R58" s="296">
        <v>3.5999999999999999E-3</v>
      </c>
      <c r="S58" s="296">
        <v>0.64049999999999996</v>
      </c>
      <c r="T58" s="297">
        <v>26382</v>
      </c>
      <c r="U58" s="340">
        <v>82882</v>
      </c>
      <c r="V58" s="340">
        <v>324001</v>
      </c>
      <c r="W58" s="297">
        <v>82844</v>
      </c>
      <c r="X58" s="296">
        <v>-1.0999999999999999E-2</v>
      </c>
    </row>
    <row r="59" spans="13:24">
      <c r="M59">
        <v>57</v>
      </c>
      <c r="N59">
        <v>60707</v>
      </c>
      <c r="O59" t="s">
        <v>770</v>
      </c>
      <c r="P59" t="s">
        <v>131</v>
      </c>
      <c r="Q59">
        <v>16</v>
      </c>
      <c r="R59" s="296">
        <v>3.5000000000000001E-3</v>
      </c>
      <c r="S59" s="296">
        <v>0.64390000000000003</v>
      </c>
      <c r="T59" s="297">
        <v>16151</v>
      </c>
      <c r="U59" s="340">
        <v>106837</v>
      </c>
      <c r="V59" s="340">
        <v>343155</v>
      </c>
      <c r="W59" s="297">
        <v>41333</v>
      </c>
      <c r="X59" s="296">
        <v>-0.01</v>
      </c>
    </row>
    <row r="60" spans="13:24">
      <c r="M60">
        <v>58</v>
      </c>
      <c r="N60">
        <v>60018</v>
      </c>
      <c r="O60" t="s">
        <v>341</v>
      </c>
      <c r="P60" t="s">
        <v>131</v>
      </c>
      <c r="Q60">
        <v>11</v>
      </c>
      <c r="R60" s="296">
        <v>3.3999999999999998E-3</v>
      </c>
      <c r="S60" s="296">
        <v>0.64729999999999999</v>
      </c>
      <c r="T60" s="297">
        <v>10067</v>
      </c>
      <c r="U60" s="340">
        <v>101860</v>
      </c>
      <c r="V60" s="340">
        <v>321767</v>
      </c>
      <c r="W60" s="297">
        <v>28834</v>
      </c>
      <c r="X60" s="296">
        <v>-8.0000000000000002E-3</v>
      </c>
    </row>
    <row r="61" spans="13:24">
      <c r="M61">
        <v>59</v>
      </c>
      <c r="N61">
        <v>60193</v>
      </c>
      <c r="O61" t="s">
        <v>872</v>
      </c>
      <c r="P61" t="s">
        <v>131</v>
      </c>
      <c r="Q61">
        <v>18</v>
      </c>
      <c r="R61" s="296">
        <v>3.3E-3</v>
      </c>
      <c r="S61" s="296">
        <v>0.65059999999999996</v>
      </c>
      <c r="T61" s="297">
        <v>16149</v>
      </c>
      <c r="U61" s="340">
        <v>118137</v>
      </c>
      <c r="V61" s="340">
        <v>360246</v>
      </c>
      <c r="W61" s="297">
        <v>39967</v>
      </c>
      <c r="X61" s="296">
        <v>-7.0000000000000001E-3</v>
      </c>
    </row>
    <row r="62" spans="13:24">
      <c r="M62">
        <v>60</v>
      </c>
      <c r="N62">
        <v>60044</v>
      </c>
      <c r="O62" t="s">
        <v>873</v>
      </c>
      <c r="P62" t="s">
        <v>131</v>
      </c>
      <c r="Q62">
        <v>10</v>
      </c>
      <c r="R62" s="296">
        <v>3.3E-3</v>
      </c>
      <c r="S62" s="296">
        <v>0.65390000000000004</v>
      </c>
      <c r="T62" s="297">
        <v>4163</v>
      </c>
      <c r="U62" s="340">
        <v>192857</v>
      </c>
      <c r="V62" s="340">
        <v>621904</v>
      </c>
      <c r="W62" s="297">
        <v>10160</v>
      </c>
      <c r="X62" s="296">
        <v>-4.0000000000000001E-3</v>
      </c>
    </row>
    <row r="63" spans="13:24">
      <c r="M63">
        <v>61</v>
      </c>
      <c r="N63">
        <v>60040</v>
      </c>
      <c r="O63" t="s">
        <v>874</v>
      </c>
      <c r="P63" t="s">
        <v>131</v>
      </c>
      <c r="Q63">
        <v>4</v>
      </c>
      <c r="R63" s="296">
        <v>3.3E-3</v>
      </c>
      <c r="S63" s="296">
        <v>0.65710000000000002</v>
      </c>
      <c r="T63" s="297">
        <v>1886</v>
      </c>
      <c r="U63" s="340">
        <v>122924</v>
      </c>
      <c r="V63" s="340">
        <v>513924</v>
      </c>
      <c r="W63" s="297">
        <v>4870</v>
      </c>
      <c r="X63" s="296">
        <v>-0.01</v>
      </c>
    </row>
    <row r="64" spans="13:24">
      <c r="M64">
        <v>62</v>
      </c>
      <c r="N64">
        <v>60014</v>
      </c>
      <c r="O64" t="s">
        <v>875</v>
      </c>
      <c r="P64" t="s">
        <v>131</v>
      </c>
      <c r="Q64">
        <v>28</v>
      </c>
      <c r="R64" s="296">
        <v>3.3E-3</v>
      </c>
      <c r="S64" s="296">
        <v>0.66039999999999999</v>
      </c>
      <c r="T64" s="297">
        <v>17775</v>
      </c>
      <c r="U64" s="340">
        <v>129279</v>
      </c>
      <c r="V64" s="340">
        <v>344006</v>
      </c>
      <c r="W64" s="297">
        <v>47626</v>
      </c>
      <c r="X64" s="296">
        <v>0</v>
      </c>
    </row>
    <row r="65" spans="13:24">
      <c r="M65">
        <v>63</v>
      </c>
      <c r="N65">
        <v>60126</v>
      </c>
      <c r="O65" t="s">
        <v>448</v>
      </c>
      <c r="P65" t="s">
        <v>131</v>
      </c>
      <c r="Q65">
        <v>19</v>
      </c>
      <c r="R65" s="296">
        <v>3.2000000000000002E-3</v>
      </c>
      <c r="S65" s="296">
        <v>0.66359999999999997</v>
      </c>
      <c r="T65" s="297">
        <v>17255</v>
      </c>
      <c r="U65" s="340">
        <v>190677</v>
      </c>
      <c r="V65" s="340">
        <v>627245</v>
      </c>
      <c r="W65" s="297">
        <v>47576</v>
      </c>
      <c r="X65" s="296">
        <v>-3.0000000000000001E-3</v>
      </c>
    </row>
    <row r="66" spans="13:24">
      <c r="M66">
        <v>64</v>
      </c>
      <c r="N66">
        <v>60565</v>
      </c>
      <c r="O66" t="s">
        <v>612</v>
      </c>
      <c r="P66" t="s">
        <v>131</v>
      </c>
      <c r="Q66">
        <v>34</v>
      </c>
      <c r="R66" s="296">
        <v>3.2000000000000002E-3</v>
      </c>
      <c r="S66" s="296">
        <v>0.66679999999999995</v>
      </c>
      <c r="T66" s="297">
        <v>13692</v>
      </c>
      <c r="U66" s="340">
        <v>202413</v>
      </c>
      <c r="V66" s="340">
        <v>502583</v>
      </c>
      <c r="W66" s="297">
        <v>39407</v>
      </c>
      <c r="X66" s="296">
        <v>-6.0000000000000001E-3</v>
      </c>
    </row>
    <row r="67" spans="13:24">
      <c r="M67">
        <v>65</v>
      </c>
      <c r="N67">
        <v>60002</v>
      </c>
      <c r="O67" t="s">
        <v>312</v>
      </c>
      <c r="P67" t="s">
        <v>131</v>
      </c>
      <c r="Q67">
        <v>28</v>
      </c>
      <c r="R67" s="296">
        <v>3.0999999999999999E-3</v>
      </c>
      <c r="S67" s="296">
        <v>0.66990000000000005</v>
      </c>
      <c r="T67" s="297">
        <v>9671</v>
      </c>
      <c r="U67" s="340">
        <v>135153</v>
      </c>
      <c r="V67" s="340">
        <v>327349</v>
      </c>
      <c r="W67" s="297">
        <v>24366</v>
      </c>
      <c r="X67" s="296">
        <v>2E-3</v>
      </c>
    </row>
    <row r="68" spans="13:24">
      <c r="M68">
        <v>66</v>
      </c>
      <c r="N68">
        <v>60008</v>
      </c>
      <c r="O68" t="s">
        <v>876</v>
      </c>
      <c r="P68" t="s">
        <v>131</v>
      </c>
      <c r="Q68">
        <v>13</v>
      </c>
      <c r="R68" s="296">
        <v>3.0000000000000001E-3</v>
      </c>
      <c r="S68" s="296">
        <v>0.67290000000000005</v>
      </c>
      <c r="T68" s="297">
        <v>8902</v>
      </c>
      <c r="U68" s="340">
        <v>126490</v>
      </c>
      <c r="V68" s="340">
        <v>341692</v>
      </c>
      <c r="W68" s="297">
        <v>22058</v>
      </c>
      <c r="X68" s="296">
        <v>-7.0000000000000001E-3</v>
      </c>
    </row>
    <row r="69" spans="13:24">
      <c r="M69">
        <v>67</v>
      </c>
      <c r="N69">
        <v>60101</v>
      </c>
      <c r="O69" t="s">
        <v>877</v>
      </c>
      <c r="P69" t="s">
        <v>131</v>
      </c>
      <c r="Q69">
        <v>18</v>
      </c>
      <c r="R69" s="296">
        <v>2.8E-3</v>
      </c>
      <c r="S69" s="296">
        <v>0.67579999999999996</v>
      </c>
      <c r="T69" s="297">
        <v>12883</v>
      </c>
      <c r="U69" s="340">
        <v>103915</v>
      </c>
      <c r="V69" s="340">
        <v>340517</v>
      </c>
      <c r="W69" s="297">
        <v>36129</v>
      </c>
      <c r="X69" s="296">
        <v>-8.0000000000000002E-3</v>
      </c>
    </row>
    <row r="70" spans="13:24">
      <c r="M70">
        <v>68</v>
      </c>
      <c r="N70">
        <v>60608</v>
      </c>
      <c r="O70" t="s">
        <v>437</v>
      </c>
      <c r="P70" t="s">
        <v>131</v>
      </c>
      <c r="Q70">
        <v>21</v>
      </c>
      <c r="R70" s="296">
        <v>2.8E-3</v>
      </c>
      <c r="S70" s="296">
        <v>0.67859999999999998</v>
      </c>
      <c r="T70" s="297">
        <v>27915</v>
      </c>
      <c r="U70" s="340">
        <v>96227</v>
      </c>
      <c r="V70" s="340">
        <v>399594</v>
      </c>
      <c r="W70" s="297">
        <v>68568</v>
      </c>
      <c r="X70" s="296">
        <v>-7.0000000000000001E-3</v>
      </c>
    </row>
    <row r="71" spans="13:24">
      <c r="M71">
        <v>69</v>
      </c>
      <c r="N71">
        <v>60103</v>
      </c>
      <c r="O71" t="s">
        <v>878</v>
      </c>
      <c r="P71" t="s">
        <v>131</v>
      </c>
      <c r="Q71">
        <v>24</v>
      </c>
      <c r="R71" s="296">
        <v>2.7000000000000001E-3</v>
      </c>
      <c r="S71" s="296">
        <v>0.68130000000000002</v>
      </c>
      <c r="T71" s="297">
        <v>13966</v>
      </c>
      <c r="U71" s="340">
        <v>149591</v>
      </c>
      <c r="V71" s="340">
        <v>348215</v>
      </c>
      <c r="W71" s="297">
        <v>39820</v>
      </c>
      <c r="X71" s="296">
        <v>-7.0000000000000001E-3</v>
      </c>
    </row>
    <row r="72" spans="13:24">
      <c r="M72">
        <v>70</v>
      </c>
      <c r="N72">
        <v>60087</v>
      </c>
      <c r="O72" t="s">
        <v>862</v>
      </c>
      <c r="P72" t="s">
        <v>131</v>
      </c>
      <c r="Q72">
        <v>18</v>
      </c>
      <c r="R72" s="296">
        <v>2.5999999999999999E-3</v>
      </c>
      <c r="S72" s="296">
        <v>0.68389999999999995</v>
      </c>
      <c r="T72" s="297">
        <v>9779</v>
      </c>
      <c r="U72" s="340">
        <v>95727</v>
      </c>
      <c r="V72" s="340">
        <v>234627</v>
      </c>
      <c r="W72" s="297">
        <v>27481</v>
      </c>
      <c r="X72" s="296">
        <v>-4.0000000000000001E-3</v>
      </c>
    </row>
    <row r="73" spans="13:24">
      <c r="M73">
        <v>71</v>
      </c>
      <c r="N73">
        <v>60629</v>
      </c>
      <c r="O73" t="s">
        <v>437</v>
      </c>
      <c r="P73" t="s">
        <v>131</v>
      </c>
      <c r="Q73">
        <v>26</v>
      </c>
      <c r="R73" s="296">
        <v>2.5999999999999999E-3</v>
      </c>
      <c r="S73" s="296">
        <v>0.6865</v>
      </c>
      <c r="T73" s="297">
        <v>32619</v>
      </c>
      <c r="U73" s="340">
        <v>75137</v>
      </c>
      <c r="V73" s="340">
        <v>252153</v>
      </c>
      <c r="W73" s="297">
        <v>109809</v>
      </c>
      <c r="X73" s="296">
        <v>-1.2E-2</v>
      </c>
    </row>
    <row r="74" spans="13:24">
      <c r="M74">
        <v>72</v>
      </c>
      <c r="N74">
        <v>60192</v>
      </c>
      <c r="O74" t="s">
        <v>723</v>
      </c>
      <c r="P74" t="s">
        <v>131</v>
      </c>
      <c r="Q74">
        <v>17</v>
      </c>
      <c r="R74" s="296">
        <v>2.5000000000000001E-3</v>
      </c>
      <c r="S74" s="296">
        <v>0.68899999999999995</v>
      </c>
      <c r="T74" s="297">
        <v>5354</v>
      </c>
      <c r="U74" s="340">
        <v>185619</v>
      </c>
      <c r="V74" s="340">
        <v>441149</v>
      </c>
      <c r="W74" s="297">
        <v>15550</v>
      </c>
      <c r="X74" s="296">
        <v>-6.0000000000000001E-3</v>
      </c>
    </row>
    <row r="75" spans="13:24">
      <c r="M75">
        <v>73</v>
      </c>
      <c r="N75">
        <v>60013</v>
      </c>
      <c r="O75" t="s">
        <v>701</v>
      </c>
      <c r="P75" t="s">
        <v>131</v>
      </c>
      <c r="Q75">
        <v>24</v>
      </c>
      <c r="R75" s="296">
        <v>2.5000000000000001E-3</v>
      </c>
      <c r="S75" s="296">
        <v>0.69159999999999999</v>
      </c>
      <c r="T75" s="297">
        <v>9424</v>
      </c>
      <c r="U75" s="340">
        <v>149092</v>
      </c>
      <c r="V75" s="340">
        <v>365078</v>
      </c>
      <c r="W75" s="297">
        <v>25995</v>
      </c>
      <c r="X75" s="296">
        <v>-2E-3</v>
      </c>
    </row>
    <row r="76" spans="13:24">
      <c r="M76">
        <v>74</v>
      </c>
      <c r="N76">
        <v>60612</v>
      </c>
      <c r="O76" t="s">
        <v>437</v>
      </c>
      <c r="P76" t="s">
        <v>131</v>
      </c>
      <c r="Q76">
        <v>19</v>
      </c>
      <c r="R76" s="296">
        <v>2.5000000000000001E-3</v>
      </c>
      <c r="S76" s="296">
        <v>0.69410000000000005</v>
      </c>
      <c r="T76" s="297">
        <v>15161</v>
      </c>
      <c r="U76" s="340">
        <v>102639</v>
      </c>
      <c r="V76" s="340">
        <v>470300</v>
      </c>
      <c r="W76" s="297">
        <v>34636</v>
      </c>
      <c r="X76" s="296">
        <v>-3.0000000000000001E-3</v>
      </c>
    </row>
    <row r="77" spans="13:24">
      <c r="M77">
        <v>75</v>
      </c>
      <c r="N77">
        <v>60070</v>
      </c>
      <c r="O77" t="s">
        <v>879</v>
      </c>
      <c r="P77" t="s">
        <v>131</v>
      </c>
      <c r="Q77">
        <v>8</v>
      </c>
      <c r="R77" s="296">
        <v>2.5000000000000001E-3</v>
      </c>
      <c r="S77" s="296">
        <v>0.6966</v>
      </c>
      <c r="T77" s="297">
        <v>6133</v>
      </c>
      <c r="U77" s="340">
        <v>111473</v>
      </c>
      <c r="V77" s="340">
        <v>355488</v>
      </c>
      <c r="W77" s="297">
        <v>14883</v>
      </c>
      <c r="X77" s="296">
        <v>-1.2999999999999999E-2</v>
      </c>
    </row>
    <row r="78" spans="13:24">
      <c r="M78">
        <v>76</v>
      </c>
      <c r="N78">
        <v>60613</v>
      </c>
      <c r="O78" t="s">
        <v>437</v>
      </c>
      <c r="P78" t="s">
        <v>131</v>
      </c>
      <c r="Q78">
        <v>15</v>
      </c>
      <c r="R78" s="296">
        <v>2.5000000000000001E-3</v>
      </c>
      <c r="S78" s="296">
        <v>0.69910000000000005</v>
      </c>
      <c r="T78" s="297">
        <v>28565</v>
      </c>
      <c r="U78" s="340">
        <v>144730</v>
      </c>
      <c r="V78" s="340">
        <v>559839</v>
      </c>
      <c r="W78" s="297">
        <v>50610</v>
      </c>
      <c r="X78" s="296">
        <v>-4.0000000000000001E-3</v>
      </c>
    </row>
    <row r="79" spans="13:24">
      <c r="M79">
        <v>77</v>
      </c>
      <c r="N79">
        <v>60099</v>
      </c>
      <c r="O79" t="s">
        <v>880</v>
      </c>
      <c r="P79" t="s">
        <v>131</v>
      </c>
      <c r="Q79">
        <v>22</v>
      </c>
      <c r="R79" s="296">
        <v>2.5000000000000001E-3</v>
      </c>
      <c r="S79" s="296">
        <v>0.7016</v>
      </c>
      <c r="T79" s="297">
        <v>11209</v>
      </c>
      <c r="U79" s="340">
        <v>84448</v>
      </c>
      <c r="V79" s="340">
        <v>212473</v>
      </c>
      <c r="W79" s="297">
        <v>31779</v>
      </c>
      <c r="X79" s="296">
        <v>-2E-3</v>
      </c>
    </row>
    <row r="80" spans="13:24">
      <c r="M80">
        <v>78</v>
      </c>
      <c r="N80">
        <v>60706</v>
      </c>
      <c r="O80" t="s">
        <v>881</v>
      </c>
      <c r="P80" t="s">
        <v>131</v>
      </c>
      <c r="Q80">
        <v>13</v>
      </c>
      <c r="R80" s="296">
        <v>2.5000000000000001E-3</v>
      </c>
      <c r="S80" s="296">
        <v>0.70399999999999996</v>
      </c>
      <c r="T80" s="297">
        <v>9324</v>
      </c>
      <c r="U80" s="340">
        <v>110064</v>
      </c>
      <c r="V80" s="340">
        <v>383920</v>
      </c>
      <c r="W80" s="297">
        <v>23620</v>
      </c>
      <c r="X80" s="296">
        <v>-8.0000000000000002E-3</v>
      </c>
    </row>
    <row r="81" spans="13:24">
      <c r="M81">
        <v>79</v>
      </c>
      <c r="N81">
        <v>60616</v>
      </c>
      <c r="O81" t="s">
        <v>437</v>
      </c>
      <c r="P81" t="s">
        <v>131</v>
      </c>
      <c r="Q81">
        <v>23</v>
      </c>
      <c r="R81" s="296">
        <v>2.3999999999999998E-3</v>
      </c>
      <c r="S81" s="296">
        <v>0.70650000000000002</v>
      </c>
      <c r="T81" s="297">
        <v>24894</v>
      </c>
      <c r="U81" s="340">
        <v>105895</v>
      </c>
      <c r="V81" s="340">
        <v>456032</v>
      </c>
      <c r="W81" s="297">
        <v>53166</v>
      </c>
      <c r="X81" s="296">
        <v>-3.0000000000000001E-3</v>
      </c>
    </row>
    <row r="82" spans="13:24">
      <c r="M82">
        <v>80</v>
      </c>
      <c r="N82">
        <v>60611</v>
      </c>
      <c r="O82" t="s">
        <v>437</v>
      </c>
      <c r="P82" t="s">
        <v>131</v>
      </c>
      <c r="Q82">
        <v>19</v>
      </c>
      <c r="R82" s="296">
        <v>2.3999999999999998E-3</v>
      </c>
      <c r="S82" s="296">
        <v>0.70889999999999997</v>
      </c>
      <c r="T82" s="297">
        <v>25350</v>
      </c>
      <c r="U82" s="340">
        <v>190850</v>
      </c>
      <c r="V82" s="340">
        <v>837825</v>
      </c>
      <c r="W82" s="297">
        <v>38988</v>
      </c>
      <c r="X82" s="296">
        <v>-2E-3</v>
      </c>
    </row>
    <row r="83" spans="13:24">
      <c r="M83">
        <v>81</v>
      </c>
      <c r="N83">
        <v>60050</v>
      </c>
      <c r="O83" t="s">
        <v>882</v>
      </c>
      <c r="P83" t="s">
        <v>131</v>
      </c>
      <c r="Q83">
        <v>29</v>
      </c>
      <c r="R83" s="296">
        <v>2.3999999999999998E-3</v>
      </c>
      <c r="S83" s="296">
        <v>0.71130000000000004</v>
      </c>
      <c r="T83" s="297">
        <v>12878</v>
      </c>
      <c r="U83" s="340">
        <v>113469</v>
      </c>
      <c r="V83" s="340">
        <v>294295</v>
      </c>
      <c r="W83" s="297">
        <v>32218</v>
      </c>
      <c r="X83" s="296">
        <v>6.0000000000000001E-3</v>
      </c>
    </row>
    <row r="84" spans="13:24">
      <c r="M84">
        <v>82</v>
      </c>
      <c r="N84">
        <v>60632</v>
      </c>
      <c r="O84" t="s">
        <v>437</v>
      </c>
      <c r="P84" t="s">
        <v>131</v>
      </c>
      <c r="Q84">
        <v>24</v>
      </c>
      <c r="R84" s="296">
        <v>2.3E-3</v>
      </c>
      <c r="S84" s="296">
        <v>0.71360000000000001</v>
      </c>
      <c r="T84" s="297">
        <v>26046</v>
      </c>
      <c r="U84" s="340">
        <v>77923</v>
      </c>
      <c r="V84" s="340">
        <v>292809</v>
      </c>
      <c r="W84" s="297">
        <v>87475</v>
      </c>
      <c r="X84" s="296">
        <v>-1.0999999999999999E-2</v>
      </c>
    </row>
    <row r="85" spans="13:24">
      <c r="M85">
        <v>83</v>
      </c>
      <c r="N85">
        <v>60107</v>
      </c>
      <c r="O85" t="s">
        <v>883</v>
      </c>
      <c r="P85" t="s">
        <v>131</v>
      </c>
      <c r="Q85">
        <v>21</v>
      </c>
      <c r="R85" s="296">
        <v>2.2000000000000001E-3</v>
      </c>
      <c r="S85" s="296">
        <v>0.71579999999999999</v>
      </c>
      <c r="T85" s="297">
        <v>13097</v>
      </c>
      <c r="U85" s="340">
        <v>119152</v>
      </c>
      <c r="V85" s="340">
        <v>293187</v>
      </c>
      <c r="W85" s="297">
        <v>37686</v>
      </c>
      <c r="X85" s="296">
        <v>-0.01</v>
      </c>
    </row>
    <row r="86" spans="13:24">
      <c r="M86">
        <v>84</v>
      </c>
      <c r="N86">
        <v>60623</v>
      </c>
      <c r="O86" t="s">
        <v>437</v>
      </c>
      <c r="P86" t="s">
        <v>131</v>
      </c>
      <c r="Q86">
        <v>21</v>
      </c>
      <c r="R86" s="296">
        <v>2.2000000000000001E-3</v>
      </c>
      <c r="S86" s="296">
        <v>0.71789999999999998</v>
      </c>
      <c r="T86" s="297">
        <v>28083</v>
      </c>
      <c r="U86" s="340">
        <v>60570</v>
      </c>
      <c r="V86" s="340">
        <v>259969</v>
      </c>
      <c r="W86" s="297">
        <v>88976</v>
      </c>
      <c r="X86" s="296">
        <v>-1.0999999999999999E-2</v>
      </c>
    </row>
    <row r="87" spans="13:24">
      <c r="M87">
        <v>85</v>
      </c>
      <c r="N87">
        <v>60804</v>
      </c>
      <c r="O87" t="s">
        <v>884</v>
      </c>
      <c r="P87" t="s">
        <v>131</v>
      </c>
      <c r="Q87">
        <v>21</v>
      </c>
      <c r="R87" s="296">
        <v>2.0999999999999999E-3</v>
      </c>
      <c r="S87" s="296">
        <v>0.72009999999999996</v>
      </c>
      <c r="T87" s="297">
        <v>24070</v>
      </c>
      <c r="U87" s="340">
        <v>83754</v>
      </c>
      <c r="V87" s="340">
        <v>264007</v>
      </c>
      <c r="W87" s="297">
        <v>81499</v>
      </c>
      <c r="X87" s="296">
        <v>-1.2E-2</v>
      </c>
    </row>
    <row r="88" spans="13:24">
      <c r="M88">
        <v>86</v>
      </c>
      <c r="N88">
        <v>60610</v>
      </c>
      <c r="O88" t="s">
        <v>437</v>
      </c>
      <c r="P88" t="s">
        <v>131</v>
      </c>
      <c r="Q88">
        <v>19</v>
      </c>
      <c r="R88" s="296">
        <v>2.0999999999999999E-3</v>
      </c>
      <c r="S88" s="296">
        <v>0.72209999999999996</v>
      </c>
      <c r="T88" s="297">
        <v>28122</v>
      </c>
      <c r="U88" s="340">
        <v>164537</v>
      </c>
      <c r="V88" s="340">
        <v>666620</v>
      </c>
      <c r="W88" s="297">
        <v>44724</v>
      </c>
      <c r="X88" s="296">
        <v>6.0000000000000001E-3</v>
      </c>
    </row>
    <row r="89" spans="13:24">
      <c r="M89">
        <v>87</v>
      </c>
      <c r="N89">
        <v>60169</v>
      </c>
      <c r="O89" t="s">
        <v>723</v>
      </c>
      <c r="P89" t="s">
        <v>131</v>
      </c>
      <c r="Q89">
        <v>18</v>
      </c>
      <c r="R89" s="296">
        <v>2.0999999999999999E-3</v>
      </c>
      <c r="S89" s="296">
        <v>0.72419999999999995</v>
      </c>
      <c r="T89" s="297">
        <v>11622</v>
      </c>
      <c r="U89" s="340">
        <v>109560</v>
      </c>
      <c r="V89" s="340">
        <v>319167</v>
      </c>
      <c r="W89" s="297">
        <v>32136</v>
      </c>
      <c r="X89" s="296">
        <v>-7.0000000000000001E-3</v>
      </c>
    </row>
    <row r="90" spans="13:24">
      <c r="M90">
        <v>88</v>
      </c>
      <c r="N90">
        <v>60084</v>
      </c>
      <c r="O90" t="s">
        <v>885</v>
      </c>
      <c r="P90" t="s">
        <v>131</v>
      </c>
      <c r="Q90">
        <v>20</v>
      </c>
      <c r="R90" s="296">
        <v>2.0999999999999999E-3</v>
      </c>
      <c r="S90" s="296">
        <v>0.72629999999999995</v>
      </c>
      <c r="T90" s="297">
        <v>6416</v>
      </c>
      <c r="U90" s="340">
        <v>131947</v>
      </c>
      <c r="V90" s="340">
        <v>341149</v>
      </c>
      <c r="W90" s="297">
        <v>16641</v>
      </c>
      <c r="X90" s="296">
        <v>-5.0000000000000001E-3</v>
      </c>
    </row>
    <row r="91" spans="13:24">
      <c r="M91">
        <v>89</v>
      </c>
      <c r="N91">
        <v>60564</v>
      </c>
      <c r="O91" t="s">
        <v>612</v>
      </c>
      <c r="P91" t="s">
        <v>131</v>
      </c>
      <c r="Q91">
        <v>37</v>
      </c>
      <c r="R91" s="296">
        <v>2E-3</v>
      </c>
      <c r="S91" s="296">
        <v>0.72829999999999995</v>
      </c>
      <c r="T91" s="297">
        <v>15270</v>
      </c>
      <c r="U91" s="340">
        <v>209389</v>
      </c>
      <c r="V91" s="340">
        <v>540827</v>
      </c>
      <c r="W91" s="297">
        <v>46249</v>
      </c>
      <c r="X91" s="296">
        <v>3.0000000000000001E-3</v>
      </c>
    </row>
    <row r="92" spans="13:24">
      <c r="M92">
        <v>90</v>
      </c>
      <c r="N92">
        <v>60123</v>
      </c>
      <c r="O92" t="s">
        <v>886</v>
      </c>
      <c r="P92" t="s">
        <v>131</v>
      </c>
      <c r="Q92">
        <v>28</v>
      </c>
      <c r="R92" s="296">
        <v>2E-3</v>
      </c>
      <c r="S92" s="296">
        <v>0.73029999999999995</v>
      </c>
      <c r="T92" s="297">
        <v>17315</v>
      </c>
      <c r="U92" s="340">
        <v>101902</v>
      </c>
      <c r="V92" s="340">
        <v>289676</v>
      </c>
      <c r="W92" s="297">
        <v>47139</v>
      </c>
      <c r="X92" s="296">
        <v>-7.0000000000000001E-3</v>
      </c>
    </row>
    <row r="93" spans="13:24">
      <c r="M93">
        <v>91</v>
      </c>
      <c r="N93">
        <v>60110</v>
      </c>
      <c r="O93" t="s">
        <v>887</v>
      </c>
      <c r="P93" t="s">
        <v>131</v>
      </c>
      <c r="Q93">
        <v>24</v>
      </c>
      <c r="R93" s="296">
        <v>2E-3</v>
      </c>
      <c r="S93" s="296">
        <v>0.73229999999999995</v>
      </c>
      <c r="T93" s="297">
        <v>11876</v>
      </c>
      <c r="U93" s="340">
        <v>108558</v>
      </c>
      <c r="V93" s="340">
        <v>297940</v>
      </c>
      <c r="W93" s="297">
        <v>37726</v>
      </c>
      <c r="X93" s="296">
        <v>-5.0000000000000001E-3</v>
      </c>
    </row>
    <row r="94" spans="13:24">
      <c r="M94">
        <v>92</v>
      </c>
      <c r="N94">
        <v>60120</v>
      </c>
      <c r="O94" t="s">
        <v>886</v>
      </c>
      <c r="P94" t="s">
        <v>131</v>
      </c>
      <c r="Q94">
        <v>25</v>
      </c>
      <c r="R94" s="296">
        <v>2E-3</v>
      </c>
      <c r="S94" s="296">
        <v>0.73419999999999996</v>
      </c>
      <c r="T94" s="297">
        <v>16961</v>
      </c>
      <c r="U94" s="340">
        <v>102973</v>
      </c>
      <c r="V94" s="340">
        <v>294861</v>
      </c>
      <c r="W94" s="297">
        <v>50606</v>
      </c>
      <c r="X94" s="296">
        <v>-8.0000000000000002E-3</v>
      </c>
    </row>
    <row r="95" spans="13:24">
      <c r="M95">
        <v>93</v>
      </c>
      <c r="N95">
        <v>60638</v>
      </c>
      <c r="O95" t="s">
        <v>437</v>
      </c>
      <c r="P95" t="s">
        <v>131</v>
      </c>
      <c r="Q95">
        <v>25</v>
      </c>
      <c r="R95" s="296">
        <v>2E-3</v>
      </c>
      <c r="S95" s="296">
        <v>0.73619999999999997</v>
      </c>
      <c r="T95" s="297">
        <v>19984</v>
      </c>
      <c r="U95" s="340">
        <v>107193</v>
      </c>
      <c r="V95" s="340">
        <v>304334</v>
      </c>
      <c r="W95" s="297">
        <v>54776</v>
      </c>
      <c r="X95" s="296">
        <v>-8.9999999999999993E-3</v>
      </c>
    </row>
    <row r="96" spans="13:24">
      <c r="M96">
        <v>94</v>
      </c>
      <c r="N96">
        <v>60173</v>
      </c>
      <c r="O96" t="s">
        <v>872</v>
      </c>
      <c r="P96" t="s">
        <v>131</v>
      </c>
      <c r="Q96">
        <v>15</v>
      </c>
      <c r="R96" s="296">
        <v>1.9E-3</v>
      </c>
      <c r="S96" s="296">
        <v>0.73809999999999998</v>
      </c>
      <c r="T96" s="297">
        <v>6758</v>
      </c>
      <c r="U96" s="340">
        <v>141007</v>
      </c>
      <c r="V96" s="340">
        <v>445701</v>
      </c>
      <c r="W96" s="297">
        <v>14653</v>
      </c>
      <c r="X96" s="296">
        <v>1.4E-2</v>
      </c>
    </row>
    <row r="97" spans="13:24">
      <c r="M97">
        <v>95</v>
      </c>
      <c r="N97">
        <v>60453</v>
      </c>
      <c r="O97" t="s">
        <v>888</v>
      </c>
      <c r="P97" t="s">
        <v>131</v>
      </c>
      <c r="Q97">
        <v>30</v>
      </c>
      <c r="R97" s="296">
        <v>1.9E-3</v>
      </c>
      <c r="S97" s="296">
        <v>0.74009999999999998</v>
      </c>
      <c r="T97" s="297">
        <v>22054</v>
      </c>
      <c r="U97" s="340">
        <v>107907</v>
      </c>
      <c r="V97" s="340">
        <v>290428</v>
      </c>
      <c r="W97" s="297">
        <v>56272</v>
      </c>
      <c r="X97" s="296">
        <v>-8.9999999999999993E-3</v>
      </c>
    </row>
    <row r="98" spans="13:24">
      <c r="M98">
        <v>96</v>
      </c>
      <c r="N98">
        <v>60124</v>
      </c>
      <c r="O98" t="s">
        <v>886</v>
      </c>
      <c r="P98" t="s">
        <v>131</v>
      </c>
      <c r="Q98">
        <v>31</v>
      </c>
      <c r="R98" s="296">
        <v>1.9E-3</v>
      </c>
      <c r="S98" s="296">
        <v>0.74199999999999999</v>
      </c>
      <c r="T98" s="297">
        <v>9752</v>
      </c>
      <c r="U98" s="340">
        <v>175985</v>
      </c>
      <c r="V98" s="340">
        <v>439352</v>
      </c>
      <c r="W98" s="297">
        <v>26842</v>
      </c>
      <c r="X98" s="296">
        <v>2.1000000000000001E-2</v>
      </c>
    </row>
    <row r="99" spans="13:24">
      <c r="M99">
        <v>97</v>
      </c>
      <c r="N99">
        <v>60172</v>
      </c>
      <c r="O99" t="s">
        <v>889</v>
      </c>
      <c r="P99" t="s">
        <v>131</v>
      </c>
      <c r="Q99">
        <v>20</v>
      </c>
      <c r="R99" s="296">
        <v>1.9E-3</v>
      </c>
      <c r="S99" s="296">
        <v>0.74390000000000001</v>
      </c>
      <c r="T99" s="297">
        <v>9473</v>
      </c>
      <c r="U99" s="340">
        <v>139761</v>
      </c>
      <c r="V99" s="340">
        <v>387724</v>
      </c>
      <c r="W99" s="297">
        <v>24089</v>
      </c>
      <c r="X99" s="296">
        <v>-5.0000000000000001E-3</v>
      </c>
    </row>
    <row r="100" spans="13:24">
      <c r="M100">
        <v>98</v>
      </c>
      <c r="N100">
        <v>60051</v>
      </c>
      <c r="O100" t="s">
        <v>882</v>
      </c>
      <c r="P100" t="s">
        <v>131</v>
      </c>
      <c r="Q100">
        <v>27</v>
      </c>
      <c r="R100" s="296">
        <v>1.9E-3</v>
      </c>
      <c r="S100" s="296">
        <v>0.74580000000000002</v>
      </c>
      <c r="T100" s="297">
        <v>10315</v>
      </c>
      <c r="U100" s="340">
        <v>129757</v>
      </c>
      <c r="V100" s="340">
        <v>338671</v>
      </c>
      <c r="W100" s="297">
        <v>25912</v>
      </c>
      <c r="X100" s="296">
        <v>2E-3</v>
      </c>
    </row>
    <row r="101" spans="13:24">
      <c r="M101">
        <v>99</v>
      </c>
      <c r="N101">
        <v>60148</v>
      </c>
      <c r="O101" t="s">
        <v>890</v>
      </c>
      <c r="P101" t="s">
        <v>131</v>
      </c>
      <c r="Q101">
        <v>22</v>
      </c>
      <c r="R101" s="296">
        <v>1.9E-3</v>
      </c>
      <c r="S101" s="296">
        <v>0.74770000000000003</v>
      </c>
      <c r="T101" s="297">
        <v>21608</v>
      </c>
      <c r="U101" s="340">
        <v>127639</v>
      </c>
      <c r="V101" s="340">
        <v>365832</v>
      </c>
      <c r="W101" s="297">
        <v>53309</v>
      </c>
      <c r="X101" s="296">
        <v>0</v>
      </c>
    </row>
    <row r="102" spans="13:24">
      <c r="M102">
        <v>100</v>
      </c>
      <c r="N102">
        <v>60188</v>
      </c>
      <c r="O102" t="s">
        <v>891</v>
      </c>
      <c r="P102" t="s">
        <v>131</v>
      </c>
      <c r="Q102">
        <v>24</v>
      </c>
      <c r="R102" s="296">
        <v>1.9E-3</v>
      </c>
      <c r="S102" s="296">
        <v>0.74950000000000006</v>
      </c>
      <c r="T102" s="297">
        <v>15284</v>
      </c>
      <c r="U102" s="340">
        <v>133312</v>
      </c>
      <c r="V102" s="340">
        <v>341211</v>
      </c>
      <c r="W102" s="297">
        <v>42654</v>
      </c>
      <c r="X102" s="296">
        <v>-5.0000000000000001E-3</v>
      </c>
    </row>
    <row r="103" spans="13:24">
      <c r="M103">
        <v>101</v>
      </c>
      <c r="N103">
        <v>60609</v>
      </c>
      <c r="O103" t="s">
        <v>437</v>
      </c>
      <c r="P103" t="s">
        <v>131</v>
      </c>
      <c r="Q103">
        <v>24</v>
      </c>
      <c r="R103" s="296">
        <v>1.8E-3</v>
      </c>
      <c r="S103" s="296">
        <v>0.75139999999999996</v>
      </c>
      <c r="T103" s="297">
        <v>21680</v>
      </c>
      <c r="U103" s="340">
        <v>72961</v>
      </c>
      <c r="V103" s="340">
        <v>313460</v>
      </c>
      <c r="W103" s="297">
        <v>61996</v>
      </c>
      <c r="X103" s="296">
        <v>-8.9999999999999993E-3</v>
      </c>
    </row>
    <row r="104" spans="13:24">
      <c r="M104">
        <v>102</v>
      </c>
      <c r="N104">
        <v>60540</v>
      </c>
      <c r="O104" t="s">
        <v>612</v>
      </c>
      <c r="P104" t="s">
        <v>131</v>
      </c>
      <c r="Q104">
        <v>32</v>
      </c>
      <c r="R104" s="296">
        <v>1.8E-3</v>
      </c>
      <c r="S104" s="296">
        <v>0.75319999999999998</v>
      </c>
      <c r="T104" s="297">
        <v>15555</v>
      </c>
      <c r="U104" s="340">
        <v>201233</v>
      </c>
      <c r="V104" s="340">
        <v>576353</v>
      </c>
      <c r="W104" s="297">
        <v>43390</v>
      </c>
      <c r="X104" s="296">
        <v>-4.0000000000000001E-3</v>
      </c>
    </row>
    <row r="105" spans="13:24">
      <c r="M105">
        <v>103</v>
      </c>
      <c r="N105">
        <v>60102</v>
      </c>
      <c r="O105" t="s">
        <v>892</v>
      </c>
      <c r="P105" t="s">
        <v>131</v>
      </c>
      <c r="Q105">
        <v>27</v>
      </c>
      <c r="R105" s="296">
        <v>1.6999999999999999E-3</v>
      </c>
      <c r="S105" s="296">
        <v>0.75490000000000002</v>
      </c>
      <c r="T105" s="297">
        <v>11596</v>
      </c>
      <c r="U105" s="340">
        <v>152920</v>
      </c>
      <c r="V105" s="340">
        <v>339953</v>
      </c>
      <c r="W105" s="297">
        <v>31405</v>
      </c>
      <c r="X105" s="296">
        <v>-1E-3</v>
      </c>
    </row>
    <row r="106" spans="13:24">
      <c r="M106">
        <v>104</v>
      </c>
      <c r="N106">
        <v>60586</v>
      </c>
      <c r="O106" t="s">
        <v>661</v>
      </c>
      <c r="P106" t="s">
        <v>131</v>
      </c>
      <c r="Q106">
        <v>46</v>
      </c>
      <c r="R106" s="296">
        <v>1.6999999999999999E-3</v>
      </c>
      <c r="S106" s="296">
        <v>0.75660000000000005</v>
      </c>
      <c r="T106" s="297">
        <v>14750</v>
      </c>
      <c r="U106" s="340">
        <v>142574</v>
      </c>
      <c r="V106" s="340">
        <v>319846</v>
      </c>
      <c r="W106" s="297">
        <v>47943</v>
      </c>
      <c r="X106" s="296">
        <v>4.0000000000000001E-3</v>
      </c>
    </row>
    <row r="107" spans="13:24">
      <c r="M107">
        <v>105</v>
      </c>
      <c r="N107">
        <v>60203</v>
      </c>
      <c r="O107" t="s">
        <v>627</v>
      </c>
      <c r="P107" t="s">
        <v>131</v>
      </c>
      <c r="Q107">
        <v>8</v>
      </c>
      <c r="R107" s="296">
        <v>1.6999999999999999E-3</v>
      </c>
      <c r="S107" s="296">
        <v>0.75839999999999996</v>
      </c>
      <c r="T107" s="297">
        <v>1651</v>
      </c>
      <c r="U107" s="340">
        <v>196714</v>
      </c>
      <c r="V107" s="340">
        <v>603675</v>
      </c>
      <c r="W107" s="297">
        <v>4481</v>
      </c>
      <c r="X107" s="296">
        <v>-8.9999999999999993E-3</v>
      </c>
    </row>
    <row r="108" spans="13:24">
      <c r="M108">
        <v>106</v>
      </c>
      <c r="N108">
        <v>60156</v>
      </c>
      <c r="O108" t="s">
        <v>893</v>
      </c>
      <c r="P108" t="s">
        <v>131</v>
      </c>
      <c r="Q108">
        <v>29</v>
      </c>
      <c r="R108" s="296">
        <v>1.6999999999999999E-3</v>
      </c>
      <c r="S108" s="296">
        <v>0.7601</v>
      </c>
      <c r="T108" s="297">
        <v>9795</v>
      </c>
      <c r="U108" s="340">
        <v>139333</v>
      </c>
      <c r="V108" s="340">
        <v>318355</v>
      </c>
      <c r="W108" s="297">
        <v>28087</v>
      </c>
      <c r="X108" s="296">
        <v>-8.0000000000000002E-3</v>
      </c>
    </row>
    <row r="109" spans="13:24">
      <c r="M109">
        <v>107</v>
      </c>
      <c r="N109">
        <v>60605</v>
      </c>
      <c r="O109" t="s">
        <v>437</v>
      </c>
      <c r="P109" t="s">
        <v>131</v>
      </c>
      <c r="Q109">
        <v>21</v>
      </c>
      <c r="R109" s="296">
        <v>1.6999999999999999E-3</v>
      </c>
      <c r="S109" s="296">
        <v>0.76180000000000003</v>
      </c>
      <c r="T109" s="297">
        <v>18805</v>
      </c>
      <c r="U109" s="340">
        <v>166348</v>
      </c>
      <c r="V109" s="340">
        <v>565081</v>
      </c>
      <c r="W109" s="297">
        <v>34511</v>
      </c>
      <c r="X109" s="296">
        <v>3.0000000000000001E-3</v>
      </c>
    </row>
    <row r="110" spans="13:24">
      <c r="M110">
        <v>108</v>
      </c>
      <c r="N110">
        <v>60651</v>
      </c>
      <c r="O110" t="s">
        <v>437</v>
      </c>
      <c r="P110" t="s">
        <v>131</v>
      </c>
      <c r="Q110">
        <v>17</v>
      </c>
      <c r="R110" s="296">
        <v>1.6999999999999999E-3</v>
      </c>
      <c r="S110" s="296">
        <v>0.76339999999999997</v>
      </c>
      <c r="T110" s="297">
        <v>22055</v>
      </c>
      <c r="U110" s="340">
        <v>75709</v>
      </c>
      <c r="V110" s="340">
        <v>312376</v>
      </c>
      <c r="W110" s="297">
        <v>60816</v>
      </c>
      <c r="X110" s="296">
        <v>-1.0999999999999999E-2</v>
      </c>
    </row>
    <row r="111" spans="13:24">
      <c r="M111">
        <v>109</v>
      </c>
      <c r="N111">
        <v>60607</v>
      </c>
      <c r="O111" t="s">
        <v>437</v>
      </c>
      <c r="P111" t="s">
        <v>131</v>
      </c>
      <c r="Q111">
        <v>20</v>
      </c>
      <c r="R111" s="296">
        <v>1.6000000000000001E-3</v>
      </c>
      <c r="S111" s="296">
        <v>0.76500000000000001</v>
      </c>
      <c r="T111" s="297">
        <v>18490</v>
      </c>
      <c r="U111" s="340">
        <v>172001</v>
      </c>
      <c r="V111" s="340">
        <v>578700</v>
      </c>
      <c r="W111" s="297">
        <v>36372</v>
      </c>
      <c r="X111" s="296">
        <v>0.03</v>
      </c>
    </row>
    <row r="112" spans="13:24">
      <c r="M112">
        <v>110</v>
      </c>
      <c r="N112">
        <v>60142</v>
      </c>
      <c r="O112" t="s">
        <v>894</v>
      </c>
      <c r="P112" t="s">
        <v>131</v>
      </c>
      <c r="Q112">
        <v>34</v>
      </c>
      <c r="R112" s="296">
        <v>1.6000000000000001E-3</v>
      </c>
      <c r="S112" s="296">
        <v>0.76659999999999995</v>
      </c>
      <c r="T112" s="297">
        <v>12293</v>
      </c>
      <c r="U112" s="340">
        <v>119998</v>
      </c>
      <c r="V112" s="340">
        <v>347153</v>
      </c>
      <c r="W112" s="297">
        <v>30462</v>
      </c>
      <c r="X112" s="296">
        <v>5.0000000000000001E-3</v>
      </c>
    </row>
    <row r="113" spans="13:24">
      <c r="M113">
        <v>111</v>
      </c>
      <c r="N113">
        <v>60043</v>
      </c>
      <c r="O113" t="s">
        <v>895</v>
      </c>
      <c r="P113" t="s">
        <v>131</v>
      </c>
      <c r="Q113">
        <v>6</v>
      </c>
      <c r="R113" s="296">
        <v>1.5E-3</v>
      </c>
      <c r="S113" s="296">
        <v>0.7681</v>
      </c>
      <c r="T113">
        <v>794</v>
      </c>
      <c r="U113" s="340">
        <v>312892</v>
      </c>
      <c r="V113" s="340">
        <v>1406455</v>
      </c>
      <c r="W113" s="297">
        <v>2471</v>
      </c>
      <c r="X113" s="296">
        <v>-8.9999999999999993E-3</v>
      </c>
    </row>
    <row r="114" spans="13:24">
      <c r="M114">
        <v>112</v>
      </c>
      <c r="N114">
        <v>60563</v>
      </c>
      <c r="O114" t="s">
        <v>612</v>
      </c>
      <c r="P114" t="s">
        <v>131</v>
      </c>
      <c r="Q114">
        <v>31</v>
      </c>
      <c r="R114" s="296">
        <v>1.5E-3</v>
      </c>
      <c r="S114" s="296">
        <v>0.76959999999999995</v>
      </c>
      <c r="T114" s="297">
        <v>16201</v>
      </c>
      <c r="U114" s="340">
        <v>150535</v>
      </c>
      <c r="V114" s="340">
        <v>472623</v>
      </c>
      <c r="W114" s="297">
        <v>39216</v>
      </c>
      <c r="X114" s="296">
        <v>5.0000000000000001E-3</v>
      </c>
    </row>
    <row r="115" spans="13:24">
      <c r="M115">
        <v>113</v>
      </c>
      <c r="N115">
        <v>60133</v>
      </c>
      <c r="O115" t="s">
        <v>896</v>
      </c>
      <c r="P115" t="s">
        <v>131</v>
      </c>
      <c r="Q115">
        <v>21</v>
      </c>
      <c r="R115" s="296">
        <v>1.5E-3</v>
      </c>
      <c r="S115" s="296">
        <v>0.77110000000000001</v>
      </c>
      <c r="T115" s="297">
        <v>11190</v>
      </c>
      <c r="U115" s="340">
        <v>111619</v>
      </c>
      <c r="V115" s="340">
        <v>266617</v>
      </c>
      <c r="W115" s="297">
        <v>35590</v>
      </c>
      <c r="X115" s="296">
        <v>-1.0999999999999999E-2</v>
      </c>
    </row>
    <row r="116" spans="13:24">
      <c r="M116">
        <v>114</v>
      </c>
      <c r="N116">
        <v>60624</v>
      </c>
      <c r="O116" t="s">
        <v>437</v>
      </c>
      <c r="P116" t="s">
        <v>131</v>
      </c>
      <c r="Q116">
        <v>19</v>
      </c>
      <c r="R116" s="296">
        <v>1.5E-3</v>
      </c>
      <c r="S116" s="296">
        <v>0.77259999999999995</v>
      </c>
      <c r="T116" s="297">
        <v>14584</v>
      </c>
      <c r="U116" s="340">
        <v>49796</v>
      </c>
      <c r="V116" s="340">
        <v>308594</v>
      </c>
      <c r="W116" s="297">
        <v>36632</v>
      </c>
      <c r="X116" s="296">
        <v>-7.0000000000000001E-3</v>
      </c>
    </row>
    <row r="117" spans="13:24">
      <c r="M117">
        <v>115</v>
      </c>
      <c r="N117">
        <v>60525</v>
      </c>
      <c r="O117" t="s">
        <v>897</v>
      </c>
      <c r="P117" t="s">
        <v>131</v>
      </c>
      <c r="Q117">
        <v>26</v>
      </c>
      <c r="R117" s="296">
        <v>1.4E-3</v>
      </c>
      <c r="S117" s="296">
        <v>0.77400000000000002</v>
      </c>
      <c r="T117" s="297">
        <v>12367</v>
      </c>
      <c r="U117" s="340">
        <v>167421</v>
      </c>
      <c r="V117" s="340">
        <v>480827</v>
      </c>
      <c r="W117" s="297">
        <v>30973</v>
      </c>
      <c r="X117" s="296">
        <v>-1.2E-2</v>
      </c>
    </row>
    <row r="118" spans="13:24">
      <c r="M118">
        <v>116</v>
      </c>
      <c r="N118">
        <v>60194</v>
      </c>
      <c r="O118" t="s">
        <v>872</v>
      </c>
      <c r="P118" t="s">
        <v>131</v>
      </c>
      <c r="Q118">
        <v>18</v>
      </c>
      <c r="R118" s="296">
        <v>1.4E-3</v>
      </c>
      <c r="S118" s="296">
        <v>0.77539999999999998</v>
      </c>
      <c r="T118" s="297">
        <v>7887</v>
      </c>
      <c r="U118" s="340">
        <v>121171</v>
      </c>
      <c r="V118" s="340">
        <v>333299</v>
      </c>
      <c r="W118" s="297">
        <v>20390</v>
      </c>
      <c r="X118" s="296">
        <v>-1.0999999999999999E-2</v>
      </c>
    </row>
    <row r="119" spans="13:24">
      <c r="M119">
        <v>117</v>
      </c>
      <c r="N119">
        <v>60140</v>
      </c>
      <c r="O119" t="s">
        <v>898</v>
      </c>
      <c r="P119" t="s">
        <v>131</v>
      </c>
      <c r="Q119">
        <v>37</v>
      </c>
      <c r="R119" s="296">
        <v>1.4E-3</v>
      </c>
      <c r="S119" s="296">
        <v>0.77680000000000005</v>
      </c>
      <c r="T119" s="297">
        <v>8372</v>
      </c>
      <c r="U119" s="340">
        <v>138960</v>
      </c>
      <c r="V119" s="340">
        <v>369452</v>
      </c>
      <c r="W119" s="297">
        <v>22914</v>
      </c>
      <c r="X119" s="296">
        <v>0.01</v>
      </c>
    </row>
    <row r="120" spans="13:24">
      <c r="M120">
        <v>118</v>
      </c>
      <c r="N120">
        <v>60402</v>
      </c>
      <c r="O120" t="s">
        <v>581</v>
      </c>
      <c r="P120" t="s">
        <v>131</v>
      </c>
      <c r="Q120">
        <v>22</v>
      </c>
      <c r="R120" s="296">
        <v>1.4E-3</v>
      </c>
      <c r="S120" s="296">
        <v>0.7782</v>
      </c>
      <c r="T120" s="297">
        <v>21833</v>
      </c>
      <c r="U120" s="340">
        <v>96873</v>
      </c>
      <c r="V120" s="340">
        <v>310573</v>
      </c>
      <c r="W120" s="297">
        <v>62008</v>
      </c>
      <c r="X120" s="296">
        <v>-0.01</v>
      </c>
    </row>
    <row r="121" spans="13:24">
      <c r="M121">
        <v>119</v>
      </c>
      <c r="N121">
        <v>60108</v>
      </c>
      <c r="O121" t="s">
        <v>899</v>
      </c>
      <c r="P121" t="s">
        <v>131</v>
      </c>
      <c r="Q121">
        <v>20</v>
      </c>
      <c r="R121" s="296">
        <v>1.4E-3</v>
      </c>
      <c r="S121" s="296">
        <v>0.77959999999999996</v>
      </c>
      <c r="T121" s="297">
        <v>9246</v>
      </c>
      <c r="U121" s="340">
        <v>135905</v>
      </c>
      <c r="V121" s="340">
        <v>411155</v>
      </c>
      <c r="W121" s="297">
        <v>23236</v>
      </c>
      <c r="X121" s="296">
        <v>1E-3</v>
      </c>
    </row>
    <row r="122" spans="13:24">
      <c r="M122">
        <v>120</v>
      </c>
      <c r="N122">
        <v>53142</v>
      </c>
      <c r="O122" t="s">
        <v>900</v>
      </c>
      <c r="P122" t="s">
        <v>149</v>
      </c>
      <c r="Q122">
        <v>29</v>
      </c>
      <c r="R122" s="296">
        <v>1.4E-3</v>
      </c>
      <c r="S122" s="296">
        <v>0.78090000000000004</v>
      </c>
      <c r="T122" s="297">
        <v>13228</v>
      </c>
      <c r="U122" s="340">
        <v>108103</v>
      </c>
      <c r="V122" s="340">
        <v>317741</v>
      </c>
      <c r="W122" s="297">
        <v>33090</v>
      </c>
      <c r="X122" s="296">
        <v>-3.0000000000000001E-3</v>
      </c>
    </row>
    <row r="123" spans="13:24">
      <c r="M123">
        <v>121</v>
      </c>
      <c r="N123">
        <v>60302</v>
      </c>
      <c r="O123" t="s">
        <v>807</v>
      </c>
      <c r="P123" t="s">
        <v>131</v>
      </c>
      <c r="Q123">
        <v>18</v>
      </c>
      <c r="R123" s="296">
        <v>1.4E-3</v>
      </c>
      <c r="S123" s="296">
        <v>0.7823</v>
      </c>
      <c r="T123" s="297">
        <v>14748</v>
      </c>
      <c r="U123" s="340">
        <v>163758</v>
      </c>
      <c r="V123" s="340">
        <v>558271</v>
      </c>
      <c r="W123" s="297">
        <v>32034</v>
      </c>
      <c r="X123" s="296">
        <v>-7.0000000000000001E-3</v>
      </c>
    </row>
    <row r="124" spans="13:24">
      <c r="M124">
        <v>122</v>
      </c>
      <c r="N124">
        <v>60164</v>
      </c>
      <c r="O124" t="s">
        <v>901</v>
      </c>
      <c r="P124" t="s">
        <v>131</v>
      </c>
      <c r="Q124">
        <v>16</v>
      </c>
      <c r="R124" s="296">
        <v>1.4E-3</v>
      </c>
      <c r="S124" s="296">
        <v>0.78369999999999995</v>
      </c>
      <c r="T124" s="297">
        <v>6840</v>
      </c>
      <c r="U124" s="340">
        <v>88201</v>
      </c>
      <c r="V124" s="340">
        <v>277031</v>
      </c>
      <c r="W124" s="297">
        <v>21070</v>
      </c>
      <c r="X124" s="296">
        <v>-1.4E-2</v>
      </c>
    </row>
    <row r="125" spans="13:24">
      <c r="M125">
        <v>123</v>
      </c>
      <c r="N125">
        <v>60064</v>
      </c>
      <c r="O125" t="s">
        <v>902</v>
      </c>
      <c r="P125" t="s">
        <v>131</v>
      </c>
      <c r="Q125">
        <v>13</v>
      </c>
      <c r="R125" s="296">
        <v>1.4E-3</v>
      </c>
      <c r="S125" s="296">
        <v>0.78500000000000003</v>
      </c>
      <c r="T125" s="297">
        <v>4832</v>
      </c>
      <c r="U125" s="340">
        <v>73107</v>
      </c>
      <c r="V125" s="340">
        <v>188611</v>
      </c>
      <c r="W125" s="297">
        <v>14817</v>
      </c>
      <c r="X125" s="296">
        <v>1E-3</v>
      </c>
    </row>
    <row r="126" spans="13:24">
      <c r="M126">
        <v>124</v>
      </c>
      <c r="N126">
        <v>60189</v>
      </c>
      <c r="O126" t="s">
        <v>903</v>
      </c>
      <c r="P126" t="s">
        <v>131</v>
      </c>
      <c r="Q126">
        <v>26</v>
      </c>
      <c r="R126" s="296">
        <v>1.2999999999999999E-3</v>
      </c>
      <c r="S126" s="296">
        <v>0.78639999999999999</v>
      </c>
      <c r="T126" s="297">
        <v>11761</v>
      </c>
      <c r="U126" s="340">
        <v>179336</v>
      </c>
      <c r="V126" s="340">
        <v>513792</v>
      </c>
      <c r="W126" s="297">
        <v>29752</v>
      </c>
      <c r="X126" s="296">
        <v>-3.0000000000000001E-3</v>
      </c>
    </row>
    <row r="127" spans="13:24">
      <c r="M127">
        <v>125</v>
      </c>
      <c r="N127">
        <v>60534</v>
      </c>
      <c r="O127" t="s">
        <v>904</v>
      </c>
      <c r="P127" t="s">
        <v>131</v>
      </c>
      <c r="Q127">
        <v>23</v>
      </c>
      <c r="R127" s="296">
        <v>1.2999999999999999E-3</v>
      </c>
      <c r="S127" s="296">
        <v>0.78769999999999996</v>
      </c>
      <c r="T127" s="297">
        <v>4053</v>
      </c>
      <c r="U127" s="340">
        <v>86633</v>
      </c>
      <c r="V127" s="340">
        <v>294303</v>
      </c>
      <c r="W127" s="297">
        <v>10372</v>
      </c>
      <c r="X127" s="296">
        <v>-8.9999999999999993E-3</v>
      </c>
    </row>
    <row r="128" spans="13:24">
      <c r="M128">
        <v>126</v>
      </c>
      <c r="N128">
        <v>60177</v>
      </c>
      <c r="O128" t="s">
        <v>905</v>
      </c>
      <c r="P128" t="s">
        <v>131</v>
      </c>
      <c r="Q128">
        <v>28</v>
      </c>
      <c r="R128" s="296">
        <v>1.2999999999999999E-3</v>
      </c>
      <c r="S128" s="296">
        <v>0.78900000000000003</v>
      </c>
      <c r="T128" s="297">
        <v>8263</v>
      </c>
      <c r="U128" s="340">
        <v>148763</v>
      </c>
      <c r="V128" s="340">
        <v>356202</v>
      </c>
      <c r="W128" s="297">
        <v>23570</v>
      </c>
      <c r="X128" s="296">
        <v>0</v>
      </c>
    </row>
    <row r="129" spans="13:24">
      <c r="M129">
        <v>127</v>
      </c>
      <c r="N129">
        <v>60181</v>
      </c>
      <c r="O129" t="s">
        <v>906</v>
      </c>
      <c r="P129" t="s">
        <v>131</v>
      </c>
      <c r="Q129">
        <v>21</v>
      </c>
      <c r="R129" s="296">
        <v>1.2999999999999999E-3</v>
      </c>
      <c r="S129" s="296">
        <v>0.7903</v>
      </c>
      <c r="T129" s="297">
        <v>11883</v>
      </c>
      <c r="U129" s="340">
        <v>113094</v>
      </c>
      <c r="V129" s="340">
        <v>317703</v>
      </c>
      <c r="W129" s="297">
        <v>29895</v>
      </c>
      <c r="X129" s="296">
        <v>-1E-3</v>
      </c>
    </row>
    <row r="130" spans="13:24">
      <c r="M130">
        <v>128</v>
      </c>
      <c r="N130">
        <v>60098</v>
      </c>
      <c r="O130" t="s">
        <v>724</v>
      </c>
      <c r="P130" t="s">
        <v>131</v>
      </c>
      <c r="Q130">
        <v>36</v>
      </c>
      <c r="R130" s="296">
        <v>1.2999999999999999E-3</v>
      </c>
      <c r="S130" s="296">
        <v>0.79159999999999997</v>
      </c>
      <c r="T130" s="297">
        <v>12633</v>
      </c>
      <c r="U130" s="340">
        <v>110037</v>
      </c>
      <c r="V130" s="340">
        <v>316143</v>
      </c>
      <c r="W130" s="297">
        <v>32912</v>
      </c>
      <c r="X130" s="296">
        <v>-1E-3</v>
      </c>
    </row>
    <row r="131" spans="13:24">
      <c r="M131">
        <v>129</v>
      </c>
      <c r="N131">
        <v>60118</v>
      </c>
      <c r="O131" t="s">
        <v>907</v>
      </c>
      <c r="P131" t="s">
        <v>131</v>
      </c>
      <c r="Q131">
        <v>26</v>
      </c>
      <c r="R131" s="296">
        <v>1.2999999999999999E-3</v>
      </c>
      <c r="S131" s="296">
        <v>0.79290000000000005</v>
      </c>
      <c r="T131" s="297">
        <v>7069</v>
      </c>
      <c r="U131" s="340">
        <v>137152</v>
      </c>
      <c r="V131" s="340">
        <v>367890</v>
      </c>
      <c r="W131" s="297">
        <v>16855</v>
      </c>
      <c r="X131" s="296">
        <v>-1E-3</v>
      </c>
    </row>
    <row r="132" spans="13:24">
      <c r="M132">
        <v>130</v>
      </c>
      <c r="N132">
        <v>60081</v>
      </c>
      <c r="O132" t="s">
        <v>908</v>
      </c>
      <c r="P132" t="s">
        <v>131</v>
      </c>
      <c r="Q132">
        <v>30</v>
      </c>
      <c r="R132" s="296">
        <v>1.2999999999999999E-3</v>
      </c>
      <c r="S132" s="296">
        <v>0.79420000000000002</v>
      </c>
      <c r="T132" s="297">
        <v>3419</v>
      </c>
      <c r="U132" s="340">
        <v>133804</v>
      </c>
      <c r="V132" s="340">
        <v>365247</v>
      </c>
      <c r="W132" s="297">
        <v>9016</v>
      </c>
      <c r="X132" s="296">
        <v>-6.0000000000000001E-3</v>
      </c>
    </row>
    <row r="133" spans="13:24">
      <c r="M133">
        <v>131</v>
      </c>
      <c r="N133">
        <v>60615</v>
      </c>
      <c r="O133" t="s">
        <v>437</v>
      </c>
      <c r="P133" t="s">
        <v>131</v>
      </c>
      <c r="Q133">
        <v>26</v>
      </c>
      <c r="R133" s="296">
        <v>1.2999999999999999E-3</v>
      </c>
      <c r="S133" s="296">
        <v>0.79549999999999998</v>
      </c>
      <c r="T133" s="297">
        <v>23361</v>
      </c>
      <c r="U133" s="340">
        <v>91919</v>
      </c>
      <c r="V133" s="340">
        <v>469260</v>
      </c>
      <c r="W133" s="297">
        <v>43444</v>
      </c>
      <c r="X133" s="296">
        <v>-5.0000000000000001E-3</v>
      </c>
    </row>
    <row r="134" spans="13:24">
      <c r="M134">
        <v>132</v>
      </c>
      <c r="N134">
        <v>60137</v>
      </c>
      <c r="O134" t="s">
        <v>909</v>
      </c>
      <c r="P134" t="s">
        <v>131</v>
      </c>
      <c r="Q134">
        <v>24</v>
      </c>
      <c r="R134" s="296">
        <v>1.1999999999999999E-3</v>
      </c>
      <c r="S134" s="296">
        <v>0.79669999999999996</v>
      </c>
      <c r="T134" s="297">
        <v>14532</v>
      </c>
      <c r="U134" s="340">
        <v>181186</v>
      </c>
      <c r="V134" s="340">
        <v>561909</v>
      </c>
      <c r="W134" s="297">
        <v>38830</v>
      </c>
      <c r="X134" s="296">
        <v>-5.0000000000000001E-3</v>
      </c>
    </row>
    <row r="135" spans="13:24">
      <c r="M135">
        <v>133</v>
      </c>
      <c r="N135">
        <v>60462</v>
      </c>
      <c r="O135" t="s">
        <v>910</v>
      </c>
      <c r="P135" t="s">
        <v>131</v>
      </c>
      <c r="Q135">
        <v>37</v>
      </c>
      <c r="R135" s="296">
        <v>1.1999999999999999E-3</v>
      </c>
      <c r="S135" s="296">
        <v>0.79800000000000004</v>
      </c>
      <c r="T135" s="297">
        <v>16093</v>
      </c>
      <c r="U135" s="340">
        <v>128019</v>
      </c>
      <c r="V135" s="340">
        <v>366570</v>
      </c>
      <c r="W135" s="297">
        <v>39326</v>
      </c>
      <c r="X135" s="296">
        <v>-8.9999999999999993E-3</v>
      </c>
    </row>
    <row r="136" spans="13:24">
      <c r="M136">
        <v>134</v>
      </c>
      <c r="N136">
        <v>60637</v>
      </c>
      <c r="O136" t="s">
        <v>437</v>
      </c>
      <c r="P136" t="s">
        <v>131</v>
      </c>
      <c r="Q136">
        <v>27</v>
      </c>
      <c r="R136" s="296">
        <v>1.1999999999999999E-3</v>
      </c>
      <c r="S136" s="296">
        <v>0.79920000000000002</v>
      </c>
      <c r="T136" s="297">
        <v>22268</v>
      </c>
      <c r="U136" s="340">
        <v>70196</v>
      </c>
      <c r="V136" s="340">
        <v>421215</v>
      </c>
      <c r="W136" s="297">
        <v>52189</v>
      </c>
      <c r="X136" s="296">
        <v>-5.0000000000000001E-3</v>
      </c>
    </row>
    <row r="137" spans="13:24">
      <c r="M137">
        <v>135</v>
      </c>
      <c r="N137">
        <v>60642</v>
      </c>
      <c r="O137" t="s">
        <v>437</v>
      </c>
      <c r="P137" t="s">
        <v>131</v>
      </c>
      <c r="Q137">
        <v>18</v>
      </c>
      <c r="R137" s="296">
        <v>1.1999999999999999E-3</v>
      </c>
      <c r="S137" s="296">
        <v>0.8004</v>
      </c>
      <c r="T137" s="297">
        <v>12177</v>
      </c>
      <c r="U137" s="340">
        <v>178766</v>
      </c>
      <c r="V137" s="340">
        <v>599172</v>
      </c>
      <c r="W137" s="297">
        <v>22189</v>
      </c>
      <c r="X137" s="296">
        <v>-1E-3</v>
      </c>
    </row>
    <row r="138" spans="13:24">
      <c r="M138">
        <v>136</v>
      </c>
      <c r="N138">
        <v>60174</v>
      </c>
      <c r="O138" t="s">
        <v>911</v>
      </c>
      <c r="P138" t="s">
        <v>131</v>
      </c>
      <c r="Q138">
        <v>31</v>
      </c>
      <c r="R138" s="296">
        <v>1.1999999999999999E-3</v>
      </c>
      <c r="S138" s="296">
        <v>0.80159999999999998</v>
      </c>
      <c r="T138" s="297">
        <v>13294</v>
      </c>
      <c r="U138" s="340">
        <v>142726</v>
      </c>
      <c r="V138" s="340">
        <v>422807</v>
      </c>
      <c r="W138" s="297">
        <v>31417</v>
      </c>
      <c r="X138" s="296">
        <v>3.0000000000000001E-3</v>
      </c>
    </row>
    <row r="139" spans="13:24">
      <c r="M139">
        <v>137</v>
      </c>
      <c r="N139">
        <v>60187</v>
      </c>
      <c r="O139" t="s">
        <v>903</v>
      </c>
      <c r="P139" t="s">
        <v>131</v>
      </c>
      <c r="Q139">
        <v>25</v>
      </c>
      <c r="R139" s="296">
        <v>1.1999999999999999E-3</v>
      </c>
      <c r="S139" s="296">
        <v>0.80279999999999996</v>
      </c>
      <c r="T139" s="297">
        <v>10087</v>
      </c>
      <c r="U139" s="340">
        <v>168484</v>
      </c>
      <c r="V139" s="340">
        <v>518620</v>
      </c>
      <c r="W139" s="297">
        <v>29229</v>
      </c>
      <c r="X139" s="296">
        <v>-5.0000000000000001E-3</v>
      </c>
    </row>
    <row r="140" spans="13:24">
      <c r="M140">
        <v>138</v>
      </c>
      <c r="N140">
        <v>60131</v>
      </c>
      <c r="O140" t="s">
        <v>912</v>
      </c>
      <c r="P140" t="s">
        <v>131</v>
      </c>
      <c r="Q140">
        <v>15</v>
      </c>
      <c r="R140" s="296">
        <v>1.1999999999999999E-3</v>
      </c>
      <c r="S140" s="296">
        <v>0.80400000000000005</v>
      </c>
      <c r="T140" s="297">
        <v>6176</v>
      </c>
      <c r="U140" s="340">
        <v>96837</v>
      </c>
      <c r="V140" s="340">
        <v>276453</v>
      </c>
      <c r="W140" s="297">
        <v>17621</v>
      </c>
      <c r="X140" s="296">
        <v>-7.0000000000000001E-3</v>
      </c>
    </row>
    <row r="141" spans="13:24">
      <c r="M141">
        <v>139</v>
      </c>
      <c r="N141">
        <v>60440</v>
      </c>
      <c r="O141" t="s">
        <v>913</v>
      </c>
      <c r="P141" t="s">
        <v>131</v>
      </c>
      <c r="Q141">
        <v>34</v>
      </c>
      <c r="R141" s="296">
        <v>1.1999999999999999E-3</v>
      </c>
      <c r="S141" s="296">
        <v>0.80520000000000003</v>
      </c>
      <c r="T141" s="297">
        <v>17327</v>
      </c>
      <c r="U141" s="340">
        <v>108346</v>
      </c>
      <c r="V141" s="340">
        <v>290501</v>
      </c>
      <c r="W141" s="297">
        <v>50662</v>
      </c>
      <c r="X141" s="296">
        <v>-6.0000000000000001E-3</v>
      </c>
    </row>
    <row r="142" spans="13:24">
      <c r="M142">
        <v>140</v>
      </c>
      <c r="N142">
        <v>60423</v>
      </c>
      <c r="O142" t="s">
        <v>914</v>
      </c>
      <c r="P142" t="s">
        <v>131</v>
      </c>
      <c r="Q142">
        <v>44</v>
      </c>
      <c r="R142" s="296">
        <v>1.1000000000000001E-3</v>
      </c>
      <c r="S142" s="296">
        <v>0.80630000000000002</v>
      </c>
      <c r="T142" s="297">
        <v>11452</v>
      </c>
      <c r="U142" s="340">
        <v>165144</v>
      </c>
      <c r="V142" s="340">
        <v>429330</v>
      </c>
      <c r="W142" s="297">
        <v>33031</v>
      </c>
      <c r="X142" s="296">
        <v>2E-3</v>
      </c>
    </row>
    <row r="143" spans="13:24">
      <c r="M143">
        <v>141</v>
      </c>
      <c r="N143">
        <v>60532</v>
      </c>
      <c r="O143" t="s">
        <v>915</v>
      </c>
      <c r="P143" t="s">
        <v>131</v>
      </c>
      <c r="Q143">
        <v>29</v>
      </c>
      <c r="R143" s="296">
        <v>1.1000000000000001E-3</v>
      </c>
      <c r="S143" s="296">
        <v>0.80740000000000001</v>
      </c>
      <c r="T143" s="297">
        <v>12683</v>
      </c>
      <c r="U143" s="340">
        <v>141030</v>
      </c>
      <c r="V143" s="340">
        <v>421691</v>
      </c>
      <c r="W143" s="297">
        <v>28157</v>
      </c>
      <c r="X143" s="296">
        <v>-3.0000000000000001E-3</v>
      </c>
    </row>
    <row r="144" spans="13:24">
      <c r="M144">
        <v>142</v>
      </c>
      <c r="N144">
        <v>60654</v>
      </c>
      <c r="O144" t="s">
        <v>437</v>
      </c>
      <c r="P144" t="s">
        <v>131</v>
      </c>
      <c r="Q144">
        <v>19</v>
      </c>
      <c r="R144" s="296">
        <v>1.1000000000000001E-3</v>
      </c>
      <c r="S144" s="296">
        <v>0.8085</v>
      </c>
      <c r="T144" s="297">
        <v>14938</v>
      </c>
      <c r="U144" s="340">
        <v>200459</v>
      </c>
      <c r="V144" s="340">
        <v>599257</v>
      </c>
      <c r="W144" s="297">
        <v>22338</v>
      </c>
      <c r="X144" s="296">
        <v>4.0000000000000001E-3</v>
      </c>
    </row>
    <row r="145" spans="13:24">
      <c r="M145">
        <v>143</v>
      </c>
      <c r="N145">
        <v>60504</v>
      </c>
      <c r="O145" t="s">
        <v>334</v>
      </c>
      <c r="P145" t="s">
        <v>131</v>
      </c>
      <c r="Q145">
        <v>36</v>
      </c>
      <c r="R145" s="296">
        <v>1E-3</v>
      </c>
      <c r="S145" s="296">
        <v>0.8095</v>
      </c>
      <c r="T145" s="297">
        <v>14402</v>
      </c>
      <c r="U145" s="340">
        <v>129994</v>
      </c>
      <c r="V145" s="340">
        <v>347893</v>
      </c>
      <c r="W145" s="297">
        <v>38918</v>
      </c>
      <c r="X145" s="296">
        <v>1E-3</v>
      </c>
    </row>
    <row r="146" spans="13:24">
      <c r="M146">
        <v>144</v>
      </c>
      <c r="N146">
        <v>60517</v>
      </c>
      <c r="O146" t="s">
        <v>674</v>
      </c>
      <c r="P146" t="s">
        <v>131</v>
      </c>
      <c r="Q146">
        <v>31</v>
      </c>
      <c r="R146" s="296">
        <v>1E-3</v>
      </c>
      <c r="S146" s="296">
        <v>0.81059999999999999</v>
      </c>
      <c r="T146" s="297">
        <v>12683</v>
      </c>
      <c r="U146" s="340">
        <v>128002</v>
      </c>
      <c r="V146" s="340">
        <v>372561</v>
      </c>
      <c r="W146" s="297">
        <v>31726</v>
      </c>
      <c r="X146" s="296">
        <v>-7.0000000000000001E-3</v>
      </c>
    </row>
    <row r="147" spans="13:24">
      <c r="M147">
        <v>145</v>
      </c>
      <c r="N147">
        <v>60620</v>
      </c>
      <c r="O147" t="s">
        <v>437</v>
      </c>
      <c r="P147" t="s">
        <v>131</v>
      </c>
      <c r="Q147">
        <v>29</v>
      </c>
      <c r="R147" s="296">
        <v>1E-3</v>
      </c>
      <c r="S147" s="296">
        <v>0.81159999999999999</v>
      </c>
      <c r="T147" s="297">
        <v>26654</v>
      </c>
      <c r="U147" s="340">
        <v>65978</v>
      </c>
      <c r="V147" s="340">
        <v>250047</v>
      </c>
      <c r="W147" s="297">
        <v>64728</v>
      </c>
      <c r="X147" s="296">
        <v>-8.9999999999999993E-3</v>
      </c>
    </row>
    <row r="148" spans="13:24">
      <c r="M148">
        <v>146</v>
      </c>
      <c r="N148">
        <v>60305</v>
      </c>
      <c r="O148" t="s">
        <v>916</v>
      </c>
      <c r="P148" t="s">
        <v>131</v>
      </c>
      <c r="Q148">
        <v>17</v>
      </c>
      <c r="R148" s="296">
        <v>1E-3</v>
      </c>
      <c r="S148" s="296">
        <v>0.81259999999999999</v>
      </c>
      <c r="T148" s="297">
        <v>3998</v>
      </c>
      <c r="U148" s="340">
        <v>235767</v>
      </c>
      <c r="V148" s="340">
        <v>719311</v>
      </c>
      <c r="W148" s="297">
        <v>11603</v>
      </c>
      <c r="X148" s="296">
        <v>-2E-3</v>
      </c>
    </row>
    <row r="149" spans="13:24">
      <c r="M149">
        <v>147</v>
      </c>
      <c r="N149">
        <v>60134</v>
      </c>
      <c r="O149" t="s">
        <v>917</v>
      </c>
      <c r="P149" t="s">
        <v>131</v>
      </c>
      <c r="Q149">
        <v>34</v>
      </c>
      <c r="R149" s="296">
        <v>1E-3</v>
      </c>
      <c r="S149" s="296">
        <v>0.81359999999999999</v>
      </c>
      <c r="T149" s="297">
        <v>11041</v>
      </c>
      <c r="U149" s="340">
        <v>189291</v>
      </c>
      <c r="V149" s="340">
        <v>468176</v>
      </c>
      <c r="W149" s="297">
        <v>29272</v>
      </c>
      <c r="X149" s="296">
        <v>-8.9999999999999993E-3</v>
      </c>
    </row>
    <row r="150" spans="13:24">
      <c r="M150">
        <v>148</v>
      </c>
      <c r="N150">
        <v>53158</v>
      </c>
      <c r="O150" t="s">
        <v>918</v>
      </c>
      <c r="P150" t="s">
        <v>149</v>
      </c>
      <c r="Q150">
        <v>27</v>
      </c>
      <c r="R150" s="296">
        <v>1E-3</v>
      </c>
      <c r="S150" s="296">
        <v>0.81469999999999998</v>
      </c>
      <c r="T150" s="297">
        <v>7474</v>
      </c>
      <c r="U150" s="340">
        <v>130317</v>
      </c>
      <c r="V150" s="340">
        <v>420785</v>
      </c>
      <c r="W150" s="297">
        <v>18024</v>
      </c>
      <c r="X150" s="296">
        <v>0.01</v>
      </c>
    </row>
    <row r="151" spans="13:24">
      <c r="M151">
        <v>149</v>
      </c>
      <c r="N151">
        <v>60446</v>
      </c>
      <c r="O151" t="s">
        <v>919</v>
      </c>
      <c r="P151" t="s">
        <v>131</v>
      </c>
      <c r="Q151">
        <v>39</v>
      </c>
      <c r="R151" s="296">
        <v>1E-3</v>
      </c>
      <c r="S151" s="296">
        <v>0.81569999999999998</v>
      </c>
      <c r="T151" s="297">
        <v>13275</v>
      </c>
      <c r="U151" s="340">
        <v>108434</v>
      </c>
      <c r="V151" s="340">
        <v>273552</v>
      </c>
      <c r="W151" s="297">
        <v>39802</v>
      </c>
      <c r="X151" s="296">
        <v>0</v>
      </c>
    </row>
    <row r="152" spans="13:24">
      <c r="M152">
        <v>150</v>
      </c>
      <c r="N152">
        <v>60088</v>
      </c>
      <c r="O152" t="s">
        <v>920</v>
      </c>
      <c r="P152" t="s">
        <v>131</v>
      </c>
      <c r="Q152">
        <v>12</v>
      </c>
      <c r="R152" s="296">
        <v>1E-3</v>
      </c>
      <c r="S152" s="296">
        <v>0.81669999999999998</v>
      </c>
      <c r="T152" s="297">
        <v>1288</v>
      </c>
      <c r="U152" s="340">
        <v>66514</v>
      </c>
      <c r="V152" s="340">
        <v>613235</v>
      </c>
      <c r="W152" s="297">
        <v>14320</v>
      </c>
      <c r="X152" s="296">
        <v>-3.0000000000000001E-3</v>
      </c>
    </row>
    <row r="153" spans="13:24">
      <c r="M153">
        <v>151</v>
      </c>
      <c r="N153">
        <v>60175</v>
      </c>
      <c r="O153" t="s">
        <v>911</v>
      </c>
      <c r="P153" t="s">
        <v>131</v>
      </c>
      <c r="Q153">
        <v>34</v>
      </c>
      <c r="R153" s="296">
        <v>1E-3</v>
      </c>
      <c r="S153" s="296">
        <v>0.81769999999999998</v>
      </c>
      <c r="T153" s="297">
        <v>8678</v>
      </c>
      <c r="U153" s="340">
        <v>218827</v>
      </c>
      <c r="V153" s="340">
        <v>509744</v>
      </c>
      <c r="W153" s="297">
        <v>25529</v>
      </c>
      <c r="X153" s="296">
        <v>-5.0000000000000001E-3</v>
      </c>
    </row>
    <row r="154" spans="13:24">
      <c r="M154">
        <v>152</v>
      </c>
      <c r="N154">
        <v>60042</v>
      </c>
      <c r="O154" t="s">
        <v>921</v>
      </c>
      <c r="P154" t="s">
        <v>131</v>
      </c>
      <c r="Q154">
        <v>23</v>
      </c>
      <c r="R154" s="296">
        <v>1E-3</v>
      </c>
      <c r="S154" s="296">
        <v>0.81869999999999998</v>
      </c>
      <c r="T154" s="297">
        <v>3091</v>
      </c>
      <c r="U154" s="340">
        <v>106835</v>
      </c>
      <c r="V154" s="340">
        <v>315964</v>
      </c>
      <c r="W154" s="297">
        <v>7815</v>
      </c>
      <c r="X154" s="296">
        <v>-3.0000000000000001E-3</v>
      </c>
    </row>
    <row r="155" spans="13:24">
      <c r="M155">
        <v>153</v>
      </c>
      <c r="N155">
        <v>60558</v>
      </c>
      <c r="O155" t="s">
        <v>922</v>
      </c>
      <c r="P155" t="s">
        <v>131</v>
      </c>
      <c r="Q155">
        <v>24</v>
      </c>
      <c r="R155" s="296">
        <v>8.9999999999999998E-4</v>
      </c>
      <c r="S155" s="296">
        <v>0.8196</v>
      </c>
      <c r="T155" s="297">
        <v>4516</v>
      </c>
      <c r="U155" s="340">
        <v>272797</v>
      </c>
      <c r="V155" s="340">
        <v>732269</v>
      </c>
      <c r="W155" s="297">
        <v>13541</v>
      </c>
      <c r="X155" s="296">
        <v>-4.0000000000000001E-3</v>
      </c>
    </row>
    <row r="156" spans="13:24">
      <c r="M156">
        <v>154</v>
      </c>
      <c r="N156">
        <v>60510</v>
      </c>
      <c r="O156" t="s">
        <v>923</v>
      </c>
      <c r="P156" t="s">
        <v>131</v>
      </c>
      <c r="Q156">
        <v>35</v>
      </c>
      <c r="R156" s="296">
        <v>8.9999999999999998E-4</v>
      </c>
      <c r="S156" s="296">
        <v>0.82050000000000001</v>
      </c>
      <c r="T156" s="297">
        <v>11027</v>
      </c>
      <c r="U156" s="340">
        <v>154555</v>
      </c>
      <c r="V156" s="340">
        <v>425607</v>
      </c>
      <c r="W156" s="297">
        <v>28018</v>
      </c>
      <c r="X156" s="296">
        <v>-5.0000000000000001E-3</v>
      </c>
    </row>
    <row r="157" spans="13:24">
      <c r="M157">
        <v>155</v>
      </c>
      <c r="N157">
        <v>60617</v>
      </c>
      <c r="O157" t="s">
        <v>437</v>
      </c>
      <c r="P157" t="s">
        <v>131</v>
      </c>
      <c r="Q157">
        <v>31</v>
      </c>
      <c r="R157" s="296">
        <v>8.9999999999999998E-4</v>
      </c>
      <c r="S157" s="296">
        <v>0.82140000000000002</v>
      </c>
      <c r="T157" s="297">
        <v>29051</v>
      </c>
      <c r="U157" s="340">
        <v>72361</v>
      </c>
      <c r="V157" s="340">
        <v>239079</v>
      </c>
      <c r="W157" s="297">
        <v>74787</v>
      </c>
      <c r="X157" s="296">
        <v>-8.0000000000000002E-3</v>
      </c>
    </row>
    <row r="158" spans="13:24">
      <c r="M158">
        <v>156</v>
      </c>
      <c r="N158">
        <v>60477</v>
      </c>
      <c r="O158" t="s">
        <v>924</v>
      </c>
      <c r="P158" t="s">
        <v>131</v>
      </c>
      <c r="Q158">
        <v>39</v>
      </c>
      <c r="R158" s="296">
        <v>8.9999999999999998E-4</v>
      </c>
      <c r="S158" s="296">
        <v>0.82230000000000003</v>
      </c>
      <c r="T158" s="297">
        <v>15569</v>
      </c>
      <c r="U158" s="340">
        <v>112623</v>
      </c>
      <c r="V158" s="340">
        <v>304150</v>
      </c>
      <c r="W158" s="297">
        <v>36358</v>
      </c>
      <c r="X158" s="296">
        <v>-8.9999999999999993E-3</v>
      </c>
    </row>
    <row r="159" spans="13:24">
      <c r="M159">
        <v>157</v>
      </c>
      <c r="N159">
        <v>60195</v>
      </c>
      <c r="O159" t="s">
        <v>872</v>
      </c>
      <c r="P159" t="s">
        <v>131</v>
      </c>
      <c r="Q159">
        <v>16</v>
      </c>
      <c r="R159" s="296">
        <v>8.9999999999999998E-4</v>
      </c>
      <c r="S159" s="296">
        <v>0.82320000000000004</v>
      </c>
      <c r="T159" s="297">
        <v>2422</v>
      </c>
      <c r="U159" s="340">
        <v>104082</v>
      </c>
      <c r="V159" s="340">
        <v>266309</v>
      </c>
      <c r="W159" s="297">
        <v>5286</v>
      </c>
      <c r="X159" s="296">
        <v>1E-3</v>
      </c>
    </row>
    <row r="160" spans="13:24">
      <c r="M160">
        <v>158</v>
      </c>
      <c r="N160">
        <v>53144</v>
      </c>
      <c r="O160" t="s">
        <v>900</v>
      </c>
      <c r="P160" t="s">
        <v>149</v>
      </c>
      <c r="Q160">
        <v>33</v>
      </c>
      <c r="R160" s="296">
        <v>8.9999999999999998E-4</v>
      </c>
      <c r="S160" s="296">
        <v>0.82410000000000005</v>
      </c>
      <c r="T160" s="297">
        <v>10552</v>
      </c>
      <c r="U160" s="340">
        <v>97380</v>
      </c>
      <c r="V160" s="340">
        <v>328515</v>
      </c>
      <c r="W160" s="297">
        <v>25768</v>
      </c>
      <c r="X160" s="296">
        <v>1E-3</v>
      </c>
    </row>
    <row r="161" spans="13:24">
      <c r="M161">
        <v>159</v>
      </c>
      <c r="N161">
        <v>60652</v>
      </c>
      <c r="O161" t="s">
        <v>437</v>
      </c>
      <c r="P161" t="s">
        <v>131</v>
      </c>
      <c r="Q161">
        <v>28</v>
      </c>
      <c r="R161" s="296">
        <v>8.9999999999999998E-4</v>
      </c>
      <c r="S161" s="296">
        <v>0.82489999999999997</v>
      </c>
      <c r="T161" s="297">
        <v>12848</v>
      </c>
      <c r="U161" s="340">
        <v>96192</v>
      </c>
      <c r="V161" s="340">
        <v>263418</v>
      </c>
      <c r="W161" s="297">
        <v>39160</v>
      </c>
      <c r="X161" s="296">
        <v>-0.01</v>
      </c>
    </row>
    <row r="162" spans="13:24">
      <c r="M162">
        <v>160</v>
      </c>
      <c r="N162">
        <v>60619</v>
      </c>
      <c r="O162" t="s">
        <v>437</v>
      </c>
      <c r="P162" t="s">
        <v>131</v>
      </c>
      <c r="Q162">
        <v>29</v>
      </c>
      <c r="R162" s="296">
        <v>8.9999999999999998E-4</v>
      </c>
      <c r="S162" s="296">
        <v>0.82579999999999998</v>
      </c>
      <c r="T162" s="297">
        <v>28466</v>
      </c>
      <c r="U162" s="340">
        <v>67064</v>
      </c>
      <c r="V162" s="340">
        <v>255592</v>
      </c>
      <c r="W162" s="297">
        <v>60870</v>
      </c>
      <c r="X162" s="296">
        <v>-8.9999999999999993E-3</v>
      </c>
    </row>
    <row r="163" spans="13:24">
      <c r="M163">
        <v>161</v>
      </c>
      <c r="N163">
        <v>60304</v>
      </c>
      <c r="O163" t="s">
        <v>807</v>
      </c>
      <c r="P163" t="s">
        <v>131</v>
      </c>
      <c r="Q163">
        <v>19</v>
      </c>
      <c r="R163" s="296">
        <v>8.0000000000000004E-4</v>
      </c>
      <c r="S163" s="296">
        <v>0.82669999999999999</v>
      </c>
      <c r="T163" s="297">
        <v>6840</v>
      </c>
      <c r="U163" s="340">
        <v>168805</v>
      </c>
      <c r="V163" s="340">
        <v>466600</v>
      </c>
      <c r="W163" s="297">
        <v>17244</v>
      </c>
      <c r="X163" s="296">
        <v>-1.0999999999999999E-2</v>
      </c>
    </row>
    <row r="164" spans="13:24">
      <c r="M164">
        <v>162</v>
      </c>
      <c r="N164">
        <v>60143</v>
      </c>
      <c r="O164" t="s">
        <v>925</v>
      </c>
      <c r="P164" t="s">
        <v>131</v>
      </c>
      <c r="Q164">
        <v>17</v>
      </c>
      <c r="R164" s="296">
        <v>8.0000000000000004E-4</v>
      </c>
      <c r="S164" s="296">
        <v>0.82750000000000001</v>
      </c>
      <c r="T164" s="297">
        <v>3873</v>
      </c>
      <c r="U164" s="340">
        <v>154568</v>
      </c>
      <c r="V164" s="340">
        <v>466968</v>
      </c>
      <c r="W164" s="297">
        <v>9996</v>
      </c>
      <c r="X164" s="296">
        <v>-7.0000000000000001E-3</v>
      </c>
    </row>
    <row r="165" spans="13:24">
      <c r="M165">
        <v>163</v>
      </c>
      <c r="N165">
        <v>60106</v>
      </c>
      <c r="O165" t="s">
        <v>926</v>
      </c>
      <c r="P165" t="s">
        <v>131</v>
      </c>
      <c r="Q165">
        <v>15</v>
      </c>
      <c r="R165" s="296">
        <v>8.0000000000000004E-4</v>
      </c>
      <c r="S165" s="296">
        <v>0.82840000000000003</v>
      </c>
      <c r="T165" s="297">
        <v>7118</v>
      </c>
      <c r="U165" s="340">
        <v>94045</v>
      </c>
      <c r="V165" s="340">
        <v>314668</v>
      </c>
      <c r="W165" s="297">
        <v>19802</v>
      </c>
      <c r="X165" s="296">
        <v>-0.01</v>
      </c>
    </row>
    <row r="166" spans="13:24">
      <c r="M166">
        <v>164</v>
      </c>
      <c r="N166">
        <v>60644</v>
      </c>
      <c r="O166" t="s">
        <v>437</v>
      </c>
      <c r="P166" t="s">
        <v>131</v>
      </c>
      <c r="Q166">
        <v>18</v>
      </c>
      <c r="R166" s="296">
        <v>8.0000000000000004E-4</v>
      </c>
      <c r="S166" s="296">
        <v>0.82920000000000005</v>
      </c>
      <c r="T166" s="297">
        <v>18215</v>
      </c>
      <c r="U166" s="340">
        <v>55383</v>
      </c>
      <c r="V166" s="340">
        <v>335765</v>
      </c>
      <c r="W166" s="297">
        <v>45161</v>
      </c>
      <c r="X166" s="296">
        <v>-1.2E-2</v>
      </c>
    </row>
    <row r="167" spans="13:24">
      <c r="M167">
        <v>165</v>
      </c>
      <c r="N167">
        <v>60601</v>
      </c>
      <c r="O167" t="s">
        <v>437</v>
      </c>
      <c r="P167" t="s">
        <v>131</v>
      </c>
      <c r="Q167">
        <v>20</v>
      </c>
      <c r="R167" s="296">
        <v>8.0000000000000004E-4</v>
      </c>
      <c r="S167" s="296">
        <v>0.83</v>
      </c>
      <c r="T167" s="297">
        <v>10885</v>
      </c>
      <c r="U167" s="340">
        <v>200349</v>
      </c>
      <c r="V167" s="340">
        <v>688068</v>
      </c>
      <c r="W167" s="297">
        <v>17535</v>
      </c>
      <c r="X167" s="296">
        <v>3.5999999999999997E-2</v>
      </c>
    </row>
    <row r="168" spans="13:24">
      <c r="M168">
        <v>166</v>
      </c>
      <c r="N168">
        <v>60441</v>
      </c>
      <c r="O168" t="s">
        <v>927</v>
      </c>
      <c r="P168" t="s">
        <v>131</v>
      </c>
      <c r="Q168">
        <v>41</v>
      </c>
      <c r="R168" s="296">
        <v>8.0000000000000004E-4</v>
      </c>
      <c r="S168" s="296">
        <v>0.83079999999999998</v>
      </c>
      <c r="T168" s="297">
        <v>13180</v>
      </c>
      <c r="U168" s="340">
        <v>117390</v>
      </c>
      <c r="V168" s="340">
        <v>349431</v>
      </c>
      <c r="W168" s="297">
        <v>38030</v>
      </c>
      <c r="X168" s="296">
        <v>3.0000000000000001E-3</v>
      </c>
    </row>
    <row r="169" spans="13:24">
      <c r="M169">
        <v>167</v>
      </c>
      <c r="N169">
        <v>60012</v>
      </c>
      <c r="O169" t="s">
        <v>875</v>
      </c>
      <c r="P169" t="s">
        <v>131</v>
      </c>
      <c r="Q169">
        <v>28</v>
      </c>
      <c r="R169" s="296">
        <v>8.0000000000000004E-4</v>
      </c>
      <c r="S169" s="296">
        <v>0.83160000000000001</v>
      </c>
      <c r="T169" s="297">
        <v>4196</v>
      </c>
      <c r="U169" s="340">
        <v>171478</v>
      </c>
      <c r="V169" s="340">
        <v>427026</v>
      </c>
      <c r="W169" s="297">
        <v>11953</v>
      </c>
      <c r="X169" s="296">
        <v>1.0999999999999999E-2</v>
      </c>
    </row>
    <row r="170" spans="13:24">
      <c r="M170">
        <v>168</v>
      </c>
      <c r="N170">
        <v>60191</v>
      </c>
      <c r="O170" t="s">
        <v>928</v>
      </c>
      <c r="P170" t="s">
        <v>131</v>
      </c>
      <c r="Q170">
        <v>16</v>
      </c>
      <c r="R170" s="296">
        <v>8.0000000000000004E-4</v>
      </c>
      <c r="S170" s="296">
        <v>0.83240000000000003</v>
      </c>
      <c r="T170" s="297">
        <v>5514</v>
      </c>
      <c r="U170" s="340">
        <v>116630</v>
      </c>
      <c r="V170" s="340">
        <v>355283</v>
      </c>
      <c r="W170" s="297">
        <v>14182</v>
      </c>
      <c r="X170" s="296">
        <v>-5.0000000000000001E-3</v>
      </c>
    </row>
    <row r="171" spans="13:24">
      <c r="M171">
        <v>169</v>
      </c>
      <c r="N171">
        <v>60176</v>
      </c>
      <c r="O171" t="s">
        <v>929</v>
      </c>
      <c r="P171" t="s">
        <v>131</v>
      </c>
      <c r="Q171">
        <v>14</v>
      </c>
      <c r="R171" s="296">
        <v>8.0000000000000004E-4</v>
      </c>
      <c r="S171" s="296">
        <v>0.83320000000000005</v>
      </c>
      <c r="T171" s="297">
        <v>4381</v>
      </c>
      <c r="U171" s="340">
        <v>91799</v>
      </c>
      <c r="V171" s="340">
        <v>347993</v>
      </c>
      <c r="W171" s="297">
        <v>11086</v>
      </c>
      <c r="X171" s="296">
        <v>-1.0999999999999999E-2</v>
      </c>
    </row>
    <row r="172" spans="13:24">
      <c r="M172">
        <v>170</v>
      </c>
      <c r="N172">
        <v>60527</v>
      </c>
      <c r="O172" t="s">
        <v>930</v>
      </c>
      <c r="P172" t="s">
        <v>131</v>
      </c>
      <c r="Q172">
        <v>29</v>
      </c>
      <c r="R172" s="296">
        <v>8.0000000000000004E-4</v>
      </c>
      <c r="S172" s="296">
        <v>0.83399999999999996</v>
      </c>
      <c r="T172" s="297">
        <v>12064</v>
      </c>
      <c r="U172" s="340">
        <v>167245</v>
      </c>
      <c r="V172" s="340">
        <v>611886</v>
      </c>
      <c r="W172" s="297">
        <v>29093</v>
      </c>
      <c r="X172" s="296">
        <v>-3.0000000000000001E-3</v>
      </c>
    </row>
    <row r="173" spans="13:24">
      <c r="M173">
        <v>171</v>
      </c>
      <c r="N173">
        <v>60515</v>
      </c>
      <c r="O173" t="s">
        <v>931</v>
      </c>
      <c r="P173" t="s">
        <v>131</v>
      </c>
      <c r="Q173">
        <v>26</v>
      </c>
      <c r="R173" s="296">
        <v>8.0000000000000004E-4</v>
      </c>
      <c r="S173" s="296">
        <v>0.83479999999999999</v>
      </c>
      <c r="T173" s="297">
        <v>11855</v>
      </c>
      <c r="U173" s="340">
        <v>166006</v>
      </c>
      <c r="V173" s="340">
        <v>544898</v>
      </c>
      <c r="W173" s="297">
        <v>28610</v>
      </c>
      <c r="X173" s="296">
        <v>-5.0000000000000001E-3</v>
      </c>
    </row>
    <row r="174" spans="13:24">
      <c r="M174">
        <v>172</v>
      </c>
      <c r="N174">
        <v>60459</v>
      </c>
      <c r="O174" t="s">
        <v>676</v>
      </c>
      <c r="P174" t="s">
        <v>131</v>
      </c>
      <c r="Q174">
        <v>28</v>
      </c>
      <c r="R174" s="296">
        <v>8.0000000000000004E-4</v>
      </c>
      <c r="S174" s="296">
        <v>0.83560000000000001</v>
      </c>
      <c r="T174" s="297">
        <v>9330</v>
      </c>
      <c r="U174" s="340">
        <v>105559</v>
      </c>
      <c r="V174" s="340">
        <v>295740</v>
      </c>
      <c r="W174" s="297">
        <v>28352</v>
      </c>
      <c r="X174" s="296">
        <v>-0.01</v>
      </c>
    </row>
    <row r="175" spans="13:24">
      <c r="M175">
        <v>173</v>
      </c>
      <c r="N175">
        <v>60020</v>
      </c>
      <c r="O175" t="s">
        <v>932</v>
      </c>
      <c r="P175" t="s">
        <v>131</v>
      </c>
      <c r="Q175">
        <v>26</v>
      </c>
      <c r="R175" s="296">
        <v>8.0000000000000004E-4</v>
      </c>
      <c r="S175" s="296">
        <v>0.83640000000000003</v>
      </c>
      <c r="T175" s="297">
        <v>4941</v>
      </c>
      <c r="U175" s="340">
        <v>101444</v>
      </c>
      <c r="V175" s="340">
        <v>312618</v>
      </c>
      <c r="W175" s="297">
        <v>10679</v>
      </c>
      <c r="X175" s="296">
        <v>0</v>
      </c>
    </row>
    <row r="176" spans="13:24">
      <c r="M176">
        <v>174</v>
      </c>
      <c r="N176">
        <v>60139</v>
      </c>
      <c r="O176" t="s">
        <v>933</v>
      </c>
      <c r="P176" t="s">
        <v>131</v>
      </c>
      <c r="Q176">
        <v>22</v>
      </c>
      <c r="R176" s="296">
        <v>8.0000000000000004E-4</v>
      </c>
      <c r="S176" s="296">
        <v>0.83709999999999996</v>
      </c>
      <c r="T176" s="297">
        <v>11233</v>
      </c>
      <c r="U176" s="340">
        <v>104152</v>
      </c>
      <c r="V176" s="340">
        <v>264378</v>
      </c>
      <c r="W176" s="297">
        <v>31765</v>
      </c>
      <c r="X176" s="296">
        <v>-7.0000000000000001E-3</v>
      </c>
    </row>
    <row r="177" spans="13:24">
      <c r="M177">
        <v>175</v>
      </c>
      <c r="N177">
        <v>60526</v>
      </c>
      <c r="O177" t="s">
        <v>640</v>
      </c>
      <c r="P177" t="s">
        <v>131</v>
      </c>
      <c r="Q177">
        <v>22</v>
      </c>
      <c r="R177" s="296">
        <v>8.0000000000000004E-4</v>
      </c>
      <c r="S177" s="296">
        <v>0.83789999999999998</v>
      </c>
      <c r="T177" s="297">
        <v>4997</v>
      </c>
      <c r="U177" s="340">
        <v>162118</v>
      </c>
      <c r="V177" s="340">
        <v>457055</v>
      </c>
      <c r="W177" s="297">
        <v>13301</v>
      </c>
      <c r="X177" s="296">
        <v>-7.0000000000000001E-3</v>
      </c>
    </row>
    <row r="178" spans="13:24">
      <c r="M178">
        <v>176</v>
      </c>
      <c r="N178">
        <v>60516</v>
      </c>
      <c r="O178" t="s">
        <v>931</v>
      </c>
      <c r="P178" t="s">
        <v>131</v>
      </c>
      <c r="Q178">
        <v>29</v>
      </c>
      <c r="R178" s="296">
        <v>8.0000000000000004E-4</v>
      </c>
      <c r="S178" s="296">
        <v>0.8387</v>
      </c>
      <c r="T178" s="297">
        <v>11746</v>
      </c>
      <c r="U178" s="340">
        <v>146627</v>
      </c>
      <c r="V178" s="340">
        <v>449801</v>
      </c>
      <c r="W178" s="297">
        <v>28685</v>
      </c>
      <c r="X178" s="296">
        <v>-7.0000000000000001E-3</v>
      </c>
    </row>
    <row r="179" spans="13:24">
      <c r="M179">
        <v>177</v>
      </c>
      <c r="N179">
        <v>60561</v>
      </c>
      <c r="O179" t="s">
        <v>934</v>
      </c>
      <c r="P179" t="s">
        <v>131</v>
      </c>
      <c r="Q179">
        <v>29</v>
      </c>
      <c r="R179" s="296">
        <v>6.9999999999999999E-4</v>
      </c>
      <c r="S179" s="296">
        <v>0.83940000000000003</v>
      </c>
      <c r="T179" s="297">
        <v>9083</v>
      </c>
      <c r="U179" s="340">
        <v>140407</v>
      </c>
      <c r="V179" s="340">
        <v>425063</v>
      </c>
      <c r="W179" s="297">
        <v>22045</v>
      </c>
      <c r="X179" s="296">
        <v>-5.0000000000000001E-3</v>
      </c>
    </row>
    <row r="180" spans="13:24">
      <c r="M180">
        <v>178</v>
      </c>
      <c r="N180">
        <v>61820</v>
      </c>
      <c r="O180" t="s">
        <v>935</v>
      </c>
      <c r="P180" t="s">
        <v>131</v>
      </c>
      <c r="Q180">
        <v>143</v>
      </c>
      <c r="R180" s="296">
        <v>6.9999999999999999E-4</v>
      </c>
      <c r="S180" s="296">
        <v>0.84009999999999996</v>
      </c>
      <c r="T180" s="297">
        <v>16828</v>
      </c>
      <c r="U180" s="340">
        <v>55338</v>
      </c>
      <c r="V180" s="340">
        <v>254193</v>
      </c>
      <c r="W180" s="297">
        <v>41133</v>
      </c>
      <c r="X180" s="296">
        <v>5.0000000000000001E-3</v>
      </c>
    </row>
    <row r="181" spans="13:24">
      <c r="M181">
        <v>179</v>
      </c>
      <c r="N181">
        <v>60636</v>
      </c>
      <c r="O181" t="s">
        <v>437</v>
      </c>
      <c r="P181" t="s">
        <v>131</v>
      </c>
      <c r="Q181">
        <v>26</v>
      </c>
      <c r="R181" s="296">
        <v>6.9999999999999999E-4</v>
      </c>
      <c r="S181" s="296">
        <v>0.84089999999999998</v>
      </c>
      <c r="T181" s="297">
        <v>11219</v>
      </c>
      <c r="U181" s="340">
        <v>54592</v>
      </c>
      <c r="V181" s="340">
        <v>206603</v>
      </c>
      <c r="W181" s="297">
        <v>31986</v>
      </c>
      <c r="X181" s="296">
        <v>-1.4999999999999999E-2</v>
      </c>
    </row>
    <row r="182" spans="13:24">
      <c r="M182">
        <v>180</v>
      </c>
      <c r="N182">
        <v>60502</v>
      </c>
      <c r="O182" t="s">
        <v>334</v>
      </c>
      <c r="P182" t="s">
        <v>131</v>
      </c>
      <c r="Q182">
        <v>35</v>
      </c>
      <c r="R182" s="296">
        <v>6.9999999999999999E-4</v>
      </c>
      <c r="S182" s="296">
        <v>0.84160000000000001</v>
      </c>
      <c r="T182" s="297">
        <v>8151</v>
      </c>
      <c r="U182" s="340">
        <v>179803</v>
      </c>
      <c r="V182" s="340">
        <v>429021</v>
      </c>
      <c r="W182" s="297">
        <v>22061</v>
      </c>
      <c r="X182" s="296">
        <v>-2E-3</v>
      </c>
    </row>
    <row r="183" spans="13:24">
      <c r="M183">
        <v>181</v>
      </c>
      <c r="N183">
        <v>60439</v>
      </c>
      <c r="O183" t="s">
        <v>936</v>
      </c>
      <c r="P183" t="s">
        <v>131</v>
      </c>
      <c r="Q183">
        <v>32</v>
      </c>
      <c r="R183" s="296">
        <v>6.9999999999999999E-4</v>
      </c>
      <c r="S183" s="296">
        <v>0.84240000000000004</v>
      </c>
      <c r="T183" s="297">
        <v>9088</v>
      </c>
      <c r="U183" s="340">
        <v>161041</v>
      </c>
      <c r="V183" s="340">
        <v>495857</v>
      </c>
      <c r="W183" s="297">
        <v>24310</v>
      </c>
      <c r="X183" s="296">
        <v>-3.0000000000000001E-3</v>
      </c>
    </row>
    <row r="184" spans="13:24">
      <c r="M184">
        <v>182</v>
      </c>
      <c r="N184">
        <v>60655</v>
      </c>
      <c r="O184" t="s">
        <v>437</v>
      </c>
      <c r="P184" t="s">
        <v>131</v>
      </c>
      <c r="Q184">
        <v>32</v>
      </c>
      <c r="R184" s="296">
        <v>6.9999999999999999E-4</v>
      </c>
      <c r="S184" s="296">
        <v>0.84309999999999996</v>
      </c>
      <c r="T184" s="297">
        <v>9954</v>
      </c>
      <c r="U184" s="340">
        <v>143482</v>
      </c>
      <c r="V184" s="340">
        <v>348960</v>
      </c>
      <c r="W184" s="297">
        <v>26190</v>
      </c>
      <c r="X184" s="296">
        <v>-1.0999999999999999E-2</v>
      </c>
    </row>
    <row r="185" spans="13:24">
      <c r="M185">
        <v>183</v>
      </c>
      <c r="N185">
        <v>60455</v>
      </c>
      <c r="O185" t="s">
        <v>937</v>
      </c>
      <c r="P185" t="s">
        <v>131</v>
      </c>
      <c r="Q185">
        <v>28</v>
      </c>
      <c r="R185" s="296">
        <v>6.9999999999999999E-4</v>
      </c>
      <c r="S185" s="296">
        <v>0.84379999999999999</v>
      </c>
      <c r="T185" s="297">
        <v>5738</v>
      </c>
      <c r="U185" s="340">
        <v>86298</v>
      </c>
      <c r="V185" s="340">
        <v>248724</v>
      </c>
      <c r="W185" s="297">
        <v>16140</v>
      </c>
      <c r="X185" s="296">
        <v>-0.01</v>
      </c>
    </row>
    <row r="186" spans="13:24">
      <c r="M186">
        <v>184</v>
      </c>
      <c r="N186">
        <v>53406</v>
      </c>
      <c r="O186" t="s">
        <v>938</v>
      </c>
      <c r="P186" t="s">
        <v>149</v>
      </c>
      <c r="Q186">
        <v>41</v>
      </c>
      <c r="R186" s="296">
        <v>6.9999999999999999E-4</v>
      </c>
      <c r="S186" s="296">
        <v>0.84460000000000002</v>
      </c>
      <c r="T186" s="297">
        <v>11860</v>
      </c>
      <c r="U186" s="340">
        <v>97083</v>
      </c>
      <c r="V186" s="340">
        <v>316931</v>
      </c>
      <c r="W186" s="297">
        <v>26893</v>
      </c>
      <c r="X186" s="296">
        <v>1E-3</v>
      </c>
    </row>
    <row r="187" spans="13:24">
      <c r="M187">
        <v>185</v>
      </c>
      <c r="N187">
        <v>60585</v>
      </c>
      <c r="O187" t="s">
        <v>661</v>
      </c>
      <c r="P187" t="s">
        <v>131</v>
      </c>
      <c r="Q187">
        <v>41</v>
      </c>
      <c r="R187" s="296">
        <v>6.9999999999999999E-4</v>
      </c>
      <c r="S187" s="296">
        <v>0.84530000000000005</v>
      </c>
      <c r="T187" s="297">
        <v>8195</v>
      </c>
      <c r="U187" s="340">
        <v>194963</v>
      </c>
      <c r="V187" s="340">
        <v>445222</v>
      </c>
      <c r="W187" s="297">
        <v>26652</v>
      </c>
      <c r="X187" s="296">
        <v>1.4E-2</v>
      </c>
    </row>
    <row r="188" spans="13:24">
      <c r="M188">
        <v>186</v>
      </c>
      <c r="N188">
        <v>60491</v>
      </c>
      <c r="O188" t="s">
        <v>939</v>
      </c>
      <c r="P188" t="s">
        <v>131</v>
      </c>
      <c r="Q188">
        <v>39</v>
      </c>
      <c r="R188" s="296">
        <v>6.9999999999999999E-4</v>
      </c>
      <c r="S188" s="296">
        <v>0.84599999999999997</v>
      </c>
      <c r="T188" s="297">
        <v>8419</v>
      </c>
      <c r="U188" s="340">
        <v>152185</v>
      </c>
      <c r="V188" s="340">
        <v>438244</v>
      </c>
      <c r="W188" s="297">
        <v>23477</v>
      </c>
      <c r="X188" s="296">
        <v>3.0000000000000001E-3</v>
      </c>
    </row>
    <row r="189" spans="13:24">
      <c r="M189">
        <v>187</v>
      </c>
      <c r="N189">
        <v>60513</v>
      </c>
      <c r="O189" t="s">
        <v>615</v>
      </c>
      <c r="P189" t="s">
        <v>131</v>
      </c>
      <c r="Q189">
        <v>23</v>
      </c>
      <c r="R189" s="296">
        <v>6.9999999999999999E-4</v>
      </c>
      <c r="S189" s="296">
        <v>0.84670000000000001</v>
      </c>
      <c r="T189" s="297">
        <v>7229</v>
      </c>
      <c r="U189" s="340">
        <v>125521</v>
      </c>
      <c r="V189" s="340">
        <v>340022</v>
      </c>
      <c r="W189" s="297">
        <v>18504</v>
      </c>
      <c r="X189" s="296">
        <v>-1.2E-2</v>
      </c>
    </row>
    <row r="190" spans="13:24">
      <c r="M190">
        <v>188</v>
      </c>
      <c r="N190">
        <v>60490</v>
      </c>
      <c r="O190" t="s">
        <v>913</v>
      </c>
      <c r="P190" t="s">
        <v>131</v>
      </c>
      <c r="Q190">
        <v>37</v>
      </c>
      <c r="R190" s="296">
        <v>6.9999999999999999E-4</v>
      </c>
      <c r="S190" s="296">
        <v>0.84740000000000004</v>
      </c>
      <c r="T190" s="297">
        <v>6658</v>
      </c>
      <c r="U190" s="340">
        <v>181154</v>
      </c>
      <c r="V190" s="340">
        <v>380271</v>
      </c>
      <c r="W190" s="297">
        <v>22336</v>
      </c>
      <c r="X190" s="296">
        <v>6.0000000000000001E-3</v>
      </c>
    </row>
    <row r="191" spans="13:24">
      <c r="M191">
        <v>189</v>
      </c>
      <c r="N191">
        <v>46311</v>
      </c>
      <c r="O191" t="s">
        <v>940</v>
      </c>
      <c r="P191" t="s">
        <v>144</v>
      </c>
      <c r="Q191">
        <v>47</v>
      </c>
      <c r="R191" s="296">
        <v>6.9999999999999999E-4</v>
      </c>
      <c r="S191" s="296">
        <v>0.84809999999999997</v>
      </c>
      <c r="T191" s="297">
        <v>9159</v>
      </c>
      <c r="U191" s="340">
        <v>131437</v>
      </c>
      <c r="V191" s="340">
        <v>361633</v>
      </c>
      <c r="W191" s="297">
        <v>23895</v>
      </c>
      <c r="X191" s="296">
        <v>1.2E-2</v>
      </c>
    </row>
    <row r="192" spans="13:24">
      <c r="M192">
        <v>190</v>
      </c>
      <c r="N192">
        <v>60431</v>
      </c>
      <c r="O192" t="s">
        <v>941</v>
      </c>
      <c r="P192" t="s">
        <v>131</v>
      </c>
      <c r="Q192">
        <v>48</v>
      </c>
      <c r="R192" s="296">
        <v>6.9999999999999999E-4</v>
      </c>
      <c r="S192" s="296">
        <v>0.8488</v>
      </c>
      <c r="T192" s="297">
        <v>9931</v>
      </c>
      <c r="U192" s="340">
        <v>121059</v>
      </c>
      <c r="V192" s="340">
        <v>317764</v>
      </c>
      <c r="W192" s="297">
        <v>29083</v>
      </c>
      <c r="X192" s="296">
        <v>1.6E-2</v>
      </c>
    </row>
    <row r="193" spans="13:24">
      <c r="M193">
        <v>191</v>
      </c>
      <c r="N193">
        <v>60653</v>
      </c>
      <c r="O193" t="s">
        <v>437</v>
      </c>
      <c r="P193" t="s">
        <v>131</v>
      </c>
      <c r="Q193">
        <v>24</v>
      </c>
      <c r="R193" s="296">
        <v>6.9999999999999999E-4</v>
      </c>
      <c r="S193" s="296">
        <v>0.84940000000000004</v>
      </c>
      <c r="T193" s="297">
        <v>15310</v>
      </c>
      <c r="U193" s="340">
        <v>74501</v>
      </c>
      <c r="V193" s="340">
        <v>479397</v>
      </c>
      <c r="W193" s="297">
        <v>32542</v>
      </c>
      <c r="X193" s="296">
        <v>-3.0000000000000001E-3</v>
      </c>
    </row>
    <row r="194" spans="13:24">
      <c r="M194">
        <v>192</v>
      </c>
      <c r="N194">
        <v>60649</v>
      </c>
      <c r="O194" t="s">
        <v>437</v>
      </c>
      <c r="P194" t="s">
        <v>131</v>
      </c>
      <c r="Q194">
        <v>29</v>
      </c>
      <c r="R194" s="296">
        <v>6.9999999999999999E-4</v>
      </c>
      <c r="S194" s="296">
        <v>0.85009999999999997</v>
      </c>
      <c r="T194" s="297">
        <v>23325</v>
      </c>
      <c r="U194" s="340">
        <v>61290</v>
      </c>
      <c r="V194" s="340">
        <v>285391</v>
      </c>
      <c r="W194" s="297">
        <v>46666</v>
      </c>
      <c r="X194" s="296">
        <v>-6.0000000000000001E-3</v>
      </c>
    </row>
    <row r="195" spans="13:24">
      <c r="M195">
        <v>193</v>
      </c>
      <c r="N195">
        <v>60467</v>
      </c>
      <c r="O195" t="s">
        <v>910</v>
      </c>
      <c r="P195" t="s">
        <v>131</v>
      </c>
      <c r="Q195">
        <v>38</v>
      </c>
      <c r="R195" s="296">
        <v>6.9999999999999999E-4</v>
      </c>
      <c r="S195" s="296">
        <v>0.8508</v>
      </c>
      <c r="T195" s="297">
        <v>9542</v>
      </c>
      <c r="U195" s="340">
        <v>143775</v>
      </c>
      <c r="V195" s="340">
        <v>416726</v>
      </c>
      <c r="W195" s="297">
        <v>25410</v>
      </c>
      <c r="X195" s="296">
        <v>-6.0000000000000001E-3</v>
      </c>
    </row>
    <row r="196" spans="13:24">
      <c r="M196">
        <v>194</v>
      </c>
      <c r="N196">
        <v>60546</v>
      </c>
      <c r="O196" t="s">
        <v>578</v>
      </c>
      <c r="P196" t="s">
        <v>131</v>
      </c>
      <c r="Q196">
        <v>21</v>
      </c>
      <c r="R196" s="296">
        <v>6.9999999999999999E-4</v>
      </c>
      <c r="S196" s="296">
        <v>0.85150000000000003</v>
      </c>
      <c r="T196" s="297">
        <v>6367</v>
      </c>
      <c r="U196" s="340">
        <v>144287</v>
      </c>
      <c r="V196" s="340">
        <v>450562</v>
      </c>
      <c r="W196" s="297">
        <v>16382</v>
      </c>
      <c r="X196" s="296">
        <v>-6.0000000000000001E-3</v>
      </c>
    </row>
    <row r="197" spans="13:24">
      <c r="M197">
        <v>195</v>
      </c>
      <c r="N197">
        <v>60185</v>
      </c>
      <c r="O197" t="s">
        <v>942</v>
      </c>
      <c r="P197" t="s">
        <v>131</v>
      </c>
      <c r="Q197">
        <v>28</v>
      </c>
      <c r="R197" s="296">
        <v>6.9999999999999999E-4</v>
      </c>
      <c r="S197" s="296">
        <v>0.85209999999999997</v>
      </c>
      <c r="T197" s="297">
        <v>10710</v>
      </c>
      <c r="U197" s="340">
        <v>133406</v>
      </c>
      <c r="V197" s="340">
        <v>348385</v>
      </c>
      <c r="W197" s="297">
        <v>33923</v>
      </c>
      <c r="X197" s="296">
        <v>-6.0000000000000001E-3</v>
      </c>
    </row>
    <row r="198" spans="13:24">
      <c r="M198">
        <v>196</v>
      </c>
      <c r="N198">
        <v>60097</v>
      </c>
      <c r="O198" t="s">
        <v>943</v>
      </c>
      <c r="P198" t="s">
        <v>131</v>
      </c>
      <c r="Q198">
        <v>34</v>
      </c>
      <c r="R198" s="296">
        <v>6.9999999999999999E-4</v>
      </c>
      <c r="S198" s="296">
        <v>0.8528</v>
      </c>
      <c r="T198" s="297">
        <v>4635</v>
      </c>
      <c r="U198" s="340">
        <v>109634</v>
      </c>
      <c r="V198" s="340">
        <v>309140</v>
      </c>
      <c r="W198" s="297">
        <v>11977</v>
      </c>
      <c r="X198" s="296">
        <v>1.7000000000000001E-2</v>
      </c>
    </row>
    <row r="199" spans="13:24">
      <c r="M199">
        <v>197</v>
      </c>
      <c r="N199">
        <v>60521</v>
      </c>
      <c r="O199" t="s">
        <v>944</v>
      </c>
      <c r="P199" t="s">
        <v>131</v>
      </c>
      <c r="Q199">
        <v>25</v>
      </c>
      <c r="R199" s="296">
        <v>5.9999999999999995E-4</v>
      </c>
      <c r="S199" s="296">
        <v>0.85340000000000005</v>
      </c>
      <c r="T199" s="297">
        <v>5990</v>
      </c>
      <c r="U199" s="340">
        <v>276361</v>
      </c>
      <c r="V199" s="340">
        <v>1096405</v>
      </c>
      <c r="W199" s="297">
        <v>17906</v>
      </c>
      <c r="X199" s="296">
        <v>-6.0000000000000001E-3</v>
      </c>
    </row>
    <row r="200" spans="13:24">
      <c r="M200">
        <v>198</v>
      </c>
      <c r="N200">
        <v>60543</v>
      </c>
      <c r="O200" t="s">
        <v>945</v>
      </c>
      <c r="P200" t="s">
        <v>131</v>
      </c>
      <c r="Q200">
        <v>43</v>
      </c>
      <c r="R200" s="296">
        <v>5.9999999999999995E-4</v>
      </c>
      <c r="S200" s="296">
        <v>0.85409999999999997</v>
      </c>
      <c r="T200" s="297">
        <v>13852</v>
      </c>
      <c r="U200" s="340">
        <v>131867</v>
      </c>
      <c r="V200" s="340">
        <v>334630</v>
      </c>
      <c r="W200" s="297">
        <v>40873</v>
      </c>
      <c r="X200" s="296">
        <v>0.01</v>
      </c>
    </row>
    <row r="201" spans="13:24">
      <c r="M201">
        <v>199</v>
      </c>
      <c r="N201">
        <v>60160</v>
      </c>
      <c r="O201" t="s">
        <v>901</v>
      </c>
      <c r="P201" t="s">
        <v>131</v>
      </c>
      <c r="Q201">
        <v>17</v>
      </c>
      <c r="R201" s="296">
        <v>5.9999999999999995E-4</v>
      </c>
      <c r="S201" s="296">
        <v>0.85470000000000002</v>
      </c>
      <c r="T201" s="297">
        <v>8139</v>
      </c>
      <c r="U201" s="340">
        <v>91553</v>
      </c>
      <c r="V201" s="340">
        <v>275725</v>
      </c>
      <c r="W201" s="297">
        <v>23501</v>
      </c>
      <c r="X201" s="296">
        <v>-1.2E-2</v>
      </c>
    </row>
    <row r="202" spans="13:24">
      <c r="M202">
        <v>200</v>
      </c>
      <c r="N202">
        <v>60628</v>
      </c>
      <c r="O202" t="s">
        <v>437</v>
      </c>
      <c r="P202" t="s">
        <v>131</v>
      </c>
      <c r="Q202">
        <v>32</v>
      </c>
      <c r="R202" s="296">
        <v>5.9999999999999995E-4</v>
      </c>
      <c r="S202" s="296">
        <v>0.85540000000000005</v>
      </c>
      <c r="T202" s="297">
        <v>23656</v>
      </c>
      <c r="U202" s="340">
        <v>70921</v>
      </c>
      <c r="V202" s="340">
        <v>211757</v>
      </c>
      <c r="W202" s="297">
        <v>59065</v>
      </c>
      <c r="X202" s="296">
        <v>-1.2999999999999999E-2</v>
      </c>
    </row>
    <row r="203" spans="13:24">
      <c r="M203">
        <v>201</v>
      </c>
      <c r="N203">
        <v>60041</v>
      </c>
      <c r="O203" t="s">
        <v>946</v>
      </c>
      <c r="P203" t="s">
        <v>131</v>
      </c>
      <c r="Q203">
        <v>24</v>
      </c>
      <c r="R203" s="296">
        <v>5.9999999999999995E-4</v>
      </c>
      <c r="S203" s="296">
        <v>0.85599999999999998</v>
      </c>
      <c r="T203" s="297">
        <v>3797</v>
      </c>
      <c r="U203" s="340">
        <v>118355</v>
      </c>
      <c r="V203" s="340">
        <v>296283</v>
      </c>
      <c r="W203" s="297">
        <v>9357</v>
      </c>
      <c r="X203" s="296">
        <v>-6.0000000000000001E-3</v>
      </c>
    </row>
    <row r="204" spans="13:24">
      <c r="M204">
        <v>202</v>
      </c>
      <c r="N204">
        <v>60171</v>
      </c>
      <c r="O204" t="s">
        <v>947</v>
      </c>
      <c r="P204" t="s">
        <v>131</v>
      </c>
      <c r="Q204">
        <v>16</v>
      </c>
      <c r="R204" s="296">
        <v>5.9999999999999995E-4</v>
      </c>
      <c r="S204" s="296">
        <v>0.85660000000000003</v>
      </c>
      <c r="T204" s="297">
        <v>4365</v>
      </c>
      <c r="U204" s="340">
        <v>87570</v>
      </c>
      <c r="V204" s="340">
        <v>302667</v>
      </c>
      <c r="W204" s="297">
        <v>10376</v>
      </c>
      <c r="X204" s="296">
        <v>-7.0000000000000001E-3</v>
      </c>
    </row>
    <row r="205" spans="13:24">
      <c r="M205">
        <v>203</v>
      </c>
      <c r="N205">
        <v>60448</v>
      </c>
      <c r="O205" t="s">
        <v>948</v>
      </c>
      <c r="P205" t="s">
        <v>131</v>
      </c>
      <c r="Q205">
        <v>43</v>
      </c>
      <c r="R205" s="296">
        <v>5.9999999999999995E-4</v>
      </c>
      <c r="S205" s="296">
        <v>0.85729999999999995</v>
      </c>
      <c r="T205" s="297">
        <v>9195</v>
      </c>
      <c r="U205" s="340">
        <v>149608</v>
      </c>
      <c r="V205" s="340">
        <v>421687</v>
      </c>
      <c r="W205" s="297">
        <v>25061</v>
      </c>
      <c r="X205" s="296">
        <v>-5.0000000000000001E-3</v>
      </c>
    </row>
    <row r="206" spans="13:24">
      <c r="M206">
        <v>204</v>
      </c>
      <c r="N206">
        <v>60544</v>
      </c>
      <c r="O206" t="s">
        <v>661</v>
      </c>
      <c r="P206" t="s">
        <v>131</v>
      </c>
      <c r="Q206">
        <v>43</v>
      </c>
      <c r="R206" s="296">
        <v>5.9999999999999995E-4</v>
      </c>
      <c r="S206" s="296">
        <v>0.8579</v>
      </c>
      <c r="T206" s="297">
        <v>10683</v>
      </c>
      <c r="U206" s="340">
        <v>131601</v>
      </c>
      <c r="V206" s="340">
        <v>347946</v>
      </c>
      <c r="W206" s="297">
        <v>29477</v>
      </c>
      <c r="X206" s="296">
        <v>1.0999999999999999E-2</v>
      </c>
    </row>
    <row r="207" spans="13:24">
      <c r="M207">
        <v>205</v>
      </c>
      <c r="N207">
        <v>60457</v>
      </c>
      <c r="O207" t="s">
        <v>949</v>
      </c>
      <c r="P207" t="s">
        <v>131</v>
      </c>
      <c r="Q207">
        <v>29</v>
      </c>
      <c r="R207" s="296">
        <v>5.9999999999999995E-4</v>
      </c>
      <c r="S207" s="296">
        <v>0.85850000000000004</v>
      </c>
      <c r="T207" s="297">
        <v>5084</v>
      </c>
      <c r="U207" s="340">
        <v>100902</v>
      </c>
      <c r="V207" s="340">
        <v>309280</v>
      </c>
      <c r="W207" s="297">
        <v>13417</v>
      </c>
      <c r="X207" s="296">
        <v>-1.0999999999999999E-2</v>
      </c>
    </row>
    <row r="208" spans="13:24">
      <c r="M208">
        <v>206</v>
      </c>
      <c r="N208">
        <v>53140</v>
      </c>
      <c r="O208" t="s">
        <v>900</v>
      </c>
      <c r="P208" t="s">
        <v>149</v>
      </c>
      <c r="Q208">
        <v>32</v>
      </c>
      <c r="R208" s="296">
        <v>5.9999999999999995E-4</v>
      </c>
      <c r="S208" s="296">
        <v>0.85909999999999997</v>
      </c>
      <c r="T208" s="297">
        <v>13041</v>
      </c>
      <c r="U208" s="340">
        <v>71199</v>
      </c>
      <c r="V208" s="340">
        <v>274950</v>
      </c>
      <c r="W208" s="297">
        <v>30436</v>
      </c>
      <c r="X208" s="296">
        <v>-4.0000000000000001E-3</v>
      </c>
    </row>
    <row r="209" spans="13:24">
      <c r="M209">
        <v>207</v>
      </c>
      <c r="N209">
        <v>60503</v>
      </c>
      <c r="O209" t="s">
        <v>334</v>
      </c>
      <c r="P209" t="s">
        <v>131</v>
      </c>
      <c r="Q209">
        <v>38</v>
      </c>
      <c r="R209" s="296">
        <v>5.9999999999999995E-4</v>
      </c>
      <c r="S209" s="296">
        <v>0.85970000000000002</v>
      </c>
      <c r="T209" s="297">
        <v>5495</v>
      </c>
      <c r="U209" s="340">
        <v>147112</v>
      </c>
      <c r="V209" s="340">
        <v>324167</v>
      </c>
      <c r="W209" s="297">
        <v>17075</v>
      </c>
      <c r="X209" s="296">
        <v>0</v>
      </c>
    </row>
    <row r="210" spans="13:24">
      <c r="M210">
        <v>208</v>
      </c>
      <c r="N210">
        <v>60435</v>
      </c>
      <c r="O210" t="s">
        <v>941</v>
      </c>
      <c r="P210" t="s">
        <v>131</v>
      </c>
      <c r="Q210">
        <v>45</v>
      </c>
      <c r="R210" s="296">
        <v>5.9999999999999995E-4</v>
      </c>
      <c r="S210" s="296">
        <v>0.86040000000000005</v>
      </c>
      <c r="T210" s="297">
        <v>18213</v>
      </c>
      <c r="U210" s="340">
        <v>87885</v>
      </c>
      <c r="V210" s="340">
        <v>261764</v>
      </c>
      <c r="W210" s="297">
        <v>47841</v>
      </c>
      <c r="X210" s="296">
        <v>-4.0000000000000001E-3</v>
      </c>
    </row>
    <row r="211" spans="13:24">
      <c r="M211">
        <v>209</v>
      </c>
      <c r="N211">
        <v>60153</v>
      </c>
      <c r="O211" t="s">
        <v>821</v>
      </c>
      <c r="P211" t="s">
        <v>131</v>
      </c>
      <c r="Q211">
        <v>19</v>
      </c>
      <c r="R211" s="296">
        <v>5.9999999999999995E-4</v>
      </c>
      <c r="S211" s="296">
        <v>0.86099999999999999</v>
      </c>
      <c r="T211" s="297">
        <v>7509</v>
      </c>
      <c r="U211" s="340">
        <v>83401</v>
      </c>
      <c r="V211" s="340">
        <v>246529</v>
      </c>
      <c r="W211" s="297">
        <v>22633</v>
      </c>
      <c r="X211" s="296">
        <v>-8.9999999999999993E-3</v>
      </c>
    </row>
    <row r="212" spans="13:24">
      <c r="M212">
        <v>210</v>
      </c>
      <c r="N212">
        <v>60559</v>
      </c>
      <c r="O212" t="s">
        <v>950</v>
      </c>
      <c r="P212" t="s">
        <v>131</v>
      </c>
      <c r="Q212">
        <v>28</v>
      </c>
      <c r="R212" s="296">
        <v>5.9999999999999995E-4</v>
      </c>
      <c r="S212" s="296">
        <v>0.86160000000000003</v>
      </c>
      <c r="T212" s="297">
        <v>10979</v>
      </c>
      <c r="U212" s="340">
        <v>128193</v>
      </c>
      <c r="V212" s="340">
        <v>492626</v>
      </c>
      <c r="W212" s="297">
        <v>25023</v>
      </c>
      <c r="X212" s="296">
        <v>-1E-3</v>
      </c>
    </row>
    <row r="213" spans="13:24">
      <c r="M213">
        <v>211</v>
      </c>
      <c r="N213">
        <v>60542</v>
      </c>
      <c r="O213" t="s">
        <v>951</v>
      </c>
      <c r="P213" t="s">
        <v>131</v>
      </c>
      <c r="Q213">
        <v>36</v>
      </c>
      <c r="R213" s="296">
        <v>5.9999999999999995E-4</v>
      </c>
      <c r="S213" s="296">
        <v>0.86219999999999997</v>
      </c>
      <c r="T213" s="297">
        <v>7274</v>
      </c>
      <c r="U213" s="340">
        <v>140847</v>
      </c>
      <c r="V213" s="340">
        <v>336052</v>
      </c>
      <c r="W213" s="297">
        <v>18730</v>
      </c>
      <c r="X213" s="296">
        <v>4.0000000000000001E-3</v>
      </c>
    </row>
    <row r="214" spans="13:24">
      <c r="M214">
        <v>212</v>
      </c>
      <c r="N214">
        <v>60914</v>
      </c>
      <c r="O214" t="s">
        <v>952</v>
      </c>
      <c r="P214" t="s">
        <v>131</v>
      </c>
      <c r="Q214">
        <v>67</v>
      </c>
      <c r="R214" s="296">
        <v>5.9999999999999995E-4</v>
      </c>
      <c r="S214" s="296">
        <v>0.86270000000000002</v>
      </c>
      <c r="T214" s="297">
        <v>10287</v>
      </c>
      <c r="U214" s="340">
        <v>120047</v>
      </c>
      <c r="V214" s="340">
        <v>246863</v>
      </c>
      <c r="W214" s="297">
        <v>28550</v>
      </c>
      <c r="X214" s="296">
        <v>-2E-3</v>
      </c>
    </row>
    <row r="215" spans="13:24">
      <c r="M215">
        <v>213</v>
      </c>
      <c r="N215">
        <v>60445</v>
      </c>
      <c r="O215" t="s">
        <v>668</v>
      </c>
      <c r="P215" t="s">
        <v>131</v>
      </c>
      <c r="Q215">
        <v>35</v>
      </c>
      <c r="R215" s="296">
        <v>5.9999999999999995E-4</v>
      </c>
      <c r="S215" s="296">
        <v>0.86329999999999996</v>
      </c>
      <c r="T215" s="297">
        <v>5359</v>
      </c>
      <c r="U215" s="340">
        <v>90817</v>
      </c>
      <c r="V215" s="340">
        <v>257161</v>
      </c>
      <c r="W215" s="297">
        <v>14467</v>
      </c>
      <c r="X215" s="296">
        <v>-8.9999999999999993E-3</v>
      </c>
    </row>
    <row r="216" spans="13:24">
      <c r="M216">
        <v>214</v>
      </c>
      <c r="N216">
        <v>60154</v>
      </c>
      <c r="O216" t="s">
        <v>953</v>
      </c>
      <c r="P216" t="s">
        <v>131</v>
      </c>
      <c r="Q216">
        <v>21</v>
      </c>
      <c r="R216" s="296">
        <v>5.9999999999999995E-4</v>
      </c>
      <c r="S216" s="296">
        <v>0.8639</v>
      </c>
      <c r="T216" s="297">
        <v>6615</v>
      </c>
      <c r="U216" s="340">
        <v>124138</v>
      </c>
      <c r="V216" s="340">
        <v>300681</v>
      </c>
      <c r="W216" s="297">
        <v>15735</v>
      </c>
      <c r="X216" s="296">
        <v>-1.0999999999999999E-2</v>
      </c>
    </row>
    <row r="217" spans="13:24">
      <c r="M217">
        <v>215</v>
      </c>
      <c r="N217">
        <v>60643</v>
      </c>
      <c r="O217" t="s">
        <v>437</v>
      </c>
      <c r="P217" t="s">
        <v>131</v>
      </c>
      <c r="Q217">
        <v>32</v>
      </c>
      <c r="R217" s="296">
        <v>5.9999999999999995E-4</v>
      </c>
      <c r="S217" s="296">
        <v>0.86439999999999995</v>
      </c>
      <c r="T217" s="297">
        <v>17917</v>
      </c>
      <c r="U217" s="340">
        <v>113393</v>
      </c>
      <c r="V217" s="340">
        <v>328342</v>
      </c>
      <c r="W217" s="297">
        <v>45385</v>
      </c>
      <c r="X217" s="296">
        <v>-1.0999999999999999E-2</v>
      </c>
    </row>
    <row r="218" spans="13:24">
      <c r="M218">
        <v>216</v>
      </c>
      <c r="N218">
        <v>60505</v>
      </c>
      <c r="O218" t="s">
        <v>334</v>
      </c>
      <c r="P218" t="s">
        <v>131</v>
      </c>
      <c r="Q218">
        <v>37</v>
      </c>
      <c r="R218" s="296">
        <v>5.9999999999999995E-4</v>
      </c>
      <c r="S218" s="296">
        <v>0.86499999999999999</v>
      </c>
      <c r="T218" s="297">
        <v>17748</v>
      </c>
      <c r="U218" s="340">
        <v>89589</v>
      </c>
      <c r="V218" s="340">
        <v>251464</v>
      </c>
      <c r="W218" s="297">
        <v>56011</v>
      </c>
      <c r="X218" s="296">
        <v>-8.9999999999999993E-3</v>
      </c>
    </row>
    <row r="219" spans="13:24">
      <c r="M219">
        <v>217</v>
      </c>
      <c r="N219">
        <v>60661</v>
      </c>
      <c r="O219" t="s">
        <v>437</v>
      </c>
      <c r="P219" t="s">
        <v>131</v>
      </c>
      <c r="Q219">
        <v>20</v>
      </c>
      <c r="R219" s="296">
        <v>5.0000000000000001E-4</v>
      </c>
      <c r="S219" s="296">
        <v>0.86550000000000005</v>
      </c>
      <c r="T219" s="297">
        <v>8795</v>
      </c>
      <c r="U219" s="340">
        <v>177625</v>
      </c>
      <c r="V219" s="340">
        <v>471621</v>
      </c>
      <c r="W219" s="297">
        <v>13217</v>
      </c>
      <c r="X219" s="296">
        <v>-4.0000000000000001E-3</v>
      </c>
    </row>
    <row r="220" spans="13:24">
      <c r="M220">
        <v>218</v>
      </c>
      <c r="N220">
        <v>60451</v>
      </c>
      <c r="O220" t="s">
        <v>497</v>
      </c>
      <c r="P220" t="s">
        <v>131</v>
      </c>
      <c r="Q220">
        <v>45</v>
      </c>
      <c r="R220" s="296">
        <v>5.0000000000000001E-4</v>
      </c>
      <c r="S220" s="296">
        <v>0.86609999999999998</v>
      </c>
      <c r="T220" s="297">
        <v>12815</v>
      </c>
      <c r="U220" s="340">
        <v>148572</v>
      </c>
      <c r="V220" s="340">
        <v>390563</v>
      </c>
      <c r="W220" s="297">
        <v>36622</v>
      </c>
      <c r="X220" s="296">
        <v>2E-3</v>
      </c>
    </row>
    <row r="221" spans="13:24">
      <c r="M221">
        <v>219</v>
      </c>
      <c r="N221">
        <v>49525</v>
      </c>
      <c r="O221" t="s">
        <v>467</v>
      </c>
      <c r="P221" t="s">
        <v>140</v>
      </c>
      <c r="Q221">
        <v>126</v>
      </c>
      <c r="R221" s="296">
        <v>5.0000000000000001E-4</v>
      </c>
      <c r="S221" s="296">
        <v>0.86660000000000004</v>
      </c>
      <c r="T221" s="297">
        <v>12699</v>
      </c>
      <c r="U221" s="340">
        <v>130768</v>
      </c>
      <c r="V221" s="340">
        <v>421628</v>
      </c>
      <c r="W221" s="297">
        <v>31616</v>
      </c>
      <c r="X221" s="296">
        <v>0.01</v>
      </c>
    </row>
    <row r="222" spans="13:24">
      <c r="M222">
        <v>220</v>
      </c>
      <c r="N222">
        <v>53147</v>
      </c>
      <c r="O222" t="s">
        <v>954</v>
      </c>
      <c r="P222" t="s">
        <v>149</v>
      </c>
      <c r="Q222">
        <v>46</v>
      </c>
      <c r="R222" s="296">
        <v>5.0000000000000001E-4</v>
      </c>
      <c r="S222" s="296">
        <v>0.86709999999999998</v>
      </c>
      <c r="T222" s="297">
        <v>8106</v>
      </c>
      <c r="U222" s="340">
        <v>122840</v>
      </c>
      <c r="V222" s="340">
        <v>482500</v>
      </c>
      <c r="W222" s="297">
        <v>18277</v>
      </c>
      <c r="X222" s="296">
        <v>4.0000000000000001E-3</v>
      </c>
    </row>
    <row r="223" spans="13:24">
      <c r="M223">
        <v>221</v>
      </c>
      <c r="N223">
        <v>60487</v>
      </c>
      <c r="O223" t="s">
        <v>924</v>
      </c>
      <c r="P223" t="s">
        <v>131</v>
      </c>
      <c r="Q223">
        <v>40</v>
      </c>
      <c r="R223" s="296">
        <v>5.0000000000000001E-4</v>
      </c>
      <c r="S223" s="296">
        <v>0.86760000000000004</v>
      </c>
      <c r="T223" s="297">
        <v>9232</v>
      </c>
      <c r="U223" s="340">
        <v>145115</v>
      </c>
      <c r="V223" s="340">
        <v>340583</v>
      </c>
      <c r="W223" s="297">
        <v>26001</v>
      </c>
      <c r="X223" s="296">
        <v>-1E-3</v>
      </c>
    </row>
    <row r="224" spans="13:24">
      <c r="M224">
        <v>222</v>
      </c>
      <c r="N224">
        <v>60415</v>
      </c>
      <c r="O224" t="s">
        <v>955</v>
      </c>
      <c r="P224" t="s">
        <v>131</v>
      </c>
      <c r="Q224">
        <v>31</v>
      </c>
      <c r="R224" s="296">
        <v>5.0000000000000001E-4</v>
      </c>
      <c r="S224" s="296">
        <v>0.86809999999999998</v>
      </c>
      <c r="T224" s="297">
        <v>5511</v>
      </c>
      <c r="U224" s="340">
        <v>75140</v>
      </c>
      <c r="V224" s="340">
        <v>270771</v>
      </c>
      <c r="W224" s="297">
        <v>13702</v>
      </c>
      <c r="X224" s="296">
        <v>-8.9999999999999993E-3</v>
      </c>
    </row>
    <row r="225" spans="13:24">
      <c r="M225">
        <v>223</v>
      </c>
      <c r="N225">
        <v>60621</v>
      </c>
      <c r="O225" t="s">
        <v>437</v>
      </c>
      <c r="P225" t="s">
        <v>131</v>
      </c>
      <c r="Q225">
        <v>27</v>
      </c>
      <c r="R225" s="296">
        <v>5.0000000000000001E-4</v>
      </c>
      <c r="S225" s="296">
        <v>0.86860000000000004</v>
      </c>
      <c r="T225" s="297">
        <v>11760</v>
      </c>
      <c r="U225" s="340">
        <v>44434</v>
      </c>
      <c r="V225" s="340">
        <v>216391</v>
      </c>
      <c r="W225" s="297">
        <v>29019</v>
      </c>
      <c r="X225" s="296">
        <v>-7.0000000000000001E-3</v>
      </c>
    </row>
    <row r="226" spans="13:24">
      <c r="M226">
        <v>224</v>
      </c>
      <c r="N226">
        <v>60096</v>
      </c>
      <c r="O226" t="s">
        <v>956</v>
      </c>
      <c r="P226" t="s">
        <v>131</v>
      </c>
      <c r="Q226">
        <v>23</v>
      </c>
      <c r="R226" s="296">
        <v>5.0000000000000001E-4</v>
      </c>
      <c r="S226" s="296">
        <v>0.86909999999999998</v>
      </c>
      <c r="T226" s="297">
        <v>2677</v>
      </c>
      <c r="U226" s="340">
        <v>118226</v>
      </c>
      <c r="V226" s="340">
        <v>281068</v>
      </c>
      <c r="W226" s="297">
        <v>6628</v>
      </c>
      <c r="X226" s="296">
        <v>-7.0000000000000001E-3</v>
      </c>
    </row>
    <row r="227" spans="13:24">
      <c r="M227">
        <v>225</v>
      </c>
      <c r="N227">
        <v>61761</v>
      </c>
      <c r="O227" t="s">
        <v>957</v>
      </c>
      <c r="P227" t="s">
        <v>131</v>
      </c>
      <c r="Q227">
        <v>127</v>
      </c>
      <c r="R227" s="296">
        <v>5.0000000000000001E-4</v>
      </c>
      <c r="S227" s="296">
        <v>0.86960000000000004</v>
      </c>
      <c r="T227" s="297">
        <v>20268</v>
      </c>
      <c r="U227" s="340">
        <v>95081</v>
      </c>
      <c r="V227" s="340">
        <v>235560</v>
      </c>
      <c r="W227" s="297">
        <v>51849</v>
      </c>
      <c r="X227" s="296">
        <v>2E-3</v>
      </c>
    </row>
    <row r="228" spans="13:24">
      <c r="M228">
        <v>226</v>
      </c>
      <c r="N228">
        <v>60458</v>
      </c>
      <c r="O228" t="s">
        <v>958</v>
      </c>
      <c r="P228" t="s">
        <v>131</v>
      </c>
      <c r="Q228">
        <v>28</v>
      </c>
      <c r="R228" s="296">
        <v>5.0000000000000001E-4</v>
      </c>
      <c r="S228" s="296">
        <v>0.87009999999999998</v>
      </c>
      <c r="T228" s="297">
        <v>5333</v>
      </c>
      <c r="U228" s="340">
        <v>88999</v>
      </c>
      <c r="V228" s="340">
        <v>238805</v>
      </c>
      <c r="W228" s="297">
        <v>14037</v>
      </c>
      <c r="X228" s="296">
        <v>-8.9999999999999993E-3</v>
      </c>
    </row>
    <row r="229" spans="13:24">
      <c r="M229">
        <v>227</v>
      </c>
      <c r="N229">
        <v>53143</v>
      </c>
      <c r="O229" t="s">
        <v>900</v>
      </c>
      <c r="P229" t="s">
        <v>149</v>
      </c>
      <c r="Q229">
        <v>29</v>
      </c>
      <c r="R229" s="296">
        <v>5.0000000000000001E-4</v>
      </c>
      <c r="S229" s="296">
        <v>0.87060000000000004</v>
      </c>
      <c r="T229" s="297">
        <v>9032</v>
      </c>
      <c r="U229" s="340">
        <v>83469</v>
      </c>
      <c r="V229" s="340">
        <v>266253</v>
      </c>
      <c r="W229" s="297">
        <v>22341</v>
      </c>
      <c r="X229" s="296">
        <v>-8.9999999999999993E-3</v>
      </c>
    </row>
    <row r="230" spans="13:24">
      <c r="M230">
        <v>228</v>
      </c>
      <c r="N230">
        <v>60411</v>
      </c>
      <c r="O230" t="s">
        <v>959</v>
      </c>
      <c r="P230" t="s">
        <v>131</v>
      </c>
      <c r="Q230">
        <v>45</v>
      </c>
      <c r="R230" s="296">
        <v>5.0000000000000001E-4</v>
      </c>
      <c r="S230" s="296">
        <v>0.87109999999999999</v>
      </c>
      <c r="T230" s="297">
        <v>18374</v>
      </c>
      <c r="U230" s="340">
        <v>77613</v>
      </c>
      <c r="V230" s="340">
        <v>197985</v>
      </c>
      <c r="W230" s="297">
        <v>51497</v>
      </c>
      <c r="X230" s="296">
        <v>-8.0000000000000002E-3</v>
      </c>
    </row>
    <row r="231" spans="13:24">
      <c r="M231">
        <v>229</v>
      </c>
      <c r="N231">
        <v>60104</v>
      </c>
      <c r="O231" t="s">
        <v>960</v>
      </c>
      <c r="P231" t="s">
        <v>131</v>
      </c>
      <c r="Q231">
        <v>19</v>
      </c>
      <c r="R231" s="296">
        <v>5.0000000000000001E-4</v>
      </c>
      <c r="S231" s="296">
        <v>0.87150000000000005</v>
      </c>
      <c r="T231" s="297">
        <v>6349</v>
      </c>
      <c r="U231" s="340">
        <v>89488</v>
      </c>
      <c r="V231" s="340">
        <v>262962</v>
      </c>
      <c r="W231" s="297">
        <v>18253</v>
      </c>
      <c r="X231" s="296">
        <v>-7.0000000000000001E-3</v>
      </c>
    </row>
    <row r="232" spans="13:24">
      <c r="M232">
        <v>230</v>
      </c>
      <c r="N232">
        <v>60452</v>
      </c>
      <c r="O232" t="s">
        <v>961</v>
      </c>
      <c r="P232" t="s">
        <v>131</v>
      </c>
      <c r="Q232">
        <v>37</v>
      </c>
      <c r="R232" s="296">
        <v>5.0000000000000001E-4</v>
      </c>
      <c r="S232" s="296">
        <v>0.872</v>
      </c>
      <c r="T232" s="297">
        <v>10209</v>
      </c>
      <c r="U232" s="340">
        <v>110689</v>
      </c>
      <c r="V232" s="340">
        <v>263031</v>
      </c>
      <c r="W232" s="297">
        <v>26235</v>
      </c>
      <c r="X232" s="296">
        <v>-7.0000000000000001E-3</v>
      </c>
    </row>
    <row r="233" spans="13:24">
      <c r="M233">
        <v>231</v>
      </c>
      <c r="N233">
        <v>60463</v>
      </c>
      <c r="O233" t="s">
        <v>652</v>
      </c>
      <c r="P233" t="s">
        <v>131</v>
      </c>
      <c r="Q233">
        <v>34</v>
      </c>
      <c r="R233" s="296">
        <v>4.0000000000000002E-4</v>
      </c>
      <c r="S233" s="296">
        <v>0.87239999999999995</v>
      </c>
      <c r="T233" s="297">
        <v>5675</v>
      </c>
      <c r="U233" s="340">
        <v>145497</v>
      </c>
      <c r="V233" s="340">
        <v>364933</v>
      </c>
      <c r="W233" s="297">
        <v>13469</v>
      </c>
      <c r="X233" s="296">
        <v>-0.01</v>
      </c>
    </row>
    <row r="234" spans="13:24">
      <c r="M234">
        <v>232</v>
      </c>
      <c r="N234">
        <v>60560</v>
      </c>
      <c r="O234" t="s">
        <v>962</v>
      </c>
      <c r="P234" t="s">
        <v>131</v>
      </c>
      <c r="Q234">
        <v>49</v>
      </c>
      <c r="R234" s="296">
        <v>4.0000000000000002E-4</v>
      </c>
      <c r="S234" s="296">
        <v>0.87290000000000001</v>
      </c>
      <c r="T234" s="297">
        <v>10388</v>
      </c>
      <c r="U234" s="340">
        <v>132537</v>
      </c>
      <c r="V234" s="340">
        <v>342838</v>
      </c>
      <c r="W234" s="297">
        <v>29873</v>
      </c>
      <c r="X234" s="296">
        <v>2.1000000000000001E-2</v>
      </c>
    </row>
    <row r="235" spans="13:24">
      <c r="M235">
        <v>233</v>
      </c>
      <c r="N235">
        <v>53221</v>
      </c>
      <c r="O235" t="s">
        <v>463</v>
      </c>
      <c r="P235" t="s">
        <v>149</v>
      </c>
      <c r="Q235">
        <v>56</v>
      </c>
      <c r="R235" s="296">
        <v>4.0000000000000002E-4</v>
      </c>
      <c r="S235" s="296">
        <v>0.87329999999999997</v>
      </c>
      <c r="T235" s="297">
        <v>15420</v>
      </c>
      <c r="U235" s="340">
        <v>84847</v>
      </c>
      <c r="V235" s="340">
        <v>280154</v>
      </c>
      <c r="W235" s="297">
        <v>38447</v>
      </c>
      <c r="X235" s="296">
        <v>-5.0000000000000001E-3</v>
      </c>
    </row>
    <row r="236" spans="13:24">
      <c r="M236">
        <v>234</v>
      </c>
      <c r="N236">
        <v>60465</v>
      </c>
      <c r="O236" t="s">
        <v>963</v>
      </c>
      <c r="P236" t="s">
        <v>131</v>
      </c>
      <c r="Q236">
        <v>31</v>
      </c>
      <c r="R236" s="296">
        <v>4.0000000000000002E-4</v>
      </c>
      <c r="S236" s="296">
        <v>0.87380000000000002</v>
      </c>
      <c r="T236" s="297">
        <v>7362</v>
      </c>
      <c r="U236" s="340">
        <v>104437</v>
      </c>
      <c r="V236" s="340">
        <v>294172</v>
      </c>
      <c r="W236" s="297">
        <v>18245</v>
      </c>
      <c r="X236" s="296">
        <v>-8.0000000000000002E-3</v>
      </c>
    </row>
    <row r="237" spans="13:24">
      <c r="M237">
        <v>235</v>
      </c>
      <c r="N237">
        <v>47906</v>
      </c>
      <c r="O237" t="s">
        <v>785</v>
      </c>
      <c r="P237" t="s">
        <v>144</v>
      </c>
      <c r="Q237">
        <v>126</v>
      </c>
      <c r="R237" s="296">
        <v>4.0000000000000002E-4</v>
      </c>
      <c r="S237" s="296">
        <v>0.87419999999999998</v>
      </c>
      <c r="T237" s="297">
        <v>26923</v>
      </c>
      <c r="U237" s="340">
        <v>79223</v>
      </c>
      <c r="V237" s="340">
        <v>329689</v>
      </c>
      <c r="W237" s="297">
        <v>72832</v>
      </c>
      <c r="X237" s="296">
        <v>0.01</v>
      </c>
    </row>
    <row r="238" spans="13:24">
      <c r="M238">
        <v>236</v>
      </c>
      <c r="N238">
        <v>53233</v>
      </c>
      <c r="O238" t="s">
        <v>463</v>
      </c>
      <c r="P238" t="s">
        <v>149</v>
      </c>
      <c r="Q238">
        <v>62</v>
      </c>
      <c r="R238" s="296">
        <v>4.0000000000000002E-4</v>
      </c>
      <c r="S238" s="296">
        <v>0.87460000000000004</v>
      </c>
      <c r="T238" s="297">
        <v>5773</v>
      </c>
      <c r="U238" s="340">
        <v>38937</v>
      </c>
      <c r="V238" s="340">
        <v>217143</v>
      </c>
      <c r="W238" s="297">
        <v>16032</v>
      </c>
      <c r="X238" s="296">
        <v>8.0000000000000002E-3</v>
      </c>
    </row>
    <row r="239" spans="13:24">
      <c r="M239">
        <v>237</v>
      </c>
      <c r="N239">
        <v>60119</v>
      </c>
      <c r="O239" t="s">
        <v>964</v>
      </c>
      <c r="P239" t="s">
        <v>131</v>
      </c>
      <c r="Q239">
        <v>39</v>
      </c>
      <c r="R239" s="296">
        <v>4.0000000000000002E-4</v>
      </c>
      <c r="S239" s="296">
        <v>0.87509999999999999</v>
      </c>
      <c r="T239" s="297">
        <v>4194</v>
      </c>
      <c r="U239" s="340">
        <v>153103</v>
      </c>
      <c r="V239" s="340">
        <v>423107</v>
      </c>
      <c r="W239" s="297">
        <v>11288</v>
      </c>
      <c r="X239" s="296">
        <v>4.0000000000000001E-3</v>
      </c>
    </row>
    <row r="240" spans="13:24">
      <c r="M240">
        <v>238</v>
      </c>
      <c r="N240">
        <v>60130</v>
      </c>
      <c r="O240" t="s">
        <v>965</v>
      </c>
      <c r="P240" t="s">
        <v>131</v>
      </c>
      <c r="Q240">
        <v>19</v>
      </c>
      <c r="R240" s="296">
        <v>4.0000000000000002E-4</v>
      </c>
      <c r="S240" s="296">
        <v>0.87549999999999994</v>
      </c>
      <c r="T240" s="297">
        <v>7573</v>
      </c>
      <c r="U240" s="340">
        <v>112767</v>
      </c>
      <c r="V240" s="340">
        <v>377372</v>
      </c>
      <c r="W240" s="297">
        <v>13935</v>
      </c>
      <c r="X240" s="296">
        <v>-7.0000000000000001E-3</v>
      </c>
    </row>
    <row r="241" spans="13:24">
      <c r="M241">
        <v>239</v>
      </c>
      <c r="N241">
        <v>53402</v>
      </c>
      <c r="O241" t="s">
        <v>938</v>
      </c>
      <c r="P241" t="s">
        <v>149</v>
      </c>
      <c r="Q241">
        <v>43</v>
      </c>
      <c r="R241" s="296">
        <v>4.0000000000000002E-4</v>
      </c>
      <c r="S241" s="296">
        <v>0.87590000000000001</v>
      </c>
      <c r="T241" s="297">
        <v>13769</v>
      </c>
      <c r="U241" s="340">
        <v>98120</v>
      </c>
      <c r="V241" s="340">
        <v>330076</v>
      </c>
      <c r="W241" s="297">
        <v>33798</v>
      </c>
      <c r="X241" s="296">
        <v>0</v>
      </c>
    </row>
    <row r="242" spans="13:24">
      <c r="M242">
        <v>240</v>
      </c>
      <c r="N242">
        <v>60523</v>
      </c>
      <c r="O242" t="s">
        <v>966</v>
      </c>
      <c r="P242" t="s">
        <v>131</v>
      </c>
      <c r="Q242">
        <v>23</v>
      </c>
      <c r="R242" s="296">
        <v>4.0000000000000002E-4</v>
      </c>
      <c r="S242" s="296">
        <v>0.87629999999999997</v>
      </c>
      <c r="T242" s="297">
        <v>3637</v>
      </c>
      <c r="U242" s="340">
        <v>202427</v>
      </c>
      <c r="V242" s="340">
        <v>898120</v>
      </c>
      <c r="W242" s="297">
        <v>9244</v>
      </c>
      <c r="X242" s="296">
        <v>1E-3</v>
      </c>
    </row>
    <row r="243" spans="13:24">
      <c r="M243">
        <v>241</v>
      </c>
      <c r="N243">
        <v>53202</v>
      </c>
      <c r="O243" t="s">
        <v>463</v>
      </c>
      <c r="P243" t="s">
        <v>149</v>
      </c>
      <c r="Q243">
        <v>62</v>
      </c>
      <c r="R243" s="296">
        <v>4.0000000000000002E-4</v>
      </c>
      <c r="S243" s="296">
        <v>0.87670000000000003</v>
      </c>
      <c r="T243" s="297">
        <v>18301</v>
      </c>
      <c r="U243" s="340">
        <v>101076</v>
      </c>
      <c r="V243" s="340">
        <v>429914</v>
      </c>
      <c r="W243" s="297">
        <v>28104</v>
      </c>
      <c r="X243" s="296">
        <v>2E-3</v>
      </c>
    </row>
    <row r="244" spans="13:24">
      <c r="M244">
        <v>242</v>
      </c>
      <c r="N244">
        <v>60438</v>
      </c>
      <c r="O244" t="s">
        <v>967</v>
      </c>
      <c r="P244" t="s">
        <v>131</v>
      </c>
      <c r="Q244">
        <v>42</v>
      </c>
      <c r="R244" s="296">
        <v>4.0000000000000002E-4</v>
      </c>
      <c r="S244" s="296">
        <v>0.87719999999999998</v>
      </c>
      <c r="T244" s="297">
        <v>11470</v>
      </c>
      <c r="U244" s="340">
        <v>93407</v>
      </c>
      <c r="V244" s="340">
        <v>221560</v>
      </c>
      <c r="W244" s="297">
        <v>28918</v>
      </c>
      <c r="X244" s="296">
        <v>-6.0000000000000001E-3</v>
      </c>
    </row>
    <row r="245" spans="13:24">
      <c r="M245">
        <v>243</v>
      </c>
      <c r="N245">
        <v>60021</v>
      </c>
      <c r="O245" t="s">
        <v>968</v>
      </c>
      <c r="P245" t="s">
        <v>131</v>
      </c>
      <c r="Q245">
        <v>22</v>
      </c>
      <c r="R245" s="296">
        <v>4.0000000000000002E-4</v>
      </c>
      <c r="S245" s="296">
        <v>0.87760000000000005</v>
      </c>
      <c r="T245" s="297">
        <v>2074</v>
      </c>
      <c r="U245" s="340">
        <v>155929</v>
      </c>
      <c r="V245" s="340">
        <v>385563</v>
      </c>
      <c r="W245" s="297">
        <v>5340</v>
      </c>
      <c r="X245" s="296">
        <v>-4.0000000000000001E-3</v>
      </c>
    </row>
    <row r="246" spans="13:24">
      <c r="M246">
        <v>244</v>
      </c>
      <c r="N246">
        <v>52402</v>
      </c>
      <c r="O246" t="s">
        <v>969</v>
      </c>
      <c r="P246" t="s">
        <v>170</v>
      </c>
      <c r="Q246">
        <v>199</v>
      </c>
      <c r="R246" s="296">
        <v>4.0000000000000002E-4</v>
      </c>
      <c r="S246" s="296">
        <v>0.878</v>
      </c>
      <c r="T246" s="297">
        <v>18020</v>
      </c>
      <c r="U246" s="340">
        <v>93908</v>
      </c>
      <c r="V246" s="340">
        <v>231195</v>
      </c>
      <c r="W246" s="297">
        <v>41967</v>
      </c>
      <c r="X246" s="296">
        <v>2E-3</v>
      </c>
    </row>
    <row r="247" spans="13:24">
      <c r="M247">
        <v>245</v>
      </c>
      <c r="N247">
        <v>60136</v>
      </c>
      <c r="O247" t="s">
        <v>970</v>
      </c>
      <c r="P247" t="s">
        <v>131</v>
      </c>
      <c r="Q247">
        <v>30</v>
      </c>
      <c r="R247" s="296">
        <v>4.0000000000000002E-4</v>
      </c>
      <c r="S247" s="296">
        <v>0.87829999999999997</v>
      </c>
      <c r="T247" s="297">
        <v>2799</v>
      </c>
      <c r="U247" s="340">
        <v>134501</v>
      </c>
      <c r="V247" s="340">
        <v>365080</v>
      </c>
      <c r="W247" s="297">
        <v>8485</v>
      </c>
      <c r="X247" s="296">
        <v>-5.0000000000000001E-3</v>
      </c>
    </row>
    <row r="248" spans="13:24">
      <c r="M248">
        <v>246</v>
      </c>
      <c r="N248">
        <v>60430</v>
      </c>
      <c r="O248" t="s">
        <v>713</v>
      </c>
      <c r="P248" t="s">
        <v>131</v>
      </c>
      <c r="Q248">
        <v>41</v>
      </c>
      <c r="R248" s="296">
        <v>4.0000000000000002E-4</v>
      </c>
      <c r="S248" s="296">
        <v>0.87870000000000004</v>
      </c>
      <c r="T248" s="297">
        <v>7828</v>
      </c>
      <c r="U248" s="340">
        <v>110203</v>
      </c>
      <c r="V248" s="340">
        <v>259348</v>
      </c>
      <c r="W248" s="297">
        <v>19643</v>
      </c>
      <c r="X248" s="296">
        <v>-8.0000000000000002E-3</v>
      </c>
    </row>
    <row r="249" spans="13:24">
      <c r="M249">
        <v>247</v>
      </c>
      <c r="N249">
        <v>60403</v>
      </c>
      <c r="O249" t="s">
        <v>971</v>
      </c>
      <c r="P249" t="s">
        <v>131</v>
      </c>
      <c r="Q249">
        <v>44</v>
      </c>
      <c r="R249" s="296">
        <v>4.0000000000000002E-4</v>
      </c>
      <c r="S249" s="296">
        <v>0.87909999999999999</v>
      </c>
      <c r="T249" s="297">
        <v>7259</v>
      </c>
      <c r="U249" s="340">
        <v>81329</v>
      </c>
      <c r="V249" s="340">
        <v>274504</v>
      </c>
      <c r="W249" s="297">
        <v>17019</v>
      </c>
      <c r="X249" s="296">
        <v>-5.0000000000000001E-3</v>
      </c>
    </row>
    <row r="250" spans="13:24">
      <c r="M250">
        <v>248</v>
      </c>
      <c r="N250">
        <v>53403</v>
      </c>
      <c r="O250" t="s">
        <v>938</v>
      </c>
      <c r="P250" t="s">
        <v>149</v>
      </c>
      <c r="Q250">
        <v>39</v>
      </c>
      <c r="R250" s="296">
        <v>4.0000000000000002E-4</v>
      </c>
      <c r="S250" s="296">
        <v>0.87949999999999995</v>
      </c>
      <c r="T250" s="297">
        <v>11174</v>
      </c>
      <c r="U250" s="340">
        <v>78687</v>
      </c>
      <c r="V250" s="340">
        <v>266632</v>
      </c>
      <c r="W250" s="297">
        <v>26151</v>
      </c>
      <c r="X250" s="296">
        <v>-4.0000000000000001E-3</v>
      </c>
    </row>
    <row r="251" spans="13:24">
      <c r="M251">
        <v>249</v>
      </c>
      <c r="N251">
        <v>60115</v>
      </c>
      <c r="O251" t="s">
        <v>972</v>
      </c>
      <c r="P251" t="s">
        <v>131</v>
      </c>
      <c r="Q251">
        <v>52</v>
      </c>
      <c r="R251" s="296">
        <v>4.0000000000000002E-4</v>
      </c>
      <c r="S251" s="296">
        <v>0.87990000000000002</v>
      </c>
      <c r="T251" s="297">
        <v>16084</v>
      </c>
      <c r="U251" s="340">
        <v>71385</v>
      </c>
      <c r="V251" s="340">
        <v>233472</v>
      </c>
      <c r="W251" s="297">
        <v>41568</v>
      </c>
      <c r="X251" s="296">
        <v>-3.0000000000000001E-3</v>
      </c>
    </row>
    <row r="252" spans="13:24">
      <c r="M252">
        <v>250</v>
      </c>
      <c r="N252">
        <v>60827</v>
      </c>
      <c r="O252" t="s">
        <v>754</v>
      </c>
      <c r="P252" t="s">
        <v>131</v>
      </c>
      <c r="Q252">
        <v>35</v>
      </c>
      <c r="R252" s="296">
        <v>4.0000000000000002E-4</v>
      </c>
      <c r="S252" s="296">
        <v>0.88029999999999997</v>
      </c>
      <c r="T252" s="297">
        <v>9374</v>
      </c>
      <c r="U252" s="340">
        <v>58045</v>
      </c>
      <c r="V252" s="340">
        <v>224764</v>
      </c>
      <c r="W252" s="297">
        <v>23722</v>
      </c>
      <c r="X252" s="296">
        <v>-0.01</v>
      </c>
    </row>
    <row r="253" spans="13:24">
      <c r="M253">
        <v>251</v>
      </c>
      <c r="N253">
        <v>53105</v>
      </c>
      <c r="O253" t="s">
        <v>349</v>
      </c>
      <c r="P253" t="s">
        <v>149</v>
      </c>
      <c r="Q253">
        <v>43</v>
      </c>
      <c r="R253" s="296">
        <v>4.0000000000000002E-4</v>
      </c>
      <c r="S253" s="296">
        <v>0.88060000000000005</v>
      </c>
      <c r="T253" s="297">
        <v>12086</v>
      </c>
      <c r="U253" s="340">
        <v>110910</v>
      </c>
      <c r="V253" s="340">
        <v>387085</v>
      </c>
      <c r="W253" s="297">
        <v>29730</v>
      </c>
      <c r="X253" s="296">
        <v>-3.0000000000000001E-3</v>
      </c>
    </row>
    <row r="254" spans="13:24">
      <c r="M254">
        <v>252</v>
      </c>
      <c r="N254">
        <v>60419</v>
      </c>
      <c r="O254" t="s">
        <v>973</v>
      </c>
      <c r="P254" t="s">
        <v>131</v>
      </c>
      <c r="Q254">
        <v>37</v>
      </c>
      <c r="R254" s="296">
        <v>4.0000000000000002E-4</v>
      </c>
      <c r="S254" s="296">
        <v>0.88100000000000001</v>
      </c>
      <c r="T254" s="297">
        <v>7537</v>
      </c>
      <c r="U254" s="340">
        <v>73471</v>
      </c>
      <c r="V254" s="340">
        <v>194797</v>
      </c>
      <c r="W254" s="297">
        <v>20141</v>
      </c>
      <c r="X254" s="296">
        <v>-1.0999999999999999E-2</v>
      </c>
    </row>
    <row r="255" spans="13:24">
      <c r="M255">
        <v>253</v>
      </c>
      <c r="N255">
        <v>61801</v>
      </c>
      <c r="O255" t="s">
        <v>974</v>
      </c>
      <c r="P255" t="s">
        <v>131</v>
      </c>
      <c r="Q255">
        <v>143</v>
      </c>
      <c r="R255" s="296">
        <v>4.0000000000000002E-4</v>
      </c>
      <c r="S255" s="296">
        <v>0.88139999999999996</v>
      </c>
      <c r="T255" s="297">
        <v>11416</v>
      </c>
      <c r="U255" s="340">
        <v>68066</v>
      </c>
      <c r="V255" s="340">
        <v>222962</v>
      </c>
      <c r="W255" s="297">
        <v>28059</v>
      </c>
      <c r="X255" s="296">
        <v>1E-3</v>
      </c>
    </row>
    <row r="256" spans="13:24">
      <c r="M256">
        <v>254</v>
      </c>
      <c r="N256">
        <v>15044</v>
      </c>
      <c r="O256" t="s">
        <v>975</v>
      </c>
      <c r="P256" t="s">
        <v>133</v>
      </c>
      <c r="Q256">
        <v>420</v>
      </c>
      <c r="R256" s="296">
        <v>2.9999999999999997E-4</v>
      </c>
      <c r="S256" s="296">
        <v>0.88170000000000004</v>
      </c>
      <c r="T256" s="297">
        <v>10915</v>
      </c>
      <c r="U256" s="340">
        <v>181953</v>
      </c>
      <c r="V256" s="340">
        <v>471184</v>
      </c>
      <c r="W256" s="297">
        <v>28966</v>
      </c>
      <c r="X256" s="296">
        <v>-1E-3</v>
      </c>
    </row>
    <row r="257" spans="13:24">
      <c r="M257">
        <v>255</v>
      </c>
      <c r="N257">
        <v>46307</v>
      </c>
      <c r="O257" t="s">
        <v>716</v>
      </c>
      <c r="P257" t="s">
        <v>144</v>
      </c>
      <c r="Q257">
        <v>55</v>
      </c>
      <c r="R257" s="296">
        <v>2.9999999999999997E-4</v>
      </c>
      <c r="S257" s="296">
        <v>0.8821</v>
      </c>
      <c r="T257" s="297">
        <v>27054</v>
      </c>
      <c r="U257" s="340">
        <v>119084</v>
      </c>
      <c r="V257" s="340">
        <v>350327</v>
      </c>
      <c r="W257" s="297">
        <v>72502</v>
      </c>
      <c r="X257" s="296">
        <v>0.01</v>
      </c>
    </row>
    <row r="258" spans="13:24">
      <c r="M258">
        <v>256</v>
      </c>
      <c r="N258">
        <v>60538</v>
      </c>
      <c r="O258" t="s">
        <v>734</v>
      </c>
      <c r="P258" t="s">
        <v>131</v>
      </c>
      <c r="Q258">
        <v>42</v>
      </c>
      <c r="R258" s="296">
        <v>2.9999999999999997E-4</v>
      </c>
      <c r="S258" s="296">
        <v>0.88239999999999996</v>
      </c>
      <c r="T258" s="297">
        <v>10004</v>
      </c>
      <c r="U258" s="340">
        <v>101627</v>
      </c>
      <c r="V258" s="340">
        <v>254329</v>
      </c>
      <c r="W258" s="297">
        <v>30586</v>
      </c>
      <c r="X258" s="296">
        <v>1.4E-2</v>
      </c>
    </row>
    <row r="259" spans="13:24">
      <c r="M259">
        <v>257</v>
      </c>
      <c r="N259">
        <v>60506</v>
      </c>
      <c r="O259" t="s">
        <v>334</v>
      </c>
      <c r="P259" t="s">
        <v>131</v>
      </c>
      <c r="Q259">
        <v>39</v>
      </c>
      <c r="R259" s="296">
        <v>2.9999999999999997E-4</v>
      </c>
      <c r="S259" s="296">
        <v>0.88280000000000003</v>
      </c>
      <c r="T259" s="297">
        <v>17849</v>
      </c>
      <c r="U259" s="340">
        <v>100460</v>
      </c>
      <c r="V259" s="340">
        <v>278357</v>
      </c>
      <c r="W259" s="297">
        <v>50567</v>
      </c>
      <c r="X259" s="296">
        <v>-8.0000000000000002E-3</v>
      </c>
    </row>
    <row r="260" spans="13:24">
      <c r="M260">
        <v>258</v>
      </c>
      <c r="N260">
        <v>60155</v>
      </c>
      <c r="O260" t="s">
        <v>976</v>
      </c>
      <c r="P260" t="s">
        <v>131</v>
      </c>
      <c r="Q260">
        <v>20</v>
      </c>
      <c r="R260" s="296">
        <v>2.9999999999999997E-4</v>
      </c>
      <c r="S260" s="296">
        <v>0.8831</v>
      </c>
      <c r="T260" s="297">
        <v>3205</v>
      </c>
      <c r="U260" s="340">
        <v>86103</v>
      </c>
      <c r="V260" s="340">
        <v>221762</v>
      </c>
      <c r="W260" s="297">
        <v>7848</v>
      </c>
      <c r="X260" s="296">
        <v>-5.0000000000000001E-3</v>
      </c>
    </row>
    <row r="261" spans="13:24">
      <c r="M261">
        <v>259</v>
      </c>
      <c r="N261">
        <v>90210</v>
      </c>
      <c r="O261" t="s">
        <v>977</v>
      </c>
      <c r="P261" t="s">
        <v>132</v>
      </c>
      <c r="Q261">
        <v>1744</v>
      </c>
      <c r="R261" s="296">
        <v>2.9999999999999997E-4</v>
      </c>
      <c r="S261" s="296">
        <v>0.88339999999999996</v>
      </c>
      <c r="T261" s="297">
        <v>8585</v>
      </c>
      <c r="U261" s="340">
        <v>241326</v>
      </c>
      <c r="V261" s="340">
        <v>1935511</v>
      </c>
      <c r="W261" s="297">
        <v>20307</v>
      </c>
      <c r="X261" s="296">
        <v>-1.0999999999999999E-2</v>
      </c>
    </row>
    <row r="262" spans="13:24">
      <c r="M262">
        <v>260</v>
      </c>
      <c r="N262">
        <v>46375</v>
      </c>
      <c r="O262" t="s">
        <v>978</v>
      </c>
      <c r="P262" t="s">
        <v>144</v>
      </c>
      <c r="Q262">
        <v>49</v>
      </c>
      <c r="R262" s="296">
        <v>2.9999999999999997E-4</v>
      </c>
      <c r="S262" s="296">
        <v>0.88380000000000003</v>
      </c>
      <c r="T262" s="297">
        <v>10086</v>
      </c>
      <c r="U262" s="340">
        <v>119907</v>
      </c>
      <c r="V262" s="340">
        <v>352538</v>
      </c>
      <c r="W262" s="297">
        <v>23492</v>
      </c>
      <c r="X262" s="296">
        <v>-4.0000000000000001E-3</v>
      </c>
    </row>
    <row r="263" spans="13:24">
      <c r="M263">
        <v>261</v>
      </c>
      <c r="N263">
        <v>54956</v>
      </c>
      <c r="O263" t="s">
        <v>979</v>
      </c>
      <c r="P263" t="s">
        <v>149</v>
      </c>
      <c r="Q263">
        <v>145</v>
      </c>
      <c r="R263" s="296">
        <v>2.9999999999999997E-4</v>
      </c>
      <c r="S263" s="296">
        <v>0.8841</v>
      </c>
      <c r="T263" s="297">
        <v>19748</v>
      </c>
      <c r="U263" s="340">
        <v>108315</v>
      </c>
      <c r="V263" s="340">
        <v>322672</v>
      </c>
      <c r="W263" s="297">
        <v>47286</v>
      </c>
      <c r="X263" s="296">
        <v>6.0000000000000001E-3</v>
      </c>
    </row>
    <row r="264" spans="13:24">
      <c r="M264">
        <v>262</v>
      </c>
      <c r="N264">
        <v>61008</v>
      </c>
      <c r="O264" t="s">
        <v>753</v>
      </c>
      <c r="P264" t="s">
        <v>131</v>
      </c>
      <c r="Q264">
        <v>55</v>
      </c>
      <c r="R264" s="296">
        <v>2.9999999999999997E-4</v>
      </c>
      <c r="S264" s="296">
        <v>0.88439999999999996</v>
      </c>
      <c r="T264" s="297">
        <v>12013</v>
      </c>
      <c r="U264" s="340">
        <v>96686</v>
      </c>
      <c r="V264" s="340">
        <v>218100</v>
      </c>
      <c r="W264" s="297">
        <v>32657</v>
      </c>
      <c r="X264" s="296">
        <v>-5.0000000000000001E-3</v>
      </c>
    </row>
    <row r="265" spans="13:24">
      <c r="M265">
        <v>263</v>
      </c>
      <c r="N265">
        <v>46360</v>
      </c>
      <c r="O265" t="s">
        <v>980</v>
      </c>
      <c r="P265" t="s">
        <v>144</v>
      </c>
      <c r="Q265">
        <v>57</v>
      </c>
      <c r="R265" s="296">
        <v>2.9999999999999997E-4</v>
      </c>
      <c r="S265" s="296">
        <v>0.88480000000000003</v>
      </c>
      <c r="T265" s="297">
        <v>18146</v>
      </c>
      <c r="U265" s="340">
        <v>84592</v>
      </c>
      <c r="V265" s="340">
        <v>248502</v>
      </c>
      <c r="W265" s="297">
        <v>44073</v>
      </c>
      <c r="X265" s="296">
        <v>-1E-3</v>
      </c>
    </row>
    <row r="266" spans="13:24">
      <c r="M266">
        <v>264</v>
      </c>
      <c r="N266">
        <v>60514</v>
      </c>
      <c r="O266" t="s">
        <v>981</v>
      </c>
      <c r="P266" t="s">
        <v>131</v>
      </c>
      <c r="Q266">
        <v>26</v>
      </c>
      <c r="R266" s="296">
        <v>2.9999999999999997E-4</v>
      </c>
      <c r="S266" s="296">
        <v>0.8851</v>
      </c>
      <c r="T266" s="297">
        <v>3760</v>
      </c>
      <c r="U266" s="340">
        <v>192471</v>
      </c>
      <c r="V266" s="340">
        <v>733472</v>
      </c>
      <c r="W266" s="297">
        <v>10070</v>
      </c>
      <c r="X266" s="296">
        <v>-5.0000000000000001E-3</v>
      </c>
    </row>
    <row r="267" spans="13:24">
      <c r="M267">
        <v>265</v>
      </c>
      <c r="N267">
        <v>60555</v>
      </c>
      <c r="O267" t="s">
        <v>982</v>
      </c>
      <c r="P267" t="s">
        <v>131</v>
      </c>
      <c r="Q267">
        <v>30</v>
      </c>
      <c r="R267" s="296">
        <v>2.9999999999999997E-4</v>
      </c>
      <c r="S267" s="296">
        <v>0.88539999999999996</v>
      </c>
      <c r="T267" s="297">
        <v>6212</v>
      </c>
      <c r="U267" s="340">
        <v>132594</v>
      </c>
      <c r="V267" s="340">
        <v>339366</v>
      </c>
      <c r="W267" s="297">
        <v>15903</v>
      </c>
      <c r="X267" s="296">
        <v>2.9000000000000001E-2</v>
      </c>
    </row>
    <row r="268" spans="13:24">
      <c r="M268">
        <v>266</v>
      </c>
      <c r="N268">
        <v>60135</v>
      </c>
      <c r="O268" t="s">
        <v>983</v>
      </c>
      <c r="P268" t="s">
        <v>131</v>
      </c>
      <c r="Q268">
        <v>46</v>
      </c>
      <c r="R268" s="296">
        <v>2.9999999999999997E-4</v>
      </c>
      <c r="S268" s="296">
        <v>0.88580000000000003</v>
      </c>
      <c r="T268" s="297">
        <v>2713</v>
      </c>
      <c r="U268" s="340">
        <v>108657</v>
      </c>
      <c r="V268" s="340">
        <v>269698</v>
      </c>
      <c r="W268" s="297">
        <v>7247</v>
      </c>
      <c r="X268" s="296">
        <v>-1E-3</v>
      </c>
    </row>
    <row r="269" spans="13:24">
      <c r="M269">
        <v>267</v>
      </c>
      <c r="N269">
        <v>53132</v>
      </c>
      <c r="O269" t="s">
        <v>411</v>
      </c>
      <c r="P269" t="s">
        <v>149</v>
      </c>
      <c r="Q269">
        <v>53</v>
      </c>
      <c r="R269" s="296">
        <v>2.9999999999999997E-4</v>
      </c>
      <c r="S269" s="296">
        <v>0.8861</v>
      </c>
      <c r="T269" s="297">
        <v>14670</v>
      </c>
      <c r="U269" s="340">
        <v>133371</v>
      </c>
      <c r="V269" s="340">
        <v>395888</v>
      </c>
      <c r="W269" s="297">
        <v>36539</v>
      </c>
      <c r="X269" s="296">
        <v>-2E-3</v>
      </c>
    </row>
    <row r="270" spans="13:24">
      <c r="M270">
        <v>268</v>
      </c>
      <c r="N270">
        <v>60145</v>
      </c>
      <c r="O270" t="s">
        <v>418</v>
      </c>
      <c r="P270" t="s">
        <v>131</v>
      </c>
      <c r="Q270">
        <v>50</v>
      </c>
      <c r="R270" s="296">
        <v>2.9999999999999997E-4</v>
      </c>
      <c r="S270" s="296">
        <v>0.88639999999999997</v>
      </c>
      <c r="T270">
        <v>863</v>
      </c>
      <c r="U270" s="340">
        <v>110059</v>
      </c>
      <c r="V270" s="340">
        <v>279270</v>
      </c>
      <c r="W270" s="297">
        <v>2279</v>
      </c>
      <c r="X270" s="296">
        <v>-8.0000000000000002E-3</v>
      </c>
    </row>
    <row r="271" spans="13:24">
      <c r="M271">
        <v>269</v>
      </c>
      <c r="N271">
        <v>60162</v>
      </c>
      <c r="O271" t="s">
        <v>984</v>
      </c>
      <c r="P271" t="s">
        <v>131</v>
      </c>
      <c r="Q271">
        <v>20</v>
      </c>
      <c r="R271" s="296">
        <v>2.9999999999999997E-4</v>
      </c>
      <c r="S271" s="296">
        <v>0.88670000000000004</v>
      </c>
      <c r="T271" s="297">
        <v>2978</v>
      </c>
      <c r="U271" s="340">
        <v>95021</v>
      </c>
      <c r="V271" s="340">
        <v>247131</v>
      </c>
      <c r="W271" s="297">
        <v>7987</v>
      </c>
      <c r="X271" s="296">
        <v>-1.0999999999999999E-2</v>
      </c>
    </row>
    <row r="272" spans="13:24">
      <c r="M272">
        <v>270</v>
      </c>
      <c r="N272">
        <v>61111</v>
      </c>
      <c r="O272" t="s">
        <v>985</v>
      </c>
      <c r="P272" t="s">
        <v>131</v>
      </c>
      <c r="Q272">
        <v>64</v>
      </c>
      <c r="R272" s="296">
        <v>2.9999999999999997E-4</v>
      </c>
      <c r="S272" s="296">
        <v>0.88700000000000001</v>
      </c>
      <c r="T272" s="297">
        <v>10072</v>
      </c>
      <c r="U272" s="340">
        <v>93448</v>
      </c>
      <c r="V272" s="340">
        <v>190034</v>
      </c>
      <c r="W272" s="297">
        <v>22753</v>
      </c>
      <c r="X272" s="296">
        <v>-4.0000000000000001E-3</v>
      </c>
    </row>
    <row r="273" spans="13:24">
      <c r="M273">
        <v>271</v>
      </c>
      <c r="N273">
        <v>53179</v>
      </c>
      <c r="O273" t="s">
        <v>986</v>
      </c>
      <c r="P273" t="s">
        <v>149</v>
      </c>
      <c r="Q273">
        <v>31</v>
      </c>
      <c r="R273" s="296">
        <v>2.9999999999999997E-4</v>
      </c>
      <c r="S273" s="296">
        <v>0.88729999999999998</v>
      </c>
      <c r="T273" s="297">
        <v>2226</v>
      </c>
      <c r="U273" s="340">
        <v>121787</v>
      </c>
      <c r="V273" s="340">
        <v>364014</v>
      </c>
      <c r="W273" s="297">
        <v>5649</v>
      </c>
      <c r="X273" s="296">
        <v>-4.0000000000000001E-3</v>
      </c>
    </row>
    <row r="274" spans="13:24">
      <c r="M274">
        <v>272</v>
      </c>
      <c r="N274">
        <v>60606</v>
      </c>
      <c r="O274" t="s">
        <v>437</v>
      </c>
      <c r="P274" t="s">
        <v>131</v>
      </c>
      <c r="Q274">
        <v>20</v>
      </c>
      <c r="R274" s="296">
        <v>2.9999999999999997E-4</v>
      </c>
      <c r="S274" s="296">
        <v>0.88759999999999994</v>
      </c>
      <c r="T274" s="297">
        <v>2962</v>
      </c>
      <c r="U274" s="340">
        <v>191920</v>
      </c>
      <c r="V274" s="340">
        <v>612262</v>
      </c>
      <c r="W274" s="297">
        <v>4308</v>
      </c>
      <c r="X274" s="296">
        <v>4.4999999999999998E-2</v>
      </c>
    </row>
    <row r="275" spans="13:24">
      <c r="M275">
        <v>273</v>
      </c>
      <c r="N275">
        <v>60404</v>
      </c>
      <c r="O275" t="s">
        <v>987</v>
      </c>
      <c r="P275" t="s">
        <v>131</v>
      </c>
      <c r="Q275">
        <v>49</v>
      </c>
      <c r="R275" s="296">
        <v>2.9999999999999997E-4</v>
      </c>
      <c r="S275" s="296">
        <v>0.88790000000000002</v>
      </c>
      <c r="T275" s="297">
        <v>7348</v>
      </c>
      <c r="U275" s="340">
        <v>138388</v>
      </c>
      <c r="V275" s="340">
        <v>370227</v>
      </c>
      <c r="W275" s="297">
        <v>20166</v>
      </c>
      <c r="X275" s="296">
        <v>4.0000000000000001E-3</v>
      </c>
    </row>
    <row r="276" spans="13:24">
      <c r="M276">
        <v>274</v>
      </c>
      <c r="N276">
        <v>46321</v>
      </c>
      <c r="O276" t="s">
        <v>988</v>
      </c>
      <c r="P276" t="s">
        <v>144</v>
      </c>
      <c r="Q276">
        <v>44</v>
      </c>
      <c r="R276" s="296">
        <v>2.9999999999999997E-4</v>
      </c>
      <c r="S276" s="296">
        <v>0.88819999999999999</v>
      </c>
      <c r="T276" s="297">
        <v>9149</v>
      </c>
      <c r="U276" s="340">
        <v>132329</v>
      </c>
      <c r="V276" s="340">
        <v>362216</v>
      </c>
      <c r="W276" s="297">
        <v>23660</v>
      </c>
      <c r="X276" s="296">
        <v>-2E-3</v>
      </c>
    </row>
    <row r="277" spans="13:24">
      <c r="M277">
        <v>275</v>
      </c>
      <c r="N277">
        <v>8091</v>
      </c>
      <c r="O277" t="s">
        <v>989</v>
      </c>
      <c r="P277" t="s">
        <v>129</v>
      </c>
      <c r="Q277">
        <v>690</v>
      </c>
      <c r="R277" s="296">
        <v>2.9999999999999997E-4</v>
      </c>
      <c r="S277" s="296">
        <v>0.88839999999999997</v>
      </c>
      <c r="T277" s="297">
        <v>2349</v>
      </c>
      <c r="U277" s="340">
        <v>109713</v>
      </c>
      <c r="V277" s="340">
        <v>445977</v>
      </c>
      <c r="W277" s="297">
        <v>5899</v>
      </c>
      <c r="X277" s="296">
        <v>1E-3</v>
      </c>
    </row>
    <row r="278" spans="13:24">
      <c r="M278">
        <v>276</v>
      </c>
      <c r="N278">
        <v>46319</v>
      </c>
      <c r="O278" t="s">
        <v>990</v>
      </c>
      <c r="P278" t="s">
        <v>144</v>
      </c>
      <c r="Q278">
        <v>47</v>
      </c>
      <c r="R278" s="296">
        <v>2.9999999999999997E-4</v>
      </c>
      <c r="S278" s="296">
        <v>0.88870000000000005</v>
      </c>
      <c r="T278" s="297">
        <v>7494</v>
      </c>
      <c r="U278" s="340">
        <v>95201</v>
      </c>
      <c r="V278" s="340">
        <v>253123</v>
      </c>
      <c r="W278" s="297">
        <v>17768</v>
      </c>
      <c r="X278" s="296">
        <v>-6.0000000000000001E-3</v>
      </c>
    </row>
    <row r="279" spans="13:24">
      <c r="M279">
        <v>277</v>
      </c>
      <c r="N279">
        <v>53214</v>
      </c>
      <c r="O279" t="s">
        <v>463</v>
      </c>
      <c r="P279" t="s">
        <v>149</v>
      </c>
      <c r="Q279">
        <v>61</v>
      </c>
      <c r="R279" s="296">
        <v>2.9999999999999997E-4</v>
      </c>
      <c r="S279" s="296">
        <v>0.88900000000000001</v>
      </c>
      <c r="T279" s="297">
        <v>16197</v>
      </c>
      <c r="U279" s="340">
        <v>74816</v>
      </c>
      <c r="V279" s="340">
        <v>237442</v>
      </c>
      <c r="W279" s="297">
        <v>34786</v>
      </c>
      <c r="X279" s="296">
        <v>-1E-3</v>
      </c>
    </row>
    <row r="280" spans="13:24">
      <c r="M280">
        <v>278</v>
      </c>
      <c r="N280">
        <v>60422</v>
      </c>
      <c r="O280" t="s">
        <v>991</v>
      </c>
      <c r="P280" t="s">
        <v>131</v>
      </c>
      <c r="Q280">
        <v>42</v>
      </c>
      <c r="R280" s="296">
        <v>2.9999999999999997E-4</v>
      </c>
      <c r="S280" s="296">
        <v>0.88929999999999998</v>
      </c>
      <c r="T280" s="297">
        <v>3587</v>
      </c>
      <c r="U280" s="340">
        <v>170829</v>
      </c>
      <c r="V280" s="340">
        <v>363112</v>
      </c>
      <c r="W280" s="297">
        <v>9600</v>
      </c>
      <c r="X280" s="296">
        <v>-0.01</v>
      </c>
    </row>
    <row r="281" spans="13:24">
      <c r="M281">
        <v>279</v>
      </c>
      <c r="N281">
        <v>60190</v>
      </c>
      <c r="O281" t="s">
        <v>992</v>
      </c>
      <c r="P281" t="s">
        <v>131</v>
      </c>
      <c r="Q281">
        <v>26</v>
      </c>
      <c r="R281" s="296">
        <v>2.9999999999999997E-4</v>
      </c>
      <c r="S281" s="296">
        <v>0.88959999999999995</v>
      </c>
      <c r="T281" s="297">
        <v>4283</v>
      </c>
      <c r="U281" s="340">
        <v>170045</v>
      </c>
      <c r="V281" s="340">
        <v>427839</v>
      </c>
      <c r="W281" s="297">
        <v>11011</v>
      </c>
      <c r="X281" s="296">
        <v>0</v>
      </c>
    </row>
    <row r="282" spans="13:24">
      <c r="M282">
        <v>280</v>
      </c>
      <c r="N282">
        <v>60464</v>
      </c>
      <c r="O282" t="s">
        <v>993</v>
      </c>
      <c r="P282" t="s">
        <v>131</v>
      </c>
      <c r="Q282">
        <v>34</v>
      </c>
      <c r="R282" s="296">
        <v>2.9999999999999997E-4</v>
      </c>
      <c r="S282" s="296">
        <v>0.88980000000000004</v>
      </c>
      <c r="T282" s="297">
        <v>3767</v>
      </c>
      <c r="U282" s="340">
        <v>166171</v>
      </c>
      <c r="V282" s="340">
        <v>514125</v>
      </c>
      <c r="W282" s="297">
        <v>9115</v>
      </c>
      <c r="X282" s="296">
        <v>-0.01</v>
      </c>
    </row>
    <row r="283" spans="13:24">
      <c r="M283">
        <v>281</v>
      </c>
      <c r="N283">
        <v>61704</v>
      </c>
      <c r="O283" t="s">
        <v>570</v>
      </c>
      <c r="P283" t="s">
        <v>131</v>
      </c>
      <c r="Q283">
        <v>130</v>
      </c>
      <c r="R283" s="296">
        <v>2.9999999999999997E-4</v>
      </c>
      <c r="S283" s="296">
        <v>0.8901</v>
      </c>
      <c r="T283" s="297">
        <v>15491</v>
      </c>
      <c r="U283" s="340">
        <v>125432</v>
      </c>
      <c r="V283" s="340">
        <v>262078</v>
      </c>
      <c r="W283" s="297">
        <v>37226</v>
      </c>
      <c r="X283" s="296">
        <v>1E-3</v>
      </c>
    </row>
    <row r="284" spans="13:24">
      <c r="M284">
        <v>282</v>
      </c>
      <c r="N284">
        <v>53207</v>
      </c>
      <c r="O284" t="s">
        <v>463</v>
      </c>
      <c r="P284" t="s">
        <v>149</v>
      </c>
      <c r="Q284">
        <v>57</v>
      </c>
      <c r="R284" s="296">
        <v>2.9999999999999997E-4</v>
      </c>
      <c r="S284" s="296">
        <v>0.89039999999999997</v>
      </c>
      <c r="T284" s="297">
        <v>16149</v>
      </c>
      <c r="U284" s="340">
        <v>94332</v>
      </c>
      <c r="V284" s="340">
        <v>290587</v>
      </c>
      <c r="W284" s="297">
        <v>33898</v>
      </c>
      <c r="X284" s="296">
        <v>-6.0000000000000001E-3</v>
      </c>
    </row>
    <row r="285" spans="13:24">
      <c r="M285">
        <v>283</v>
      </c>
      <c r="N285">
        <v>46342</v>
      </c>
      <c r="O285" t="s">
        <v>994</v>
      </c>
      <c r="P285" t="s">
        <v>144</v>
      </c>
      <c r="Q285">
        <v>51</v>
      </c>
      <c r="R285" s="296">
        <v>2.9999999999999997E-4</v>
      </c>
      <c r="S285" s="296">
        <v>0.89070000000000005</v>
      </c>
      <c r="T285" s="297">
        <v>12785</v>
      </c>
      <c r="U285" s="340">
        <v>87500</v>
      </c>
      <c r="V285" s="340">
        <v>257558</v>
      </c>
      <c r="W285" s="297">
        <v>32064</v>
      </c>
      <c r="X285" s="296">
        <v>-5.0000000000000001E-3</v>
      </c>
    </row>
    <row r="286" spans="13:24">
      <c r="M286">
        <v>284</v>
      </c>
      <c r="N286">
        <v>46323</v>
      </c>
      <c r="O286" t="s">
        <v>995</v>
      </c>
      <c r="P286" t="s">
        <v>144</v>
      </c>
      <c r="Q286">
        <v>42</v>
      </c>
      <c r="R286" s="296">
        <v>2.9999999999999997E-4</v>
      </c>
      <c r="S286" s="296">
        <v>0.89090000000000003</v>
      </c>
      <c r="T286" s="297">
        <v>8495</v>
      </c>
      <c r="U286" s="340">
        <v>82365</v>
      </c>
      <c r="V286" s="340">
        <v>194578</v>
      </c>
      <c r="W286" s="297">
        <v>22361</v>
      </c>
      <c r="X286" s="296">
        <v>-2E-3</v>
      </c>
    </row>
    <row r="287" spans="13:24">
      <c r="M287">
        <v>285</v>
      </c>
      <c r="N287">
        <v>33612</v>
      </c>
      <c r="O287" t="s">
        <v>475</v>
      </c>
      <c r="P287" t="s">
        <v>127</v>
      </c>
      <c r="Q287">
        <v>1019</v>
      </c>
      <c r="R287" s="296">
        <v>2.9999999999999997E-4</v>
      </c>
      <c r="S287" s="296">
        <v>0.89119999999999999</v>
      </c>
      <c r="T287" s="297">
        <v>19020</v>
      </c>
      <c r="U287" s="340">
        <v>62089</v>
      </c>
      <c r="V287" s="340">
        <v>350490</v>
      </c>
      <c r="W287" s="297">
        <v>50143</v>
      </c>
      <c r="X287" s="296">
        <v>4.0000000000000001E-3</v>
      </c>
    </row>
    <row r="288" spans="13:24">
      <c r="M288">
        <v>286</v>
      </c>
      <c r="N288">
        <v>60410</v>
      </c>
      <c r="O288" t="s">
        <v>682</v>
      </c>
      <c r="P288" t="s">
        <v>131</v>
      </c>
      <c r="Q288">
        <v>54</v>
      </c>
      <c r="R288" s="296">
        <v>2.9999999999999997E-4</v>
      </c>
      <c r="S288" s="296">
        <v>0.89149999999999996</v>
      </c>
      <c r="T288" s="297">
        <v>4886</v>
      </c>
      <c r="U288" s="340">
        <v>145581</v>
      </c>
      <c r="V288" s="340">
        <v>334761</v>
      </c>
      <c r="W288" s="297">
        <v>14083</v>
      </c>
      <c r="X288" s="296">
        <v>8.9999999999999993E-3</v>
      </c>
    </row>
    <row r="289" spans="13:24">
      <c r="M289">
        <v>287</v>
      </c>
      <c r="N289">
        <v>53051</v>
      </c>
      <c r="O289" t="s">
        <v>996</v>
      </c>
      <c r="P289" t="s">
        <v>149</v>
      </c>
      <c r="Q289">
        <v>71</v>
      </c>
      <c r="R289" s="296">
        <v>2.9999999999999997E-4</v>
      </c>
      <c r="S289" s="296">
        <v>0.89170000000000005</v>
      </c>
      <c r="T289" s="297">
        <v>16606</v>
      </c>
      <c r="U289" s="340">
        <v>132804</v>
      </c>
      <c r="V289" s="340">
        <v>431620</v>
      </c>
      <c r="W289" s="297">
        <v>38723</v>
      </c>
      <c r="X289" s="296">
        <v>1E-3</v>
      </c>
    </row>
    <row r="290" spans="13:24">
      <c r="M290">
        <v>288</v>
      </c>
      <c r="N290">
        <v>53211</v>
      </c>
      <c r="O290" t="s">
        <v>463</v>
      </c>
      <c r="P290" t="s">
        <v>149</v>
      </c>
      <c r="Q290">
        <v>65</v>
      </c>
      <c r="R290" s="296">
        <v>2.9999999999999997E-4</v>
      </c>
      <c r="S290" s="296">
        <v>0.89200000000000002</v>
      </c>
      <c r="T290" s="297">
        <v>15523</v>
      </c>
      <c r="U290" s="340">
        <v>121683</v>
      </c>
      <c r="V290" s="340">
        <v>479952</v>
      </c>
      <c r="W290" s="297">
        <v>34584</v>
      </c>
      <c r="X290" s="296">
        <v>-1.0999999999999999E-2</v>
      </c>
    </row>
    <row r="291" spans="13:24">
      <c r="M291">
        <v>289</v>
      </c>
      <c r="N291">
        <v>60450</v>
      </c>
      <c r="O291" t="s">
        <v>997</v>
      </c>
      <c r="P291" t="s">
        <v>131</v>
      </c>
      <c r="Q291">
        <v>63</v>
      </c>
      <c r="R291" s="296">
        <v>2.9999999999999997E-4</v>
      </c>
      <c r="S291" s="296">
        <v>0.89229999999999998</v>
      </c>
      <c r="T291" s="297">
        <v>8869</v>
      </c>
      <c r="U291" s="340">
        <v>116159</v>
      </c>
      <c r="V291" s="340">
        <v>313290</v>
      </c>
      <c r="W291" s="297">
        <v>21430</v>
      </c>
      <c r="X291" s="296">
        <v>3.0000000000000001E-3</v>
      </c>
    </row>
    <row r="292" spans="13:24">
      <c r="M292">
        <v>290</v>
      </c>
      <c r="N292">
        <v>61108</v>
      </c>
      <c r="O292" t="s">
        <v>998</v>
      </c>
      <c r="P292" t="s">
        <v>131</v>
      </c>
      <c r="Q292">
        <v>64</v>
      </c>
      <c r="R292" s="296">
        <v>2.9999999999999997E-4</v>
      </c>
      <c r="S292" s="296">
        <v>0.89249999999999996</v>
      </c>
      <c r="T292" s="297">
        <v>11831</v>
      </c>
      <c r="U292" s="340">
        <v>78868</v>
      </c>
      <c r="V292" s="340">
        <v>159097</v>
      </c>
      <c r="W292" s="297">
        <v>28972</v>
      </c>
      <c r="X292" s="296">
        <v>-5.0000000000000001E-3</v>
      </c>
    </row>
    <row r="293" spans="13:24">
      <c r="M293">
        <v>291</v>
      </c>
      <c r="N293">
        <v>61109</v>
      </c>
      <c r="O293" t="s">
        <v>998</v>
      </c>
      <c r="P293" t="s">
        <v>131</v>
      </c>
      <c r="Q293">
        <v>65</v>
      </c>
      <c r="R293" s="296">
        <v>2.9999999999999997E-4</v>
      </c>
      <c r="S293" s="296">
        <v>0.89280000000000004</v>
      </c>
      <c r="T293" s="297">
        <v>10906</v>
      </c>
      <c r="U293" s="340">
        <v>74902</v>
      </c>
      <c r="V293" s="340">
        <v>163925</v>
      </c>
      <c r="W293" s="297">
        <v>26584</v>
      </c>
      <c r="X293" s="296">
        <v>-4.0000000000000001E-3</v>
      </c>
    </row>
    <row r="294" spans="13:24">
      <c r="M294">
        <v>292</v>
      </c>
      <c r="N294">
        <v>60409</v>
      </c>
      <c r="O294" t="s">
        <v>999</v>
      </c>
      <c r="P294" t="s">
        <v>131</v>
      </c>
      <c r="Q294">
        <v>39</v>
      </c>
      <c r="R294" s="296">
        <v>2.9999999999999997E-4</v>
      </c>
      <c r="S294" s="296">
        <v>0.89300000000000002</v>
      </c>
      <c r="T294" s="297">
        <v>13848</v>
      </c>
      <c r="U294" s="340">
        <v>70746</v>
      </c>
      <c r="V294" s="340">
        <v>228115</v>
      </c>
      <c r="W294" s="297">
        <v>33406</v>
      </c>
      <c r="X294" s="296">
        <v>-1.2999999999999999E-2</v>
      </c>
    </row>
    <row r="295" spans="13:24">
      <c r="M295">
        <v>293</v>
      </c>
      <c r="N295">
        <v>46356</v>
      </c>
      <c r="O295" t="s">
        <v>398</v>
      </c>
      <c r="P295" t="s">
        <v>144</v>
      </c>
      <c r="Q295">
        <v>63</v>
      </c>
      <c r="R295" s="296">
        <v>2.0000000000000001E-4</v>
      </c>
      <c r="S295" s="296">
        <v>0.89329999999999998</v>
      </c>
      <c r="T295" s="297">
        <v>7378</v>
      </c>
      <c r="U295" s="340">
        <v>106266</v>
      </c>
      <c r="V295" s="340">
        <v>329526</v>
      </c>
      <c r="W295" s="297">
        <v>19144</v>
      </c>
      <c r="X295" s="296">
        <v>5.0000000000000001E-3</v>
      </c>
    </row>
    <row r="296" spans="13:24">
      <c r="M296">
        <v>294</v>
      </c>
      <c r="N296">
        <v>46368</v>
      </c>
      <c r="O296" t="s">
        <v>1000</v>
      </c>
      <c r="P296" t="s">
        <v>144</v>
      </c>
      <c r="Q296">
        <v>50</v>
      </c>
      <c r="R296" s="296">
        <v>2.0000000000000001E-4</v>
      </c>
      <c r="S296" s="296">
        <v>0.89349999999999996</v>
      </c>
      <c r="T296" s="297">
        <v>16260</v>
      </c>
      <c r="U296" s="340">
        <v>91393</v>
      </c>
      <c r="V296" s="340">
        <v>290285</v>
      </c>
      <c r="W296" s="297">
        <v>40933</v>
      </c>
      <c r="X296" s="296">
        <v>7.0000000000000001E-3</v>
      </c>
    </row>
    <row r="297" spans="13:24">
      <c r="M297">
        <v>295</v>
      </c>
      <c r="N297">
        <v>60803</v>
      </c>
      <c r="O297" t="s">
        <v>1001</v>
      </c>
      <c r="P297" t="s">
        <v>131</v>
      </c>
      <c r="Q297">
        <v>33</v>
      </c>
      <c r="R297" s="296">
        <v>2.0000000000000001E-4</v>
      </c>
      <c r="S297" s="296">
        <v>0.89380000000000004</v>
      </c>
      <c r="T297" s="297">
        <v>9370</v>
      </c>
      <c r="U297" s="340">
        <v>90262</v>
      </c>
      <c r="V297" s="340">
        <v>222228</v>
      </c>
      <c r="W297" s="297">
        <v>22095</v>
      </c>
      <c r="X297" s="296">
        <v>-8.9999999999999993E-3</v>
      </c>
    </row>
    <row r="298" spans="13:24">
      <c r="M298">
        <v>296</v>
      </c>
      <c r="N298">
        <v>53005</v>
      </c>
      <c r="O298" t="s">
        <v>615</v>
      </c>
      <c r="P298" t="s">
        <v>149</v>
      </c>
      <c r="Q298">
        <v>65</v>
      </c>
      <c r="R298" s="296">
        <v>2.0000000000000001E-4</v>
      </c>
      <c r="S298" s="296">
        <v>0.89400000000000002</v>
      </c>
      <c r="T298" s="297">
        <v>8666</v>
      </c>
      <c r="U298" s="340">
        <v>160482</v>
      </c>
      <c r="V298" s="340">
        <v>480275</v>
      </c>
      <c r="W298" s="297">
        <v>22627</v>
      </c>
      <c r="X298" s="296">
        <v>1.4999999999999999E-2</v>
      </c>
    </row>
    <row r="299" spans="13:24">
      <c r="M299">
        <v>297</v>
      </c>
      <c r="N299">
        <v>60449</v>
      </c>
      <c r="O299" t="s">
        <v>1002</v>
      </c>
      <c r="P299" t="s">
        <v>131</v>
      </c>
      <c r="Q299">
        <v>50</v>
      </c>
      <c r="R299" s="296">
        <v>2.0000000000000001E-4</v>
      </c>
      <c r="S299" s="296">
        <v>0.89429999999999998</v>
      </c>
      <c r="T299" s="297">
        <v>3440</v>
      </c>
      <c r="U299" s="340">
        <v>125963</v>
      </c>
      <c r="V299" s="340">
        <v>366288</v>
      </c>
      <c r="W299" s="297">
        <v>8909</v>
      </c>
      <c r="X299" s="296">
        <v>-3.0000000000000001E-3</v>
      </c>
    </row>
    <row r="300" spans="13:24">
      <c r="M300">
        <v>298</v>
      </c>
      <c r="N300">
        <v>60443</v>
      </c>
      <c r="O300" t="s">
        <v>1003</v>
      </c>
      <c r="P300" t="s">
        <v>131</v>
      </c>
      <c r="Q300">
        <v>44</v>
      </c>
      <c r="R300" s="296">
        <v>2.0000000000000001E-4</v>
      </c>
      <c r="S300" s="296">
        <v>0.89449999999999996</v>
      </c>
      <c r="T300" s="297">
        <v>7848</v>
      </c>
      <c r="U300" s="340">
        <v>108699</v>
      </c>
      <c r="V300" s="340">
        <v>259428</v>
      </c>
      <c r="W300" s="297">
        <v>20697</v>
      </c>
      <c r="X300" s="296">
        <v>-7.0000000000000001E-3</v>
      </c>
    </row>
    <row r="301" spans="13:24">
      <c r="M301">
        <v>299</v>
      </c>
      <c r="N301">
        <v>61107</v>
      </c>
      <c r="O301" t="s">
        <v>998</v>
      </c>
      <c r="P301" t="s">
        <v>131</v>
      </c>
      <c r="Q301">
        <v>64</v>
      </c>
      <c r="R301" s="296">
        <v>2.0000000000000001E-4</v>
      </c>
      <c r="S301" s="296">
        <v>0.89470000000000005</v>
      </c>
      <c r="T301" s="297">
        <v>13390</v>
      </c>
      <c r="U301" s="340">
        <v>102359</v>
      </c>
      <c r="V301" s="340">
        <v>216359</v>
      </c>
      <c r="W301" s="297">
        <v>30978</v>
      </c>
      <c r="X301" s="296">
        <v>-6.0000000000000001E-3</v>
      </c>
    </row>
    <row r="302" spans="13:24">
      <c r="M302">
        <v>300</v>
      </c>
      <c r="N302">
        <v>60545</v>
      </c>
      <c r="O302" t="s">
        <v>504</v>
      </c>
      <c r="P302" t="s">
        <v>131</v>
      </c>
      <c r="Q302">
        <v>50</v>
      </c>
      <c r="R302" s="296">
        <v>2.0000000000000001E-4</v>
      </c>
      <c r="S302" s="296">
        <v>0.89500000000000002</v>
      </c>
      <c r="T302" s="297">
        <v>4824</v>
      </c>
      <c r="U302" s="340">
        <v>99159</v>
      </c>
      <c r="V302" s="340">
        <v>281287</v>
      </c>
      <c r="W302" s="297">
        <v>14242</v>
      </c>
      <c r="X302" s="296">
        <v>5.0000000000000001E-3</v>
      </c>
    </row>
    <row r="303" spans="13:24">
      <c r="M303">
        <v>301</v>
      </c>
      <c r="N303">
        <v>60481</v>
      </c>
      <c r="O303" t="s">
        <v>311</v>
      </c>
      <c r="P303" t="s">
        <v>131</v>
      </c>
      <c r="Q303">
        <v>61</v>
      </c>
      <c r="R303" s="296">
        <v>2.0000000000000001E-4</v>
      </c>
      <c r="S303" s="296">
        <v>0.8952</v>
      </c>
      <c r="T303" s="297">
        <v>4920</v>
      </c>
      <c r="U303" s="340">
        <v>96372</v>
      </c>
      <c r="V303" s="340">
        <v>347078</v>
      </c>
      <c r="W303" s="297">
        <v>11576</v>
      </c>
      <c r="X303" s="296">
        <v>-2E-3</v>
      </c>
    </row>
    <row r="304" spans="13:24">
      <c r="M304">
        <v>302</v>
      </c>
      <c r="N304">
        <v>53186</v>
      </c>
      <c r="O304" t="s">
        <v>1004</v>
      </c>
      <c r="P304" t="s">
        <v>149</v>
      </c>
      <c r="Q304">
        <v>63</v>
      </c>
      <c r="R304" s="296">
        <v>2.0000000000000001E-4</v>
      </c>
      <c r="S304" s="296">
        <v>0.89549999999999996</v>
      </c>
      <c r="T304" s="297">
        <v>14744</v>
      </c>
      <c r="U304" s="340">
        <v>93334</v>
      </c>
      <c r="V304" s="340">
        <v>363212</v>
      </c>
      <c r="W304" s="297">
        <v>32814</v>
      </c>
      <c r="X304" s="296">
        <v>2E-3</v>
      </c>
    </row>
    <row r="305" spans="13:24">
      <c r="M305">
        <v>303</v>
      </c>
      <c r="N305">
        <v>46410</v>
      </c>
      <c r="O305" t="s">
        <v>1005</v>
      </c>
      <c r="P305" t="s">
        <v>144</v>
      </c>
      <c r="Q305">
        <v>50</v>
      </c>
      <c r="R305" s="296">
        <v>2.0000000000000001E-4</v>
      </c>
      <c r="S305" s="296">
        <v>0.89570000000000005</v>
      </c>
      <c r="T305" s="297">
        <v>16328</v>
      </c>
      <c r="U305" s="340">
        <v>83782</v>
      </c>
      <c r="V305" s="340">
        <v>244651</v>
      </c>
      <c r="W305" s="297">
        <v>39965</v>
      </c>
      <c r="X305" s="296">
        <v>2E-3</v>
      </c>
    </row>
    <row r="306" spans="13:24">
      <c r="M306">
        <v>304</v>
      </c>
      <c r="N306">
        <v>46394</v>
      </c>
      <c r="O306" t="s">
        <v>1006</v>
      </c>
      <c r="P306" t="s">
        <v>144</v>
      </c>
      <c r="Q306">
        <v>36</v>
      </c>
      <c r="R306" s="296">
        <v>2.0000000000000001E-4</v>
      </c>
      <c r="S306" s="296">
        <v>0.89590000000000003</v>
      </c>
      <c r="T306" s="297">
        <v>4762</v>
      </c>
      <c r="U306" s="340">
        <v>80942</v>
      </c>
      <c r="V306" s="340">
        <v>246852</v>
      </c>
      <c r="W306" s="297">
        <v>11304</v>
      </c>
      <c r="X306" s="296">
        <v>-5.0000000000000001E-3</v>
      </c>
    </row>
    <row r="307" spans="13:24">
      <c r="M307">
        <v>305</v>
      </c>
      <c r="N307">
        <v>60406</v>
      </c>
      <c r="O307" t="s">
        <v>1007</v>
      </c>
      <c r="P307" t="s">
        <v>131</v>
      </c>
      <c r="Q307">
        <v>34</v>
      </c>
      <c r="R307" s="296">
        <v>2.0000000000000001E-4</v>
      </c>
      <c r="S307" s="296">
        <v>0.8962</v>
      </c>
      <c r="T307" s="297">
        <v>8617</v>
      </c>
      <c r="U307" s="340">
        <v>74654</v>
      </c>
      <c r="V307" s="340">
        <v>202249</v>
      </c>
      <c r="W307" s="297">
        <v>22649</v>
      </c>
      <c r="X307" s="296">
        <v>-1.2999999999999999E-2</v>
      </c>
    </row>
    <row r="308" spans="13:24">
      <c r="M308">
        <v>306</v>
      </c>
      <c r="N308">
        <v>60428</v>
      </c>
      <c r="O308" t="s">
        <v>1008</v>
      </c>
      <c r="P308" t="s">
        <v>131</v>
      </c>
      <c r="Q308">
        <v>38</v>
      </c>
      <c r="R308" s="296">
        <v>2.0000000000000001E-4</v>
      </c>
      <c r="S308" s="296">
        <v>0.89639999999999997</v>
      </c>
      <c r="T308" s="297">
        <v>3580</v>
      </c>
      <c r="U308" s="340">
        <v>70174</v>
      </c>
      <c r="V308" s="340">
        <v>163462</v>
      </c>
      <c r="W308" s="297">
        <v>10574</v>
      </c>
      <c r="X308" s="296">
        <v>-1.4E-2</v>
      </c>
    </row>
    <row r="309" spans="13:24">
      <c r="M309">
        <v>307</v>
      </c>
      <c r="N309">
        <v>60602</v>
      </c>
      <c r="O309" t="s">
        <v>437</v>
      </c>
      <c r="P309" t="s">
        <v>131</v>
      </c>
      <c r="Q309">
        <v>20</v>
      </c>
      <c r="R309" s="296">
        <v>2.0000000000000001E-4</v>
      </c>
      <c r="S309" s="296">
        <v>0.89659999999999995</v>
      </c>
      <c r="T309" s="297">
        <v>1187</v>
      </c>
      <c r="U309" s="340">
        <v>242579</v>
      </c>
      <c r="V309" s="340">
        <v>1307544</v>
      </c>
      <c r="W309" s="297">
        <v>1909</v>
      </c>
      <c r="X309" s="296">
        <v>4.0000000000000001E-3</v>
      </c>
    </row>
    <row r="310" spans="13:24">
      <c r="M310">
        <v>308</v>
      </c>
      <c r="N310">
        <v>34105</v>
      </c>
      <c r="O310" t="s">
        <v>322</v>
      </c>
      <c r="P310" t="s">
        <v>127</v>
      </c>
      <c r="Q310">
        <v>1154</v>
      </c>
      <c r="R310" s="296">
        <v>2.0000000000000001E-4</v>
      </c>
      <c r="S310" s="296">
        <v>0.89690000000000003</v>
      </c>
      <c r="T310" s="297">
        <v>8129</v>
      </c>
      <c r="U310" s="340">
        <v>167800</v>
      </c>
      <c r="V310" s="340">
        <v>949527</v>
      </c>
      <c r="W310" s="297">
        <v>16466</v>
      </c>
      <c r="X310" s="296">
        <v>0</v>
      </c>
    </row>
    <row r="311" spans="13:24">
      <c r="M311">
        <v>309</v>
      </c>
      <c r="N311">
        <v>46060</v>
      </c>
      <c r="O311" t="s">
        <v>654</v>
      </c>
      <c r="P311" t="s">
        <v>144</v>
      </c>
      <c r="Q311">
        <v>173</v>
      </c>
      <c r="R311" s="296">
        <v>2.0000000000000001E-4</v>
      </c>
      <c r="S311" s="296">
        <v>0.89710000000000001</v>
      </c>
      <c r="T311" s="297">
        <v>18070</v>
      </c>
      <c r="U311" s="340">
        <v>123228</v>
      </c>
      <c r="V311" s="340">
        <v>383242</v>
      </c>
      <c r="W311" s="297">
        <v>47665</v>
      </c>
      <c r="X311" s="296">
        <v>1.2999999999999999E-2</v>
      </c>
    </row>
    <row r="312" spans="13:24">
      <c r="M312">
        <v>310</v>
      </c>
      <c r="N312">
        <v>61065</v>
      </c>
      <c r="O312" t="s">
        <v>1009</v>
      </c>
      <c r="P312" t="s">
        <v>131</v>
      </c>
      <c r="Q312">
        <v>56</v>
      </c>
      <c r="R312" s="296">
        <v>2.0000000000000001E-4</v>
      </c>
      <c r="S312" s="296">
        <v>0.89729999999999999</v>
      </c>
      <c r="T312" s="297">
        <v>3840</v>
      </c>
      <c r="U312" s="340">
        <v>116814</v>
      </c>
      <c r="V312" s="340">
        <v>246607</v>
      </c>
      <c r="W312" s="297">
        <v>11217</v>
      </c>
      <c r="X312" s="296">
        <v>-2E-3</v>
      </c>
    </row>
    <row r="313" spans="13:24">
      <c r="M313">
        <v>311</v>
      </c>
      <c r="N313">
        <v>46322</v>
      </c>
      <c r="O313" t="s">
        <v>727</v>
      </c>
      <c r="P313" t="s">
        <v>144</v>
      </c>
      <c r="Q313">
        <v>45</v>
      </c>
      <c r="R313" s="296">
        <v>2.0000000000000001E-4</v>
      </c>
      <c r="S313" s="296">
        <v>0.89749999999999996</v>
      </c>
      <c r="T313" s="297">
        <v>10224</v>
      </c>
      <c r="U313" s="340">
        <v>96464</v>
      </c>
      <c r="V313" s="340">
        <v>267397</v>
      </c>
      <c r="W313" s="297">
        <v>23419</v>
      </c>
      <c r="X313" s="296">
        <v>-5.0000000000000001E-3</v>
      </c>
    </row>
    <row r="314" spans="13:24">
      <c r="M314">
        <v>312</v>
      </c>
      <c r="N314">
        <v>61068</v>
      </c>
      <c r="O314" t="s">
        <v>1010</v>
      </c>
      <c r="P314" t="s">
        <v>131</v>
      </c>
      <c r="Q314">
        <v>67</v>
      </c>
      <c r="R314" s="296">
        <v>2.0000000000000001E-4</v>
      </c>
      <c r="S314" s="296">
        <v>0.89780000000000004</v>
      </c>
      <c r="T314" s="297">
        <v>5784</v>
      </c>
      <c r="U314" s="340">
        <v>88270</v>
      </c>
      <c r="V314" s="340">
        <v>192061</v>
      </c>
      <c r="W314" s="297">
        <v>14688</v>
      </c>
      <c r="X314" s="296">
        <v>-2E-3</v>
      </c>
    </row>
    <row r="315" spans="13:24">
      <c r="M315">
        <v>313</v>
      </c>
      <c r="N315">
        <v>53219</v>
      </c>
      <c r="O315" t="s">
        <v>463</v>
      </c>
      <c r="P315" t="s">
        <v>149</v>
      </c>
      <c r="Q315">
        <v>60</v>
      </c>
      <c r="R315" s="296">
        <v>2.0000000000000001E-4</v>
      </c>
      <c r="S315" s="296">
        <v>0.89800000000000002</v>
      </c>
      <c r="T315" s="297">
        <v>15106</v>
      </c>
      <c r="U315" s="340">
        <v>82785</v>
      </c>
      <c r="V315" s="340">
        <v>254081</v>
      </c>
      <c r="W315" s="297">
        <v>34421</v>
      </c>
      <c r="X315" s="296">
        <v>-6.0000000000000001E-3</v>
      </c>
    </row>
    <row r="316" spans="13:24">
      <c r="M316">
        <v>314</v>
      </c>
      <c r="N316">
        <v>47406</v>
      </c>
      <c r="O316" t="s">
        <v>570</v>
      </c>
      <c r="P316" t="s">
        <v>144</v>
      </c>
      <c r="Q316">
        <v>216</v>
      </c>
      <c r="R316" s="296">
        <v>2.0000000000000001E-4</v>
      </c>
      <c r="S316" s="296">
        <v>0.8982</v>
      </c>
      <c r="T316">
        <v>241</v>
      </c>
      <c r="U316" s="340">
        <v>29326</v>
      </c>
      <c r="V316" s="340">
        <v>0</v>
      </c>
      <c r="W316" s="297">
        <v>5374</v>
      </c>
      <c r="X316" s="296">
        <v>0.01</v>
      </c>
    </row>
    <row r="317" spans="13:24">
      <c r="M317">
        <v>315</v>
      </c>
      <c r="N317">
        <v>21774</v>
      </c>
      <c r="O317" t="s">
        <v>1011</v>
      </c>
      <c r="P317" t="s">
        <v>137</v>
      </c>
      <c r="Q317">
        <v>581</v>
      </c>
      <c r="R317" s="296">
        <v>2.0000000000000001E-4</v>
      </c>
      <c r="S317" s="296">
        <v>0.89839999999999998</v>
      </c>
      <c r="T317" s="297">
        <v>6023</v>
      </c>
      <c r="U317" s="340">
        <v>177753</v>
      </c>
      <c r="V317" s="340">
        <v>593932</v>
      </c>
      <c r="W317" s="297">
        <v>17823</v>
      </c>
      <c r="X317" s="296">
        <v>4.2999999999999997E-2</v>
      </c>
    </row>
    <row r="318" spans="13:24">
      <c r="M318">
        <v>316</v>
      </c>
      <c r="N318">
        <v>60442</v>
      </c>
      <c r="O318" t="s">
        <v>1012</v>
      </c>
      <c r="P318" t="s">
        <v>131</v>
      </c>
      <c r="Q318">
        <v>53</v>
      </c>
      <c r="R318" s="296">
        <v>2.0000000000000001E-4</v>
      </c>
      <c r="S318" s="296">
        <v>0.89859999999999995</v>
      </c>
      <c r="T318" s="297">
        <v>4574</v>
      </c>
      <c r="U318" s="340">
        <v>146037</v>
      </c>
      <c r="V318" s="340">
        <v>389055</v>
      </c>
      <c r="W318" s="297">
        <v>13603</v>
      </c>
      <c r="X318" s="296">
        <v>2.5000000000000001E-2</v>
      </c>
    </row>
    <row r="319" spans="13:24">
      <c r="M319">
        <v>317</v>
      </c>
      <c r="N319">
        <v>46385</v>
      </c>
      <c r="O319" t="s">
        <v>710</v>
      </c>
      <c r="P319" t="s">
        <v>144</v>
      </c>
      <c r="Q319">
        <v>59</v>
      </c>
      <c r="R319" s="296">
        <v>2.0000000000000001E-4</v>
      </c>
      <c r="S319" s="296">
        <v>0.89880000000000004</v>
      </c>
      <c r="T319" s="297">
        <v>16175</v>
      </c>
      <c r="U319" s="340">
        <v>127438</v>
      </c>
      <c r="V319" s="340">
        <v>354708</v>
      </c>
      <c r="W319" s="297">
        <v>42609</v>
      </c>
      <c r="X319" s="296">
        <v>4.0000000000000001E-3</v>
      </c>
    </row>
    <row r="320" spans="13:24">
      <c r="M320">
        <v>318</v>
      </c>
      <c r="N320">
        <v>53190</v>
      </c>
      <c r="O320" t="s">
        <v>1013</v>
      </c>
      <c r="P320" t="s">
        <v>149</v>
      </c>
      <c r="Q320">
        <v>68</v>
      </c>
      <c r="R320" s="296">
        <v>2.0000000000000001E-4</v>
      </c>
      <c r="S320" s="296">
        <v>0.89900000000000002</v>
      </c>
      <c r="T320" s="297">
        <v>6846</v>
      </c>
      <c r="U320" s="340">
        <v>87625</v>
      </c>
      <c r="V320" s="340">
        <v>398796</v>
      </c>
      <c r="W320" s="297">
        <v>20363</v>
      </c>
      <c r="X320" s="296">
        <v>1.0999999999999999E-2</v>
      </c>
    </row>
    <row r="321" spans="13:24">
      <c r="M321">
        <v>319</v>
      </c>
      <c r="N321">
        <v>60901</v>
      </c>
      <c r="O321" t="s">
        <v>1014</v>
      </c>
      <c r="P321" t="s">
        <v>131</v>
      </c>
      <c r="Q321">
        <v>71</v>
      </c>
      <c r="R321" s="296">
        <v>2.0000000000000001E-4</v>
      </c>
      <c r="S321" s="296">
        <v>0.89929999999999999</v>
      </c>
      <c r="T321" s="297">
        <v>12888</v>
      </c>
      <c r="U321" s="340">
        <v>79332</v>
      </c>
      <c r="V321" s="340">
        <v>213692</v>
      </c>
      <c r="W321" s="297">
        <v>32774</v>
      </c>
      <c r="X321" s="296">
        <v>-7.0000000000000001E-3</v>
      </c>
    </row>
    <row r="322" spans="13:24">
      <c r="M322">
        <v>320</v>
      </c>
      <c r="N322">
        <v>60466</v>
      </c>
      <c r="O322" t="s">
        <v>1015</v>
      </c>
      <c r="P322" t="s">
        <v>131</v>
      </c>
      <c r="Q322">
        <v>46</v>
      </c>
      <c r="R322" s="296">
        <v>2.0000000000000001E-4</v>
      </c>
      <c r="S322" s="296">
        <v>0.89949999999999997</v>
      </c>
      <c r="T322" s="297">
        <v>8806</v>
      </c>
      <c r="U322" s="340">
        <v>72627</v>
      </c>
      <c r="V322" s="340">
        <v>144527</v>
      </c>
      <c r="W322" s="297">
        <v>21222</v>
      </c>
      <c r="X322" s="296">
        <v>-7.0000000000000001E-3</v>
      </c>
    </row>
    <row r="323" spans="13:24">
      <c r="M323">
        <v>321</v>
      </c>
      <c r="N323">
        <v>60554</v>
      </c>
      <c r="O323" t="s">
        <v>1016</v>
      </c>
      <c r="P323" t="s">
        <v>131</v>
      </c>
      <c r="Q323">
        <v>43</v>
      </c>
      <c r="R323" s="296">
        <v>2.0000000000000001E-4</v>
      </c>
      <c r="S323" s="296">
        <v>0.89970000000000006</v>
      </c>
      <c r="T323" s="297">
        <v>4357</v>
      </c>
      <c r="U323" s="340">
        <v>164419</v>
      </c>
      <c r="V323" s="340">
        <v>393137</v>
      </c>
      <c r="W323" s="297">
        <v>11303</v>
      </c>
      <c r="X323" s="296">
        <v>-6.0000000000000001E-3</v>
      </c>
    </row>
    <row r="324" spans="13:24">
      <c r="M324">
        <v>322</v>
      </c>
      <c r="N324">
        <v>53189</v>
      </c>
      <c r="O324" t="s">
        <v>1004</v>
      </c>
      <c r="P324" t="s">
        <v>149</v>
      </c>
      <c r="Q324">
        <v>61</v>
      </c>
      <c r="R324" s="296">
        <v>2.0000000000000001E-4</v>
      </c>
      <c r="S324" s="296">
        <v>0.89990000000000003</v>
      </c>
      <c r="T324" s="297">
        <v>10503</v>
      </c>
      <c r="U324" s="340">
        <v>137804</v>
      </c>
      <c r="V324" s="340">
        <v>431245</v>
      </c>
      <c r="W324" s="297">
        <v>27643</v>
      </c>
      <c r="X324" s="296">
        <v>8.0000000000000002E-3</v>
      </c>
    </row>
    <row r="325" spans="13:24">
      <c r="M325">
        <v>323</v>
      </c>
      <c r="N325">
        <v>53168</v>
      </c>
      <c r="O325" t="s">
        <v>394</v>
      </c>
      <c r="P325" t="s">
        <v>149</v>
      </c>
      <c r="Q325">
        <v>34</v>
      </c>
      <c r="R325" s="296">
        <v>2.0000000000000001E-4</v>
      </c>
      <c r="S325" s="296">
        <v>0.90010000000000001</v>
      </c>
      <c r="T325" s="297">
        <v>3818</v>
      </c>
      <c r="U325" s="340">
        <v>120367</v>
      </c>
      <c r="V325" s="340">
        <v>371189</v>
      </c>
      <c r="W325" s="297">
        <v>9201</v>
      </c>
      <c r="X325" s="296">
        <v>2E-3</v>
      </c>
    </row>
    <row r="326" spans="13:24">
      <c r="M326">
        <v>324</v>
      </c>
      <c r="N326">
        <v>60152</v>
      </c>
      <c r="O326" t="s">
        <v>1017</v>
      </c>
      <c r="P326" t="s">
        <v>131</v>
      </c>
      <c r="Q326">
        <v>42</v>
      </c>
      <c r="R326" s="296">
        <v>2.0000000000000001E-4</v>
      </c>
      <c r="S326" s="296">
        <v>0.90029999999999999</v>
      </c>
      <c r="T326" s="297">
        <v>4767</v>
      </c>
      <c r="U326" s="340">
        <v>119905</v>
      </c>
      <c r="V326" s="340">
        <v>350997</v>
      </c>
      <c r="W326" s="297">
        <v>12220</v>
      </c>
      <c r="X326" s="296">
        <v>-4.0000000000000001E-3</v>
      </c>
    </row>
    <row r="327" spans="13:24">
      <c r="M327">
        <v>325</v>
      </c>
      <c r="N327">
        <v>53181</v>
      </c>
      <c r="O327" t="s">
        <v>1018</v>
      </c>
      <c r="P327" t="s">
        <v>149</v>
      </c>
      <c r="Q327">
        <v>35</v>
      </c>
      <c r="R327" s="296">
        <v>2.0000000000000001E-4</v>
      </c>
      <c r="S327" s="296">
        <v>0.90049999999999997</v>
      </c>
      <c r="T327" s="297">
        <v>3190</v>
      </c>
      <c r="U327" s="340">
        <v>117420</v>
      </c>
      <c r="V327" s="340">
        <v>368711</v>
      </c>
      <c r="W327" s="297">
        <v>7847</v>
      </c>
      <c r="X327" s="296">
        <v>7.0000000000000001E-3</v>
      </c>
    </row>
    <row r="328" spans="13:24">
      <c r="M328">
        <v>326</v>
      </c>
      <c r="N328">
        <v>33160</v>
      </c>
      <c r="O328" t="s">
        <v>718</v>
      </c>
      <c r="P328" t="s">
        <v>127</v>
      </c>
      <c r="Q328">
        <v>1201</v>
      </c>
      <c r="R328" s="296">
        <v>2.0000000000000001E-4</v>
      </c>
      <c r="S328" s="296">
        <v>0.90069999999999995</v>
      </c>
      <c r="T328" s="297">
        <v>21083</v>
      </c>
      <c r="U328" s="340">
        <v>115771</v>
      </c>
      <c r="V328" s="340">
        <v>764076</v>
      </c>
      <c r="W328" s="297">
        <v>44784</v>
      </c>
      <c r="X328" s="296">
        <v>4.0000000000000001E-3</v>
      </c>
    </row>
    <row r="329" spans="13:24">
      <c r="M329">
        <v>327</v>
      </c>
      <c r="N329">
        <v>33181</v>
      </c>
      <c r="O329" t="s">
        <v>293</v>
      </c>
      <c r="P329" t="s">
        <v>127</v>
      </c>
      <c r="Q329">
        <v>1204</v>
      </c>
      <c r="R329" s="296">
        <v>2.0000000000000001E-4</v>
      </c>
      <c r="S329" s="296">
        <v>0.90090000000000003</v>
      </c>
      <c r="T329" s="297">
        <v>9333</v>
      </c>
      <c r="U329" s="340">
        <v>92413</v>
      </c>
      <c r="V329" s="340">
        <v>750820</v>
      </c>
      <c r="W329" s="297">
        <v>21770</v>
      </c>
      <c r="X329" s="296">
        <v>8.0000000000000002E-3</v>
      </c>
    </row>
    <row r="330" spans="13:24">
      <c r="M330">
        <v>328</v>
      </c>
      <c r="N330">
        <v>98117</v>
      </c>
      <c r="O330" t="s">
        <v>299</v>
      </c>
      <c r="P330" t="s">
        <v>224</v>
      </c>
      <c r="Q330">
        <v>1720</v>
      </c>
      <c r="R330" s="296">
        <v>2.0000000000000001E-4</v>
      </c>
      <c r="S330" s="296">
        <v>0.90110000000000001</v>
      </c>
      <c r="T330" s="297">
        <v>14868</v>
      </c>
      <c r="U330" s="340">
        <v>234986</v>
      </c>
      <c r="V330" s="340">
        <v>1194623</v>
      </c>
      <c r="W330" s="297">
        <v>35815</v>
      </c>
      <c r="X330" s="296">
        <v>7.0000000000000001E-3</v>
      </c>
    </row>
    <row r="331" spans="13:24">
      <c r="M331">
        <v>329</v>
      </c>
      <c r="N331">
        <v>53217</v>
      </c>
      <c r="O331" t="s">
        <v>463</v>
      </c>
      <c r="P331" t="s">
        <v>149</v>
      </c>
      <c r="Q331">
        <v>70</v>
      </c>
      <c r="R331" s="296">
        <v>2.0000000000000001E-4</v>
      </c>
      <c r="S331" s="296">
        <v>0.9012</v>
      </c>
      <c r="T331" s="297">
        <v>12058</v>
      </c>
      <c r="U331" s="340">
        <v>185292</v>
      </c>
      <c r="V331" s="340">
        <v>519120</v>
      </c>
      <c r="W331" s="297">
        <v>30516</v>
      </c>
      <c r="X331" s="296">
        <v>-1E-3</v>
      </c>
    </row>
    <row r="332" spans="13:24">
      <c r="M332">
        <v>330</v>
      </c>
      <c r="N332">
        <v>60071</v>
      </c>
      <c r="O332" t="s">
        <v>302</v>
      </c>
      <c r="P332" t="s">
        <v>131</v>
      </c>
      <c r="Q332">
        <v>34</v>
      </c>
      <c r="R332" s="296">
        <v>2.0000000000000001E-4</v>
      </c>
      <c r="S332" s="296">
        <v>0.90139999999999998</v>
      </c>
      <c r="T332" s="297">
        <v>1676</v>
      </c>
      <c r="U332" s="340">
        <v>135032</v>
      </c>
      <c r="V332" s="340">
        <v>384946</v>
      </c>
      <c r="W332" s="297">
        <v>3881</v>
      </c>
      <c r="X332" s="296">
        <v>-1E-3</v>
      </c>
    </row>
    <row r="333" spans="13:24">
      <c r="M333">
        <v>331</v>
      </c>
      <c r="N333">
        <v>53104</v>
      </c>
      <c r="O333" t="s">
        <v>466</v>
      </c>
      <c r="P333" t="s">
        <v>149</v>
      </c>
      <c r="Q333">
        <v>31</v>
      </c>
      <c r="R333" s="296">
        <v>2.0000000000000001E-4</v>
      </c>
      <c r="S333" s="296">
        <v>0.90159999999999996</v>
      </c>
      <c r="T333" s="297">
        <v>2434</v>
      </c>
      <c r="U333" s="340">
        <v>126682</v>
      </c>
      <c r="V333" s="340">
        <v>426002</v>
      </c>
      <c r="W333" s="297">
        <v>5986</v>
      </c>
      <c r="X333" s="296">
        <v>-3.0000000000000001E-3</v>
      </c>
    </row>
    <row r="334" spans="13:24">
      <c r="M334">
        <v>332</v>
      </c>
      <c r="N334">
        <v>49117</v>
      </c>
      <c r="O334" t="s">
        <v>1019</v>
      </c>
      <c r="P334" t="s">
        <v>140</v>
      </c>
      <c r="Q334">
        <v>60</v>
      </c>
      <c r="R334" s="296">
        <v>2.0000000000000001E-4</v>
      </c>
      <c r="S334" s="296">
        <v>0.90180000000000005</v>
      </c>
      <c r="T334" s="297">
        <v>1791</v>
      </c>
      <c r="U334" s="340">
        <v>123621</v>
      </c>
      <c r="V334" s="340">
        <v>572388</v>
      </c>
      <c r="W334" s="297">
        <v>3650</v>
      </c>
      <c r="X334" s="296">
        <v>-3.0000000000000001E-3</v>
      </c>
    </row>
    <row r="335" spans="13:24">
      <c r="M335">
        <v>333</v>
      </c>
      <c r="N335">
        <v>60417</v>
      </c>
      <c r="O335" t="s">
        <v>1020</v>
      </c>
      <c r="P335" t="s">
        <v>131</v>
      </c>
      <c r="Q335">
        <v>50</v>
      </c>
      <c r="R335" s="296">
        <v>2.0000000000000001E-4</v>
      </c>
      <c r="S335" s="296">
        <v>0.90200000000000002</v>
      </c>
      <c r="T335" s="297">
        <v>5815</v>
      </c>
      <c r="U335" s="340">
        <v>117084</v>
      </c>
      <c r="V335" s="340">
        <v>296150</v>
      </c>
      <c r="W335" s="297">
        <v>14523</v>
      </c>
      <c r="X335" s="296">
        <v>-6.0000000000000001E-3</v>
      </c>
    </row>
    <row r="336" spans="13:24">
      <c r="M336">
        <v>334</v>
      </c>
      <c r="N336">
        <v>60805</v>
      </c>
      <c r="O336" t="s">
        <v>1021</v>
      </c>
      <c r="P336" t="s">
        <v>131</v>
      </c>
      <c r="Q336">
        <v>30</v>
      </c>
      <c r="R336" s="296">
        <v>2.0000000000000001E-4</v>
      </c>
      <c r="S336" s="296">
        <v>0.9022</v>
      </c>
      <c r="T336" s="297">
        <v>7148</v>
      </c>
      <c r="U336" s="340">
        <v>113664</v>
      </c>
      <c r="V336" s="340">
        <v>294860</v>
      </c>
      <c r="W336" s="297">
        <v>19085</v>
      </c>
      <c r="X336" s="296">
        <v>-0.01</v>
      </c>
    </row>
    <row r="337" spans="13:24">
      <c r="M337">
        <v>335</v>
      </c>
      <c r="N337">
        <v>48104</v>
      </c>
      <c r="O337" t="s">
        <v>540</v>
      </c>
      <c r="P337" t="s">
        <v>140</v>
      </c>
      <c r="Q337">
        <v>208</v>
      </c>
      <c r="R337" s="296">
        <v>2.0000000000000001E-4</v>
      </c>
      <c r="S337" s="296">
        <v>0.90239999999999998</v>
      </c>
      <c r="T337" s="297">
        <v>17421</v>
      </c>
      <c r="U337" s="340">
        <v>112797</v>
      </c>
      <c r="V337" s="340">
        <v>579258</v>
      </c>
      <c r="W337" s="297">
        <v>42287</v>
      </c>
      <c r="X337" s="296">
        <v>-3.0000000000000001E-3</v>
      </c>
    </row>
    <row r="338" spans="13:24">
      <c r="M338">
        <v>336</v>
      </c>
      <c r="N338">
        <v>53563</v>
      </c>
      <c r="O338" t="s">
        <v>369</v>
      </c>
      <c r="P338" t="s">
        <v>149</v>
      </c>
      <c r="Q338">
        <v>73</v>
      </c>
      <c r="R338" s="296">
        <v>2.0000000000000001E-4</v>
      </c>
      <c r="S338" s="296">
        <v>0.90249999999999997</v>
      </c>
      <c r="T338" s="297">
        <v>4543</v>
      </c>
      <c r="U338" s="340">
        <v>112764</v>
      </c>
      <c r="V338" s="340">
        <v>362963</v>
      </c>
      <c r="W338" s="297">
        <v>11484</v>
      </c>
      <c r="X338" s="296">
        <v>2E-3</v>
      </c>
    </row>
    <row r="339" spans="13:24">
      <c r="M339">
        <v>337</v>
      </c>
      <c r="N339">
        <v>60950</v>
      </c>
      <c r="O339" t="s">
        <v>1022</v>
      </c>
      <c r="P339" t="s">
        <v>131</v>
      </c>
      <c r="Q339">
        <v>62</v>
      </c>
      <c r="R339" s="296">
        <v>2.0000000000000001E-4</v>
      </c>
      <c r="S339" s="296">
        <v>0.90269999999999995</v>
      </c>
      <c r="T339" s="297">
        <v>4781</v>
      </c>
      <c r="U339" s="340">
        <v>111744</v>
      </c>
      <c r="V339" s="340">
        <v>267096</v>
      </c>
      <c r="W339" s="297">
        <v>11774</v>
      </c>
      <c r="X339" s="296">
        <v>-5.0000000000000001E-3</v>
      </c>
    </row>
    <row r="340" spans="13:24">
      <c r="M340">
        <v>338</v>
      </c>
      <c r="N340">
        <v>52807</v>
      </c>
      <c r="O340" t="s">
        <v>1023</v>
      </c>
      <c r="P340" t="s">
        <v>170</v>
      </c>
      <c r="Q340">
        <v>147</v>
      </c>
      <c r="R340" s="296">
        <v>2.0000000000000001E-4</v>
      </c>
      <c r="S340" s="296">
        <v>0.90290000000000004</v>
      </c>
      <c r="T340" s="297">
        <v>7115</v>
      </c>
      <c r="U340" s="340">
        <v>103873</v>
      </c>
      <c r="V340" s="340">
        <v>339357</v>
      </c>
      <c r="W340" s="297">
        <v>16000</v>
      </c>
      <c r="X340" s="296">
        <v>8.0000000000000002E-3</v>
      </c>
    </row>
    <row r="341" spans="13:24">
      <c r="M341">
        <v>339</v>
      </c>
      <c r="N341">
        <v>46383</v>
      </c>
      <c r="O341" t="s">
        <v>710</v>
      </c>
      <c r="P341" t="s">
        <v>144</v>
      </c>
      <c r="Q341">
        <v>61</v>
      </c>
      <c r="R341" s="296">
        <v>2.0000000000000001E-4</v>
      </c>
      <c r="S341" s="296">
        <v>0.90310000000000001</v>
      </c>
      <c r="T341" s="297">
        <v>17373</v>
      </c>
      <c r="U341" s="340">
        <v>100124</v>
      </c>
      <c r="V341" s="340">
        <v>338264</v>
      </c>
      <c r="W341" s="297">
        <v>42887</v>
      </c>
      <c r="X341" s="296">
        <v>4.0000000000000001E-3</v>
      </c>
    </row>
    <row r="342" spans="13:24">
      <c r="M342">
        <v>340</v>
      </c>
      <c r="N342">
        <v>49120</v>
      </c>
      <c r="O342" t="s">
        <v>444</v>
      </c>
      <c r="P342" t="s">
        <v>140</v>
      </c>
      <c r="Q342">
        <v>83</v>
      </c>
      <c r="R342" s="296">
        <v>2.0000000000000001E-4</v>
      </c>
      <c r="S342" s="296">
        <v>0.90329999999999999</v>
      </c>
      <c r="T342" s="297">
        <v>15213</v>
      </c>
      <c r="U342" s="340">
        <v>86805</v>
      </c>
      <c r="V342" s="340">
        <v>246572</v>
      </c>
      <c r="W342" s="297">
        <v>37269</v>
      </c>
      <c r="X342" s="296">
        <v>-2E-3</v>
      </c>
    </row>
    <row r="343" spans="13:24">
      <c r="M343">
        <v>341</v>
      </c>
      <c r="N343">
        <v>60501</v>
      </c>
      <c r="O343" t="s">
        <v>1024</v>
      </c>
      <c r="P343" t="s">
        <v>131</v>
      </c>
      <c r="Q343">
        <v>25</v>
      </c>
      <c r="R343" s="296">
        <v>2.0000000000000001E-4</v>
      </c>
      <c r="S343" s="296">
        <v>0.90349999999999997</v>
      </c>
      <c r="T343" s="297">
        <v>3587</v>
      </c>
      <c r="U343" s="340">
        <v>84597</v>
      </c>
      <c r="V343" s="340">
        <v>273760</v>
      </c>
      <c r="W343" s="297">
        <v>11089</v>
      </c>
      <c r="X343" s="296">
        <v>-1.2999999999999999E-2</v>
      </c>
    </row>
    <row r="344" spans="13:24">
      <c r="M344">
        <v>342</v>
      </c>
      <c r="N344">
        <v>53405</v>
      </c>
      <c r="O344" t="s">
        <v>938</v>
      </c>
      <c r="P344" t="s">
        <v>149</v>
      </c>
      <c r="Q344">
        <v>40</v>
      </c>
      <c r="R344" s="296">
        <v>2.0000000000000001E-4</v>
      </c>
      <c r="S344" s="296">
        <v>0.90369999999999995</v>
      </c>
      <c r="T344" s="297">
        <v>10018</v>
      </c>
      <c r="U344" s="340">
        <v>82774</v>
      </c>
      <c r="V344" s="340">
        <v>280992</v>
      </c>
      <c r="W344" s="297">
        <v>24570</v>
      </c>
      <c r="X344" s="296">
        <v>-4.0000000000000001E-3</v>
      </c>
    </row>
    <row r="345" spans="13:24">
      <c r="M345">
        <v>343</v>
      </c>
      <c r="N345">
        <v>60482</v>
      </c>
      <c r="O345" t="s">
        <v>1025</v>
      </c>
      <c r="P345" t="s">
        <v>131</v>
      </c>
      <c r="Q345">
        <v>32</v>
      </c>
      <c r="R345" s="296">
        <v>2.0000000000000001E-4</v>
      </c>
      <c r="S345" s="296">
        <v>0.90390000000000004</v>
      </c>
      <c r="T345" s="297">
        <v>4388</v>
      </c>
      <c r="U345" s="340">
        <v>80998</v>
      </c>
      <c r="V345" s="340">
        <v>238924</v>
      </c>
      <c r="W345" s="297">
        <v>10695</v>
      </c>
      <c r="X345" s="296">
        <v>-8.0000000000000002E-3</v>
      </c>
    </row>
    <row r="346" spans="13:24">
      <c r="M346">
        <v>344</v>
      </c>
      <c r="N346">
        <v>78542</v>
      </c>
      <c r="O346" t="s">
        <v>1026</v>
      </c>
      <c r="P346" t="s">
        <v>134</v>
      </c>
      <c r="Q346">
        <v>1236</v>
      </c>
      <c r="R346" s="296">
        <v>2.0000000000000001E-4</v>
      </c>
      <c r="S346" s="296">
        <v>0.90400000000000003</v>
      </c>
      <c r="T346" s="297">
        <v>24476</v>
      </c>
      <c r="U346" s="340">
        <v>71761</v>
      </c>
      <c r="V346" s="340">
        <v>187888</v>
      </c>
      <c r="W346" s="297">
        <v>93184</v>
      </c>
      <c r="X346" s="296">
        <v>2.1000000000000001E-2</v>
      </c>
    </row>
    <row r="347" spans="13:24">
      <c r="M347">
        <v>345</v>
      </c>
      <c r="N347">
        <v>65201</v>
      </c>
      <c r="O347" t="s">
        <v>344</v>
      </c>
      <c r="P347" t="s">
        <v>186</v>
      </c>
      <c r="Q347">
        <v>325</v>
      </c>
      <c r="R347" s="296">
        <v>2.0000000000000001E-4</v>
      </c>
      <c r="S347" s="296">
        <v>0.9042</v>
      </c>
      <c r="T347" s="297">
        <v>19698</v>
      </c>
      <c r="U347" s="340">
        <v>69373</v>
      </c>
      <c r="V347" s="340">
        <v>348505</v>
      </c>
      <c r="W347" s="297">
        <v>50841</v>
      </c>
      <c r="X347" s="296">
        <v>8.9999999999999993E-3</v>
      </c>
    </row>
    <row r="348" spans="13:24">
      <c r="M348">
        <v>346</v>
      </c>
      <c r="N348">
        <v>53092</v>
      </c>
      <c r="O348" t="s">
        <v>1027</v>
      </c>
      <c r="P348" t="s">
        <v>149</v>
      </c>
      <c r="Q348">
        <v>75</v>
      </c>
      <c r="R348" s="296">
        <v>2.0000000000000001E-4</v>
      </c>
      <c r="S348" s="296">
        <v>0.90439999999999998</v>
      </c>
      <c r="T348" s="297">
        <v>9190</v>
      </c>
      <c r="U348" s="340">
        <v>176456</v>
      </c>
      <c r="V348" s="340">
        <v>565921</v>
      </c>
      <c r="W348" s="297">
        <v>21682</v>
      </c>
      <c r="X348" s="296">
        <v>7.0000000000000001E-3</v>
      </c>
    </row>
    <row r="349" spans="13:24">
      <c r="M349">
        <v>347</v>
      </c>
      <c r="N349">
        <v>48322</v>
      </c>
      <c r="O349" t="s">
        <v>596</v>
      </c>
      <c r="P349" t="s">
        <v>140</v>
      </c>
      <c r="Q349">
        <v>227</v>
      </c>
      <c r="R349" s="296">
        <v>2.0000000000000001E-4</v>
      </c>
      <c r="S349" s="296">
        <v>0.90459999999999996</v>
      </c>
      <c r="T349" s="297">
        <v>12981</v>
      </c>
      <c r="U349" s="340">
        <v>160407</v>
      </c>
      <c r="V349" s="340">
        <v>473850</v>
      </c>
      <c r="W349" s="297">
        <v>32677</v>
      </c>
      <c r="X349" s="296">
        <v>3.0000000000000001E-3</v>
      </c>
    </row>
    <row r="350" spans="13:24">
      <c r="M350">
        <v>348</v>
      </c>
      <c r="N350">
        <v>53213</v>
      </c>
      <c r="O350" t="s">
        <v>463</v>
      </c>
      <c r="P350" t="s">
        <v>149</v>
      </c>
      <c r="Q350">
        <v>63</v>
      </c>
      <c r="R350" s="296">
        <v>2.0000000000000001E-4</v>
      </c>
      <c r="S350" s="296">
        <v>0.90480000000000005</v>
      </c>
      <c r="T350" s="297">
        <v>12203</v>
      </c>
      <c r="U350" s="340">
        <v>131420</v>
      </c>
      <c r="V350" s="340">
        <v>370953</v>
      </c>
      <c r="W350" s="297">
        <v>26846</v>
      </c>
      <c r="X350" s="296">
        <v>-4.0000000000000001E-3</v>
      </c>
    </row>
    <row r="351" spans="13:24">
      <c r="M351">
        <v>349</v>
      </c>
      <c r="N351">
        <v>49424</v>
      </c>
      <c r="O351" t="s">
        <v>1028</v>
      </c>
      <c r="P351" t="s">
        <v>140</v>
      </c>
      <c r="Q351">
        <v>96</v>
      </c>
      <c r="R351" s="296">
        <v>2.0000000000000001E-4</v>
      </c>
      <c r="S351" s="296">
        <v>0.90490000000000004</v>
      </c>
      <c r="T351" s="297">
        <v>18951</v>
      </c>
      <c r="U351" s="340">
        <v>116609</v>
      </c>
      <c r="V351" s="340">
        <v>384361</v>
      </c>
      <c r="W351" s="297">
        <v>49979</v>
      </c>
      <c r="X351" s="296">
        <v>1.2E-2</v>
      </c>
    </row>
    <row r="352" spans="13:24">
      <c r="M352">
        <v>350</v>
      </c>
      <c r="N352">
        <v>46304</v>
      </c>
      <c r="O352" t="s">
        <v>1029</v>
      </c>
      <c r="P352" t="s">
        <v>144</v>
      </c>
      <c r="Q352">
        <v>53</v>
      </c>
      <c r="R352" s="296">
        <v>2.0000000000000001E-4</v>
      </c>
      <c r="S352" s="296">
        <v>0.90510000000000002</v>
      </c>
      <c r="T352" s="297">
        <v>11190</v>
      </c>
      <c r="U352" s="340">
        <v>114010</v>
      </c>
      <c r="V352" s="340">
        <v>340766</v>
      </c>
      <c r="W352" s="297">
        <v>27737</v>
      </c>
      <c r="X352" s="296">
        <v>5.0000000000000001E-3</v>
      </c>
    </row>
    <row r="353" spans="13:24">
      <c r="M353">
        <v>351</v>
      </c>
      <c r="N353">
        <v>53128</v>
      </c>
      <c r="O353" t="s">
        <v>1030</v>
      </c>
      <c r="P353" t="s">
        <v>149</v>
      </c>
      <c r="Q353">
        <v>39</v>
      </c>
      <c r="R353" s="296">
        <v>2.0000000000000001E-4</v>
      </c>
      <c r="S353" s="296">
        <v>0.90529999999999999</v>
      </c>
      <c r="T353" s="297">
        <v>3526</v>
      </c>
      <c r="U353" s="340">
        <v>108627</v>
      </c>
      <c r="V353" s="340">
        <v>324486</v>
      </c>
      <c r="W353" s="297">
        <v>9417</v>
      </c>
      <c r="X353" s="296">
        <v>7.0000000000000001E-3</v>
      </c>
    </row>
    <row r="354" spans="13:24">
      <c r="M354">
        <v>352</v>
      </c>
      <c r="N354">
        <v>60401</v>
      </c>
      <c r="O354" t="s">
        <v>1031</v>
      </c>
      <c r="P354" t="s">
        <v>131</v>
      </c>
      <c r="Q354">
        <v>56</v>
      </c>
      <c r="R354" s="296">
        <v>2.0000000000000001E-4</v>
      </c>
      <c r="S354" s="296">
        <v>0.90549999999999997</v>
      </c>
      <c r="T354" s="297">
        <v>3121</v>
      </c>
      <c r="U354" s="340">
        <v>100734</v>
      </c>
      <c r="V354" s="340">
        <v>284568</v>
      </c>
      <c r="W354" s="297">
        <v>8040</v>
      </c>
      <c r="X354" s="296">
        <v>-4.0000000000000001E-3</v>
      </c>
    </row>
    <row r="355" spans="13:24">
      <c r="M355">
        <v>353</v>
      </c>
      <c r="N355">
        <v>62704</v>
      </c>
      <c r="O355" t="s">
        <v>515</v>
      </c>
      <c r="P355" t="s">
        <v>131</v>
      </c>
      <c r="Q355">
        <v>191</v>
      </c>
      <c r="R355" s="296">
        <v>2.0000000000000001E-4</v>
      </c>
      <c r="S355" s="296">
        <v>0.90559999999999996</v>
      </c>
      <c r="T355" s="297">
        <v>18681</v>
      </c>
      <c r="U355" s="340">
        <v>95385</v>
      </c>
      <c r="V355" s="340">
        <v>204432</v>
      </c>
      <c r="W355" s="297">
        <v>38597</v>
      </c>
      <c r="X355" s="296">
        <v>-5.0000000000000001E-3</v>
      </c>
    </row>
    <row r="356" spans="13:24">
      <c r="M356">
        <v>354</v>
      </c>
      <c r="N356">
        <v>53081</v>
      </c>
      <c r="O356" t="s">
        <v>831</v>
      </c>
      <c r="P356" t="s">
        <v>149</v>
      </c>
      <c r="Q356">
        <v>108</v>
      </c>
      <c r="R356" s="296">
        <v>2.0000000000000001E-4</v>
      </c>
      <c r="S356" s="296">
        <v>0.90580000000000005</v>
      </c>
      <c r="T356" s="297">
        <v>18790</v>
      </c>
      <c r="U356" s="340">
        <v>74960</v>
      </c>
      <c r="V356" s="340">
        <v>247255</v>
      </c>
      <c r="W356" s="297">
        <v>43775</v>
      </c>
      <c r="X356" s="296">
        <v>1E-3</v>
      </c>
    </row>
    <row r="357" spans="13:24">
      <c r="M357">
        <v>355</v>
      </c>
      <c r="N357">
        <v>61032</v>
      </c>
      <c r="O357" t="s">
        <v>671</v>
      </c>
      <c r="P357" t="s">
        <v>131</v>
      </c>
      <c r="Q357">
        <v>95</v>
      </c>
      <c r="R357" s="296">
        <v>2.0000000000000001E-4</v>
      </c>
      <c r="S357" s="296">
        <v>0.90600000000000003</v>
      </c>
      <c r="T357" s="297">
        <v>12736</v>
      </c>
      <c r="U357" s="340">
        <v>73686</v>
      </c>
      <c r="V357" s="340">
        <v>145731</v>
      </c>
      <c r="W357" s="297">
        <v>28425</v>
      </c>
      <c r="X357" s="296">
        <v>-8.9999999999999993E-3</v>
      </c>
    </row>
    <row r="358" spans="13:24">
      <c r="M358">
        <v>356</v>
      </c>
      <c r="N358">
        <v>53715</v>
      </c>
      <c r="O358" t="s">
        <v>823</v>
      </c>
      <c r="P358" t="s">
        <v>149</v>
      </c>
      <c r="Q358">
        <v>103</v>
      </c>
      <c r="R358" s="296">
        <v>2.0000000000000001E-4</v>
      </c>
      <c r="S358" s="296">
        <v>0.90620000000000001</v>
      </c>
      <c r="T358" s="297">
        <v>5935</v>
      </c>
      <c r="U358" s="340">
        <v>69239</v>
      </c>
      <c r="V358" s="340">
        <v>535507</v>
      </c>
      <c r="W358" s="297">
        <v>14599</v>
      </c>
      <c r="X358" s="296">
        <v>8.9999999999999993E-3</v>
      </c>
    </row>
    <row r="359" spans="13:24">
      <c r="M359">
        <v>357</v>
      </c>
      <c r="N359">
        <v>53072</v>
      </c>
      <c r="O359" t="s">
        <v>1032</v>
      </c>
      <c r="P359" t="s">
        <v>149</v>
      </c>
      <c r="Q359">
        <v>69</v>
      </c>
      <c r="R359" s="296">
        <v>2.0000000000000001E-4</v>
      </c>
      <c r="S359" s="296">
        <v>0.90629999999999999</v>
      </c>
      <c r="T359" s="297">
        <v>11476</v>
      </c>
      <c r="U359" s="340">
        <v>160252</v>
      </c>
      <c r="V359" s="340">
        <v>577991</v>
      </c>
      <c r="W359" s="297">
        <v>26823</v>
      </c>
      <c r="X359" s="296">
        <v>2E-3</v>
      </c>
    </row>
    <row r="360" spans="13:24">
      <c r="M360">
        <v>358</v>
      </c>
      <c r="N360">
        <v>46373</v>
      </c>
      <c r="O360" t="s">
        <v>1033</v>
      </c>
      <c r="P360" t="s">
        <v>144</v>
      </c>
      <c r="Q360">
        <v>51</v>
      </c>
      <c r="R360" s="296">
        <v>2.0000000000000001E-4</v>
      </c>
      <c r="S360" s="296">
        <v>0.90649999999999997</v>
      </c>
      <c r="T360" s="297">
        <v>6801</v>
      </c>
      <c r="U360" s="340">
        <v>151476</v>
      </c>
      <c r="V360" s="340">
        <v>413292</v>
      </c>
      <c r="W360" s="297">
        <v>18950</v>
      </c>
      <c r="X360" s="296">
        <v>1.9E-2</v>
      </c>
    </row>
    <row r="361" spans="13:24">
      <c r="M361">
        <v>359</v>
      </c>
      <c r="N361">
        <v>53150</v>
      </c>
      <c r="O361" t="s">
        <v>1034</v>
      </c>
      <c r="P361" t="s">
        <v>149</v>
      </c>
      <c r="Q361">
        <v>54</v>
      </c>
      <c r="R361" s="296">
        <v>2.0000000000000001E-4</v>
      </c>
      <c r="S361" s="296">
        <v>0.90659999999999996</v>
      </c>
      <c r="T361" s="297">
        <v>10337</v>
      </c>
      <c r="U361" s="340">
        <v>142821</v>
      </c>
      <c r="V361" s="340">
        <v>499160</v>
      </c>
      <c r="W361" s="297">
        <v>26162</v>
      </c>
      <c r="X361" s="296">
        <v>3.0000000000000001E-3</v>
      </c>
    </row>
    <row r="362" spans="13:24">
      <c r="M362">
        <v>360</v>
      </c>
      <c r="N362">
        <v>60178</v>
      </c>
      <c r="O362" t="s">
        <v>1035</v>
      </c>
      <c r="P362" t="s">
        <v>131</v>
      </c>
      <c r="Q362">
        <v>48</v>
      </c>
      <c r="R362" s="296">
        <v>2.0000000000000001E-4</v>
      </c>
      <c r="S362" s="296">
        <v>0.90680000000000005</v>
      </c>
      <c r="T362" s="297">
        <v>9071</v>
      </c>
      <c r="U362" s="340">
        <v>102671</v>
      </c>
      <c r="V362" s="340">
        <v>284440</v>
      </c>
      <c r="W362" s="297">
        <v>22201</v>
      </c>
      <c r="X362" s="296">
        <v>-2E-3</v>
      </c>
    </row>
    <row r="363" spans="13:24">
      <c r="M363">
        <v>361</v>
      </c>
      <c r="N363">
        <v>61115</v>
      </c>
      <c r="O363" t="s">
        <v>1036</v>
      </c>
      <c r="P363" t="s">
        <v>131</v>
      </c>
      <c r="Q363">
        <v>65</v>
      </c>
      <c r="R363" s="296">
        <v>2.0000000000000001E-4</v>
      </c>
      <c r="S363" s="296">
        <v>0.90700000000000003</v>
      </c>
      <c r="T363" s="297">
        <v>8765</v>
      </c>
      <c r="U363" s="340">
        <v>95048</v>
      </c>
      <c r="V363" s="340">
        <v>197363</v>
      </c>
      <c r="W363" s="297">
        <v>21451</v>
      </c>
      <c r="X363" s="296">
        <v>-6.0000000000000001E-3</v>
      </c>
    </row>
    <row r="364" spans="13:24">
      <c r="M364">
        <v>362</v>
      </c>
      <c r="N364">
        <v>60033</v>
      </c>
      <c r="O364" t="s">
        <v>450</v>
      </c>
      <c r="P364" t="s">
        <v>131</v>
      </c>
      <c r="Q364">
        <v>46</v>
      </c>
      <c r="R364" s="296">
        <v>2.0000000000000001E-4</v>
      </c>
      <c r="S364" s="296">
        <v>0.90710000000000002</v>
      </c>
      <c r="T364" s="297">
        <v>4777</v>
      </c>
      <c r="U364" s="340">
        <v>91508</v>
      </c>
      <c r="V364" s="340">
        <v>277524</v>
      </c>
      <c r="W364" s="297">
        <v>13431</v>
      </c>
      <c r="X364" s="296">
        <v>-2E-3</v>
      </c>
    </row>
    <row r="365" spans="13:24">
      <c r="M365">
        <v>363</v>
      </c>
      <c r="N365">
        <v>53227</v>
      </c>
      <c r="O365" t="s">
        <v>463</v>
      </c>
      <c r="P365" t="s">
        <v>149</v>
      </c>
      <c r="Q365">
        <v>60</v>
      </c>
      <c r="R365" s="296">
        <v>2.0000000000000001E-4</v>
      </c>
      <c r="S365" s="296">
        <v>0.9073</v>
      </c>
      <c r="T365" s="297">
        <v>10631</v>
      </c>
      <c r="U365" s="340">
        <v>87317</v>
      </c>
      <c r="V365" s="340">
        <v>251216</v>
      </c>
      <c r="W365" s="297">
        <v>22223</v>
      </c>
      <c r="X365" s="296">
        <v>-8.9999999999999993E-3</v>
      </c>
    </row>
    <row r="366" spans="13:24">
      <c r="M366">
        <v>364</v>
      </c>
      <c r="N366">
        <v>60476</v>
      </c>
      <c r="O366" t="s">
        <v>787</v>
      </c>
      <c r="P366" t="s">
        <v>131</v>
      </c>
      <c r="Q366">
        <v>41</v>
      </c>
      <c r="R366" s="296">
        <v>2.0000000000000001E-4</v>
      </c>
      <c r="S366" s="296">
        <v>0.90749999999999997</v>
      </c>
      <c r="T366">
        <v>991</v>
      </c>
      <c r="U366" s="340">
        <v>82422</v>
      </c>
      <c r="V366" s="340">
        <v>388397</v>
      </c>
      <c r="W366" s="297">
        <v>2276</v>
      </c>
      <c r="X366" s="296">
        <v>-1.0999999999999999E-2</v>
      </c>
    </row>
    <row r="367" spans="13:24">
      <c r="M367">
        <v>365</v>
      </c>
      <c r="N367">
        <v>60633</v>
      </c>
      <c r="O367" t="s">
        <v>437</v>
      </c>
      <c r="P367" t="s">
        <v>131</v>
      </c>
      <c r="Q367">
        <v>35</v>
      </c>
      <c r="R367" s="296">
        <v>2.0000000000000001E-4</v>
      </c>
      <c r="S367" s="296">
        <v>0.90759999999999996</v>
      </c>
      <c r="T367" s="297">
        <v>4883</v>
      </c>
      <c r="U367" s="340">
        <v>77873</v>
      </c>
      <c r="V367" s="340">
        <v>218807</v>
      </c>
      <c r="W367" s="297">
        <v>12957</v>
      </c>
      <c r="X367" s="296">
        <v>-5.0000000000000001E-3</v>
      </c>
    </row>
    <row r="368" spans="13:24">
      <c r="M368">
        <v>366</v>
      </c>
      <c r="N368">
        <v>47408</v>
      </c>
      <c r="O368" t="s">
        <v>570</v>
      </c>
      <c r="P368" t="s">
        <v>144</v>
      </c>
      <c r="Q368">
        <v>213</v>
      </c>
      <c r="R368" s="296">
        <v>2.0000000000000001E-4</v>
      </c>
      <c r="S368" s="296">
        <v>0.90780000000000005</v>
      </c>
      <c r="T368" s="297">
        <v>10848</v>
      </c>
      <c r="U368" s="340">
        <v>76939</v>
      </c>
      <c r="V368" s="340">
        <v>380317</v>
      </c>
      <c r="W368" s="297">
        <v>25876</v>
      </c>
      <c r="X368" s="296">
        <v>0</v>
      </c>
    </row>
    <row r="369" spans="13:24">
      <c r="M369">
        <v>367</v>
      </c>
      <c r="N369">
        <v>46312</v>
      </c>
      <c r="O369" t="s">
        <v>1037</v>
      </c>
      <c r="P369" t="s">
        <v>144</v>
      </c>
      <c r="Q369">
        <v>39</v>
      </c>
      <c r="R369" s="296">
        <v>2.0000000000000001E-4</v>
      </c>
      <c r="S369" s="296">
        <v>0.90790000000000004</v>
      </c>
      <c r="T369" s="297">
        <v>9829</v>
      </c>
      <c r="U369" s="340">
        <v>60990</v>
      </c>
      <c r="V369" s="340">
        <v>166189</v>
      </c>
      <c r="W369" s="297">
        <v>25976</v>
      </c>
      <c r="X369" s="296">
        <v>-3.0000000000000001E-3</v>
      </c>
    </row>
    <row r="370" spans="13:24">
      <c r="M370">
        <v>368</v>
      </c>
      <c r="N370">
        <v>10990</v>
      </c>
      <c r="O370" t="s">
        <v>426</v>
      </c>
      <c r="P370" t="s">
        <v>128</v>
      </c>
      <c r="Q370">
        <v>694</v>
      </c>
      <c r="R370" s="296">
        <v>1E-4</v>
      </c>
      <c r="S370" s="296">
        <v>0.90810000000000002</v>
      </c>
      <c r="T370" s="297">
        <v>7737</v>
      </c>
      <c r="U370" s="340">
        <v>164348</v>
      </c>
      <c r="V370" s="340">
        <v>564080</v>
      </c>
      <c r="W370" s="297">
        <v>19625</v>
      </c>
      <c r="X370" s="296">
        <v>0</v>
      </c>
    </row>
    <row r="371" spans="13:24">
      <c r="M371">
        <v>369</v>
      </c>
      <c r="N371">
        <v>49546</v>
      </c>
      <c r="O371" t="s">
        <v>467</v>
      </c>
      <c r="P371" t="s">
        <v>140</v>
      </c>
      <c r="Q371">
        <v>126</v>
      </c>
      <c r="R371" s="296">
        <v>1E-4</v>
      </c>
      <c r="S371" s="296">
        <v>0.90820000000000001</v>
      </c>
      <c r="T371" s="297">
        <v>13579</v>
      </c>
      <c r="U371" s="340">
        <v>144307</v>
      </c>
      <c r="V371" s="340">
        <v>458310</v>
      </c>
      <c r="W371" s="297">
        <v>35993</v>
      </c>
      <c r="X371" s="296">
        <v>2E-3</v>
      </c>
    </row>
    <row r="372" spans="13:24">
      <c r="M372">
        <v>370</v>
      </c>
      <c r="N372">
        <v>53151</v>
      </c>
      <c r="O372" t="s">
        <v>1038</v>
      </c>
      <c r="P372" t="s">
        <v>149</v>
      </c>
      <c r="Q372">
        <v>59</v>
      </c>
      <c r="R372" s="296">
        <v>1E-4</v>
      </c>
      <c r="S372" s="296">
        <v>0.90839999999999999</v>
      </c>
      <c r="T372" s="297">
        <v>13872</v>
      </c>
      <c r="U372" s="340">
        <v>130152</v>
      </c>
      <c r="V372" s="340">
        <v>421261</v>
      </c>
      <c r="W372" s="297">
        <v>32037</v>
      </c>
      <c r="X372" s="296">
        <v>-1E-3</v>
      </c>
    </row>
    <row r="373" spans="13:24">
      <c r="M373">
        <v>371</v>
      </c>
      <c r="N373">
        <v>52722</v>
      </c>
      <c r="O373" t="s">
        <v>656</v>
      </c>
      <c r="P373" t="s">
        <v>170</v>
      </c>
      <c r="Q373">
        <v>145</v>
      </c>
      <c r="R373" s="296">
        <v>1E-4</v>
      </c>
      <c r="S373" s="296">
        <v>0.90849999999999997</v>
      </c>
      <c r="T373" s="297">
        <v>16641</v>
      </c>
      <c r="U373" s="340">
        <v>128057</v>
      </c>
      <c r="V373" s="340">
        <v>366134</v>
      </c>
      <c r="W373" s="297">
        <v>41279</v>
      </c>
      <c r="X373" s="296">
        <v>2E-3</v>
      </c>
    </row>
    <row r="374" spans="13:24">
      <c r="M374">
        <v>372</v>
      </c>
      <c r="N374">
        <v>53185</v>
      </c>
      <c r="O374" t="s">
        <v>1039</v>
      </c>
      <c r="P374" t="s">
        <v>149</v>
      </c>
      <c r="Q374">
        <v>49</v>
      </c>
      <c r="R374" s="296">
        <v>1E-4</v>
      </c>
      <c r="S374" s="296">
        <v>0.90869999999999995</v>
      </c>
      <c r="T374" s="297">
        <v>7364</v>
      </c>
      <c r="U374" s="340">
        <v>123901</v>
      </c>
      <c r="V374" s="340">
        <v>418388</v>
      </c>
      <c r="W374" s="297">
        <v>18608</v>
      </c>
      <c r="X374" s="296">
        <v>0</v>
      </c>
    </row>
    <row r="375" spans="13:24">
      <c r="M375">
        <v>373</v>
      </c>
      <c r="N375">
        <v>53129</v>
      </c>
      <c r="O375" t="s">
        <v>1040</v>
      </c>
      <c r="P375" t="s">
        <v>149</v>
      </c>
      <c r="Q375">
        <v>56</v>
      </c>
      <c r="R375" s="296">
        <v>1E-4</v>
      </c>
      <c r="S375" s="296">
        <v>0.90880000000000005</v>
      </c>
      <c r="T375" s="297">
        <v>5997</v>
      </c>
      <c r="U375" s="340">
        <v>117566</v>
      </c>
      <c r="V375" s="340">
        <v>330289</v>
      </c>
      <c r="W375" s="297">
        <v>14583</v>
      </c>
      <c r="X375" s="296">
        <v>-2E-3</v>
      </c>
    </row>
    <row r="376" spans="13:24">
      <c r="M376">
        <v>374</v>
      </c>
      <c r="N376">
        <v>53121</v>
      </c>
      <c r="O376" t="s">
        <v>1041</v>
      </c>
      <c r="P376" t="s">
        <v>149</v>
      </c>
      <c r="Q376">
        <v>54</v>
      </c>
      <c r="R376" s="296">
        <v>1E-4</v>
      </c>
      <c r="S376" s="296">
        <v>0.90900000000000003</v>
      </c>
      <c r="T376" s="297">
        <v>7557</v>
      </c>
      <c r="U376" s="340">
        <v>115885</v>
      </c>
      <c r="V376" s="340">
        <v>413583</v>
      </c>
      <c r="W376" s="297">
        <v>18957</v>
      </c>
      <c r="X376" s="296">
        <v>-1E-3</v>
      </c>
    </row>
    <row r="377" spans="13:24">
      <c r="M377">
        <v>375</v>
      </c>
      <c r="N377">
        <v>53154</v>
      </c>
      <c r="O377" t="s">
        <v>1042</v>
      </c>
      <c r="P377" t="s">
        <v>149</v>
      </c>
      <c r="Q377">
        <v>52</v>
      </c>
      <c r="R377" s="296">
        <v>1E-4</v>
      </c>
      <c r="S377" s="296">
        <v>0.90910000000000002</v>
      </c>
      <c r="T377" s="297">
        <v>15507</v>
      </c>
      <c r="U377" s="340">
        <v>112141</v>
      </c>
      <c r="V377" s="340">
        <v>319262</v>
      </c>
      <c r="W377" s="297">
        <v>36751</v>
      </c>
      <c r="X377" s="296">
        <v>2E-3</v>
      </c>
    </row>
    <row r="378" spans="13:24">
      <c r="M378">
        <v>376</v>
      </c>
      <c r="N378">
        <v>60478</v>
      </c>
      <c r="O378" t="s">
        <v>1043</v>
      </c>
      <c r="P378" t="s">
        <v>131</v>
      </c>
      <c r="Q378">
        <v>41</v>
      </c>
      <c r="R378" s="296">
        <v>1E-4</v>
      </c>
      <c r="S378" s="296">
        <v>0.9093</v>
      </c>
      <c r="T378" s="297">
        <v>5717</v>
      </c>
      <c r="U378" s="340">
        <v>98151</v>
      </c>
      <c r="V378" s="340">
        <v>216553</v>
      </c>
      <c r="W378" s="297">
        <v>16481</v>
      </c>
      <c r="X378" s="296">
        <v>-6.0000000000000001E-3</v>
      </c>
    </row>
    <row r="379" spans="13:24">
      <c r="M379">
        <v>377</v>
      </c>
      <c r="N379">
        <v>53220</v>
      </c>
      <c r="O379" t="s">
        <v>463</v>
      </c>
      <c r="P379" t="s">
        <v>149</v>
      </c>
      <c r="Q379">
        <v>57</v>
      </c>
      <c r="R379" s="296">
        <v>1E-4</v>
      </c>
      <c r="S379" s="296">
        <v>0.90939999999999999</v>
      </c>
      <c r="T379" s="297">
        <v>11308</v>
      </c>
      <c r="U379" s="340">
        <v>91251</v>
      </c>
      <c r="V379" s="340">
        <v>252845</v>
      </c>
      <c r="W379" s="297">
        <v>25320</v>
      </c>
      <c r="X379" s="296">
        <v>-7.0000000000000001E-3</v>
      </c>
    </row>
    <row r="380" spans="13:24">
      <c r="M380">
        <v>378</v>
      </c>
      <c r="N380">
        <v>53172</v>
      </c>
      <c r="O380" t="s">
        <v>1044</v>
      </c>
      <c r="P380" t="s">
        <v>149</v>
      </c>
      <c r="Q380">
        <v>53</v>
      </c>
      <c r="R380" s="296">
        <v>1E-4</v>
      </c>
      <c r="S380" s="296">
        <v>0.90959999999999996</v>
      </c>
      <c r="T380" s="297">
        <v>8818</v>
      </c>
      <c r="U380" s="340">
        <v>88780</v>
      </c>
      <c r="V380" s="340">
        <v>272729</v>
      </c>
      <c r="W380" s="297">
        <v>20350</v>
      </c>
      <c r="X380" s="296">
        <v>-5.0000000000000001E-3</v>
      </c>
    </row>
    <row r="381" spans="13:24">
      <c r="M381">
        <v>379</v>
      </c>
      <c r="N381">
        <v>49401</v>
      </c>
      <c r="O381" t="s">
        <v>1045</v>
      </c>
      <c r="P381" t="s">
        <v>140</v>
      </c>
      <c r="Q381">
        <v>111</v>
      </c>
      <c r="R381" s="296">
        <v>1E-4</v>
      </c>
      <c r="S381" s="296">
        <v>0.90969999999999995</v>
      </c>
      <c r="T381" s="297">
        <v>9279</v>
      </c>
      <c r="U381" s="340">
        <v>79800</v>
      </c>
      <c r="V381" s="340">
        <v>328327</v>
      </c>
      <c r="W381" s="297">
        <v>29366</v>
      </c>
      <c r="X381" s="296">
        <v>7.0000000000000001E-3</v>
      </c>
    </row>
    <row r="382" spans="13:24">
      <c r="M382">
        <v>380</v>
      </c>
      <c r="N382">
        <v>54304</v>
      </c>
      <c r="O382" t="s">
        <v>1046</v>
      </c>
      <c r="P382" t="s">
        <v>149</v>
      </c>
      <c r="Q382">
        <v>163</v>
      </c>
      <c r="R382" s="296">
        <v>1E-4</v>
      </c>
      <c r="S382" s="296">
        <v>0.90990000000000004</v>
      </c>
      <c r="T382" s="297">
        <v>12937</v>
      </c>
      <c r="U382" s="340">
        <v>78362</v>
      </c>
      <c r="V382" s="340">
        <v>283312</v>
      </c>
      <c r="W382" s="297">
        <v>28432</v>
      </c>
      <c r="X382" s="296">
        <v>6.0000000000000001E-3</v>
      </c>
    </row>
    <row r="383" spans="13:24">
      <c r="M383">
        <v>381</v>
      </c>
      <c r="N383">
        <v>53212</v>
      </c>
      <c r="O383" t="s">
        <v>463</v>
      </c>
      <c r="P383" t="s">
        <v>149</v>
      </c>
      <c r="Q383">
        <v>64</v>
      </c>
      <c r="R383" s="296">
        <v>1E-4</v>
      </c>
      <c r="S383" s="296">
        <v>0.91</v>
      </c>
      <c r="T383" s="297">
        <v>13293</v>
      </c>
      <c r="U383" s="340">
        <v>68190</v>
      </c>
      <c r="V383" s="340">
        <v>259246</v>
      </c>
      <c r="W383" s="297">
        <v>27997</v>
      </c>
      <c r="X383" s="296">
        <v>-7.0000000000000001E-3</v>
      </c>
    </row>
    <row r="384" spans="13:24">
      <c r="M384">
        <v>382</v>
      </c>
      <c r="N384">
        <v>46327</v>
      </c>
      <c r="O384" t="s">
        <v>995</v>
      </c>
      <c r="P384" t="s">
        <v>144</v>
      </c>
      <c r="Q384">
        <v>38</v>
      </c>
      <c r="R384" s="296">
        <v>1E-4</v>
      </c>
      <c r="S384" s="296">
        <v>0.91020000000000001</v>
      </c>
      <c r="T384" s="297">
        <v>3729</v>
      </c>
      <c r="U384" s="340">
        <v>62645</v>
      </c>
      <c r="V384" s="340">
        <v>166378</v>
      </c>
      <c r="W384" s="297">
        <v>10739</v>
      </c>
      <c r="X384" s="296">
        <v>-7.0000000000000001E-3</v>
      </c>
    </row>
    <row r="385" spans="13:24">
      <c r="M385">
        <v>383</v>
      </c>
      <c r="N385">
        <v>53204</v>
      </c>
      <c r="O385" t="s">
        <v>463</v>
      </c>
      <c r="P385" t="s">
        <v>149</v>
      </c>
      <c r="Q385">
        <v>61</v>
      </c>
      <c r="R385" s="296">
        <v>1E-4</v>
      </c>
      <c r="S385" s="296">
        <v>0.9103</v>
      </c>
      <c r="T385" s="297">
        <v>14584</v>
      </c>
      <c r="U385" s="340">
        <v>61568</v>
      </c>
      <c r="V385" s="340">
        <v>216127</v>
      </c>
      <c r="W385" s="297">
        <v>40550</v>
      </c>
      <c r="X385" s="296">
        <v>2E-3</v>
      </c>
    </row>
    <row r="386" spans="13:24">
      <c r="M386">
        <v>384</v>
      </c>
      <c r="N386">
        <v>60029</v>
      </c>
      <c r="O386" t="s">
        <v>1047</v>
      </c>
      <c r="P386" t="s">
        <v>131</v>
      </c>
      <c r="Q386">
        <v>6</v>
      </c>
      <c r="R386" s="296">
        <v>1E-4</v>
      </c>
      <c r="S386" s="296">
        <v>0.91049999999999998</v>
      </c>
      <c r="T386">
        <v>159</v>
      </c>
      <c r="U386" s="340">
        <v>207534</v>
      </c>
      <c r="V386" s="340">
        <v>838402</v>
      </c>
      <c r="W386">
        <v>485</v>
      </c>
      <c r="X386" s="296">
        <v>-1.4E-2</v>
      </c>
    </row>
    <row r="387" spans="13:24">
      <c r="M387">
        <v>385</v>
      </c>
      <c r="N387">
        <v>77479</v>
      </c>
      <c r="O387" t="s">
        <v>1048</v>
      </c>
      <c r="P387" t="s">
        <v>134</v>
      </c>
      <c r="Q387">
        <v>973</v>
      </c>
      <c r="R387" s="296">
        <v>1E-4</v>
      </c>
      <c r="S387" s="296">
        <v>0.91059999999999997</v>
      </c>
      <c r="T387" s="297">
        <v>30870</v>
      </c>
      <c r="U387" s="340">
        <v>199443</v>
      </c>
      <c r="V387" s="340">
        <v>524241</v>
      </c>
      <c r="W387" s="297">
        <v>95630</v>
      </c>
      <c r="X387" s="296">
        <v>5.0000000000000001E-3</v>
      </c>
    </row>
    <row r="388" spans="13:24">
      <c r="M388">
        <v>386</v>
      </c>
      <c r="N388">
        <v>46032</v>
      </c>
      <c r="O388" t="s">
        <v>614</v>
      </c>
      <c r="P388" t="s">
        <v>144</v>
      </c>
      <c r="Q388">
        <v>174</v>
      </c>
      <c r="R388" s="296">
        <v>1E-4</v>
      </c>
      <c r="S388" s="296">
        <v>0.91069999999999995</v>
      </c>
      <c r="T388" s="297">
        <v>21644</v>
      </c>
      <c r="U388" s="340">
        <v>176496</v>
      </c>
      <c r="V388" s="340">
        <v>576263</v>
      </c>
      <c r="W388" s="297">
        <v>53317</v>
      </c>
      <c r="X388" s="296">
        <v>1.2999999999999999E-2</v>
      </c>
    </row>
    <row r="389" spans="13:24">
      <c r="M389">
        <v>387</v>
      </c>
      <c r="N389">
        <v>34109</v>
      </c>
      <c r="O389" t="s">
        <v>322</v>
      </c>
      <c r="P389" t="s">
        <v>127</v>
      </c>
      <c r="Q389">
        <v>1150</v>
      </c>
      <c r="R389" s="296">
        <v>1E-4</v>
      </c>
      <c r="S389" s="296">
        <v>0.91090000000000004</v>
      </c>
      <c r="T389" s="297">
        <v>12773</v>
      </c>
      <c r="U389" s="340">
        <v>148959</v>
      </c>
      <c r="V389" s="340">
        <v>830659</v>
      </c>
      <c r="W389" s="297">
        <v>26744</v>
      </c>
      <c r="X389" s="296">
        <v>6.0000000000000001E-3</v>
      </c>
    </row>
    <row r="390" spans="13:24">
      <c r="M390">
        <v>388</v>
      </c>
      <c r="N390">
        <v>53066</v>
      </c>
      <c r="O390" t="s">
        <v>667</v>
      </c>
      <c r="P390" t="s">
        <v>149</v>
      </c>
      <c r="Q390">
        <v>76</v>
      </c>
      <c r="R390" s="296">
        <v>1E-4</v>
      </c>
      <c r="S390" s="296">
        <v>0.91100000000000003</v>
      </c>
      <c r="T390" s="297">
        <v>15784</v>
      </c>
      <c r="U390" s="340">
        <v>148124</v>
      </c>
      <c r="V390" s="340">
        <v>559664</v>
      </c>
      <c r="W390" s="297">
        <v>38755</v>
      </c>
      <c r="X390" s="296">
        <v>1.2E-2</v>
      </c>
    </row>
    <row r="391" spans="13:24">
      <c r="M391">
        <v>389</v>
      </c>
      <c r="N391">
        <v>48316</v>
      </c>
      <c r="O391" t="s">
        <v>1049</v>
      </c>
      <c r="P391" t="s">
        <v>140</v>
      </c>
      <c r="Q391">
        <v>244</v>
      </c>
      <c r="R391" s="296">
        <v>1E-4</v>
      </c>
      <c r="S391" s="296">
        <v>0.91120000000000001</v>
      </c>
      <c r="T391" s="297">
        <v>11313</v>
      </c>
      <c r="U391" s="340">
        <v>134524</v>
      </c>
      <c r="V391" s="340">
        <v>415835</v>
      </c>
      <c r="W391" s="297">
        <v>28174</v>
      </c>
      <c r="X391" s="296">
        <v>1E-3</v>
      </c>
    </row>
    <row r="392" spans="13:24">
      <c r="M392">
        <v>390</v>
      </c>
      <c r="N392">
        <v>61073</v>
      </c>
      <c r="O392" t="s">
        <v>1050</v>
      </c>
      <c r="P392" t="s">
        <v>131</v>
      </c>
      <c r="Q392">
        <v>64</v>
      </c>
      <c r="R392" s="296">
        <v>1E-4</v>
      </c>
      <c r="S392" s="296">
        <v>0.9113</v>
      </c>
      <c r="T392" s="297">
        <v>7642</v>
      </c>
      <c r="U392" s="340">
        <v>132601</v>
      </c>
      <c r="V392" s="340">
        <v>259017</v>
      </c>
      <c r="W392" s="297">
        <v>20024</v>
      </c>
      <c r="X392" s="296">
        <v>-7.0000000000000001E-3</v>
      </c>
    </row>
    <row r="393" spans="13:24">
      <c r="M393">
        <v>391</v>
      </c>
      <c r="N393">
        <v>53126</v>
      </c>
      <c r="O393" t="s">
        <v>1051</v>
      </c>
      <c r="P393" t="s">
        <v>149</v>
      </c>
      <c r="Q393">
        <v>45</v>
      </c>
      <c r="R393" s="296">
        <v>1E-4</v>
      </c>
      <c r="S393" s="296">
        <v>0.91139999999999999</v>
      </c>
      <c r="T393" s="297">
        <v>2650</v>
      </c>
      <c r="U393" s="340">
        <v>131979</v>
      </c>
      <c r="V393" s="340">
        <v>425919</v>
      </c>
      <c r="W393" s="297">
        <v>6789</v>
      </c>
      <c r="X393" s="296">
        <v>-4.0000000000000001E-3</v>
      </c>
    </row>
    <row r="394" spans="13:24">
      <c r="M394">
        <v>392</v>
      </c>
      <c r="N394">
        <v>33139</v>
      </c>
      <c r="O394" t="s">
        <v>639</v>
      </c>
      <c r="P394" t="s">
        <v>127</v>
      </c>
      <c r="Q394">
        <v>1211</v>
      </c>
      <c r="R394" s="296">
        <v>1E-4</v>
      </c>
      <c r="S394" s="296">
        <v>0.91159999999999997</v>
      </c>
      <c r="T394" s="297">
        <v>21128</v>
      </c>
      <c r="U394" s="340">
        <v>127885</v>
      </c>
      <c r="V394" s="340">
        <v>983748</v>
      </c>
      <c r="W394" s="297">
        <v>35689</v>
      </c>
      <c r="X394" s="296">
        <v>-4.0000000000000001E-3</v>
      </c>
    </row>
    <row r="395" spans="13:24">
      <c r="M395">
        <v>393</v>
      </c>
      <c r="N395">
        <v>55110</v>
      </c>
      <c r="O395" t="s">
        <v>445</v>
      </c>
      <c r="P395" t="s">
        <v>151</v>
      </c>
      <c r="Q395">
        <v>331</v>
      </c>
      <c r="R395" s="296">
        <v>1E-4</v>
      </c>
      <c r="S395" s="296">
        <v>0.91169999999999995</v>
      </c>
      <c r="T395" s="297">
        <v>16302</v>
      </c>
      <c r="U395" s="340">
        <v>125913</v>
      </c>
      <c r="V395" s="340">
        <v>437833</v>
      </c>
      <c r="W395" s="297">
        <v>41032</v>
      </c>
      <c r="X395" s="296">
        <v>1E-3</v>
      </c>
    </row>
    <row r="396" spans="13:24">
      <c r="M396">
        <v>394</v>
      </c>
      <c r="N396">
        <v>61615</v>
      </c>
      <c r="O396" t="s">
        <v>1052</v>
      </c>
      <c r="P396" t="s">
        <v>131</v>
      </c>
      <c r="Q396">
        <v>135</v>
      </c>
      <c r="R396" s="296">
        <v>1E-4</v>
      </c>
      <c r="S396" s="296">
        <v>0.91180000000000005</v>
      </c>
      <c r="T396" s="297">
        <v>11418</v>
      </c>
      <c r="U396" s="340">
        <v>122847</v>
      </c>
      <c r="V396" s="340">
        <v>299900</v>
      </c>
      <c r="W396" s="297">
        <v>25156</v>
      </c>
      <c r="X396" s="296">
        <v>-5.0000000000000001E-3</v>
      </c>
    </row>
    <row r="397" spans="13:24">
      <c r="M397">
        <v>395</v>
      </c>
      <c r="N397">
        <v>53182</v>
      </c>
      <c r="O397" t="s">
        <v>1053</v>
      </c>
      <c r="P397" t="s">
        <v>149</v>
      </c>
      <c r="Q397">
        <v>40</v>
      </c>
      <c r="R397" s="296">
        <v>1E-4</v>
      </c>
      <c r="S397" s="296">
        <v>0.91200000000000003</v>
      </c>
      <c r="T397" s="297">
        <v>3685</v>
      </c>
      <c r="U397" s="340">
        <v>119026</v>
      </c>
      <c r="V397" s="340">
        <v>398030</v>
      </c>
      <c r="W397" s="297">
        <v>9901</v>
      </c>
      <c r="X397" s="296">
        <v>8.9999999999999993E-3</v>
      </c>
    </row>
    <row r="398" spans="13:24">
      <c r="M398">
        <v>396</v>
      </c>
      <c r="N398">
        <v>53188</v>
      </c>
      <c r="O398" t="s">
        <v>1004</v>
      </c>
      <c r="P398" t="s">
        <v>149</v>
      </c>
      <c r="Q398">
        <v>65</v>
      </c>
      <c r="R398" s="296">
        <v>1E-4</v>
      </c>
      <c r="S398" s="296">
        <v>0.91210000000000002</v>
      </c>
      <c r="T398" s="297">
        <v>15108</v>
      </c>
      <c r="U398" s="340">
        <v>112667</v>
      </c>
      <c r="V398" s="340">
        <v>407326</v>
      </c>
      <c r="W398" s="297">
        <v>35757</v>
      </c>
      <c r="X398" s="296">
        <v>-2E-3</v>
      </c>
    </row>
    <row r="399" spans="13:24">
      <c r="M399">
        <v>397</v>
      </c>
      <c r="N399">
        <v>46143</v>
      </c>
      <c r="O399" t="s">
        <v>1054</v>
      </c>
      <c r="P399" t="s">
        <v>144</v>
      </c>
      <c r="Q399">
        <v>197</v>
      </c>
      <c r="R399" s="296">
        <v>1E-4</v>
      </c>
      <c r="S399" s="296">
        <v>0.91220000000000001</v>
      </c>
      <c r="T399" s="297">
        <v>24707</v>
      </c>
      <c r="U399" s="340">
        <v>110565</v>
      </c>
      <c r="V399" s="340">
        <v>350226</v>
      </c>
      <c r="W399" s="297">
        <v>66446</v>
      </c>
      <c r="X399" s="296">
        <v>1.4E-2</v>
      </c>
    </row>
    <row r="400" spans="13:24">
      <c r="M400">
        <v>398</v>
      </c>
      <c r="N400">
        <v>54915</v>
      </c>
      <c r="O400" t="s">
        <v>1055</v>
      </c>
      <c r="P400" t="s">
        <v>149</v>
      </c>
      <c r="Q400">
        <v>148</v>
      </c>
      <c r="R400" s="296">
        <v>1E-4</v>
      </c>
      <c r="S400" s="296">
        <v>0.91239999999999999</v>
      </c>
      <c r="T400" s="297">
        <v>17271</v>
      </c>
      <c r="U400" s="340">
        <v>100720</v>
      </c>
      <c r="V400" s="340">
        <v>279934</v>
      </c>
      <c r="W400" s="297">
        <v>43327</v>
      </c>
      <c r="X400" s="296">
        <v>3.0000000000000001E-3</v>
      </c>
    </row>
    <row r="401" spans="13:24">
      <c r="M401">
        <v>399</v>
      </c>
      <c r="N401">
        <v>60163</v>
      </c>
      <c r="O401" t="s">
        <v>1056</v>
      </c>
      <c r="P401" t="s">
        <v>131</v>
      </c>
      <c r="Q401">
        <v>19</v>
      </c>
      <c r="R401" s="296">
        <v>1E-4</v>
      </c>
      <c r="S401" s="296">
        <v>0.91249999999999998</v>
      </c>
      <c r="T401" s="297">
        <v>1846</v>
      </c>
      <c r="U401" s="340">
        <v>91676</v>
      </c>
      <c r="V401" s="340">
        <v>223698</v>
      </c>
      <c r="W401" s="297">
        <v>5089</v>
      </c>
      <c r="X401" s="296">
        <v>-1.2999999999999999E-2</v>
      </c>
    </row>
    <row r="402" spans="13:24">
      <c r="M402">
        <v>400</v>
      </c>
      <c r="N402">
        <v>52761</v>
      </c>
      <c r="O402" t="s">
        <v>1057</v>
      </c>
      <c r="P402" t="s">
        <v>170</v>
      </c>
      <c r="Q402">
        <v>175</v>
      </c>
      <c r="R402" s="296">
        <v>1E-4</v>
      </c>
      <c r="S402" s="296">
        <v>0.91269999999999996</v>
      </c>
      <c r="T402" s="297">
        <v>12205</v>
      </c>
      <c r="U402" s="340">
        <v>87899</v>
      </c>
      <c r="V402" s="340">
        <v>238050</v>
      </c>
      <c r="W402" s="297">
        <v>30233</v>
      </c>
      <c r="X402" s="296">
        <v>-4.0000000000000001E-3</v>
      </c>
    </row>
    <row r="403" spans="13:24">
      <c r="M403">
        <v>401</v>
      </c>
      <c r="N403">
        <v>90038</v>
      </c>
      <c r="O403" t="s">
        <v>309</v>
      </c>
      <c r="P403" t="s">
        <v>132</v>
      </c>
      <c r="Q403">
        <v>1740</v>
      </c>
      <c r="R403" s="296">
        <v>1E-4</v>
      </c>
      <c r="S403" s="296">
        <v>0.91279999999999994</v>
      </c>
      <c r="T403" s="297">
        <v>13746</v>
      </c>
      <c r="U403" s="340">
        <v>84605</v>
      </c>
      <c r="V403" s="340">
        <v>1238534</v>
      </c>
      <c r="W403" s="297">
        <v>28295</v>
      </c>
      <c r="X403" s="296">
        <v>2E-3</v>
      </c>
    </row>
    <row r="404" spans="13:24">
      <c r="M404">
        <v>402</v>
      </c>
      <c r="N404">
        <v>52001</v>
      </c>
      <c r="O404" t="s">
        <v>1058</v>
      </c>
      <c r="P404" t="s">
        <v>170</v>
      </c>
      <c r="Q404">
        <v>151</v>
      </c>
      <c r="R404" s="296">
        <v>1E-4</v>
      </c>
      <c r="S404" s="296">
        <v>0.91290000000000004</v>
      </c>
      <c r="T404" s="297">
        <v>18220</v>
      </c>
      <c r="U404" s="340">
        <v>83068</v>
      </c>
      <c r="V404" s="340">
        <v>248462</v>
      </c>
      <c r="W404" s="297">
        <v>43617</v>
      </c>
      <c r="X404" s="296">
        <v>-1E-3</v>
      </c>
    </row>
    <row r="405" spans="13:24">
      <c r="M405">
        <v>403</v>
      </c>
      <c r="N405">
        <v>47905</v>
      </c>
      <c r="O405" t="s">
        <v>308</v>
      </c>
      <c r="P405" t="s">
        <v>144</v>
      </c>
      <c r="Q405">
        <v>130</v>
      </c>
      <c r="R405" s="296">
        <v>1E-4</v>
      </c>
      <c r="S405" s="296">
        <v>0.91310000000000002</v>
      </c>
      <c r="T405" s="297">
        <v>18180</v>
      </c>
      <c r="U405" s="340">
        <v>82043</v>
      </c>
      <c r="V405" s="340">
        <v>277320</v>
      </c>
      <c r="W405" s="297">
        <v>43106</v>
      </c>
      <c r="X405" s="296">
        <v>4.0000000000000001E-3</v>
      </c>
    </row>
    <row r="406" spans="13:24">
      <c r="M406">
        <v>404</v>
      </c>
      <c r="N406">
        <v>53713</v>
      </c>
      <c r="O406" t="s">
        <v>823</v>
      </c>
      <c r="P406" t="s">
        <v>149</v>
      </c>
      <c r="Q406">
        <v>102</v>
      </c>
      <c r="R406" s="296">
        <v>1E-4</v>
      </c>
      <c r="S406" s="296">
        <v>0.91320000000000001</v>
      </c>
      <c r="T406" s="297">
        <v>11097</v>
      </c>
      <c r="U406" s="340">
        <v>80411</v>
      </c>
      <c r="V406" s="340">
        <v>355994</v>
      </c>
      <c r="W406" s="297">
        <v>24590</v>
      </c>
      <c r="X406" s="296">
        <v>1.2E-2</v>
      </c>
    </row>
    <row r="407" spans="13:24">
      <c r="M407">
        <v>405</v>
      </c>
      <c r="N407">
        <v>60165</v>
      </c>
      <c r="O407" t="s">
        <v>1059</v>
      </c>
      <c r="P407" t="s">
        <v>131</v>
      </c>
      <c r="Q407">
        <v>17</v>
      </c>
      <c r="R407" s="296">
        <v>1E-4</v>
      </c>
      <c r="S407" s="296">
        <v>0.9133</v>
      </c>
      <c r="T407" s="297">
        <v>1269</v>
      </c>
      <c r="U407" s="340">
        <v>79786</v>
      </c>
      <c r="V407" s="340">
        <v>318893</v>
      </c>
      <c r="W407" s="297">
        <v>4259</v>
      </c>
      <c r="X407" s="296">
        <v>-1.7999999999999999E-2</v>
      </c>
    </row>
    <row r="408" spans="13:24">
      <c r="M408">
        <v>406</v>
      </c>
      <c r="N408">
        <v>48906</v>
      </c>
      <c r="O408" t="s">
        <v>967</v>
      </c>
      <c r="P408" t="s">
        <v>140</v>
      </c>
      <c r="Q408">
        <v>170</v>
      </c>
      <c r="R408" s="296">
        <v>1E-4</v>
      </c>
      <c r="S408" s="296">
        <v>0.91349999999999998</v>
      </c>
      <c r="T408" s="297">
        <v>10947</v>
      </c>
      <c r="U408" s="340">
        <v>78048</v>
      </c>
      <c r="V408" s="340">
        <v>194529</v>
      </c>
      <c r="W408" s="297">
        <v>25501</v>
      </c>
      <c r="X408" s="296">
        <v>-2E-3</v>
      </c>
    </row>
    <row r="409" spans="13:24">
      <c r="M409">
        <v>407</v>
      </c>
      <c r="N409">
        <v>53209</v>
      </c>
      <c r="O409" t="s">
        <v>463</v>
      </c>
      <c r="P409" t="s">
        <v>149</v>
      </c>
      <c r="Q409">
        <v>68</v>
      </c>
      <c r="R409" s="296">
        <v>1E-4</v>
      </c>
      <c r="S409" s="296">
        <v>0.91359999999999997</v>
      </c>
      <c r="T409" s="297">
        <v>18311</v>
      </c>
      <c r="U409" s="340">
        <v>68576</v>
      </c>
      <c r="V409" s="340">
        <v>250331</v>
      </c>
      <c r="W409" s="297">
        <v>42795</v>
      </c>
      <c r="X409" s="296">
        <v>-6.0000000000000001E-3</v>
      </c>
    </row>
    <row r="410" spans="13:24">
      <c r="M410">
        <v>408</v>
      </c>
      <c r="N410">
        <v>61101</v>
      </c>
      <c r="O410" t="s">
        <v>998</v>
      </c>
      <c r="P410" t="s">
        <v>131</v>
      </c>
      <c r="Q410">
        <v>69</v>
      </c>
      <c r="R410" s="296">
        <v>1E-4</v>
      </c>
      <c r="S410" s="296">
        <v>0.91379999999999995</v>
      </c>
      <c r="T410" s="297">
        <v>7970</v>
      </c>
      <c r="U410" s="340">
        <v>62694</v>
      </c>
      <c r="V410" s="340">
        <v>168755</v>
      </c>
      <c r="W410" s="297">
        <v>19272</v>
      </c>
      <c r="X410" s="296">
        <v>-1.2E-2</v>
      </c>
    </row>
    <row r="411" spans="13:24">
      <c r="M411">
        <v>409</v>
      </c>
      <c r="N411">
        <v>60603</v>
      </c>
      <c r="O411" t="s">
        <v>437</v>
      </c>
      <c r="P411" t="s">
        <v>131</v>
      </c>
      <c r="Q411">
        <v>20</v>
      </c>
      <c r="R411" s="296">
        <v>1E-4</v>
      </c>
      <c r="S411" s="296">
        <v>0.91390000000000005</v>
      </c>
      <c r="T411">
        <v>762</v>
      </c>
      <c r="U411" s="340">
        <v>221184</v>
      </c>
      <c r="V411" s="340">
        <v>860360</v>
      </c>
      <c r="W411" s="297">
        <v>1284</v>
      </c>
      <c r="X411" s="296">
        <v>-1.2E-2</v>
      </c>
    </row>
    <row r="412" spans="13:24">
      <c r="M412">
        <v>410</v>
      </c>
      <c r="N412">
        <v>30338</v>
      </c>
      <c r="O412" t="s">
        <v>507</v>
      </c>
      <c r="P412" t="s">
        <v>130</v>
      </c>
      <c r="Q412">
        <v>596</v>
      </c>
      <c r="R412" s="296">
        <v>1E-4</v>
      </c>
      <c r="S412" s="296">
        <v>0.91400000000000003</v>
      </c>
      <c r="T412" s="297">
        <v>15108</v>
      </c>
      <c r="U412" s="340">
        <v>205423</v>
      </c>
      <c r="V412" s="340">
        <v>587625</v>
      </c>
      <c r="W412" s="297">
        <v>37738</v>
      </c>
      <c r="X412" s="296">
        <v>1E-3</v>
      </c>
    </row>
    <row r="413" spans="13:24">
      <c r="M413">
        <v>411</v>
      </c>
      <c r="N413">
        <v>53125</v>
      </c>
      <c r="O413" t="s">
        <v>1060</v>
      </c>
      <c r="P413" t="s">
        <v>149</v>
      </c>
      <c r="Q413">
        <v>48</v>
      </c>
      <c r="R413" s="296">
        <v>1E-4</v>
      </c>
      <c r="S413" s="296">
        <v>0.91410000000000002</v>
      </c>
      <c r="T413">
        <v>977</v>
      </c>
      <c r="U413" s="340">
        <v>182016</v>
      </c>
      <c r="V413" s="340">
        <v>716319</v>
      </c>
      <c r="W413" s="297">
        <v>2139</v>
      </c>
      <c r="X413" s="296">
        <v>-0.10199999999999999</v>
      </c>
    </row>
    <row r="414" spans="13:24">
      <c r="M414">
        <v>412</v>
      </c>
      <c r="N414">
        <v>91344</v>
      </c>
      <c r="O414" t="s">
        <v>1061</v>
      </c>
      <c r="P414" t="s">
        <v>132</v>
      </c>
      <c r="Q414">
        <v>1743</v>
      </c>
      <c r="R414" s="296">
        <v>1E-4</v>
      </c>
      <c r="S414" s="296">
        <v>0.9143</v>
      </c>
      <c r="T414" s="297">
        <v>16603</v>
      </c>
      <c r="U414" s="340">
        <v>154337</v>
      </c>
      <c r="V414" s="340">
        <v>910724</v>
      </c>
      <c r="W414" s="297">
        <v>50846</v>
      </c>
      <c r="X414" s="296">
        <v>-7.0000000000000001E-3</v>
      </c>
    </row>
    <row r="415" spans="13:24">
      <c r="M415">
        <v>413</v>
      </c>
      <c r="N415">
        <v>92108</v>
      </c>
      <c r="O415" t="s">
        <v>316</v>
      </c>
      <c r="P415" t="s">
        <v>132</v>
      </c>
      <c r="Q415">
        <v>1725</v>
      </c>
      <c r="R415" s="296">
        <v>1E-4</v>
      </c>
      <c r="S415" s="296">
        <v>0.91439999999999999</v>
      </c>
      <c r="T415" s="297">
        <v>15854</v>
      </c>
      <c r="U415" s="340">
        <v>132923</v>
      </c>
      <c r="V415" s="340">
        <v>958478</v>
      </c>
      <c r="W415" s="297">
        <v>29706</v>
      </c>
      <c r="X415" s="296">
        <v>2.1000000000000001E-2</v>
      </c>
    </row>
    <row r="416" spans="13:24">
      <c r="M416">
        <v>414</v>
      </c>
      <c r="N416">
        <v>37122</v>
      </c>
      <c r="O416" t="s">
        <v>1062</v>
      </c>
      <c r="P416" t="s">
        <v>146</v>
      </c>
      <c r="Q416">
        <v>418</v>
      </c>
      <c r="R416" s="296">
        <v>1E-4</v>
      </c>
      <c r="S416" s="296">
        <v>0.91449999999999998</v>
      </c>
      <c r="T416" s="297">
        <v>25886</v>
      </c>
      <c r="U416" s="340">
        <v>132623</v>
      </c>
      <c r="V416" s="340">
        <v>469198</v>
      </c>
      <c r="W416" s="297">
        <v>70022</v>
      </c>
      <c r="X416" s="296">
        <v>2.3E-2</v>
      </c>
    </row>
    <row r="417" spans="13:24">
      <c r="M417">
        <v>415</v>
      </c>
      <c r="N417">
        <v>60447</v>
      </c>
      <c r="O417" t="s">
        <v>1063</v>
      </c>
      <c r="P417" t="s">
        <v>131</v>
      </c>
      <c r="Q417">
        <v>53</v>
      </c>
      <c r="R417" s="296">
        <v>1E-4</v>
      </c>
      <c r="S417" s="296">
        <v>0.91459999999999997</v>
      </c>
      <c r="T417" s="297">
        <v>5252</v>
      </c>
      <c r="U417" s="340">
        <v>132597</v>
      </c>
      <c r="V417" s="340">
        <v>298076</v>
      </c>
      <c r="W417" s="297">
        <v>15760</v>
      </c>
      <c r="X417" s="296">
        <v>-1E-3</v>
      </c>
    </row>
    <row r="418" spans="13:24">
      <c r="M418">
        <v>416</v>
      </c>
      <c r="N418">
        <v>53590</v>
      </c>
      <c r="O418" t="s">
        <v>1064</v>
      </c>
      <c r="P418" t="s">
        <v>149</v>
      </c>
      <c r="Q418">
        <v>102</v>
      </c>
      <c r="R418" s="296">
        <v>1E-4</v>
      </c>
      <c r="S418" s="296">
        <v>0.91479999999999995</v>
      </c>
      <c r="T418" s="297">
        <v>18188</v>
      </c>
      <c r="U418" s="340">
        <v>129470</v>
      </c>
      <c r="V418" s="340">
        <v>427908</v>
      </c>
      <c r="W418" s="297">
        <v>46210</v>
      </c>
      <c r="X418" s="296">
        <v>1.4E-2</v>
      </c>
    </row>
    <row r="419" spans="13:24">
      <c r="M419">
        <v>417</v>
      </c>
      <c r="N419">
        <v>53226</v>
      </c>
      <c r="O419" t="s">
        <v>463</v>
      </c>
      <c r="P419" t="s">
        <v>149</v>
      </c>
      <c r="Q419">
        <v>64</v>
      </c>
      <c r="R419" s="296">
        <v>1E-4</v>
      </c>
      <c r="S419" s="296">
        <v>0.91490000000000005</v>
      </c>
      <c r="T419" s="297">
        <v>8817</v>
      </c>
      <c r="U419" s="340">
        <v>125887</v>
      </c>
      <c r="V419" s="340">
        <v>351350</v>
      </c>
      <c r="W419" s="297">
        <v>19154</v>
      </c>
      <c r="X419" s="296">
        <v>-6.0000000000000001E-3</v>
      </c>
    </row>
    <row r="420" spans="13:24">
      <c r="M420">
        <v>418</v>
      </c>
      <c r="N420">
        <v>43551</v>
      </c>
      <c r="O420" t="s">
        <v>1065</v>
      </c>
      <c r="P420" t="s">
        <v>136</v>
      </c>
      <c r="Q420">
        <v>221</v>
      </c>
      <c r="R420" s="296">
        <v>1E-4</v>
      </c>
      <c r="S420" s="296">
        <v>0.91500000000000004</v>
      </c>
      <c r="T420" s="297">
        <v>18371</v>
      </c>
      <c r="U420" s="340">
        <v>122026</v>
      </c>
      <c r="V420" s="340">
        <v>325144</v>
      </c>
      <c r="W420" s="297">
        <v>44225</v>
      </c>
      <c r="X420" s="296">
        <v>3.0000000000000001E-3</v>
      </c>
    </row>
    <row r="421" spans="13:24">
      <c r="M421">
        <v>419</v>
      </c>
      <c r="N421">
        <v>60157</v>
      </c>
      <c r="O421" t="s">
        <v>1066</v>
      </c>
      <c r="P421" t="s">
        <v>131</v>
      </c>
      <c r="Q421">
        <v>18</v>
      </c>
      <c r="R421" s="296">
        <v>1E-4</v>
      </c>
      <c r="S421" s="296">
        <v>0.91510000000000002</v>
      </c>
      <c r="T421" s="297">
        <v>1203</v>
      </c>
      <c r="U421" s="340">
        <v>112782</v>
      </c>
      <c r="V421" s="340">
        <v>461296</v>
      </c>
      <c r="W421" s="297">
        <v>3374</v>
      </c>
      <c r="X421" s="296">
        <v>-1.0999999999999999E-2</v>
      </c>
    </row>
    <row r="422" spans="13:24">
      <c r="M422">
        <v>420</v>
      </c>
      <c r="N422">
        <v>49428</v>
      </c>
      <c r="O422" t="s">
        <v>1067</v>
      </c>
      <c r="P422" t="s">
        <v>140</v>
      </c>
      <c r="Q422">
        <v>113</v>
      </c>
      <c r="R422" s="296">
        <v>1E-4</v>
      </c>
      <c r="S422" s="296">
        <v>0.9153</v>
      </c>
      <c r="T422" s="297">
        <v>10511</v>
      </c>
      <c r="U422" s="340">
        <v>110589</v>
      </c>
      <c r="V422" s="340">
        <v>315555</v>
      </c>
      <c r="W422" s="297">
        <v>29601</v>
      </c>
      <c r="X422" s="296">
        <v>1.0999999999999999E-2</v>
      </c>
    </row>
    <row r="423" spans="13:24">
      <c r="M423">
        <v>421</v>
      </c>
      <c r="N423">
        <v>2919</v>
      </c>
      <c r="O423" t="s">
        <v>427</v>
      </c>
      <c r="P423" t="s">
        <v>212</v>
      </c>
      <c r="Q423">
        <v>835</v>
      </c>
      <c r="R423" s="296">
        <v>1E-4</v>
      </c>
      <c r="S423" s="296">
        <v>0.91539999999999999</v>
      </c>
      <c r="T423" s="297">
        <v>12086</v>
      </c>
      <c r="U423" s="340">
        <v>109679</v>
      </c>
      <c r="V423" s="340">
        <v>418430</v>
      </c>
      <c r="W423" s="297">
        <v>29839</v>
      </c>
      <c r="X423" s="296">
        <v>3.0000000000000001E-3</v>
      </c>
    </row>
    <row r="424" spans="13:24">
      <c r="M424">
        <v>422</v>
      </c>
      <c r="N424">
        <v>60408</v>
      </c>
      <c r="O424" t="s">
        <v>1068</v>
      </c>
      <c r="P424" t="s">
        <v>131</v>
      </c>
      <c r="Q424">
        <v>65</v>
      </c>
      <c r="R424" s="296">
        <v>1E-4</v>
      </c>
      <c r="S424" s="296">
        <v>0.91549999999999998</v>
      </c>
      <c r="T424" s="297">
        <v>2104</v>
      </c>
      <c r="U424" s="340">
        <v>101573</v>
      </c>
      <c r="V424" s="340">
        <v>283859</v>
      </c>
      <c r="W424" s="297">
        <v>5443</v>
      </c>
      <c r="X424" s="296">
        <v>-3.0000000000000001E-3</v>
      </c>
    </row>
    <row r="425" spans="13:24">
      <c r="M425">
        <v>423</v>
      </c>
      <c r="N425">
        <v>53177</v>
      </c>
      <c r="O425" t="s">
        <v>1069</v>
      </c>
      <c r="P425" t="s">
        <v>149</v>
      </c>
      <c r="Q425">
        <v>38</v>
      </c>
      <c r="R425" s="296">
        <v>1E-4</v>
      </c>
      <c r="S425" s="296">
        <v>0.91559999999999997</v>
      </c>
      <c r="T425" s="297">
        <v>3087</v>
      </c>
      <c r="U425" s="340">
        <v>99600</v>
      </c>
      <c r="V425" s="340">
        <v>379494</v>
      </c>
      <c r="W425" s="297">
        <v>9220</v>
      </c>
      <c r="X425" s="296">
        <v>3.0000000000000001E-3</v>
      </c>
    </row>
    <row r="426" spans="13:24">
      <c r="M426">
        <v>424</v>
      </c>
      <c r="N426">
        <v>53222</v>
      </c>
      <c r="O426" t="s">
        <v>463</v>
      </c>
      <c r="P426" t="s">
        <v>149</v>
      </c>
      <c r="Q426">
        <v>66</v>
      </c>
      <c r="R426" s="296">
        <v>1E-4</v>
      </c>
      <c r="S426" s="296">
        <v>0.91579999999999995</v>
      </c>
      <c r="T426" s="297">
        <v>10800</v>
      </c>
      <c r="U426" s="340">
        <v>95558</v>
      </c>
      <c r="V426" s="340">
        <v>250028</v>
      </c>
      <c r="W426" s="297">
        <v>24523</v>
      </c>
      <c r="X426" s="296">
        <v>-5.0000000000000001E-3</v>
      </c>
    </row>
    <row r="427" spans="13:24">
      <c r="M427">
        <v>425</v>
      </c>
      <c r="N427">
        <v>60473</v>
      </c>
      <c r="O427" t="s">
        <v>1070</v>
      </c>
      <c r="P427" t="s">
        <v>131</v>
      </c>
      <c r="Q427">
        <v>39</v>
      </c>
      <c r="R427" s="296">
        <v>1E-4</v>
      </c>
      <c r="S427" s="296">
        <v>0.91590000000000005</v>
      </c>
      <c r="T427" s="297">
        <v>7949</v>
      </c>
      <c r="U427" s="340">
        <v>94094</v>
      </c>
      <c r="V427" s="340">
        <v>218225</v>
      </c>
      <c r="W427" s="297">
        <v>21529</v>
      </c>
      <c r="X427" s="296">
        <v>-1.0999999999999999E-2</v>
      </c>
    </row>
    <row r="428" spans="13:24">
      <c r="M428">
        <v>426</v>
      </c>
      <c r="N428">
        <v>60429</v>
      </c>
      <c r="O428" t="s">
        <v>1071</v>
      </c>
      <c r="P428" t="s">
        <v>131</v>
      </c>
      <c r="Q428">
        <v>40</v>
      </c>
      <c r="R428" s="296">
        <v>1E-4</v>
      </c>
      <c r="S428" s="296">
        <v>0.91600000000000004</v>
      </c>
      <c r="T428" s="297">
        <v>5241</v>
      </c>
      <c r="U428" s="340">
        <v>94065</v>
      </c>
      <c r="V428" s="340">
        <v>217942</v>
      </c>
      <c r="W428" s="297">
        <v>14162</v>
      </c>
      <c r="X428" s="296">
        <v>-5.0000000000000001E-3</v>
      </c>
    </row>
    <row r="429" spans="13:24">
      <c r="M429">
        <v>427</v>
      </c>
      <c r="N429">
        <v>53545</v>
      </c>
      <c r="O429" t="s">
        <v>1072</v>
      </c>
      <c r="P429" t="s">
        <v>149</v>
      </c>
      <c r="Q429">
        <v>76</v>
      </c>
      <c r="R429" s="296">
        <v>1E-4</v>
      </c>
      <c r="S429" s="296">
        <v>0.91610000000000003</v>
      </c>
      <c r="T429" s="297">
        <v>10340</v>
      </c>
      <c r="U429" s="340">
        <v>88455</v>
      </c>
      <c r="V429" s="340">
        <v>272927</v>
      </c>
      <c r="W429" s="297">
        <v>23781</v>
      </c>
      <c r="X429" s="296">
        <v>3.0000000000000001E-3</v>
      </c>
    </row>
    <row r="430" spans="13:24">
      <c r="M430">
        <v>428</v>
      </c>
      <c r="N430">
        <v>60432</v>
      </c>
      <c r="O430" t="s">
        <v>941</v>
      </c>
      <c r="P430" t="s">
        <v>131</v>
      </c>
      <c r="Q430">
        <v>44</v>
      </c>
      <c r="R430" s="296">
        <v>1E-4</v>
      </c>
      <c r="S430" s="296">
        <v>0.9163</v>
      </c>
      <c r="T430" s="297">
        <v>6207</v>
      </c>
      <c r="U430" s="340">
        <v>80422</v>
      </c>
      <c r="V430" s="340">
        <v>233119</v>
      </c>
      <c r="W430" s="297">
        <v>19039</v>
      </c>
      <c r="X430" s="296">
        <v>-8.9999999999999993E-3</v>
      </c>
    </row>
    <row r="431" spans="13:24">
      <c r="M431">
        <v>429</v>
      </c>
      <c r="N431">
        <v>55414</v>
      </c>
      <c r="O431" t="s">
        <v>576</v>
      </c>
      <c r="P431" t="s">
        <v>151</v>
      </c>
      <c r="Q431">
        <v>335</v>
      </c>
      <c r="R431" s="296">
        <v>1E-4</v>
      </c>
      <c r="S431" s="296">
        <v>0.91639999999999999</v>
      </c>
      <c r="T431" s="297">
        <v>15765</v>
      </c>
      <c r="U431" s="340">
        <v>78921</v>
      </c>
      <c r="V431" s="340">
        <v>630818</v>
      </c>
      <c r="W431" s="297">
        <v>36613</v>
      </c>
      <c r="X431" s="296">
        <v>3.0000000000000001E-3</v>
      </c>
    </row>
    <row r="432" spans="13:24">
      <c r="M432">
        <v>430</v>
      </c>
      <c r="N432">
        <v>61201</v>
      </c>
      <c r="O432" t="s">
        <v>1073</v>
      </c>
      <c r="P432" t="s">
        <v>131</v>
      </c>
      <c r="Q432">
        <v>150</v>
      </c>
      <c r="R432" s="296">
        <v>1E-4</v>
      </c>
      <c r="S432" s="296">
        <v>0.91649999999999998</v>
      </c>
      <c r="T432" s="297">
        <v>15145</v>
      </c>
      <c r="U432" s="340">
        <v>75152</v>
      </c>
      <c r="V432" s="340">
        <v>152325</v>
      </c>
      <c r="W432" s="297">
        <v>36607</v>
      </c>
      <c r="X432" s="296">
        <v>-6.0000000000000001E-3</v>
      </c>
    </row>
    <row r="433" spans="13:24">
      <c r="M433">
        <v>431</v>
      </c>
      <c r="N433">
        <v>46324</v>
      </c>
      <c r="O433" t="s">
        <v>995</v>
      </c>
      <c r="P433" t="s">
        <v>144</v>
      </c>
      <c r="Q433">
        <v>42</v>
      </c>
      <c r="R433" s="296">
        <v>1E-4</v>
      </c>
      <c r="S433" s="296">
        <v>0.91659999999999997</v>
      </c>
      <c r="T433" s="297">
        <v>8536</v>
      </c>
      <c r="U433" s="340">
        <v>73362</v>
      </c>
      <c r="V433" s="340">
        <v>200509</v>
      </c>
      <c r="W433" s="297">
        <v>21949</v>
      </c>
      <c r="X433" s="296">
        <v>-7.0000000000000001E-3</v>
      </c>
    </row>
    <row r="434" spans="13:24">
      <c r="M434">
        <v>432</v>
      </c>
      <c r="N434">
        <v>53215</v>
      </c>
      <c r="O434" t="s">
        <v>463</v>
      </c>
      <c r="P434" t="s">
        <v>149</v>
      </c>
      <c r="Q434">
        <v>59</v>
      </c>
      <c r="R434" s="296">
        <v>1E-4</v>
      </c>
      <c r="S434" s="296">
        <v>0.91679999999999995</v>
      </c>
      <c r="T434" s="297">
        <v>18997</v>
      </c>
      <c r="U434" s="340">
        <v>69624</v>
      </c>
      <c r="V434" s="340">
        <v>224206</v>
      </c>
      <c r="W434" s="297">
        <v>57560</v>
      </c>
      <c r="X434" s="296">
        <v>-4.0000000000000001E-3</v>
      </c>
    </row>
    <row r="435" spans="13:24">
      <c r="M435">
        <v>433</v>
      </c>
      <c r="N435">
        <v>60426</v>
      </c>
      <c r="O435" t="s">
        <v>1074</v>
      </c>
      <c r="P435" t="s">
        <v>131</v>
      </c>
      <c r="Q435">
        <v>38</v>
      </c>
      <c r="R435" s="296">
        <v>1E-4</v>
      </c>
      <c r="S435" s="296">
        <v>0.91690000000000005</v>
      </c>
      <c r="T435" s="297">
        <v>8514</v>
      </c>
      <c r="U435" s="340">
        <v>66370</v>
      </c>
      <c r="V435" s="340">
        <v>149526</v>
      </c>
      <c r="W435" s="297">
        <v>22661</v>
      </c>
      <c r="X435" s="296">
        <v>-1.4999999999999999E-2</v>
      </c>
    </row>
    <row r="436" spans="13:24">
      <c r="M436">
        <v>434</v>
      </c>
      <c r="N436">
        <v>53218</v>
      </c>
      <c r="O436" t="s">
        <v>463</v>
      </c>
      <c r="P436" t="s">
        <v>149</v>
      </c>
      <c r="Q436">
        <v>67</v>
      </c>
      <c r="R436" s="296">
        <v>1E-4</v>
      </c>
      <c r="S436" s="296">
        <v>0.91700000000000004</v>
      </c>
      <c r="T436" s="297">
        <v>13566</v>
      </c>
      <c r="U436" s="340">
        <v>60253</v>
      </c>
      <c r="V436" s="340">
        <v>198725</v>
      </c>
      <c r="W436" s="297">
        <v>37586</v>
      </c>
      <c r="X436" s="296">
        <v>-7.0000000000000001E-3</v>
      </c>
    </row>
    <row r="437" spans="13:24">
      <c r="M437">
        <v>435</v>
      </c>
      <c r="N437">
        <v>44139</v>
      </c>
      <c r="O437" t="s">
        <v>1075</v>
      </c>
      <c r="P437" t="s">
        <v>136</v>
      </c>
      <c r="Q437">
        <v>331</v>
      </c>
      <c r="R437" s="296">
        <v>1E-4</v>
      </c>
      <c r="S437" s="296">
        <v>0.91710000000000003</v>
      </c>
      <c r="T437" s="297">
        <v>9057</v>
      </c>
      <c r="U437" s="340">
        <v>195129</v>
      </c>
      <c r="V437" s="340">
        <v>426656</v>
      </c>
      <c r="W437" s="297">
        <v>24917</v>
      </c>
      <c r="X437" s="296">
        <v>-3.0000000000000001E-3</v>
      </c>
    </row>
    <row r="438" spans="13:24">
      <c r="M438">
        <v>436</v>
      </c>
      <c r="N438">
        <v>33418</v>
      </c>
      <c r="O438" t="s">
        <v>562</v>
      </c>
      <c r="P438" t="s">
        <v>127</v>
      </c>
      <c r="Q438">
        <v>1141</v>
      </c>
      <c r="R438" s="296">
        <v>1E-4</v>
      </c>
      <c r="S438" s="296">
        <v>0.91720000000000002</v>
      </c>
      <c r="T438" s="297">
        <v>20800</v>
      </c>
      <c r="U438" s="340">
        <v>184758</v>
      </c>
      <c r="V438" s="340">
        <v>839779</v>
      </c>
      <c r="W438" s="297">
        <v>45926</v>
      </c>
      <c r="X438" s="296">
        <v>1.2E-2</v>
      </c>
    </row>
    <row r="439" spans="13:24">
      <c r="M439">
        <v>437</v>
      </c>
      <c r="N439">
        <v>53597</v>
      </c>
      <c r="O439" t="s">
        <v>1076</v>
      </c>
      <c r="P439" t="s">
        <v>149</v>
      </c>
      <c r="Q439">
        <v>111</v>
      </c>
      <c r="R439" s="296">
        <v>1E-4</v>
      </c>
      <c r="S439" s="296">
        <v>0.9173</v>
      </c>
      <c r="T439" s="297">
        <v>8212</v>
      </c>
      <c r="U439" s="340">
        <v>168059</v>
      </c>
      <c r="V439" s="340">
        <v>551596</v>
      </c>
      <c r="W439" s="297">
        <v>21724</v>
      </c>
      <c r="X439" s="296">
        <v>1.2E-2</v>
      </c>
    </row>
    <row r="440" spans="13:24">
      <c r="M440">
        <v>438</v>
      </c>
      <c r="N440">
        <v>32259</v>
      </c>
      <c r="O440" t="s">
        <v>545</v>
      </c>
      <c r="P440" t="s">
        <v>127</v>
      </c>
      <c r="Q440">
        <v>903</v>
      </c>
      <c r="R440" s="296">
        <v>1E-4</v>
      </c>
      <c r="S440" s="296">
        <v>0.91739999999999999</v>
      </c>
      <c r="T440" s="297">
        <v>24772</v>
      </c>
      <c r="U440" s="340">
        <v>167292</v>
      </c>
      <c r="V440" s="340">
        <v>624271</v>
      </c>
      <c r="W440" s="297">
        <v>76334</v>
      </c>
      <c r="X440" s="296">
        <v>5.0999999999999997E-2</v>
      </c>
    </row>
    <row r="441" spans="13:24">
      <c r="M441">
        <v>439</v>
      </c>
      <c r="N441">
        <v>60480</v>
      </c>
      <c r="O441" t="s">
        <v>1077</v>
      </c>
      <c r="P441" t="s">
        <v>131</v>
      </c>
      <c r="Q441">
        <v>30</v>
      </c>
      <c r="R441" s="296">
        <v>1E-4</v>
      </c>
      <c r="S441" s="296">
        <v>0.91759999999999997</v>
      </c>
      <c r="T441" s="297">
        <v>2211</v>
      </c>
      <c r="U441" s="340">
        <v>160655</v>
      </c>
      <c r="V441" s="340">
        <v>489024</v>
      </c>
      <c r="W441" s="297">
        <v>5118</v>
      </c>
      <c r="X441" s="296">
        <v>-8.0000000000000002E-3</v>
      </c>
    </row>
    <row r="442" spans="13:24">
      <c r="M442">
        <v>440</v>
      </c>
      <c r="N442">
        <v>46845</v>
      </c>
      <c r="O442" t="s">
        <v>1078</v>
      </c>
      <c r="P442" t="s">
        <v>144</v>
      </c>
      <c r="Q442">
        <v>153</v>
      </c>
      <c r="R442" s="296">
        <v>1E-4</v>
      </c>
      <c r="S442" s="296">
        <v>0.91769999999999996</v>
      </c>
      <c r="T442" s="297">
        <v>11313</v>
      </c>
      <c r="U442" s="340">
        <v>152803</v>
      </c>
      <c r="V442" s="340">
        <v>327735</v>
      </c>
      <c r="W442" s="297">
        <v>31444</v>
      </c>
      <c r="X442" s="296">
        <v>2.4E-2</v>
      </c>
    </row>
    <row r="443" spans="13:24">
      <c r="M443">
        <v>441</v>
      </c>
      <c r="N443">
        <v>53711</v>
      </c>
      <c r="O443" t="s">
        <v>823</v>
      </c>
      <c r="P443" t="s">
        <v>149</v>
      </c>
      <c r="Q443">
        <v>105</v>
      </c>
      <c r="R443" s="296">
        <v>1E-4</v>
      </c>
      <c r="S443" s="296">
        <v>0.91779999999999995</v>
      </c>
      <c r="T443" s="297">
        <v>22613</v>
      </c>
      <c r="U443" s="340">
        <v>145215</v>
      </c>
      <c r="V443" s="340">
        <v>491412</v>
      </c>
      <c r="W443" s="297">
        <v>52913</v>
      </c>
      <c r="X443" s="296">
        <v>0.01</v>
      </c>
    </row>
    <row r="444" spans="13:24">
      <c r="M444">
        <v>442</v>
      </c>
      <c r="N444">
        <v>53089</v>
      </c>
      <c r="O444" t="s">
        <v>685</v>
      </c>
      <c r="P444" t="s">
        <v>149</v>
      </c>
      <c r="Q444">
        <v>73</v>
      </c>
      <c r="R444" s="296">
        <v>1E-4</v>
      </c>
      <c r="S444" s="296">
        <v>0.91790000000000005</v>
      </c>
      <c r="T444" s="297">
        <v>8037</v>
      </c>
      <c r="U444" s="340">
        <v>139410</v>
      </c>
      <c r="V444" s="340">
        <v>438664</v>
      </c>
      <c r="W444" s="297">
        <v>20547</v>
      </c>
      <c r="X444" s="296">
        <v>0.01</v>
      </c>
    </row>
    <row r="445" spans="13:24">
      <c r="M445">
        <v>443</v>
      </c>
      <c r="N445">
        <v>33428</v>
      </c>
      <c r="O445" t="s">
        <v>502</v>
      </c>
      <c r="P445" t="s">
        <v>127</v>
      </c>
      <c r="Q445">
        <v>1173</v>
      </c>
      <c r="R445" s="296">
        <v>1E-4</v>
      </c>
      <c r="S445" s="296">
        <v>0.91800000000000004</v>
      </c>
      <c r="T445" s="297">
        <v>16540</v>
      </c>
      <c r="U445" s="340">
        <v>133180</v>
      </c>
      <c r="V445" s="340">
        <v>524589</v>
      </c>
      <c r="W445" s="297">
        <v>45482</v>
      </c>
      <c r="X445" s="296">
        <v>1.4999999999999999E-2</v>
      </c>
    </row>
    <row r="446" spans="13:24">
      <c r="M446">
        <v>444</v>
      </c>
      <c r="N446">
        <v>61822</v>
      </c>
      <c r="O446" t="s">
        <v>935</v>
      </c>
      <c r="P446" t="s">
        <v>131</v>
      </c>
      <c r="Q446">
        <v>142</v>
      </c>
      <c r="R446" s="296">
        <v>1E-4</v>
      </c>
      <c r="S446" s="296">
        <v>0.91810000000000003</v>
      </c>
      <c r="T446" s="297">
        <v>10389</v>
      </c>
      <c r="U446" s="340">
        <v>131089</v>
      </c>
      <c r="V446" s="340">
        <v>321284</v>
      </c>
      <c r="W446" s="297">
        <v>25072</v>
      </c>
      <c r="X446" s="296">
        <v>3.0000000000000001E-3</v>
      </c>
    </row>
    <row r="447" spans="13:24">
      <c r="M447">
        <v>445</v>
      </c>
      <c r="N447">
        <v>1257</v>
      </c>
      <c r="O447" t="s">
        <v>1079</v>
      </c>
      <c r="P447" t="s">
        <v>135</v>
      </c>
      <c r="Q447">
        <v>738</v>
      </c>
      <c r="R447" s="296">
        <v>1E-4</v>
      </c>
      <c r="S447" s="296">
        <v>0.91820000000000002</v>
      </c>
      <c r="T447" s="297">
        <v>1062</v>
      </c>
      <c r="U447" s="340">
        <v>130578</v>
      </c>
      <c r="V447" s="340">
        <v>619320</v>
      </c>
      <c r="W447" s="297">
        <v>2274</v>
      </c>
      <c r="X447" s="296">
        <v>0</v>
      </c>
    </row>
    <row r="448" spans="13:24">
      <c r="M448">
        <v>446</v>
      </c>
      <c r="N448">
        <v>70118</v>
      </c>
      <c r="O448" t="s">
        <v>574</v>
      </c>
      <c r="P448" t="s">
        <v>147</v>
      </c>
      <c r="Q448">
        <v>853</v>
      </c>
      <c r="R448" s="296">
        <v>1E-4</v>
      </c>
      <c r="S448" s="296">
        <v>0.91830000000000001</v>
      </c>
      <c r="T448" s="297">
        <v>13521</v>
      </c>
      <c r="U448" s="340">
        <v>114612</v>
      </c>
      <c r="V448" s="340">
        <v>586743</v>
      </c>
      <c r="W448" s="297">
        <v>34322</v>
      </c>
      <c r="X448" s="296">
        <v>-6.0000000000000001E-3</v>
      </c>
    </row>
    <row r="449" spans="13:24">
      <c r="M449">
        <v>447</v>
      </c>
      <c r="N449">
        <v>55108</v>
      </c>
      <c r="O449" t="s">
        <v>445</v>
      </c>
      <c r="P449" t="s">
        <v>151</v>
      </c>
      <c r="Q449">
        <v>333</v>
      </c>
      <c r="R449" s="296">
        <v>1E-4</v>
      </c>
      <c r="S449" s="296">
        <v>0.91849999999999998</v>
      </c>
      <c r="T449" s="297">
        <v>6753</v>
      </c>
      <c r="U449" s="340">
        <v>111606</v>
      </c>
      <c r="V449" s="340">
        <v>435717</v>
      </c>
      <c r="W449" s="297">
        <v>15289</v>
      </c>
      <c r="X449" s="296">
        <v>2E-3</v>
      </c>
    </row>
    <row r="450" spans="13:24">
      <c r="M450">
        <v>448</v>
      </c>
      <c r="N450">
        <v>46217</v>
      </c>
      <c r="O450" t="s">
        <v>561</v>
      </c>
      <c r="P450" t="s">
        <v>144</v>
      </c>
      <c r="Q450">
        <v>190</v>
      </c>
      <c r="R450" s="296">
        <v>1E-4</v>
      </c>
      <c r="S450" s="296">
        <v>0.91859999999999997</v>
      </c>
      <c r="T450" s="297">
        <v>12727</v>
      </c>
      <c r="U450" s="340">
        <v>106086</v>
      </c>
      <c r="V450" s="340">
        <v>270054</v>
      </c>
      <c r="W450" s="297">
        <v>34441</v>
      </c>
      <c r="X450" s="296">
        <v>-2E-3</v>
      </c>
    </row>
    <row r="451" spans="13:24">
      <c r="M451">
        <v>449</v>
      </c>
      <c r="N451">
        <v>60520</v>
      </c>
      <c r="O451" t="s">
        <v>1080</v>
      </c>
      <c r="P451" t="s">
        <v>131</v>
      </c>
      <c r="Q451">
        <v>51</v>
      </c>
      <c r="R451" s="296">
        <v>1E-4</v>
      </c>
      <c r="S451" s="296">
        <v>0.91869999999999996</v>
      </c>
      <c r="T451" s="297">
        <v>1065</v>
      </c>
      <c r="U451" s="340">
        <v>104811</v>
      </c>
      <c r="V451" s="340">
        <v>326241</v>
      </c>
      <c r="W451" s="297">
        <v>2730</v>
      </c>
      <c r="X451" s="296">
        <v>-6.0000000000000001E-3</v>
      </c>
    </row>
    <row r="452" spans="13:24">
      <c r="M452">
        <v>450</v>
      </c>
      <c r="N452">
        <v>53115</v>
      </c>
      <c r="O452" t="s">
        <v>1081</v>
      </c>
      <c r="P452" t="s">
        <v>149</v>
      </c>
      <c r="Q452">
        <v>57</v>
      </c>
      <c r="R452" s="296">
        <v>1E-4</v>
      </c>
      <c r="S452" s="296">
        <v>0.91879999999999995</v>
      </c>
      <c r="T452" s="297">
        <v>6468</v>
      </c>
      <c r="U452" s="340">
        <v>95647</v>
      </c>
      <c r="V452" s="340">
        <v>372261</v>
      </c>
      <c r="W452" s="297">
        <v>15509</v>
      </c>
      <c r="X452" s="296">
        <v>0</v>
      </c>
    </row>
    <row r="453" spans="13:24">
      <c r="M453">
        <v>451</v>
      </c>
      <c r="N453">
        <v>54235</v>
      </c>
      <c r="O453" t="s">
        <v>1082</v>
      </c>
      <c r="P453" t="s">
        <v>149</v>
      </c>
      <c r="Q453">
        <v>187</v>
      </c>
      <c r="R453" s="296">
        <v>1E-4</v>
      </c>
      <c r="S453" s="296">
        <v>0.91890000000000005</v>
      </c>
      <c r="T453" s="297">
        <v>8729</v>
      </c>
      <c r="U453" s="340">
        <v>94413</v>
      </c>
      <c r="V453" s="340">
        <v>408035</v>
      </c>
      <c r="W453" s="297">
        <v>18445</v>
      </c>
      <c r="X453" s="296">
        <v>8.0000000000000002E-3</v>
      </c>
    </row>
    <row r="454" spans="13:24">
      <c r="M454">
        <v>452</v>
      </c>
      <c r="N454">
        <v>61350</v>
      </c>
      <c r="O454" t="s">
        <v>1083</v>
      </c>
      <c r="P454" t="s">
        <v>131</v>
      </c>
      <c r="Q454">
        <v>77</v>
      </c>
      <c r="R454" s="296">
        <v>1E-4</v>
      </c>
      <c r="S454" s="296">
        <v>0.91900000000000004</v>
      </c>
      <c r="T454" s="297">
        <v>10257</v>
      </c>
      <c r="U454" s="340">
        <v>90715</v>
      </c>
      <c r="V454" s="340">
        <v>217062</v>
      </c>
      <c r="W454" s="297">
        <v>23744</v>
      </c>
      <c r="X454" s="296">
        <v>-3.0000000000000001E-3</v>
      </c>
    </row>
    <row r="455" spans="13:24">
      <c r="M455">
        <v>453</v>
      </c>
      <c r="N455">
        <v>65721</v>
      </c>
      <c r="O455" t="s">
        <v>1084</v>
      </c>
      <c r="P455" t="s">
        <v>186</v>
      </c>
      <c r="Q455">
        <v>457</v>
      </c>
      <c r="R455" s="296">
        <v>1E-4</v>
      </c>
      <c r="S455" s="296">
        <v>0.91910000000000003</v>
      </c>
      <c r="T455" s="297">
        <v>13060</v>
      </c>
      <c r="U455" s="340">
        <v>89007</v>
      </c>
      <c r="V455" s="340">
        <v>348406</v>
      </c>
      <c r="W455" s="297">
        <v>35015</v>
      </c>
      <c r="X455" s="296">
        <v>1.6E-2</v>
      </c>
    </row>
    <row r="456" spans="13:24">
      <c r="M456">
        <v>454</v>
      </c>
      <c r="N456">
        <v>85206</v>
      </c>
      <c r="O456" t="s">
        <v>1085</v>
      </c>
      <c r="P456" t="s">
        <v>158</v>
      </c>
      <c r="Q456">
        <v>1433</v>
      </c>
      <c r="R456" s="296">
        <v>1E-4</v>
      </c>
      <c r="S456" s="296">
        <v>0.91920000000000002</v>
      </c>
      <c r="T456" s="297">
        <v>16730</v>
      </c>
      <c r="U456" s="340">
        <v>86376</v>
      </c>
      <c r="V456" s="340">
        <v>408450</v>
      </c>
      <c r="W456" s="297">
        <v>37350</v>
      </c>
      <c r="X456" s="296">
        <v>2E-3</v>
      </c>
    </row>
    <row r="457" spans="13:24">
      <c r="M457">
        <v>455</v>
      </c>
      <c r="N457">
        <v>45056</v>
      </c>
      <c r="O457" t="s">
        <v>572</v>
      </c>
      <c r="P457" t="s">
        <v>136</v>
      </c>
      <c r="Q457">
        <v>243</v>
      </c>
      <c r="R457" s="296">
        <v>1E-4</v>
      </c>
      <c r="S457" s="296">
        <v>0.9194</v>
      </c>
      <c r="T457" s="297">
        <v>8713</v>
      </c>
      <c r="U457" s="340">
        <v>79456</v>
      </c>
      <c r="V457" s="340">
        <v>377322</v>
      </c>
      <c r="W457" s="297">
        <v>26691</v>
      </c>
      <c r="X457" s="296">
        <v>-1.9E-2</v>
      </c>
    </row>
    <row r="458" spans="13:24">
      <c r="M458">
        <v>456</v>
      </c>
      <c r="N458">
        <v>43201</v>
      </c>
      <c r="O458" t="s">
        <v>468</v>
      </c>
      <c r="P458" t="s">
        <v>136</v>
      </c>
      <c r="Q458">
        <v>290</v>
      </c>
      <c r="R458" s="296">
        <v>1E-4</v>
      </c>
      <c r="S458" s="296">
        <v>0.91949999999999998</v>
      </c>
      <c r="T458" s="297">
        <v>18031</v>
      </c>
      <c r="U458" s="340">
        <v>75358</v>
      </c>
      <c r="V458" s="340">
        <v>438271</v>
      </c>
      <c r="W458" s="297">
        <v>39360</v>
      </c>
      <c r="X458" s="296">
        <v>0.01</v>
      </c>
    </row>
    <row r="459" spans="13:24">
      <c r="M459">
        <v>457</v>
      </c>
      <c r="N459">
        <v>60475</v>
      </c>
      <c r="O459" t="s">
        <v>1086</v>
      </c>
      <c r="P459" t="s">
        <v>131</v>
      </c>
      <c r="Q459">
        <v>48</v>
      </c>
      <c r="R459" s="296">
        <v>1E-4</v>
      </c>
      <c r="S459" s="296">
        <v>0.91959999999999997</v>
      </c>
      <c r="T459" s="297">
        <v>4098</v>
      </c>
      <c r="U459" s="340">
        <v>71134</v>
      </c>
      <c r="V459" s="340">
        <v>224332</v>
      </c>
      <c r="W459" s="297">
        <v>9809</v>
      </c>
      <c r="X459" s="296">
        <v>-8.0000000000000002E-3</v>
      </c>
    </row>
    <row r="460" spans="13:24">
      <c r="M460">
        <v>458</v>
      </c>
      <c r="N460">
        <v>65802</v>
      </c>
      <c r="O460" t="s">
        <v>515</v>
      </c>
      <c r="P460" t="s">
        <v>186</v>
      </c>
      <c r="Q460">
        <v>449</v>
      </c>
      <c r="R460" s="296">
        <v>1E-4</v>
      </c>
      <c r="S460" s="296">
        <v>0.91969999999999996</v>
      </c>
      <c r="T460" s="297">
        <v>19924</v>
      </c>
      <c r="U460" s="340">
        <v>64840</v>
      </c>
      <c r="V460" s="340">
        <v>232172</v>
      </c>
      <c r="W460" s="297">
        <v>49997</v>
      </c>
      <c r="X460" s="296">
        <v>8.9999999999999993E-3</v>
      </c>
    </row>
    <row r="461" spans="13:24">
      <c r="M461">
        <v>459</v>
      </c>
      <c r="N461">
        <v>77401</v>
      </c>
      <c r="O461" t="s">
        <v>1087</v>
      </c>
      <c r="P461" t="s">
        <v>134</v>
      </c>
      <c r="Q461">
        <v>960</v>
      </c>
      <c r="R461" s="296">
        <v>1E-4</v>
      </c>
      <c r="S461" s="296">
        <v>0.91979999999999995</v>
      </c>
      <c r="T461" s="297">
        <v>5774</v>
      </c>
      <c r="U461" s="340">
        <v>268463</v>
      </c>
      <c r="V461" s="340">
        <v>955285</v>
      </c>
      <c r="W461" s="297">
        <v>16930</v>
      </c>
      <c r="X461" s="296">
        <v>-3.0000000000000001E-3</v>
      </c>
    </row>
    <row r="462" spans="13:24">
      <c r="M462">
        <v>460</v>
      </c>
      <c r="N462">
        <v>80134</v>
      </c>
      <c r="O462" t="s">
        <v>1088</v>
      </c>
      <c r="P462" t="s">
        <v>142</v>
      </c>
      <c r="Q462">
        <v>909</v>
      </c>
      <c r="R462" s="296">
        <v>1E-4</v>
      </c>
      <c r="S462" s="296">
        <v>0.91990000000000005</v>
      </c>
      <c r="T462" s="297">
        <v>31079</v>
      </c>
      <c r="U462" s="340">
        <v>177079</v>
      </c>
      <c r="V462" s="340">
        <v>714658</v>
      </c>
      <c r="W462" s="297">
        <v>87074</v>
      </c>
      <c r="X462" s="296">
        <v>0.03</v>
      </c>
    </row>
    <row r="463" spans="13:24">
      <c r="M463">
        <v>461</v>
      </c>
      <c r="N463">
        <v>48130</v>
      </c>
      <c r="O463" t="s">
        <v>1089</v>
      </c>
      <c r="P463" t="s">
        <v>140</v>
      </c>
      <c r="Q463">
        <v>199</v>
      </c>
      <c r="R463" s="296">
        <v>1E-4</v>
      </c>
      <c r="S463" s="296">
        <v>0.92</v>
      </c>
      <c r="T463" s="297">
        <v>5932</v>
      </c>
      <c r="U463" s="340">
        <v>168383</v>
      </c>
      <c r="V463" s="340">
        <v>512657</v>
      </c>
      <c r="W463" s="297">
        <v>16160</v>
      </c>
      <c r="X463" s="296">
        <v>-1E-3</v>
      </c>
    </row>
    <row r="464" spans="13:24">
      <c r="M464">
        <v>462</v>
      </c>
      <c r="N464">
        <v>55416</v>
      </c>
      <c r="O464" t="s">
        <v>576</v>
      </c>
      <c r="P464" t="s">
        <v>151</v>
      </c>
      <c r="Q464">
        <v>339</v>
      </c>
      <c r="R464" s="296">
        <v>1E-4</v>
      </c>
      <c r="S464" s="296">
        <v>0.92010000000000003</v>
      </c>
      <c r="T464" s="297">
        <v>18060</v>
      </c>
      <c r="U464" s="340">
        <v>157361</v>
      </c>
      <c r="V464" s="340">
        <v>565397</v>
      </c>
      <c r="W464" s="297">
        <v>34615</v>
      </c>
      <c r="X464" s="296">
        <v>7.0000000000000001E-3</v>
      </c>
    </row>
    <row r="465" spans="13:24">
      <c r="M465">
        <v>463</v>
      </c>
      <c r="N465">
        <v>89052</v>
      </c>
      <c r="O465" t="s">
        <v>1090</v>
      </c>
      <c r="P465" t="s">
        <v>148</v>
      </c>
      <c r="Q465">
        <v>1519</v>
      </c>
      <c r="R465" s="296">
        <v>1E-4</v>
      </c>
      <c r="S465" s="296">
        <v>0.92020000000000002</v>
      </c>
      <c r="T465" s="297">
        <v>27060</v>
      </c>
      <c r="U465" s="340">
        <v>143515</v>
      </c>
      <c r="V465" s="340">
        <v>620062</v>
      </c>
      <c r="W465" s="297">
        <v>64771</v>
      </c>
      <c r="X465" s="296">
        <v>2.3E-2</v>
      </c>
    </row>
    <row r="466" spans="13:24">
      <c r="M466">
        <v>464</v>
      </c>
      <c r="N466">
        <v>72712</v>
      </c>
      <c r="O466" t="s">
        <v>686</v>
      </c>
      <c r="P466" t="s">
        <v>156</v>
      </c>
      <c r="Q466">
        <v>529</v>
      </c>
      <c r="R466" s="296">
        <v>1E-4</v>
      </c>
      <c r="S466" s="296">
        <v>0.92030000000000001</v>
      </c>
      <c r="T466" s="297">
        <v>15627</v>
      </c>
      <c r="U466" s="340">
        <v>135859</v>
      </c>
      <c r="V466" s="340">
        <v>491729</v>
      </c>
      <c r="W466" s="297">
        <v>41461</v>
      </c>
      <c r="X466" s="296">
        <v>1.9E-2</v>
      </c>
    </row>
    <row r="467" spans="13:24">
      <c r="M467">
        <v>465</v>
      </c>
      <c r="N467">
        <v>62269</v>
      </c>
      <c r="O467" t="s">
        <v>1091</v>
      </c>
      <c r="P467" t="s">
        <v>131</v>
      </c>
      <c r="Q467">
        <v>271</v>
      </c>
      <c r="R467" s="296">
        <v>1E-4</v>
      </c>
      <c r="S467" s="296">
        <v>0.9204</v>
      </c>
      <c r="T467" s="297">
        <v>14091</v>
      </c>
      <c r="U467" s="340">
        <v>135553</v>
      </c>
      <c r="V467" s="340">
        <v>304993</v>
      </c>
      <c r="W467" s="297">
        <v>34963</v>
      </c>
      <c r="X467" s="296">
        <v>-4.0000000000000001E-3</v>
      </c>
    </row>
    <row r="468" spans="13:24">
      <c r="M468">
        <v>466</v>
      </c>
      <c r="N468">
        <v>53120</v>
      </c>
      <c r="O468" t="s">
        <v>1092</v>
      </c>
      <c r="P468" t="s">
        <v>149</v>
      </c>
      <c r="Q468">
        <v>55</v>
      </c>
      <c r="R468" s="296">
        <v>1E-4</v>
      </c>
      <c r="S468" s="296">
        <v>0.92049999999999998</v>
      </c>
      <c r="T468" s="297">
        <v>4255</v>
      </c>
      <c r="U468" s="340">
        <v>131269</v>
      </c>
      <c r="V468" s="340">
        <v>444049</v>
      </c>
      <c r="W468" s="297">
        <v>10234</v>
      </c>
      <c r="X468" s="296">
        <v>3.0000000000000001E-3</v>
      </c>
    </row>
    <row r="469" spans="13:24">
      <c r="M469">
        <v>467</v>
      </c>
      <c r="N469">
        <v>53184</v>
      </c>
      <c r="O469" t="s">
        <v>1093</v>
      </c>
      <c r="P469" t="s">
        <v>149</v>
      </c>
      <c r="Q469">
        <v>49</v>
      </c>
      <c r="R469" s="296">
        <v>1E-4</v>
      </c>
      <c r="S469" s="296">
        <v>0.92059999999999997</v>
      </c>
      <c r="T469" s="297">
        <v>1731</v>
      </c>
      <c r="U469" s="340">
        <v>127741</v>
      </c>
      <c r="V469" s="340">
        <v>407623</v>
      </c>
      <c r="W469" s="297">
        <v>4266</v>
      </c>
      <c r="X469" s="296">
        <v>3.0000000000000001E-3</v>
      </c>
    </row>
    <row r="470" spans="13:24">
      <c r="M470">
        <v>468</v>
      </c>
      <c r="N470">
        <v>84106</v>
      </c>
      <c r="O470" t="s">
        <v>333</v>
      </c>
      <c r="P470" t="s">
        <v>219</v>
      </c>
      <c r="Q470">
        <v>1247</v>
      </c>
      <c r="R470" s="296">
        <v>1E-4</v>
      </c>
      <c r="S470" s="296">
        <v>0.92069999999999996</v>
      </c>
      <c r="T470" s="297">
        <v>16820</v>
      </c>
      <c r="U470" s="340">
        <v>127323</v>
      </c>
      <c r="V470" s="340">
        <v>628273</v>
      </c>
      <c r="W470" s="297">
        <v>37731</v>
      </c>
      <c r="X470" s="296">
        <v>1.6E-2</v>
      </c>
    </row>
    <row r="471" spans="13:24">
      <c r="M471">
        <v>469</v>
      </c>
      <c r="N471">
        <v>53719</v>
      </c>
      <c r="O471" t="s">
        <v>823</v>
      </c>
      <c r="P471" t="s">
        <v>149</v>
      </c>
      <c r="Q471">
        <v>106</v>
      </c>
      <c r="R471" s="296">
        <v>1E-4</v>
      </c>
      <c r="S471" s="296">
        <v>0.92079999999999995</v>
      </c>
      <c r="T471" s="297">
        <v>15802</v>
      </c>
      <c r="U471" s="340">
        <v>126279</v>
      </c>
      <c r="V471" s="340">
        <v>415508</v>
      </c>
      <c r="W471" s="297">
        <v>34790</v>
      </c>
      <c r="X471" s="296">
        <v>1.4E-2</v>
      </c>
    </row>
    <row r="472" spans="13:24">
      <c r="M472">
        <v>470</v>
      </c>
      <c r="N472">
        <v>60416</v>
      </c>
      <c r="O472" t="s">
        <v>1094</v>
      </c>
      <c r="P472" t="s">
        <v>131</v>
      </c>
      <c r="Q472">
        <v>64</v>
      </c>
      <c r="R472" s="296">
        <v>1E-4</v>
      </c>
      <c r="S472" s="296">
        <v>0.92090000000000005</v>
      </c>
      <c r="T472" s="297">
        <v>3703</v>
      </c>
      <c r="U472" s="340">
        <v>115167</v>
      </c>
      <c r="V472" s="340">
        <v>273853</v>
      </c>
      <c r="W472" s="297">
        <v>9285</v>
      </c>
      <c r="X472" s="296">
        <v>0</v>
      </c>
    </row>
    <row r="473" spans="13:24">
      <c r="M473">
        <v>471</v>
      </c>
      <c r="N473">
        <v>49686</v>
      </c>
      <c r="O473" t="s">
        <v>1095</v>
      </c>
      <c r="P473" t="s">
        <v>140</v>
      </c>
      <c r="Q473">
        <v>211</v>
      </c>
      <c r="R473" s="296">
        <v>1E-4</v>
      </c>
      <c r="S473" s="296">
        <v>0.92100000000000004</v>
      </c>
      <c r="T473" s="297">
        <v>12126</v>
      </c>
      <c r="U473" s="340">
        <v>112974</v>
      </c>
      <c r="V473" s="340">
        <v>498739</v>
      </c>
      <c r="W473" s="297">
        <v>26705</v>
      </c>
      <c r="X473" s="296">
        <v>7.0000000000000001E-3</v>
      </c>
    </row>
    <row r="474" spans="13:24">
      <c r="M474">
        <v>472</v>
      </c>
      <c r="N474">
        <v>46341</v>
      </c>
      <c r="O474" t="s">
        <v>447</v>
      </c>
      <c r="P474" t="s">
        <v>144</v>
      </c>
      <c r="Q474">
        <v>65</v>
      </c>
      <c r="R474" s="296">
        <v>1E-4</v>
      </c>
      <c r="S474" s="296">
        <v>0.92110000000000003</v>
      </c>
      <c r="T474" s="297">
        <v>4071</v>
      </c>
      <c r="U474" s="340">
        <v>109736</v>
      </c>
      <c r="V474" s="340">
        <v>326107</v>
      </c>
      <c r="W474" s="297">
        <v>10537</v>
      </c>
      <c r="X474" s="296">
        <v>1E-3</v>
      </c>
    </row>
    <row r="475" spans="13:24">
      <c r="M475">
        <v>473</v>
      </c>
      <c r="N475">
        <v>13034</v>
      </c>
      <c r="O475" t="s">
        <v>1096</v>
      </c>
      <c r="P475" t="s">
        <v>128</v>
      </c>
      <c r="Q475">
        <v>567</v>
      </c>
      <c r="R475" s="296">
        <v>1E-4</v>
      </c>
      <c r="S475" s="296">
        <v>0.92120000000000002</v>
      </c>
      <c r="T475">
        <v>763</v>
      </c>
      <c r="U475" s="340">
        <v>109568</v>
      </c>
      <c r="V475" s="340">
        <v>374200</v>
      </c>
      <c r="W475" s="297">
        <v>1765</v>
      </c>
      <c r="X475" s="296">
        <v>4.0000000000000001E-3</v>
      </c>
    </row>
    <row r="476" spans="13:24">
      <c r="M476">
        <v>474</v>
      </c>
      <c r="N476">
        <v>30180</v>
      </c>
      <c r="O476" t="s">
        <v>1097</v>
      </c>
      <c r="P476" t="s">
        <v>130</v>
      </c>
      <c r="Q476">
        <v>603</v>
      </c>
      <c r="R476" s="296">
        <v>1E-4</v>
      </c>
      <c r="S476" s="296">
        <v>0.92130000000000001</v>
      </c>
      <c r="T476" s="297">
        <v>15648</v>
      </c>
      <c r="U476" s="340">
        <v>103428</v>
      </c>
      <c r="V476" s="340">
        <v>318216</v>
      </c>
      <c r="W476" s="297">
        <v>43791</v>
      </c>
      <c r="X476" s="296">
        <v>0.02</v>
      </c>
    </row>
    <row r="477" spans="13:24">
      <c r="M477">
        <v>475</v>
      </c>
      <c r="N477">
        <v>34714</v>
      </c>
      <c r="O477" t="s">
        <v>776</v>
      </c>
      <c r="P477" t="s">
        <v>127</v>
      </c>
      <c r="Q477">
        <v>1007</v>
      </c>
      <c r="R477" s="296">
        <v>1E-4</v>
      </c>
      <c r="S477" s="296">
        <v>0.9214</v>
      </c>
      <c r="T477" s="297">
        <v>11835</v>
      </c>
      <c r="U477" s="340">
        <v>95859</v>
      </c>
      <c r="V477" s="340">
        <v>425260</v>
      </c>
      <c r="W477" s="297">
        <v>31908</v>
      </c>
      <c r="X477" s="296">
        <v>5.8000000000000003E-2</v>
      </c>
    </row>
    <row r="478" spans="13:24">
      <c r="M478">
        <v>476</v>
      </c>
      <c r="N478">
        <v>53228</v>
      </c>
      <c r="O478" t="s">
        <v>463</v>
      </c>
      <c r="P478" t="s">
        <v>149</v>
      </c>
      <c r="Q478">
        <v>58</v>
      </c>
      <c r="R478" s="296">
        <v>1E-4</v>
      </c>
      <c r="S478" s="296">
        <v>0.92149999999999999</v>
      </c>
      <c r="T478" s="297">
        <v>6723</v>
      </c>
      <c r="U478" s="340">
        <v>95006</v>
      </c>
      <c r="V478" s="340">
        <v>306978</v>
      </c>
      <c r="W478" s="297">
        <v>14952</v>
      </c>
      <c r="X478" s="296">
        <v>1E-3</v>
      </c>
    </row>
    <row r="479" spans="13:24">
      <c r="M479">
        <v>477</v>
      </c>
      <c r="N479">
        <v>49014</v>
      </c>
      <c r="O479" t="s">
        <v>1098</v>
      </c>
      <c r="P479" t="s">
        <v>140</v>
      </c>
      <c r="Q479">
        <v>138</v>
      </c>
      <c r="R479" s="296">
        <v>1E-4</v>
      </c>
      <c r="S479" s="296">
        <v>0.92159999999999997</v>
      </c>
      <c r="T479" s="297">
        <v>8300</v>
      </c>
      <c r="U479" s="340">
        <v>92795</v>
      </c>
      <c r="V479" s="340">
        <v>223656</v>
      </c>
      <c r="W479" s="297">
        <v>21205</v>
      </c>
      <c r="X479" s="296">
        <v>-3.0000000000000001E-3</v>
      </c>
    </row>
    <row r="480" spans="13:24">
      <c r="M480">
        <v>478</v>
      </c>
      <c r="N480">
        <v>53965</v>
      </c>
      <c r="O480" t="s">
        <v>1099</v>
      </c>
      <c r="P480" t="s">
        <v>149</v>
      </c>
      <c r="Q480">
        <v>145</v>
      </c>
      <c r="R480" s="296">
        <v>1E-4</v>
      </c>
      <c r="S480" s="296">
        <v>0.92169999999999996</v>
      </c>
      <c r="T480" s="297">
        <v>4924</v>
      </c>
      <c r="U480" s="340">
        <v>89422</v>
      </c>
      <c r="V480" s="340">
        <v>318739</v>
      </c>
      <c r="W480" s="297">
        <v>11554</v>
      </c>
      <c r="X480" s="296">
        <v>7.0000000000000001E-3</v>
      </c>
    </row>
    <row r="481" spans="13:24">
      <c r="M481">
        <v>479</v>
      </c>
      <c r="N481">
        <v>50014</v>
      </c>
      <c r="O481" t="s">
        <v>1100</v>
      </c>
      <c r="P481" t="s">
        <v>170</v>
      </c>
      <c r="Q481">
        <v>303</v>
      </c>
      <c r="R481" s="296">
        <v>1E-4</v>
      </c>
      <c r="S481" s="296">
        <v>0.92179999999999995</v>
      </c>
      <c r="T481" s="297">
        <v>13973</v>
      </c>
      <c r="U481" s="340">
        <v>87759</v>
      </c>
      <c r="V481" s="340">
        <v>357960</v>
      </c>
      <c r="W481" s="297">
        <v>33850</v>
      </c>
      <c r="X481" s="296">
        <v>7.0000000000000001E-3</v>
      </c>
    </row>
    <row r="482" spans="13:24">
      <c r="M482">
        <v>480</v>
      </c>
      <c r="N482">
        <v>60471</v>
      </c>
      <c r="O482" t="s">
        <v>1101</v>
      </c>
      <c r="P482" t="s">
        <v>131</v>
      </c>
      <c r="Q482">
        <v>46</v>
      </c>
      <c r="R482" s="296">
        <v>1E-4</v>
      </c>
      <c r="S482" s="296">
        <v>0.92190000000000005</v>
      </c>
      <c r="T482" s="297">
        <v>5035</v>
      </c>
      <c r="U482" s="340">
        <v>87753</v>
      </c>
      <c r="V482" s="340">
        <v>222236</v>
      </c>
      <c r="W482" s="297">
        <v>12249</v>
      </c>
      <c r="X482" s="296">
        <v>-1.0999999999999999E-2</v>
      </c>
    </row>
    <row r="483" spans="13:24">
      <c r="M483">
        <v>481</v>
      </c>
      <c r="N483">
        <v>61085</v>
      </c>
      <c r="O483" t="s">
        <v>306</v>
      </c>
      <c r="P483" t="s">
        <v>131</v>
      </c>
      <c r="Q483">
        <v>115</v>
      </c>
      <c r="R483" s="296">
        <v>1E-4</v>
      </c>
      <c r="S483" s="296">
        <v>0.92200000000000004</v>
      </c>
      <c r="T483" s="297">
        <v>1411</v>
      </c>
      <c r="U483" s="340">
        <v>81924</v>
      </c>
      <c r="V483" s="340">
        <v>190441</v>
      </c>
      <c r="W483" s="297">
        <v>3049</v>
      </c>
      <c r="X483" s="296">
        <v>-1.4E-2</v>
      </c>
    </row>
    <row r="484" spans="13:24">
      <c r="M484">
        <v>482</v>
      </c>
      <c r="N484">
        <v>34465</v>
      </c>
      <c r="O484" t="s">
        <v>977</v>
      </c>
      <c r="P484" t="s">
        <v>127</v>
      </c>
      <c r="Q484">
        <v>960</v>
      </c>
      <c r="R484" s="296">
        <v>1E-4</v>
      </c>
      <c r="S484" s="296">
        <v>0.92210000000000003</v>
      </c>
      <c r="T484" s="297">
        <v>8947</v>
      </c>
      <c r="U484" s="340">
        <v>77227</v>
      </c>
      <c r="V484" s="340">
        <v>304063</v>
      </c>
      <c r="W484" s="297">
        <v>19239</v>
      </c>
      <c r="X484" s="296">
        <v>1.7000000000000001E-2</v>
      </c>
    </row>
    <row r="485" spans="13:24">
      <c r="M485">
        <v>483</v>
      </c>
      <c r="N485">
        <v>54901</v>
      </c>
      <c r="O485" t="s">
        <v>1102</v>
      </c>
      <c r="P485" t="s">
        <v>149</v>
      </c>
      <c r="Q485">
        <v>136</v>
      </c>
      <c r="R485" s="296">
        <v>1E-4</v>
      </c>
      <c r="S485" s="296">
        <v>0.92220000000000002</v>
      </c>
      <c r="T485" s="297">
        <v>14349</v>
      </c>
      <c r="U485" s="340">
        <v>76497</v>
      </c>
      <c r="V485" s="340">
        <v>265478</v>
      </c>
      <c r="W485" s="297">
        <v>37245</v>
      </c>
      <c r="X485" s="296">
        <v>-6.0000000000000001E-3</v>
      </c>
    </row>
    <row r="486" spans="13:24">
      <c r="M486">
        <v>484</v>
      </c>
      <c r="N486">
        <v>60433</v>
      </c>
      <c r="O486" t="s">
        <v>941</v>
      </c>
      <c r="P486" t="s">
        <v>131</v>
      </c>
      <c r="Q486">
        <v>47</v>
      </c>
      <c r="R486" s="296">
        <v>1E-4</v>
      </c>
      <c r="S486" s="296">
        <v>0.92230000000000001</v>
      </c>
      <c r="T486" s="297">
        <v>5740</v>
      </c>
      <c r="U486" s="340">
        <v>75471</v>
      </c>
      <c r="V486" s="340">
        <v>254324</v>
      </c>
      <c r="W486" s="297">
        <v>16521</v>
      </c>
      <c r="X486" s="296">
        <v>-5.0000000000000001E-3</v>
      </c>
    </row>
    <row r="487" spans="13:24">
      <c r="M487">
        <v>485</v>
      </c>
      <c r="N487">
        <v>61103</v>
      </c>
      <c r="O487" t="s">
        <v>998</v>
      </c>
      <c r="P487" t="s">
        <v>131</v>
      </c>
      <c r="Q487">
        <v>67</v>
      </c>
      <c r="R487" s="296">
        <v>1E-4</v>
      </c>
      <c r="S487" s="296">
        <v>0.9224</v>
      </c>
      <c r="T487" s="297">
        <v>9962</v>
      </c>
      <c r="U487" s="340">
        <v>70799</v>
      </c>
      <c r="V487" s="340">
        <v>174513</v>
      </c>
      <c r="W487" s="297">
        <v>22979</v>
      </c>
      <c r="X487" s="296">
        <v>0</v>
      </c>
    </row>
    <row r="488" spans="13:24">
      <c r="M488">
        <v>486</v>
      </c>
      <c r="N488">
        <v>42431</v>
      </c>
      <c r="O488" t="s">
        <v>1103</v>
      </c>
      <c r="P488" t="s">
        <v>143</v>
      </c>
      <c r="Q488">
        <v>333</v>
      </c>
      <c r="R488" s="296">
        <v>1E-4</v>
      </c>
      <c r="S488" s="296">
        <v>0.92249999999999999</v>
      </c>
      <c r="T488" s="297">
        <v>10912</v>
      </c>
      <c r="U488" s="340">
        <v>69282</v>
      </c>
      <c r="V488" s="340">
        <v>183703</v>
      </c>
      <c r="W488" s="297">
        <v>26047</v>
      </c>
      <c r="X488" s="296">
        <v>-5.0000000000000001E-3</v>
      </c>
    </row>
    <row r="489" spans="13:24">
      <c r="M489">
        <v>487</v>
      </c>
      <c r="N489">
        <v>85281</v>
      </c>
      <c r="O489" t="s">
        <v>1104</v>
      </c>
      <c r="P489" t="s">
        <v>158</v>
      </c>
      <c r="Q489">
        <v>1443</v>
      </c>
      <c r="R489" s="296">
        <v>1E-4</v>
      </c>
      <c r="S489" s="296">
        <v>0.92259999999999998</v>
      </c>
      <c r="T489" s="297">
        <v>17711</v>
      </c>
      <c r="U489" s="340">
        <v>65401</v>
      </c>
      <c r="V489" s="340">
        <v>444854</v>
      </c>
      <c r="W489" s="297">
        <v>43787</v>
      </c>
      <c r="X489" s="296">
        <v>0.01</v>
      </c>
    </row>
    <row r="490" spans="13:24">
      <c r="M490">
        <v>488</v>
      </c>
      <c r="N490">
        <v>53216</v>
      </c>
      <c r="O490" t="s">
        <v>463</v>
      </c>
      <c r="P490" t="s">
        <v>149</v>
      </c>
      <c r="Q490">
        <v>66</v>
      </c>
      <c r="R490" s="296">
        <v>1E-4</v>
      </c>
      <c r="S490" s="296">
        <v>0.92269999999999996</v>
      </c>
      <c r="T490" s="297">
        <v>12290</v>
      </c>
      <c r="U490" s="340">
        <v>58117</v>
      </c>
      <c r="V490" s="340">
        <v>208258</v>
      </c>
      <c r="W490" s="297">
        <v>29853</v>
      </c>
      <c r="X490" s="296">
        <v>-5.0000000000000001E-3</v>
      </c>
    </row>
    <row r="491" spans="13:24">
      <c r="M491">
        <v>489</v>
      </c>
      <c r="N491">
        <v>46404</v>
      </c>
      <c r="O491" t="s">
        <v>1105</v>
      </c>
      <c r="P491" t="s">
        <v>144</v>
      </c>
      <c r="Q491">
        <v>44</v>
      </c>
      <c r="R491" s="296">
        <v>1E-4</v>
      </c>
      <c r="S491" s="296">
        <v>0.92279999999999995</v>
      </c>
      <c r="T491" s="297">
        <v>6317</v>
      </c>
      <c r="U491" s="340">
        <v>56577</v>
      </c>
      <c r="V491" s="340">
        <v>169405</v>
      </c>
      <c r="W491" s="297">
        <v>14990</v>
      </c>
      <c r="X491" s="296">
        <v>-5.0000000000000001E-3</v>
      </c>
    </row>
    <row r="492" spans="13:24">
      <c r="M492">
        <v>490</v>
      </c>
      <c r="N492">
        <v>48302</v>
      </c>
      <c r="O492" t="s">
        <v>1106</v>
      </c>
      <c r="P492" t="s">
        <v>140</v>
      </c>
      <c r="Q492">
        <v>232</v>
      </c>
      <c r="R492" s="296">
        <v>1E-4</v>
      </c>
      <c r="S492" s="296">
        <v>0.92290000000000005</v>
      </c>
      <c r="T492" s="297">
        <v>6736</v>
      </c>
      <c r="U492" s="340">
        <v>237352</v>
      </c>
      <c r="V492" s="340">
        <v>741791</v>
      </c>
      <c r="W492" s="297">
        <v>17425</v>
      </c>
      <c r="X492" s="296">
        <v>3.0000000000000001E-3</v>
      </c>
    </row>
    <row r="493" spans="13:24">
      <c r="M493">
        <v>491</v>
      </c>
      <c r="N493">
        <v>61525</v>
      </c>
      <c r="O493" t="s">
        <v>824</v>
      </c>
      <c r="P493" t="s">
        <v>131</v>
      </c>
      <c r="Q493">
        <v>133</v>
      </c>
      <c r="R493" s="296">
        <v>1E-4</v>
      </c>
      <c r="S493" s="296">
        <v>0.92300000000000004</v>
      </c>
      <c r="T493" s="297">
        <v>3530</v>
      </c>
      <c r="U493" s="340">
        <v>171582</v>
      </c>
      <c r="V493" s="340">
        <v>354579</v>
      </c>
      <c r="W493" s="297">
        <v>10282</v>
      </c>
      <c r="X493" s="296">
        <v>-0.01</v>
      </c>
    </row>
    <row r="494" spans="13:24">
      <c r="M494">
        <v>492</v>
      </c>
      <c r="N494">
        <v>46037</v>
      </c>
      <c r="O494" t="s">
        <v>687</v>
      </c>
      <c r="P494" t="s">
        <v>144</v>
      </c>
      <c r="Q494">
        <v>179</v>
      </c>
      <c r="R494" s="296">
        <v>1E-4</v>
      </c>
      <c r="S494" s="296">
        <v>0.92300000000000004</v>
      </c>
      <c r="T494" s="297">
        <v>18230</v>
      </c>
      <c r="U494" s="340">
        <v>171209</v>
      </c>
      <c r="V494" s="340">
        <v>472102</v>
      </c>
      <c r="W494" s="297">
        <v>52332</v>
      </c>
      <c r="X494" s="296">
        <v>2.4E-2</v>
      </c>
    </row>
    <row r="495" spans="13:24">
      <c r="M495">
        <v>493</v>
      </c>
      <c r="N495">
        <v>2184</v>
      </c>
      <c r="O495" t="s">
        <v>386</v>
      </c>
      <c r="P495" t="s">
        <v>135</v>
      </c>
      <c r="Q495">
        <v>858</v>
      </c>
      <c r="R495" s="296">
        <v>1E-4</v>
      </c>
      <c r="S495" s="296">
        <v>0.92310000000000003</v>
      </c>
      <c r="T495" s="297">
        <v>14466</v>
      </c>
      <c r="U495" s="340">
        <v>167223</v>
      </c>
      <c r="V495" s="340">
        <v>762312</v>
      </c>
      <c r="W495" s="297">
        <v>39030</v>
      </c>
      <c r="X495" s="296">
        <v>1E-3</v>
      </c>
    </row>
    <row r="496" spans="13:24">
      <c r="M496">
        <v>494</v>
      </c>
      <c r="N496">
        <v>48331</v>
      </c>
      <c r="O496" t="s">
        <v>533</v>
      </c>
      <c r="P496" t="s">
        <v>140</v>
      </c>
      <c r="Q496">
        <v>225</v>
      </c>
      <c r="R496" s="296">
        <v>1E-4</v>
      </c>
      <c r="S496" s="296">
        <v>0.92320000000000002</v>
      </c>
      <c r="T496" s="297">
        <v>8378</v>
      </c>
      <c r="U496" s="340">
        <v>166415</v>
      </c>
      <c r="V496" s="340">
        <v>421432</v>
      </c>
      <c r="W496" s="297">
        <v>21017</v>
      </c>
      <c r="X496" s="296">
        <v>-4.0000000000000001E-3</v>
      </c>
    </row>
    <row r="497" spans="13:24">
      <c r="M497">
        <v>495</v>
      </c>
      <c r="N497">
        <v>53562</v>
      </c>
      <c r="O497" t="s">
        <v>412</v>
      </c>
      <c r="P497" t="s">
        <v>149</v>
      </c>
      <c r="Q497">
        <v>111</v>
      </c>
      <c r="R497" s="296">
        <v>1E-4</v>
      </c>
      <c r="S497" s="296">
        <v>0.92330000000000001</v>
      </c>
      <c r="T497" s="297">
        <v>13364</v>
      </c>
      <c r="U497" s="340">
        <v>162457</v>
      </c>
      <c r="V497" s="340">
        <v>582703</v>
      </c>
      <c r="W497" s="297">
        <v>29976</v>
      </c>
      <c r="X497" s="296">
        <v>8.9999999999999993E-3</v>
      </c>
    </row>
    <row r="498" spans="13:24">
      <c r="M498">
        <v>496</v>
      </c>
      <c r="N498">
        <v>77459</v>
      </c>
      <c r="O498" t="s">
        <v>1107</v>
      </c>
      <c r="P498" t="s">
        <v>134</v>
      </c>
      <c r="Q498">
        <v>970</v>
      </c>
      <c r="R498" s="296">
        <v>1E-4</v>
      </c>
      <c r="S498" s="296">
        <v>0.9234</v>
      </c>
      <c r="T498" s="297">
        <v>30750</v>
      </c>
      <c r="U498" s="340">
        <v>160524</v>
      </c>
      <c r="V498" s="340">
        <v>430550</v>
      </c>
      <c r="W498" s="297">
        <v>93079</v>
      </c>
      <c r="X498" s="296">
        <v>0.04</v>
      </c>
    </row>
    <row r="499" spans="13:24">
      <c r="M499">
        <v>497</v>
      </c>
      <c r="N499">
        <v>46530</v>
      </c>
      <c r="O499" t="s">
        <v>1108</v>
      </c>
      <c r="P499" t="s">
        <v>144</v>
      </c>
      <c r="Q499">
        <v>90</v>
      </c>
      <c r="R499" s="296">
        <v>1E-4</v>
      </c>
      <c r="S499" s="296">
        <v>0.92349999999999999</v>
      </c>
      <c r="T499" s="297">
        <v>11861</v>
      </c>
      <c r="U499" s="340">
        <v>147253</v>
      </c>
      <c r="V499" s="340">
        <v>335846</v>
      </c>
      <c r="W499" s="297">
        <v>32858</v>
      </c>
      <c r="X499" s="296">
        <v>1E-3</v>
      </c>
    </row>
    <row r="500" spans="13:24">
      <c r="M500">
        <v>498</v>
      </c>
      <c r="N500">
        <v>48187</v>
      </c>
      <c r="O500" t="s">
        <v>383</v>
      </c>
      <c r="P500" t="s">
        <v>140</v>
      </c>
      <c r="Q500">
        <v>220</v>
      </c>
      <c r="R500" s="296">
        <v>1E-4</v>
      </c>
      <c r="S500" s="296">
        <v>0.92359999999999998</v>
      </c>
      <c r="T500" s="297">
        <v>19801</v>
      </c>
      <c r="U500" s="340">
        <v>142113</v>
      </c>
      <c r="V500" s="340">
        <v>354563</v>
      </c>
      <c r="W500" s="297">
        <v>51940</v>
      </c>
      <c r="X500" s="296">
        <v>-3.0000000000000001E-3</v>
      </c>
    </row>
    <row r="501" spans="13:24">
      <c r="M501">
        <v>499</v>
      </c>
      <c r="N501">
        <v>50266</v>
      </c>
      <c r="O501" t="s">
        <v>1109</v>
      </c>
      <c r="P501" t="s">
        <v>170</v>
      </c>
      <c r="Q501">
        <v>312</v>
      </c>
      <c r="R501" s="296">
        <v>1E-4</v>
      </c>
      <c r="S501" s="296">
        <v>0.92369999999999997</v>
      </c>
      <c r="T501" s="297">
        <v>18297</v>
      </c>
      <c r="U501" s="340">
        <v>136502</v>
      </c>
      <c r="V501" s="340">
        <v>425260</v>
      </c>
      <c r="W501" s="297">
        <v>40925</v>
      </c>
      <c r="X501" s="296">
        <v>2.8000000000000001E-2</v>
      </c>
    </row>
    <row r="502" spans="13:24">
      <c r="M502">
        <v>500</v>
      </c>
      <c r="N502">
        <v>49129</v>
      </c>
      <c r="O502" t="s">
        <v>1110</v>
      </c>
      <c r="P502" t="s">
        <v>140</v>
      </c>
      <c r="Q502">
        <v>61</v>
      </c>
      <c r="R502" s="296">
        <v>1E-4</v>
      </c>
      <c r="S502" s="296">
        <v>0.92369999999999997</v>
      </c>
      <c r="T502">
        <v>330</v>
      </c>
      <c r="U502" s="340">
        <v>128959</v>
      </c>
      <c r="V502" s="340">
        <v>608947</v>
      </c>
      <c r="W502">
        <v>687</v>
      </c>
      <c r="X502" s="296">
        <v>-2.1000000000000001E-2</v>
      </c>
    </row>
    <row r="503" spans="13:24">
      <c r="M503">
        <v>501</v>
      </c>
      <c r="N503">
        <v>80302</v>
      </c>
      <c r="O503" t="s">
        <v>1111</v>
      </c>
      <c r="P503" t="s">
        <v>142</v>
      </c>
      <c r="Q503">
        <v>925</v>
      </c>
      <c r="R503" s="296">
        <v>1E-4</v>
      </c>
      <c r="S503" s="296">
        <v>0.92379999999999995</v>
      </c>
      <c r="T503" s="297">
        <v>11530</v>
      </c>
      <c r="U503" s="340">
        <v>123413</v>
      </c>
      <c r="V503" s="340">
        <v>1283330</v>
      </c>
      <c r="W503" s="297">
        <v>26976</v>
      </c>
      <c r="X503" s="296">
        <v>-4.0000000000000001E-3</v>
      </c>
    </row>
    <row r="504" spans="13:24">
      <c r="M504">
        <v>502</v>
      </c>
      <c r="N504">
        <v>52302</v>
      </c>
      <c r="O504" t="s">
        <v>529</v>
      </c>
      <c r="P504" t="s">
        <v>170</v>
      </c>
      <c r="Q504">
        <v>194</v>
      </c>
      <c r="R504" s="296">
        <v>1E-4</v>
      </c>
      <c r="S504" s="296">
        <v>0.92390000000000005</v>
      </c>
      <c r="T504" s="297">
        <v>17972</v>
      </c>
      <c r="U504" s="340">
        <v>115003</v>
      </c>
      <c r="V504" s="340">
        <v>289508</v>
      </c>
      <c r="W504" s="297">
        <v>44072</v>
      </c>
      <c r="X504" s="296">
        <v>3.0000000000000001E-3</v>
      </c>
    </row>
    <row r="505" spans="13:24">
      <c r="M505">
        <v>503</v>
      </c>
      <c r="N505">
        <v>46303</v>
      </c>
      <c r="O505" t="s">
        <v>1112</v>
      </c>
      <c r="P505" t="s">
        <v>144</v>
      </c>
      <c r="Q505">
        <v>56</v>
      </c>
      <c r="R505" s="296">
        <v>1E-4</v>
      </c>
      <c r="S505" s="296">
        <v>0.92400000000000004</v>
      </c>
      <c r="T505" s="297">
        <v>7328</v>
      </c>
      <c r="U505" s="340">
        <v>112657</v>
      </c>
      <c r="V505" s="340">
        <v>351498</v>
      </c>
      <c r="W505" s="297">
        <v>18985</v>
      </c>
      <c r="X505" s="296">
        <v>0.03</v>
      </c>
    </row>
    <row r="506" spans="13:24">
      <c r="M506">
        <v>504</v>
      </c>
      <c r="N506">
        <v>47401</v>
      </c>
      <c r="O506" t="s">
        <v>570</v>
      </c>
      <c r="P506" t="s">
        <v>144</v>
      </c>
      <c r="Q506">
        <v>223</v>
      </c>
      <c r="R506" s="296">
        <v>1E-4</v>
      </c>
      <c r="S506" s="296">
        <v>0.92410000000000003</v>
      </c>
      <c r="T506" s="297">
        <v>18595</v>
      </c>
      <c r="U506" s="340">
        <v>110598</v>
      </c>
      <c r="V506" s="340">
        <v>404006</v>
      </c>
      <c r="W506" s="297">
        <v>39757</v>
      </c>
      <c r="X506" s="296">
        <v>-1E-3</v>
      </c>
    </row>
    <row r="507" spans="13:24">
      <c r="M507">
        <v>505</v>
      </c>
      <c r="N507">
        <v>46391</v>
      </c>
      <c r="O507" t="s">
        <v>1113</v>
      </c>
      <c r="P507" t="s">
        <v>144</v>
      </c>
      <c r="Q507">
        <v>61</v>
      </c>
      <c r="R507" s="296">
        <v>1E-4</v>
      </c>
      <c r="S507" s="296">
        <v>0.92420000000000002</v>
      </c>
      <c r="T507" s="297">
        <v>2439</v>
      </c>
      <c r="U507" s="340">
        <v>110497</v>
      </c>
      <c r="V507" s="340">
        <v>298024</v>
      </c>
      <c r="W507" s="297">
        <v>8998</v>
      </c>
      <c r="X507" s="296">
        <v>0</v>
      </c>
    </row>
    <row r="508" spans="13:24">
      <c r="M508">
        <v>506</v>
      </c>
      <c r="N508">
        <v>54636</v>
      </c>
      <c r="O508" t="s">
        <v>1114</v>
      </c>
      <c r="P508" t="s">
        <v>149</v>
      </c>
      <c r="Q508">
        <v>216</v>
      </c>
      <c r="R508" s="296">
        <v>1E-4</v>
      </c>
      <c r="S508" s="296">
        <v>0.92430000000000001</v>
      </c>
      <c r="T508" s="297">
        <v>6695</v>
      </c>
      <c r="U508" s="340">
        <v>109903</v>
      </c>
      <c r="V508" s="340">
        <v>330869</v>
      </c>
      <c r="W508" s="297">
        <v>17346</v>
      </c>
      <c r="X508" s="296">
        <v>1.2E-2</v>
      </c>
    </row>
    <row r="509" spans="13:24">
      <c r="M509">
        <v>507</v>
      </c>
      <c r="N509">
        <v>37043</v>
      </c>
      <c r="O509" t="s">
        <v>1115</v>
      </c>
      <c r="P509" t="s">
        <v>146</v>
      </c>
      <c r="Q509">
        <v>390</v>
      </c>
      <c r="R509" s="296">
        <v>1E-4</v>
      </c>
      <c r="S509" s="296">
        <v>0.9244</v>
      </c>
      <c r="T509" s="297">
        <v>22760</v>
      </c>
      <c r="U509" s="340">
        <v>109263</v>
      </c>
      <c r="V509" s="340">
        <v>394578</v>
      </c>
      <c r="W509" s="297">
        <v>59239</v>
      </c>
      <c r="X509" s="296">
        <v>2.5999999999999999E-2</v>
      </c>
    </row>
    <row r="510" spans="13:24">
      <c r="M510">
        <v>508</v>
      </c>
      <c r="N510">
        <v>46260</v>
      </c>
      <c r="O510" t="s">
        <v>561</v>
      </c>
      <c r="P510" t="s">
        <v>144</v>
      </c>
      <c r="Q510">
        <v>177</v>
      </c>
      <c r="R510" s="296">
        <v>1E-4</v>
      </c>
      <c r="S510" s="296">
        <v>0.9244</v>
      </c>
      <c r="T510" s="297">
        <v>14484</v>
      </c>
      <c r="U510" s="340">
        <v>108414</v>
      </c>
      <c r="V510" s="340">
        <v>357650</v>
      </c>
      <c r="W510" s="297">
        <v>33644</v>
      </c>
      <c r="X510" s="296">
        <v>2E-3</v>
      </c>
    </row>
    <row r="511" spans="13:24">
      <c r="M511">
        <v>509</v>
      </c>
      <c r="N511">
        <v>62707</v>
      </c>
      <c r="O511" t="s">
        <v>515</v>
      </c>
      <c r="P511" t="s">
        <v>131</v>
      </c>
      <c r="Q511">
        <v>186</v>
      </c>
      <c r="R511" s="296">
        <v>1E-4</v>
      </c>
      <c r="S511" s="296">
        <v>0.92449999999999999</v>
      </c>
      <c r="T511" s="297">
        <v>3366</v>
      </c>
      <c r="U511" s="340">
        <v>107845</v>
      </c>
      <c r="V511" s="340">
        <v>211294</v>
      </c>
      <c r="W511" s="297">
        <v>7708</v>
      </c>
      <c r="X511" s="296">
        <v>-5.0000000000000001E-3</v>
      </c>
    </row>
    <row r="512" spans="13:24">
      <c r="M512">
        <v>510</v>
      </c>
      <c r="N512">
        <v>46168</v>
      </c>
      <c r="O512" t="s">
        <v>661</v>
      </c>
      <c r="P512" t="s">
        <v>144</v>
      </c>
      <c r="Q512">
        <v>185</v>
      </c>
      <c r="R512" s="296">
        <v>1E-4</v>
      </c>
      <c r="S512" s="296">
        <v>0.92459999999999998</v>
      </c>
      <c r="T512" s="297">
        <v>15406</v>
      </c>
      <c r="U512" s="340">
        <v>106680</v>
      </c>
      <c r="V512" s="340">
        <v>299515</v>
      </c>
      <c r="W512" s="297">
        <v>41053</v>
      </c>
      <c r="X512" s="296">
        <v>2.1000000000000001E-2</v>
      </c>
    </row>
    <row r="513" spans="13:24">
      <c r="M513">
        <v>511</v>
      </c>
      <c r="N513">
        <v>49090</v>
      </c>
      <c r="O513" t="s">
        <v>1116</v>
      </c>
      <c r="P513" t="s">
        <v>140</v>
      </c>
      <c r="Q513">
        <v>83</v>
      </c>
      <c r="R513" s="296">
        <v>1E-4</v>
      </c>
      <c r="S513" s="296">
        <v>0.92469999999999997</v>
      </c>
      <c r="T513" s="297">
        <v>5824</v>
      </c>
      <c r="U513" s="340">
        <v>105215</v>
      </c>
      <c r="V513" s="340">
        <v>431702</v>
      </c>
      <c r="W513" s="297">
        <v>13409</v>
      </c>
      <c r="X513" s="296">
        <v>2E-3</v>
      </c>
    </row>
    <row r="514" spans="13:24">
      <c r="M514">
        <v>512</v>
      </c>
      <c r="N514">
        <v>91786</v>
      </c>
      <c r="O514" t="s">
        <v>779</v>
      </c>
      <c r="P514" t="s">
        <v>132</v>
      </c>
      <c r="Q514">
        <v>1705</v>
      </c>
      <c r="R514" s="296">
        <v>1E-4</v>
      </c>
      <c r="S514" s="296">
        <v>0.92479999999999996</v>
      </c>
      <c r="T514" s="297">
        <v>20224</v>
      </c>
      <c r="U514" s="340">
        <v>104645</v>
      </c>
      <c r="V514" s="340">
        <v>592090</v>
      </c>
      <c r="W514" s="297">
        <v>59395</v>
      </c>
      <c r="X514" s="296">
        <v>2E-3</v>
      </c>
    </row>
    <row r="515" spans="13:24">
      <c r="M515">
        <v>513</v>
      </c>
      <c r="N515">
        <v>43206</v>
      </c>
      <c r="O515" t="s">
        <v>468</v>
      </c>
      <c r="P515" t="s">
        <v>136</v>
      </c>
      <c r="Q515">
        <v>293</v>
      </c>
      <c r="R515" s="296">
        <v>1E-4</v>
      </c>
      <c r="S515" s="296">
        <v>0.92490000000000006</v>
      </c>
      <c r="T515" s="297">
        <v>10690</v>
      </c>
      <c r="U515" s="340">
        <v>103508</v>
      </c>
      <c r="V515" s="340">
        <v>351247</v>
      </c>
      <c r="W515" s="297">
        <v>22304</v>
      </c>
      <c r="X515" s="296">
        <v>4.0000000000000001E-3</v>
      </c>
    </row>
    <row r="516" spans="13:24">
      <c r="M516">
        <v>514</v>
      </c>
      <c r="N516">
        <v>54311</v>
      </c>
      <c r="O516" t="s">
        <v>1046</v>
      </c>
      <c r="P516" t="s">
        <v>149</v>
      </c>
      <c r="Q516">
        <v>162</v>
      </c>
      <c r="R516" s="296">
        <v>1E-4</v>
      </c>
      <c r="S516" s="296">
        <v>0.92500000000000004</v>
      </c>
      <c r="T516" s="297">
        <v>15612</v>
      </c>
      <c r="U516" s="340">
        <v>101192</v>
      </c>
      <c r="V516" s="340">
        <v>353450</v>
      </c>
      <c r="W516" s="297">
        <v>39323</v>
      </c>
      <c r="X516" s="296">
        <v>1E-3</v>
      </c>
    </row>
    <row r="517" spans="13:24">
      <c r="M517">
        <v>515</v>
      </c>
      <c r="N517">
        <v>75038</v>
      </c>
      <c r="O517" t="s">
        <v>1117</v>
      </c>
      <c r="P517" t="s">
        <v>134</v>
      </c>
      <c r="Q517">
        <v>814</v>
      </c>
      <c r="R517" s="296">
        <v>1E-4</v>
      </c>
      <c r="S517" s="296">
        <v>0.92510000000000003</v>
      </c>
      <c r="T517" s="297">
        <v>14929</v>
      </c>
      <c r="U517" s="340">
        <v>100889</v>
      </c>
      <c r="V517" s="340">
        <v>522780</v>
      </c>
      <c r="W517" s="297">
        <v>35654</v>
      </c>
      <c r="X517" s="296">
        <v>-2E-3</v>
      </c>
    </row>
    <row r="518" spans="13:24">
      <c r="M518">
        <v>516</v>
      </c>
      <c r="N518">
        <v>61614</v>
      </c>
      <c r="O518" t="s">
        <v>1052</v>
      </c>
      <c r="P518" t="s">
        <v>131</v>
      </c>
      <c r="Q518">
        <v>134</v>
      </c>
      <c r="R518" s="296">
        <v>1E-4</v>
      </c>
      <c r="S518" s="296">
        <v>0.92510000000000003</v>
      </c>
      <c r="T518" s="297">
        <v>12522</v>
      </c>
      <c r="U518" s="340">
        <v>96556</v>
      </c>
      <c r="V518" s="340">
        <v>219979</v>
      </c>
      <c r="W518" s="297">
        <v>26304</v>
      </c>
      <c r="X518" s="296">
        <v>-6.0000000000000001E-3</v>
      </c>
    </row>
    <row r="519" spans="13:24">
      <c r="M519">
        <v>517</v>
      </c>
      <c r="N519">
        <v>84111</v>
      </c>
      <c r="O519" t="s">
        <v>333</v>
      </c>
      <c r="P519" t="s">
        <v>219</v>
      </c>
      <c r="Q519">
        <v>1247</v>
      </c>
      <c r="R519" s="296">
        <v>1E-4</v>
      </c>
      <c r="S519" s="296">
        <v>0.92520000000000002</v>
      </c>
      <c r="T519" s="297">
        <v>7607</v>
      </c>
      <c r="U519" s="340">
        <v>95813</v>
      </c>
      <c r="V519" s="340">
        <v>642583</v>
      </c>
      <c r="W519" s="297">
        <v>13761</v>
      </c>
      <c r="X519" s="296">
        <v>2.3E-2</v>
      </c>
    </row>
    <row r="520" spans="13:24">
      <c r="M520">
        <v>518</v>
      </c>
      <c r="N520">
        <v>49321</v>
      </c>
      <c r="O520" t="s">
        <v>1118</v>
      </c>
      <c r="P520" t="s">
        <v>140</v>
      </c>
      <c r="Q520">
        <v>124</v>
      </c>
      <c r="R520" s="296">
        <v>1E-4</v>
      </c>
      <c r="S520" s="296">
        <v>0.92530000000000001</v>
      </c>
      <c r="T520" s="297">
        <v>6849</v>
      </c>
      <c r="U520" s="340">
        <v>94756</v>
      </c>
      <c r="V520" s="340">
        <v>315122</v>
      </c>
      <c r="W520" s="297">
        <v>16470</v>
      </c>
      <c r="X520" s="296">
        <v>-1E-3</v>
      </c>
    </row>
    <row r="521" spans="13:24">
      <c r="M521">
        <v>519</v>
      </c>
      <c r="N521">
        <v>54914</v>
      </c>
      <c r="O521" t="s">
        <v>1055</v>
      </c>
      <c r="P521" t="s">
        <v>149</v>
      </c>
      <c r="Q521">
        <v>150</v>
      </c>
      <c r="R521" s="296">
        <v>1E-4</v>
      </c>
      <c r="S521" s="296">
        <v>0.9254</v>
      </c>
      <c r="T521" s="297">
        <v>13377</v>
      </c>
      <c r="U521" s="340">
        <v>92961</v>
      </c>
      <c r="V521" s="340">
        <v>291778</v>
      </c>
      <c r="W521" s="297">
        <v>31245</v>
      </c>
      <c r="X521" s="296">
        <v>-1E-3</v>
      </c>
    </row>
    <row r="522" spans="13:24">
      <c r="M522">
        <v>520</v>
      </c>
      <c r="N522">
        <v>45013</v>
      </c>
      <c r="O522" t="s">
        <v>739</v>
      </c>
      <c r="P522" t="s">
        <v>136</v>
      </c>
      <c r="Q522">
        <v>251</v>
      </c>
      <c r="R522" s="296">
        <v>1E-4</v>
      </c>
      <c r="S522" s="296">
        <v>0.92549999999999999</v>
      </c>
      <c r="T522" s="297">
        <v>21547</v>
      </c>
      <c r="U522" s="340">
        <v>92466</v>
      </c>
      <c r="V522" s="340">
        <v>317190</v>
      </c>
      <c r="W522" s="297">
        <v>53936</v>
      </c>
      <c r="X522" s="296">
        <v>0</v>
      </c>
    </row>
    <row r="523" spans="13:24">
      <c r="M523">
        <v>521</v>
      </c>
      <c r="N523">
        <v>54401</v>
      </c>
      <c r="O523" t="s">
        <v>1119</v>
      </c>
      <c r="P523" t="s">
        <v>149</v>
      </c>
      <c r="Q523">
        <v>217</v>
      </c>
      <c r="R523" s="296">
        <v>1E-4</v>
      </c>
      <c r="S523" s="296">
        <v>0.92559999999999998</v>
      </c>
      <c r="T523" s="297">
        <v>13823</v>
      </c>
      <c r="U523" s="340">
        <v>90982</v>
      </c>
      <c r="V523" s="340">
        <v>294092</v>
      </c>
      <c r="W523" s="297">
        <v>31967</v>
      </c>
      <c r="X523" s="296">
        <v>1E-3</v>
      </c>
    </row>
    <row r="524" spans="13:24">
      <c r="M524">
        <v>522</v>
      </c>
      <c r="N524">
        <v>53546</v>
      </c>
      <c r="O524" t="s">
        <v>1072</v>
      </c>
      <c r="P524" t="s">
        <v>149</v>
      </c>
      <c r="Q524">
        <v>69</v>
      </c>
      <c r="R524" s="296">
        <v>1E-4</v>
      </c>
      <c r="S524" s="296">
        <v>0.92569999999999997</v>
      </c>
      <c r="T524" s="297">
        <v>12931</v>
      </c>
      <c r="U524" s="340">
        <v>90591</v>
      </c>
      <c r="V524" s="340">
        <v>265317</v>
      </c>
      <c r="W524" s="297">
        <v>31384</v>
      </c>
      <c r="X524" s="296">
        <v>1E-3</v>
      </c>
    </row>
    <row r="525" spans="13:24">
      <c r="M525">
        <v>523</v>
      </c>
      <c r="N525">
        <v>46526</v>
      </c>
      <c r="O525" t="s">
        <v>743</v>
      </c>
      <c r="P525" t="s">
        <v>144</v>
      </c>
      <c r="Q525">
        <v>107</v>
      </c>
      <c r="R525" s="296">
        <v>1E-4</v>
      </c>
      <c r="S525" s="296">
        <v>0.92579999999999996</v>
      </c>
      <c r="T525" s="297">
        <v>12206</v>
      </c>
      <c r="U525" s="340">
        <v>87483</v>
      </c>
      <c r="V525" s="340">
        <v>266376</v>
      </c>
      <c r="W525" s="297">
        <v>33044</v>
      </c>
      <c r="X525" s="296">
        <v>0</v>
      </c>
    </row>
    <row r="526" spans="13:24">
      <c r="M526">
        <v>524</v>
      </c>
      <c r="N526">
        <v>47320</v>
      </c>
      <c r="O526" t="s">
        <v>573</v>
      </c>
      <c r="P526" t="s">
        <v>144</v>
      </c>
      <c r="Q526">
        <v>184</v>
      </c>
      <c r="R526" s="296">
        <v>1E-4</v>
      </c>
      <c r="S526" s="296">
        <v>0.92579999999999996</v>
      </c>
      <c r="T526" s="297">
        <v>1620</v>
      </c>
      <c r="U526" s="340">
        <v>82483</v>
      </c>
      <c r="V526" s="340">
        <v>197464</v>
      </c>
      <c r="W526" s="297">
        <v>3831</v>
      </c>
      <c r="X526" s="296">
        <v>-3.0000000000000001E-3</v>
      </c>
    </row>
    <row r="527" spans="13:24">
      <c r="M527">
        <v>525</v>
      </c>
      <c r="N527">
        <v>40213</v>
      </c>
      <c r="O527" t="s">
        <v>830</v>
      </c>
      <c r="P527" t="s">
        <v>143</v>
      </c>
      <c r="Q527">
        <v>295</v>
      </c>
      <c r="R527" s="296">
        <v>1E-4</v>
      </c>
      <c r="S527" s="296">
        <v>0.92589999999999995</v>
      </c>
      <c r="T527" s="297">
        <v>6959</v>
      </c>
      <c r="U527" s="340">
        <v>77783</v>
      </c>
      <c r="V527" s="340">
        <v>254316</v>
      </c>
      <c r="W527" s="297">
        <v>16416</v>
      </c>
      <c r="X527" s="296">
        <v>-5.0000000000000001E-3</v>
      </c>
    </row>
    <row r="528" spans="13:24">
      <c r="M528">
        <v>526</v>
      </c>
      <c r="N528">
        <v>89107</v>
      </c>
      <c r="O528" t="s">
        <v>706</v>
      </c>
      <c r="P528" t="s">
        <v>148</v>
      </c>
      <c r="Q528">
        <v>1519</v>
      </c>
      <c r="R528" s="296">
        <v>1E-4</v>
      </c>
      <c r="S528" s="296">
        <v>0.92600000000000005</v>
      </c>
      <c r="T528" s="297">
        <v>13030</v>
      </c>
      <c r="U528" s="340">
        <v>77719</v>
      </c>
      <c r="V528" s="340">
        <v>386028</v>
      </c>
      <c r="W528" s="297">
        <v>38112</v>
      </c>
      <c r="X528" s="296">
        <v>0</v>
      </c>
    </row>
    <row r="529" spans="13:24">
      <c r="M529">
        <v>527</v>
      </c>
      <c r="N529">
        <v>33055</v>
      </c>
      <c r="O529" t="s">
        <v>836</v>
      </c>
      <c r="P529" t="s">
        <v>127</v>
      </c>
      <c r="Q529">
        <v>1198</v>
      </c>
      <c r="R529" s="296">
        <v>1E-4</v>
      </c>
      <c r="S529" s="296">
        <v>0.92610000000000003</v>
      </c>
      <c r="T529" s="297">
        <v>12406</v>
      </c>
      <c r="U529" s="340">
        <v>76872</v>
      </c>
      <c r="V529" s="340">
        <v>470630</v>
      </c>
      <c r="W529" s="297">
        <v>42078</v>
      </c>
      <c r="X529" s="296">
        <v>-8.0000000000000002E-3</v>
      </c>
    </row>
    <row r="530" spans="13:24">
      <c r="M530">
        <v>528</v>
      </c>
      <c r="N530">
        <v>33976</v>
      </c>
      <c r="O530" t="s">
        <v>1120</v>
      </c>
      <c r="P530" t="s">
        <v>127</v>
      </c>
      <c r="Q530">
        <v>1129</v>
      </c>
      <c r="R530" s="296">
        <v>1E-4</v>
      </c>
      <c r="S530" s="296">
        <v>0.92620000000000002</v>
      </c>
      <c r="T530" s="297">
        <v>5923</v>
      </c>
      <c r="U530" s="340">
        <v>76582</v>
      </c>
      <c r="V530" s="340">
        <v>317431</v>
      </c>
      <c r="W530" s="297">
        <v>20172</v>
      </c>
      <c r="X530" s="296">
        <v>4.1000000000000002E-2</v>
      </c>
    </row>
    <row r="531" spans="13:24">
      <c r="M531">
        <v>529</v>
      </c>
      <c r="N531">
        <v>61701</v>
      </c>
      <c r="O531" t="s">
        <v>570</v>
      </c>
      <c r="P531" t="s">
        <v>131</v>
      </c>
      <c r="Q531">
        <v>131</v>
      </c>
      <c r="R531" s="296">
        <v>1E-4</v>
      </c>
      <c r="S531" s="296">
        <v>0.92630000000000001</v>
      </c>
      <c r="T531" s="297">
        <v>16014</v>
      </c>
      <c r="U531" s="340">
        <v>74808</v>
      </c>
      <c r="V531" s="340">
        <v>180177</v>
      </c>
      <c r="W531" s="297">
        <v>34456</v>
      </c>
      <c r="X531" s="296">
        <v>0</v>
      </c>
    </row>
    <row r="532" spans="13:24">
      <c r="M532">
        <v>530</v>
      </c>
      <c r="N532">
        <v>61604</v>
      </c>
      <c r="O532" t="s">
        <v>1052</v>
      </c>
      <c r="P532" t="s">
        <v>131</v>
      </c>
      <c r="Q532">
        <v>139</v>
      </c>
      <c r="R532" s="296">
        <v>1E-4</v>
      </c>
      <c r="S532" s="296">
        <v>0.9264</v>
      </c>
      <c r="T532" s="297">
        <v>12411</v>
      </c>
      <c r="U532" s="340">
        <v>72809</v>
      </c>
      <c r="V532" s="340">
        <v>136364</v>
      </c>
      <c r="W532" s="297">
        <v>28764</v>
      </c>
      <c r="X532" s="296">
        <v>-6.0000000000000001E-3</v>
      </c>
    </row>
    <row r="533" spans="13:24">
      <c r="M533">
        <v>531</v>
      </c>
      <c r="N533">
        <v>53225</v>
      </c>
      <c r="O533" t="s">
        <v>463</v>
      </c>
      <c r="P533" t="s">
        <v>149</v>
      </c>
      <c r="Q533">
        <v>68</v>
      </c>
      <c r="R533" s="296">
        <v>1E-4</v>
      </c>
      <c r="S533" s="296">
        <v>0.92649999999999999</v>
      </c>
      <c r="T533" s="297">
        <v>9143</v>
      </c>
      <c r="U533" s="340">
        <v>70069</v>
      </c>
      <c r="V533" s="340">
        <v>228044</v>
      </c>
      <c r="W533" s="297">
        <v>23741</v>
      </c>
      <c r="X533" s="296">
        <v>-2E-3</v>
      </c>
    </row>
    <row r="534" spans="13:24">
      <c r="M534">
        <v>532</v>
      </c>
      <c r="N534">
        <v>45229</v>
      </c>
      <c r="O534" t="s">
        <v>599</v>
      </c>
      <c r="P534" t="s">
        <v>136</v>
      </c>
      <c r="Q534">
        <v>270</v>
      </c>
      <c r="R534" s="296">
        <v>1E-4</v>
      </c>
      <c r="S534" s="296">
        <v>0.92649999999999999</v>
      </c>
      <c r="T534" s="297">
        <v>5795</v>
      </c>
      <c r="U534" s="340">
        <v>69698</v>
      </c>
      <c r="V534" s="340">
        <v>328982</v>
      </c>
      <c r="W534" s="297">
        <v>12300</v>
      </c>
      <c r="X534" s="296">
        <v>-6.0000000000000001E-3</v>
      </c>
    </row>
    <row r="535" spans="13:24">
      <c r="M535">
        <v>533</v>
      </c>
      <c r="N535">
        <v>61401</v>
      </c>
      <c r="O535" t="s">
        <v>1121</v>
      </c>
      <c r="P535" t="s">
        <v>131</v>
      </c>
      <c r="Q535">
        <v>157</v>
      </c>
      <c r="R535" s="296">
        <v>1E-4</v>
      </c>
      <c r="S535" s="296">
        <v>0.92659999999999998</v>
      </c>
      <c r="T535" s="297">
        <v>13415</v>
      </c>
      <c r="U535" s="340">
        <v>66114</v>
      </c>
      <c r="V535" s="340">
        <v>138875</v>
      </c>
      <c r="W535" s="297">
        <v>31762</v>
      </c>
      <c r="X535" s="296">
        <v>-8.0000000000000002E-3</v>
      </c>
    </row>
    <row r="536" spans="13:24">
      <c r="M536">
        <v>534</v>
      </c>
      <c r="N536">
        <v>89119</v>
      </c>
      <c r="O536" t="s">
        <v>706</v>
      </c>
      <c r="P536" t="s">
        <v>148</v>
      </c>
      <c r="Q536">
        <v>1518</v>
      </c>
      <c r="R536" s="296">
        <v>1E-4</v>
      </c>
      <c r="S536" s="296">
        <v>0.92669999999999997</v>
      </c>
      <c r="T536" s="297">
        <v>22264</v>
      </c>
      <c r="U536" s="340">
        <v>62459</v>
      </c>
      <c r="V536" s="340">
        <v>365295</v>
      </c>
      <c r="W536" s="297">
        <v>49446</v>
      </c>
      <c r="X536" s="296">
        <v>3.0000000000000001E-3</v>
      </c>
    </row>
    <row r="537" spans="13:24">
      <c r="M537">
        <v>535</v>
      </c>
      <c r="N537">
        <v>53206</v>
      </c>
      <c r="O537" t="s">
        <v>463</v>
      </c>
      <c r="P537" t="s">
        <v>149</v>
      </c>
      <c r="Q537">
        <v>65</v>
      </c>
      <c r="R537" s="296">
        <v>1E-4</v>
      </c>
      <c r="S537" s="296">
        <v>0.92679999999999996</v>
      </c>
      <c r="T537" s="297">
        <v>8548</v>
      </c>
      <c r="U537" s="340">
        <v>46907</v>
      </c>
      <c r="V537" s="340">
        <v>119709</v>
      </c>
      <c r="W537" s="297">
        <v>22680</v>
      </c>
      <c r="X537" s="296">
        <v>-7.0000000000000001E-3</v>
      </c>
    </row>
    <row r="538" spans="13:24">
      <c r="M538">
        <v>536</v>
      </c>
      <c r="N538">
        <v>90077</v>
      </c>
      <c r="O538" t="s">
        <v>309</v>
      </c>
      <c r="P538" t="s">
        <v>132</v>
      </c>
      <c r="Q538">
        <v>1745</v>
      </c>
      <c r="R538" s="296">
        <v>1E-4</v>
      </c>
      <c r="S538" s="296">
        <v>0.92689999999999995</v>
      </c>
      <c r="T538" s="297">
        <v>3310</v>
      </c>
      <c r="U538" s="340">
        <v>293270</v>
      </c>
      <c r="V538" s="340">
        <v>1936513</v>
      </c>
      <c r="W538" s="297">
        <v>8262</v>
      </c>
      <c r="X538" s="296">
        <v>-1.0999999999999999E-2</v>
      </c>
    </row>
    <row r="539" spans="13:24">
      <c r="M539">
        <v>537</v>
      </c>
      <c r="N539">
        <v>92610</v>
      </c>
      <c r="O539" t="s">
        <v>1122</v>
      </c>
      <c r="P539" t="s">
        <v>132</v>
      </c>
      <c r="Q539">
        <v>1720</v>
      </c>
      <c r="R539" s="296">
        <v>1E-4</v>
      </c>
      <c r="S539" s="296">
        <v>0.92689999999999995</v>
      </c>
      <c r="T539" s="297">
        <v>4044</v>
      </c>
      <c r="U539" s="340">
        <v>244026</v>
      </c>
      <c r="V539" s="340">
        <v>1094527</v>
      </c>
      <c r="W539" s="297">
        <v>11562</v>
      </c>
      <c r="X539" s="296">
        <v>-3.0000000000000001E-3</v>
      </c>
    </row>
    <row r="540" spans="13:24">
      <c r="M540">
        <v>538</v>
      </c>
      <c r="N540">
        <v>20152</v>
      </c>
      <c r="O540" t="s">
        <v>594</v>
      </c>
      <c r="P540" t="s">
        <v>139</v>
      </c>
      <c r="Q540">
        <v>584</v>
      </c>
      <c r="R540" s="296">
        <v>1E-4</v>
      </c>
      <c r="S540" s="296">
        <v>0.92700000000000005</v>
      </c>
      <c r="T540" s="297">
        <v>11552</v>
      </c>
      <c r="U540" s="340">
        <v>236339</v>
      </c>
      <c r="V540" s="340">
        <v>864796</v>
      </c>
      <c r="W540" s="297">
        <v>38876</v>
      </c>
      <c r="X540" s="296">
        <v>1.0999999999999999E-2</v>
      </c>
    </row>
    <row r="541" spans="13:24">
      <c r="M541">
        <v>539</v>
      </c>
      <c r="N541">
        <v>20171</v>
      </c>
      <c r="O541" t="s">
        <v>1123</v>
      </c>
      <c r="P541" t="s">
        <v>139</v>
      </c>
      <c r="Q541">
        <v>589</v>
      </c>
      <c r="R541" s="296">
        <v>1E-4</v>
      </c>
      <c r="S541" s="296">
        <v>0.92710000000000004</v>
      </c>
      <c r="T541" s="297">
        <v>20091</v>
      </c>
      <c r="U541" s="340">
        <v>226574</v>
      </c>
      <c r="V541" s="340">
        <v>839386</v>
      </c>
      <c r="W541" s="297">
        <v>54937</v>
      </c>
      <c r="X541" s="296">
        <v>1.4E-2</v>
      </c>
    </row>
    <row r="542" spans="13:24">
      <c r="M542">
        <v>540</v>
      </c>
      <c r="N542">
        <v>33496</v>
      </c>
      <c r="O542" t="s">
        <v>502</v>
      </c>
      <c r="P542" t="s">
        <v>127</v>
      </c>
      <c r="Q542">
        <v>1170</v>
      </c>
      <c r="R542" s="296">
        <v>1E-4</v>
      </c>
      <c r="S542" s="296">
        <v>0.92720000000000002</v>
      </c>
      <c r="T542" s="297">
        <v>11725</v>
      </c>
      <c r="U542" s="340">
        <v>196290</v>
      </c>
      <c r="V542" s="340">
        <v>1000713</v>
      </c>
      <c r="W542" s="297">
        <v>26914</v>
      </c>
      <c r="X542" s="296">
        <v>3.4000000000000002E-2</v>
      </c>
    </row>
    <row r="543" spans="13:24">
      <c r="M543">
        <v>541</v>
      </c>
      <c r="N543">
        <v>55311</v>
      </c>
      <c r="O543" t="s">
        <v>1124</v>
      </c>
      <c r="P543" t="s">
        <v>151</v>
      </c>
      <c r="Q543">
        <v>351</v>
      </c>
      <c r="R543" s="296">
        <v>1E-4</v>
      </c>
      <c r="S543" s="296">
        <v>0.92720000000000002</v>
      </c>
      <c r="T543" s="297">
        <v>13716</v>
      </c>
      <c r="U543" s="340">
        <v>192917</v>
      </c>
      <c r="V543" s="340">
        <v>546767</v>
      </c>
      <c r="W543" s="297">
        <v>38413</v>
      </c>
      <c r="X543" s="296">
        <v>6.0000000000000001E-3</v>
      </c>
    </row>
    <row r="544" spans="13:24">
      <c r="M544">
        <v>542</v>
      </c>
      <c r="N544">
        <v>7004</v>
      </c>
      <c r="O544" t="s">
        <v>298</v>
      </c>
      <c r="P544" t="s">
        <v>129</v>
      </c>
      <c r="Q544">
        <v>702</v>
      </c>
      <c r="R544" s="296">
        <v>1E-4</v>
      </c>
      <c r="S544" s="296">
        <v>0.92730000000000001</v>
      </c>
      <c r="T544" s="297">
        <v>2761</v>
      </c>
      <c r="U544" s="340">
        <v>183893</v>
      </c>
      <c r="V544" s="340">
        <v>663552</v>
      </c>
      <c r="W544" s="297">
        <v>7961</v>
      </c>
      <c r="X544" s="296">
        <v>6.0000000000000001E-3</v>
      </c>
    </row>
    <row r="545" spans="13:24">
      <c r="M545">
        <v>543</v>
      </c>
      <c r="N545">
        <v>20850</v>
      </c>
      <c r="O545" t="s">
        <v>530</v>
      </c>
      <c r="P545" t="s">
        <v>137</v>
      </c>
      <c r="Q545">
        <v>595</v>
      </c>
      <c r="R545" s="296">
        <v>1E-4</v>
      </c>
      <c r="S545" s="296">
        <v>0.9274</v>
      </c>
      <c r="T545" s="297">
        <v>20906</v>
      </c>
      <c r="U545" s="340">
        <v>181141</v>
      </c>
      <c r="V545" s="340">
        <v>824962</v>
      </c>
      <c r="W545" s="297">
        <v>51583</v>
      </c>
      <c r="X545" s="296">
        <v>2E-3</v>
      </c>
    </row>
    <row r="546" spans="13:24">
      <c r="M546">
        <v>544</v>
      </c>
      <c r="N546">
        <v>55129</v>
      </c>
      <c r="O546" t="s">
        <v>445</v>
      </c>
      <c r="P546" t="s">
        <v>151</v>
      </c>
      <c r="Q546">
        <v>319</v>
      </c>
      <c r="R546" s="296">
        <v>1E-4</v>
      </c>
      <c r="S546" s="296">
        <v>0.92749999999999999</v>
      </c>
      <c r="T546" s="297">
        <v>12500</v>
      </c>
      <c r="U546" s="340">
        <v>179081</v>
      </c>
      <c r="V546" s="340">
        <v>581085</v>
      </c>
      <c r="W546" s="297">
        <v>36406</v>
      </c>
      <c r="X546" s="296">
        <v>3.6999999999999998E-2</v>
      </c>
    </row>
    <row r="547" spans="13:24">
      <c r="M547">
        <v>545</v>
      </c>
      <c r="N547">
        <v>81657</v>
      </c>
      <c r="O547" t="s">
        <v>663</v>
      </c>
      <c r="P547" t="s">
        <v>142</v>
      </c>
      <c r="Q547">
        <v>981</v>
      </c>
      <c r="R547" s="296">
        <v>1E-4</v>
      </c>
      <c r="S547" s="296">
        <v>0.92749999999999999</v>
      </c>
      <c r="T547" s="297">
        <v>2949</v>
      </c>
      <c r="U547" s="340">
        <v>177276</v>
      </c>
      <c r="V547" s="340">
        <v>1284361</v>
      </c>
      <c r="W547" s="297">
        <v>6182</v>
      </c>
      <c r="X547" s="296">
        <v>3.0000000000000001E-3</v>
      </c>
    </row>
    <row r="548" spans="13:24">
      <c r="M548">
        <v>546</v>
      </c>
      <c r="N548">
        <v>50325</v>
      </c>
      <c r="O548" t="s">
        <v>1125</v>
      </c>
      <c r="P548" t="s">
        <v>170</v>
      </c>
      <c r="Q548">
        <v>311</v>
      </c>
      <c r="R548" s="296">
        <v>1E-4</v>
      </c>
      <c r="S548" s="296">
        <v>0.92759999999999998</v>
      </c>
      <c r="T548" s="297">
        <v>7305</v>
      </c>
      <c r="U548" s="340">
        <v>173236</v>
      </c>
      <c r="V548" s="340">
        <v>434968</v>
      </c>
      <c r="W548" s="297">
        <v>19462</v>
      </c>
      <c r="X548" s="296">
        <v>1.2999999999999999E-2</v>
      </c>
    </row>
    <row r="549" spans="13:24">
      <c r="M549">
        <v>547</v>
      </c>
      <c r="N549">
        <v>80424</v>
      </c>
      <c r="O549" t="s">
        <v>1126</v>
      </c>
      <c r="P549" t="s">
        <v>142</v>
      </c>
      <c r="Q549">
        <v>969</v>
      </c>
      <c r="R549" s="296">
        <v>1E-4</v>
      </c>
      <c r="S549" s="296">
        <v>0.92769999999999997</v>
      </c>
      <c r="T549" s="297">
        <v>4492</v>
      </c>
      <c r="U549" s="340">
        <v>164337</v>
      </c>
      <c r="V549" s="340">
        <v>1152045</v>
      </c>
      <c r="W549" s="297">
        <v>10471</v>
      </c>
      <c r="X549" s="296">
        <v>0</v>
      </c>
    </row>
    <row r="550" spans="13:24">
      <c r="M550">
        <v>548</v>
      </c>
      <c r="N550">
        <v>75024</v>
      </c>
      <c r="O550" t="s">
        <v>504</v>
      </c>
      <c r="P550" t="s">
        <v>134</v>
      </c>
      <c r="Q550">
        <v>796</v>
      </c>
      <c r="R550" s="296">
        <v>1E-4</v>
      </c>
      <c r="S550" s="296">
        <v>0.92779999999999996</v>
      </c>
      <c r="T550" s="297">
        <v>20624</v>
      </c>
      <c r="U550" s="340">
        <v>163079</v>
      </c>
      <c r="V550" s="340">
        <v>635100</v>
      </c>
      <c r="W550" s="297">
        <v>48598</v>
      </c>
      <c r="X550" s="296">
        <v>1.6E-2</v>
      </c>
    </row>
    <row r="551" spans="13:24">
      <c r="M551">
        <v>549</v>
      </c>
      <c r="N551">
        <v>33487</v>
      </c>
      <c r="O551" t="s">
        <v>502</v>
      </c>
      <c r="P551" t="s">
        <v>127</v>
      </c>
      <c r="Q551">
        <v>1172</v>
      </c>
      <c r="R551" s="296">
        <v>1E-4</v>
      </c>
      <c r="S551" s="296">
        <v>0.92779999999999996</v>
      </c>
      <c r="T551" s="297">
        <v>11049</v>
      </c>
      <c r="U551" s="340">
        <v>149732</v>
      </c>
      <c r="V551" s="340">
        <v>854050</v>
      </c>
      <c r="W551" s="297">
        <v>22435</v>
      </c>
      <c r="X551" s="296">
        <v>1.4999999999999999E-2</v>
      </c>
    </row>
    <row r="552" spans="13:24">
      <c r="M552">
        <v>550</v>
      </c>
      <c r="N552">
        <v>33326</v>
      </c>
      <c r="O552" t="s">
        <v>506</v>
      </c>
      <c r="P552" t="s">
        <v>127</v>
      </c>
      <c r="Q552">
        <v>1185</v>
      </c>
      <c r="R552" s="296">
        <v>1E-4</v>
      </c>
      <c r="S552" s="296">
        <v>0.92789999999999995</v>
      </c>
      <c r="T552" s="297">
        <v>12070</v>
      </c>
      <c r="U552" s="340">
        <v>146440</v>
      </c>
      <c r="V552" s="340">
        <v>588071</v>
      </c>
      <c r="W552" s="297">
        <v>34741</v>
      </c>
      <c r="X552" s="296">
        <v>-1E-3</v>
      </c>
    </row>
    <row r="553" spans="13:24">
      <c r="M553">
        <v>551</v>
      </c>
      <c r="N553">
        <v>45069</v>
      </c>
      <c r="O553" t="s">
        <v>1127</v>
      </c>
      <c r="P553" t="s">
        <v>136</v>
      </c>
      <c r="Q553">
        <v>262</v>
      </c>
      <c r="R553" s="296">
        <v>1E-4</v>
      </c>
      <c r="S553" s="296">
        <v>0.92800000000000005</v>
      </c>
      <c r="T553" s="297">
        <v>20700</v>
      </c>
      <c r="U553" s="340">
        <v>143860</v>
      </c>
      <c r="V553" s="340">
        <v>378208</v>
      </c>
      <c r="W553" s="297">
        <v>54584</v>
      </c>
      <c r="X553" s="296">
        <v>7.0000000000000001E-3</v>
      </c>
    </row>
    <row r="554" spans="13:24">
      <c r="M554">
        <v>552</v>
      </c>
      <c r="N554">
        <v>40241</v>
      </c>
      <c r="O554" t="s">
        <v>830</v>
      </c>
      <c r="P554" t="s">
        <v>143</v>
      </c>
      <c r="Q554">
        <v>290</v>
      </c>
      <c r="R554" s="296">
        <v>1E-4</v>
      </c>
      <c r="S554" s="296">
        <v>0.92810000000000004</v>
      </c>
      <c r="T554" s="297">
        <v>13241</v>
      </c>
      <c r="U554" s="340">
        <v>143212</v>
      </c>
      <c r="V554" s="340">
        <v>389097</v>
      </c>
      <c r="W554" s="297">
        <v>31844</v>
      </c>
      <c r="X554" s="296">
        <v>0.01</v>
      </c>
    </row>
    <row r="555" spans="13:24">
      <c r="M555">
        <v>553</v>
      </c>
      <c r="N555">
        <v>49453</v>
      </c>
      <c r="O555" t="s">
        <v>1128</v>
      </c>
      <c r="P555" t="s">
        <v>140</v>
      </c>
      <c r="Q555">
        <v>90</v>
      </c>
      <c r="R555" s="296">
        <v>1E-4</v>
      </c>
      <c r="S555" s="296">
        <v>0.92810000000000004</v>
      </c>
      <c r="T555" s="297">
        <v>1450</v>
      </c>
      <c r="U555" s="340">
        <v>141578</v>
      </c>
      <c r="V555" s="340">
        <v>566506</v>
      </c>
      <c r="W555" s="297">
        <v>3288</v>
      </c>
      <c r="X555" s="296">
        <v>1.2E-2</v>
      </c>
    </row>
    <row r="556" spans="13:24">
      <c r="M556">
        <v>554</v>
      </c>
      <c r="N556">
        <v>46112</v>
      </c>
      <c r="O556" t="s">
        <v>1129</v>
      </c>
      <c r="P556" t="s">
        <v>144</v>
      </c>
      <c r="Q556">
        <v>174</v>
      </c>
      <c r="R556" s="296">
        <v>1E-4</v>
      </c>
      <c r="S556" s="296">
        <v>0.92820000000000003</v>
      </c>
      <c r="T556" s="297">
        <v>17020</v>
      </c>
      <c r="U556" s="340">
        <v>138005</v>
      </c>
      <c r="V556" s="340">
        <v>333419</v>
      </c>
      <c r="W556" s="297">
        <v>46297</v>
      </c>
      <c r="X556" s="296">
        <v>2.5999999999999999E-2</v>
      </c>
    </row>
    <row r="557" spans="13:24">
      <c r="M557">
        <v>555</v>
      </c>
      <c r="N557">
        <v>60511</v>
      </c>
      <c r="O557" t="s">
        <v>1130</v>
      </c>
      <c r="P557" t="s">
        <v>131</v>
      </c>
      <c r="Q557">
        <v>47</v>
      </c>
      <c r="R557" s="296">
        <v>1E-4</v>
      </c>
      <c r="S557" s="296">
        <v>0.92830000000000001</v>
      </c>
      <c r="T557">
        <v>663</v>
      </c>
      <c r="U557" s="340">
        <v>134521</v>
      </c>
      <c r="V557" s="340">
        <v>366280</v>
      </c>
      <c r="W557" s="297">
        <v>1692</v>
      </c>
      <c r="X557" s="296">
        <v>-0.01</v>
      </c>
    </row>
    <row r="558" spans="13:24">
      <c r="M558">
        <v>556</v>
      </c>
      <c r="N558">
        <v>46038</v>
      </c>
      <c r="O558" t="s">
        <v>687</v>
      </c>
      <c r="P558" t="s">
        <v>144</v>
      </c>
      <c r="Q558">
        <v>177</v>
      </c>
      <c r="R558" s="296">
        <v>1E-4</v>
      </c>
      <c r="S558" s="296">
        <v>0.9284</v>
      </c>
      <c r="T558" s="297">
        <v>17073</v>
      </c>
      <c r="U558" s="340">
        <v>133964</v>
      </c>
      <c r="V558" s="340">
        <v>377251</v>
      </c>
      <c r="W558" s="297">
        <v>43281</v>
      </c>
      <c r="X558" s="296">
        <v>5.0000000000000001E-3</v>
      </c>
    </row>
    <row r="559" spans="13:24">
      <c r="M559">
        <v>557</v>
      </c>
      <c r="N559">
        <v>60109</v>
      </c>
      <c r="O559" t="s">
        <v>349</v>
      </c>
      <c r="P559" t="s">
        <v>131</v>
      </c>
      <c r="Q559">
        <v>39</v>
      </c>
      <c r="R559" s="296">
        <v>1E-4</v>
      </c>
      <c r="S559" s="296">
        <v>0.9284</v>
      </c>
      <c r="T559">
        <v>185</v>
      </c>
      <c r="U559" s="340">
        <v>132075</v>
      </c>
      <c r="V559" s="340">
        <v>375806</v>
      </c>
      <c r="W559">
        <v>461</v>
      </c>
      <c r="X559" s="296">
        <v>4.0000000000000001E-3</v>
      </c>
    </row>
    <row r="560" spans="13:24">
      <c r="M560">
        <v>558</v>
      </c>
      <c r="N560">
        <v>53022</v>
      </c>
      <c r="O560" t="s">
        <v>1131</v>
      </c>
      <c r="P560" t="s">
        <v>149</v>
      </c>
      <c r="Q560">
        <v>76</v>
      </c>
      <c r="R560" s="296">
        <v>1E-4</v>
      </c>
      <c r="S560" s="296">
        <v>0.92849999999999999</v>
      </c>
      <c r="T560" s="297">
        <v>8338</v>
      </c>
      <c r="U560" s="340">
        <v>127329</v>
      </c>
      <c r="V560" s="340">
        <v>413705</v>
      </c>
      <c r="W560" s="297">
        <v>20205</v>
      </c>
      <c r="X560" s="296">
        <v>5.0000000000000001E-3</v>
      </c>
    </row>
    <row r="561" spans="13:24">
      <c r="M561">
        <v>559</v>
      </c>
      <c r="N561">
        <v>54115</v>
      </c>
      <c r="O561" t="s">
        <v>1132</v>
      </c>
      <c r="P561" t="s">
        <v>149</v>
      </c>
      <c r="Q561">
        <v>159</v>
      </c>
      <c r="R561" s="296">
        <v>1E-4</v>
      </c>
      <c r="S561" s="296">
        <v>0.92859999999999998</v>
      </c>
      <c r="T561" s="297">
        <v>19927</v>
      </c>
      <c r="U561" s="340">
        <v>119459</v>
      </c>
      <c r="V561" s="340">
        <v>376804</v>
      </c>
      <c r="W561" s="297">
        <v>50572</v>
      </c>
      <c r="X561" s="296">
        <v>7.0000000000000001E-3</v>
      </c>
    </row>
    <row r="562" spans="13:24">
      <c r="M562">
        <v>560</v>
      </c>
      <c r="N562">
        <v>76028</v>
      </c>
      <c r="O562" t="s">
        <v>1133</v>
      </c>
      <c r="P562" t="s">
        <v>134</v>
      </c>
      <c r="Q562">
        <v>845</v>
      </c>
      <c r="R562" s="296">
        <v>1E-4</v>
      </c>
      <c r="S562" s="296">
        <v>0.92869999999999997</v>
      </c>
      <c r="T562" s="297">
        <v>28748</v>
      </c>
      <c r="U562" s="340">
        <v>118617</v>
      </c>
      <c r="V562" s="340">
        <v>374121</v>
      </c>
      <c r="W562" s="297">
        <v>80812</v>
      </c>
      <c r="X562" s="296">
        <v>2.1000000000000001E-2</v>
      </c>
    </row>
    <row r="563" spans="13:24">
      <c r="M563">
        <v>561</v>
      </c>
      <c r="N563">
        <v>80526</v>
      </c>
      <c r="O563" t="s">
        <v>1134</v>
      </c>
      <c r="P563" t="s">
        <v>142</v>
      </c>
      <c r="Q563">
        <v>904</v>
      </c>
      <c r="R563" s="296">
        <v>1E-4</v>
      </c>
      <c r="S563" s="296">
        <v>0.92869999999999997</v>
      </c>
      <c r="T563" s="297">
        <v>18808</v>
      </c>
      <c r="U563" s="340">
        <v>114563</v>
      </c>
      <c r="V563" s="340">
        <v>576273</v>
      </c>
      <c r="W563" s="297">
        <v>44920</v>
      </c>
      <c r="X563" s="296">
        <v>-1E-3</v>
      </c>
    </row>
    <row r="564" spans="13:24">
      <c r="M564">
        <v>562</v>
      </c>
      <c r="N564">
        <v>34711</v>
      </c>
      <c r="O564" t="s">
        <v>776</v>
      </c>
      <c r="P564" t="s">
        <v>127</v>
      </c>
      <c r="Q564">
        <v>1000</v>
      </c>
      <c r="R564" s="296">
        <v>1E-4</v>
      </c>
      <c r="S564" s="296">
        <v>0.92879999999999996</v>
      </c>
      <c r="T564" s="297">
        <v>28597</v>
      </c>
      <c r="U564" s="340">
        <v>114277</v>
      </c>
      <c r="V564" s="340">
        <v>440752</v>
      </c>
      <c r="W564" s="297">
        <v>72988</v>
      </c>
      <c r="X564" s="296">
        <v>1.9E-2</v>
      </c>
    </row>
    <row r="565" spans="13:24">
      <c r="M565">
        <v>563</v>
      </c>
      <c r="N565">
        <v>49097</v>
      </c>
      <c r="O565" t="s">
        <v>1135</v>
      </c>
      <c r="P565" t="s">
        <v>140</v>
      </c>
      <c r="Q565">
        <v>117</v>
      </c>
      <c r="R565" s="296">
        <v>1E-4</v>
      </c>
      <c r="S565" s="296">
        <v>0.92889999999999995</v>
      </c>
      <c r="T565" s="297">
        <v>4592</v>
      </c>
      <c r="U565" s="340">
        <v>112015</v>
      </c>
      <c r="V565" s="340">
        <v>331980</v>
      </c>
      <c r="W565" s="297">
        <v>11670</v>
      </c>
      <c r="X565" s="296">
        <v>-2E-3</v>
      </c>
    </row>
    <row r="566" spans="13:24">
      <c r="M566">
        <v>564</v>
      </c>
      <c r="N566">
        <v>60551</v>
      </c>
      <c r="O566" t="s">
        <v>1136</v>
      </c>
      <c r="P566" t="s">
        <v>131</v>
      </c>
      <c r="Q566">
        <v>63</v>
      </c>
      <c r="R566" s="296">
        <v>1E-4</v>
      </c>
      <c r="S566" s="296">
        <v>0.92900000000000005</v>
      </c>
      <c r="T566" s="297">
        <v>1410</v>
      </c>
      <c r="U566" s="340">
        <v>108709</v>
      </c>
      <c r="V566" s="340">
        <v>312521</v>
      </c>
      <c r="W566" s="297">
        <v>5054</v>
      </c>
      <c r="X566" s="296">
        <v>-6.0000000000000001E-3</v>
      </c>
    </row>
    <row r="567" spans="13:24">
      <c r="M567">
        <v>565</v>
      </c>
      <c r="N567">
        <v>90731</v>
      </c>
      <c r="O567" t="s">
        <v>1137</v>
      </c>
      <c r="P567" t="s">
        <v>132</v>
      </c>
      <c r="Q567">
        <v>1749</v>
      </c>
      <c r="R567" s="296">
        <v>1E-4</v>
      </c>
      <c r="S567" s="296">
        <v>0.92900000000000005</v>
      </c>
      <c r="T567" s="297">
        <v>22762</v>
      </c>
      <c r="U567" s="340">
        <v>108383</v>
      </c>
      <c r="V567" s="340">
        <v>945466</v>
      </c>
      <c r="W567" s="297">
        <v>58297</v>
      </c>
      <c r="X567" s="296">
        <v>-8.9999999999999993E-3</v>
      </c>
    </row>
    <row r="568" spans="13:24">
      <c r="M568">
        <v>566</v>
      </c>
      <c r="N568">
        <v>46234</v>
      </c>
      <c r="O568" t="s">
        <v>561</v>
      </c>
      <c r="P568" t="s">
        <v>144</v>
      </c>
      <c r="Q568">
        <v>179</v>
      </c>
      <c r="R568" s="296">
        <v>1E-4</v>
      </c>
      <c r="S568" s="296">
        <v>0.92910000000000004</v>
      </c>
      <c r="T568" s="297">
        <v>10624</v>
      </c>
      <c r="U568" s="340">
        <v>108324</v>
      </c>
      <c r="V568" s="340">
        <v>262192</v>
      </c>
      <c r="W568" s="297">
        <v>28261</v>
      </c>
      <c r="X568" s="296">
        <v>2E-3</v>
      </c>
    </row>
    <row r="569" spans="13:24">
      <c r="M569">
        <v>567</v>
      </c>
      <c r="N569">
        <v>53108</v>
      </c>
      <c r="O569" t="s">
        <v>1138</v>
      </c>
      <c r="P569" t="s">
        <v>149</v>
      </c>
      <c r="Q569">
        <v>47</v>
      </c>
      <c r="R569" s="296">
        <v>1E-4</v>
      </c>
      <c r="S569" s="296">
        <v>0.92920000000000003</v>
      </c>
      <c r="T569" s="297">
        <v>1290</v>
      </c>
      <c r="U569" s="340">
        <v>108169</v>
      </c>
      <c r="V569" s="340">
        <v>413470</v>
      </c>
      <c r="W569" s="297">
        <v>3065</v>
      </c>
      <c r="X569" s="296">
        <v>-7.0000000000000001E-3</v>
      </c>
    </row>
    <row r="570" spans="13:24">
      <c r="M570">
        <v>568</v>
      </c>
      <c r="N570">
        <v>52245</v>
      </c>
      <c r="O570" t="s">
        <v>1139</v>
      </c>
      <c r="P570" t="s">
        <v>170</v>
      </c>
      <c r="Q570">
        <v>194</v>
      </c>
      <c r="R570" s="296">
        <v>1E-4</v>
      </c>
      <c r="S570" s="296">
        <v>0.92930000000000001</v>
      </c>
      <c r="T570" s="297">
        <v>9887</v>
      </c>
      <c r="U570" s="340">
        <v>107856</v>
      </c>
      <c r="V570" s="340">
        <v>337417</v>
      </c>
      <c r="W570" s="297">
        <v>26383</v>
      </c>
      <c r="X570" s="296">
        <v>6.0000000000000001E-3</v>
      </c>
    </row>
    <row r="571" spans="13:24">
      <c r="M571">
        <v>569</v>
      </c>
      <c r="N571">
        <v>53037</v>
      </c>
      <c r="O571" t="s">
        <v>1140</v>
      </c>
      <c r="P571" t="s">
        <v>149</v>
      </c>
      <c r="Q571">
        <v>83</v>
      </c>
      <c r="R571" s="296">
        <v>1E-4</v>
      </c>
      <c r="S571" s="296">
        <v>0.92930000000000001</v>
      </c>
      <c r="T571" s="297">
        <v>4461</v>
      </c>
      <c r="U571" s="340">
        <v>107825</v>
      </c>
      <c r="V571" s="340">
        <v>394563</v>
      </c>
      <c r="W571" s="297">
        <v>10318</v>
      </c>
      <c r="X571" s="296">
        <v>5.0000000000000001E-3</v>
      </c>
    </row>
    <row r="572" spans="13:24">
      <c r="M572">
        <v>570</v>
      </c>
      <c r="N572">
        <v>54455</v>
      </c>
      <c r="O572" t="s">
        <v>1141</v>
      </c>
      <c r="P572" t="s">
        <v>149</v>
      </c>
      <c r="Q572">
        <v>205</v>
      </c>
      <c r="R572" s="296">
        <v>1E-4</v>
      </c>
      <c r="S572" s="296">
        <v>0.9294</v>
      </c>
      <c r="T572" s="297">
        <v>7814</v>
      </c>
      <c r="U572" s="340">
        <v>107655</v>
      </c>
      <c r="V572" s="340">
        <v>294999</v>
      </c>
      <c r="W572" s="297">
        <v>19210</v>
      </c>
      <c r="X572" s="296">
        <v>2E-3</v>
      </c>
    </row>
    <row r="573" spans="13:24">
      <c r="M573">
        <v>571</v>
      </c>
      <c r="N573">
        <v>48313</v>
      </c>
      <c r="O573" t="s">
        <v>1142</v>
      </c>
      <c r="P573" t="s">
        <v>140</v>
      </c>
      <c r="Q573">
        <v>246</v>
      </c>
      <c r="R573" s="296">
        <v>1E-4</v>
      </c>
      <c r="S573" s="296">
        <v>0.92949999999999999</v>
      </c>
      <c r="T573" s="297">
        <v>13829</v>
      </c>
      <c r="U573" s="340">
        <v>107199</v>
      </c>
      <c r="V573" s="340">
        <v>282215</v>
      </c>
      <c r="W573" s="297">
        <v>33802</v>
      </c>
      <c r="X573" s="296">
        <v>-2E-3</v>
      </c>
    </row>
    <row r="574" spans="13:24">
      <c r="M574">
        <v>572</v>
      </c>
      <c r="N574">
        <v>30121</v>
      </c>
      <c r="O574" t="s">
        <v>1143</v>
      </c>
      <c r="P574" t="s">
        <v>130</v>
      </c>
      <c r="Q574">
        <v>572</v>
      </c>
      <c r="R574" s="296">
        <v>1E-4</v>
      </c>
      <c r="S574" s="296">
        <v>0.92959999999999998</v>
      </c>
      <c r="T574" s="297">
        <v>10046</v>
      </c>
      <c r="U574" s="340">
        <v>104019</v>
      </c>
      <c r="V574" s="340">
        <v>325047</v>
      </c>
      <c r="W574" s="297">
        <v>26106</v>
      </c>
      <c r="X574" s="296">
        <v>8.9999999999999993E-3</v>
      </c>
    </row>
    <row r="575" spans="13:24">
      <c r="M575">
        <v>573</v>
      </c>
      <c r="N575">
        <v>53027</v>
      </c>
      <c r="O575" t="s">
        <v>517</v>
      </c>
      <c r="P575" t="s">
        <v>149</v>
      </c>
      <c r="Q575">
        <v>86</v>
      </c>
      <c r="R575" s="296">
        <v>1E-4</v>
      </c>
      <c r="S575" s="296">
        <v>0.92959999999999998</v>
      </c>
      <c r="T575" s="297">
        <v>10047</v>
      </c>
      <c r="U575" s="340">
        <v>103464</v>
      </c>
      <c r="V575" s="340">
        <v>388761</v>
      </c>
      <c r="W575" s="297">
        <v>24043</v>
      </c>
      <c r="X575" s="296">
        <v>5.0000000000000001E-3</v>
      </c>
    </row>
    <row r="576" spans="13:24">
      <c r="M576">
        <v>574</v>
      </c>
      <c r="N576">
        <v>46237</v>
      </c>
      <c r="O576" t="s">
        <v>561</v>
      </c>
      <c r="P576" t="s">
        <v>144</v>
      </c>
      <c r="Q576">
        <v>193</v>
      </c>
      <c r="R576" s="296">
        <v>1E-4</v>
      </c>
      <c r="S576" s="296">
        <v>0.92969999999999997</v>
      </c>
      <c r="T576" s="297">
        <v>17325</v>
      </c>
      <c r="U576" s="340">
        <v>102726</v>
      </c>
      <c r="V576" s="340">
        <v>278102</v>
      </c>
      <c r="W576" s="297">
        <v>45055</v>
      </c>
      <c r="X576" s="296">
        <v>2E-3</v>
      </c>
    </row>
    <row r="577" spans="13:24">
      <c r="M577">
        <v>575</v>
      </c>
      <c r="N577">
        <v>46350</v>
      </c>
      <c r="O577" t="s">
        <v>1144</v>
      </c>
      <c r="P577" t="s">
        <v>144</v>
      </c>
      <c r="Q577">
        <v>66</v>
      </c>
      <c r="R577" s="296">
        <v>1E-4</v>
      </c>
      <c r="S577" s="296">
        <v>0.92979999999999996</v>
      </c>
      <c r="T577" s="297">
        <v>17923</v>
      </c>
      <c r="U577" s="340">
        <v>99601</v>
      </c>
      <c r="V577" s="340">
        <v>268367</v>
      </c>
      <c r="W577" s="297">
        <v>45072</v>
      </c>
      <c r="X577" s="296">
        <v>2E-3</v>
      </c>
    </row>
    <row r="578" spans="13:24">
      <c r="M578">
        <v>576</v>
      </c>
      <c r="N578">
        <v>61611</v>
      </c>
      <c r="O578" t="s">
        <v>1145</v>
      </c>
      <c r="P578" t="s">
        <v>131</v>
      </c>
      <c r="Q578">
        <v>137</v>
      </c>
      <c r="R578" s="296">
        <v>1E-4</v>
      </c>
      <c r="S578" s="296">
        <v>0.92989999999999995</v>
      </c>
      <c r="T578" s="297">
        <v>10204</v>
      </c>
      <c r="U578" s="340">
        <v>99125</v>
      </c>
      <c r="V578" s="340">
        <v>215334</v>
      </c>
      <c r="W578" s="297">
        <v>23585</v>
      </c>
      <c r="X578" s="296">
        <v>-3.0000000000000001E-3</v>
      </c>
    </row>
    <row r="579" spans="13:24">
      <c r="M579">
        <v>577</v>
      </c>
      <c r="N579">
        <v>85027</v>
      </c>
      <c r="O579" t="s">
        <v>548</v>
      </c>
      <c r="P579" t="s">
        <v>158</v>
      </c>
      <c r="Q579">
        <v>1442</v>
      </c>
      <c r="R579" s="296">
        <v>1E-4</v>
      </c>
      <c r="S579" s="296">
        <v>0.92989999999999995</v>
      </c>
      <c r="T579" s="297">
        <v>15771</v>
      </c>
      <c r="U579" s="340">
        <v>97478</v>
      </c>
      <c r="V579" s="340">
        <v>437469</v>
      </c>
      <c r="W579" s="297">
        <v>37466</v>
      </c>
      <c r="X579" s="296">
        <v>1E-3</v>
      </c>
    </row>
    <row r="580" spans="13:24">
      <c r="M580">
        <v>578</v>
      </c>
      <c r="N580">
        <v>54952</v>
      </c>
      <c r="O580" t="s">
        <v>1146</v>
      </c>
      <c r="P580" t="s">
        <v>149</v>
      </c>
      <c r="Q580">
        <v>146</v>
      </c>
      <c r="R580" s="296">
        <v>1E-4</v>
      </c>
      <c r="S580" s="296">
        <v>0.93</v>
      </c>
      <c r="T580" s="297">
        <v>11967</v>
      </c>
      <c r="U580" s="340">
        <v>93652</v>
      </c>
      <c r="V580" s="340">
        <v>298243</v>
      </c>
      <c r="W580" s="297">
        <v>28060</v>
      </c>
      <c r="X580" s="296">
        <v>5.0000000000000001E-3</v>
      </c>
    </row>
    <row r="581" spans="13:24">
      <c r="M581">
        <v>579</v>
      </c>
      <c r="N581">
        <v>54521</v>
      </c>
      <c r="O581" t="s">
        <v>1147</v>
      </c>
      <c r="P581" t="s">
        <v>149</v>
      </c>
      <c r="Q581">
        <v>270</v>
      </c>
      <c r="R581" s="296">
        <v>1E-4</v>
      </c>
      <c r="S581" s="296">
        <v>0.93010000000000004</v>
      </c>
      <c r="T581" s="297">
        <v>4050</v>
      </c>
      <c r="U581" s="340">
        <v>93030</v>
      </c>
      <c r="V581" s="340">
        <v>379678</v>
      </c>
      <c r="W581" s="297">
        <v>8628</v>
      </c>
      <c r="X581" s="296">
        <v>8.0000000000000002E-3</v>
      </c>
    </row>
    <row r="582" spans="13:24">
      <c r="M582">
        <v>580</v>
      </c>
      <c r="N582">
        <v>43606</v>
      </c>
      <c r="O582" t="s">
        <v>846</v>
      </c>
      <c r="P582" t="s">
        <v>136</v>
      </c>
      <c r="Q582">
        <v>218</v>
      </c>
      <c r="R582" s="296">
        <v>1E-4</v>
      </c>
      <c r="S582" s="296">
        <v>0.93020000000000003</v>
      </c>
      <c r="T582" s="297">
        <v>10332</v>
      </c>
      <c r="U582" s="340">
        <v>89640</v>
      </c>
      <c r="V582" s="340">
        <v>220123</v>
      </c>
      <c r="W582" s="297">
        <v>25954</v>
      </c>
      <c r="X582" s="296">
        <v>-1E-3</v>
      </c>
    </row>
    <row r="583" spans="13:24">
      <c r="M583">
        <v>581</v>
      </c>
      <c r="N583">
        <v>49855</v>
      </c>
      <c r="O583" t="s">
        <v>1148</v>
      </c>
      <c r="P583" t="s">
        <v>140</v>
      </c>
      <c r="Q583">
        <v>303</v>
      </c>
      <c r="R583" s="296">
        <v>1E-4</v>
      </c>
      <c r="S583" s="296">
        <v>0.93020000000000003</v>
      </c>
      <c r="T583" s="297">
        <v>13736</v>
      </c>
      <c r="U583" s="340">
        <v>88383</v>
      </c>
      <c r="V583" s="340">
        <v>334421</v>
      </c>
      <c r="W583" s="297">
        <v>32923</v>
      </c>
      <c r="X583" s="296">
        <v>1E-3</v>
      </c>
    </row>
    <row r="584" spans="13:24">
      <c r="M584">
        <v>582</v>
      </c>
      <c r="N584">
        <v>77080</v>
      </c>
      <c r="O584" t="s">
        <v>314</v>
      </c>
      <c r="P584" t="s">
        <v>134</v>
      </c>
      <c r="Q584">
        <v>954</v>
      </c>
      <c r="R584" s="296">
        <v>1E-4</v>
      </c>
      <c r="S584" s="296">
        <v>0.93030000000000002</v>
      </c>
      <c r="T584" s="297">
        <v>17526</v>
      </c>
      <c r="U584" s="340">
        <v>88337</v>
      </c>
      <c r="V584" s="340">
        <v>372845</v>
      </c>
      <c r="W584" s="297">
        <v>48635</v>
      </c>
      <c r="X584" s="296">
        <v>8.0000000000000002E-3</v>
      </c>
    </row>
    <row r="585" spans="13:24">
      <c r="M585">
        <v>583</v>
      </c>
      <c r="N585">
        <v>81008</v>
      </c>
      <c r="O585" t="s">
        <v>809</v>
      </c>
      <c r="P585" t="s">
        <v>142</v>
      </c>
      <c r="Q585">
        <v>920</v>
      </c>
      <c r="R585" s="296">
        <v>1E-4</v>
      </c>
      <c r="S585" s="296">
        <v>0.9304</v>
      </c>
      <c r="T585" s="297">
        <v>5312</v>
      </c>
      <c r="U585" s="340">
        <v>88059</v>
      </c>
      <c r="V585" s="340">
        <v>349250</v>
      </c>
      <c r="W585" s="297">
        <v>12432</v>
      </c>
      <c r="X585" s="296">
        <v>1.0999999999999999E-2</v>
      </c>
    </row>
    <row r="586" spans="13:24">
      <c r="M586">
        <v>584</v>
      </c>
      <c r="N586">
        <v>54452</v>
      </c>
      <c r="O586" t="s">
        <v>1149</v>
      </c>
      <c r="P586" t="s">
        <v>149</v>
      </c>
      <c r="Q586">
        <v>234</v>
      </c>
      <c r="R586" s="296">
        <v>1E-4</v>
      </c>
      <c r="S586" s="296">
        <v>0.93049999999999999</v>
      </c>
      <c r="T586" s="297">
        <v>8084</v>
      </c>
      <c r="U586" s="340">
        <v>86802</v>
      </c>
      <c r="V586" s="340">
        <v>236544</v>
      </c>
      <c r="W586" s="297">
        <v>18685</v>
      </c>
      <c r="X586" s="296">
        <v>-1E-3</v>
      </c>
    </row>
    <row r="587" spans="13:24">
      <c r="M587">
        <v>585</v>
      </c>
      <c r="N587">
        <v>33607</v>
      </c>
      <c r="O587" t="s">
        <v>475</v>
      </c>
      <c r="P587" t="s">
        <v>127</v>
      </c>
      <c r="Q587">
        <v>1024</v>
      </c>
      <c r="R587" s="296">
        <v>1E-4</v>
      </c>
      <c r="S587" s="296">
        <v>0.93049999999999999</v>
      </c>
      <c r="T587" s="297">
        <v>12792</v>
      </c>
      <c r="U587" s="340">
        <v>85750</v>
      </c>
      <c r="V587" s="340">
        <v>493831</v>
      </c>
      <c r="W587" s="297">
        <v>27867</v>
      </c>
      <c r="X587" s="296">
        <v>2.7E-2</v>
      </c>
    </row>
    <row r="588" spans="13:24">
      <c r="M588">
        <v>586</v>
      </c>
      <c r="N588">
        <v>43231</v>
      </c>
      <c r="O588" t="s">
        <v>468</v>
      </c>
      <c r="P588" t="s">
        <v>136</v>
      </c>
      <c r="Q588">
        <v>290</v>
      </c>
      <c r="R588" s="296">
        <v>1E-4</v>
      </c>
      <c r="S588" s="296">
        <v>0.93059999999999998</v>
      </c>
      <c r="T588" s="297">
        <v>8396</v>
      </c>
      <c r="U588" s="340">
        <v>85714</v>
      </c>
      <c r="V588" s="340">
        <v>303165</v>
      </c>
      <c r="W588" s="297">
        <v>22054</v>
      </c>
      <c r="X588" s="296">
        <v>0</v>
      </c>
    </row>
    <row r="589" spans="13:24">
      <c r="M589">
        <v>587</v>
      </c>
      <c r="N589">
        <v>53511</v>
      </c>
      <c r="O589" t="s">
        <v>1150</v>
      </c>
      <c r="P589" t="s">
        <v>149</v>
      </c>
      <c r="Q589">
        <v>72</v>
      </c>
      <c r="R589" s="296">
        <v>1E-4</v>
      </c>
      <c r="S589" s="296">
        <v>0.93069999999999997</v>
      </c>
      <c r="T589" s="297">
        <v>19442</v>
      </c>
      <c r="U589" s="340">
        <v>85147</v>
      </c>
      <c r="V589" s="340">
        <v>260973</v>
      </c>
      <c r="W589" s="297">
        <v>49079</v>
      </c>
      <c r="X589" s="296">
        <v>2E-3</v>
      </c>
    </row>
    <row r="590" spans="13:24">
      <c r="M590">
        <v>588</v>
      </c>
      <c r="N590">
        <v>62521</v>
      </c>
      <c r="O590" t="s">
        <v>829</v>
      </c>
      <c r="P590" t="s">
        <v>131</v>
      </c>
      <c r="Q590">
        <v>172</v>
      </c>
      <c r="R590" s="296">
        <v>1E-4</v>
      </c>
      <c r="S590" s="296">
        <v>0.93079999999999996</v>
      </c>
      <c r="T590" s="297">
        <v>14727</v>
      </c>
      <c r="U590" s="340">
        <v>84037</v>
      </c>
      <c r="V590" s="340">
        <v>160085</v>
      </c>
      <c r="W590" s="297">
        <v>32956</v>
      </c>
      <c r="X590" s="296">
        <v>-8.9999999999999993E-3</v>
      </c>
    </row>
    <row r="591" spans="13:24">
      <c r="M591">
        <v>589</v>
      </c>
      <c r="N591">
        <v>51334</v>
      </c>
      <c r="O591" t="s">
        <v>1151</v>
      </c>
      <c r="P591" t="s">
        <v>170</v>
      </c>
      <c r="Q591">
        <v>367</v>
      </c>
      <c r="R591" s="296">
        <v>1E-4</v>
      </c>
      <c r="S591" s="296">
        <v>0.93079999999999996</v>
      </c>
      <c r="T591" s="297">
        <v>2929</v>
      </c>
      <c r="U591" s="340">
        <v>83529</v>
      </c>
      <c r="V591" s="340">
        <v>158219</v>
      </c>
      <c r="W591" s="297">
        <v>6991</v>
      </c>
      <c r="X591" s="296">
        <v>-5.0000000000000001E-3</v>
      </c>
    </row>
    <row r="592" spans="13:24">
      <c r="M592">
        <v>590</v>
      </c>
      <c r="N592">
        <v>53548</v>
      </c>
      <c r="O592" t="s">
        <v>1072</v>
      </c>
      <c r="P592" t="s">
        <v>149</v>
      </c>
      <c r="Q592">
        <v>78</v>
      </c>
      <c r="R592" s="296">
        <v>1E-4</v>
      </c>
      <c r="S592" s="296">
        <v>0.93089999999999995</v>
      </c>
      <c r="T592" s="297">
        <v>7779</v>
      </c>
      <c r="U592" s="340">
        <v>83128</v>
      </c>
      <c r="V592" s="340">
        <v>275796</v>
      </c>
      <c r="W592" s="297">
        <v>19099</v>
      </c>
      <c r="X592" s="296">
        <v>-2E-3</v>
      </c>
    </row>
    <row r="593" spans="13:24">
      <c r="M593">
        <v>591</v>
      </c>
      <c r="N593">
        <v>53944</v>
      </c>
      <c r="O593" t="s">
        <v>1152</v>
      </c>
      <c r="P593" t="s">
        <v>149</v>
      </c>
      <c r="Q593">
        <v>152</v>
      </c>
      <c r="R593" s="296">
        <v>1E-4</v>
      </c>
      <c r="S593" s="296">
        <v>0.93100000000000005</v>
      </c>
      <c r="T593" s="297">
        <v>1002</v>
      </c>
      <c r="U593" s="340">
        <v>81464</v>
      </c>
      <c r="V593" s="340">
        <v>308123</v>
      </c>
      <c r="W593" s="297">
        <v>2460</v>
      </c>
      <c r="X593" s="296">
        <v>0.01</v>
      </c>
    </row>
    <row r="594" spans="13:24">
      <c r="M594">
        <v>592</v>
      </c>
      <c r="N594">
        <v>54935</v>
      </c>
      <c r="O594" t="s">
        <v>1153</v>
      </c>
      <c r="P594" t="s">
        <v>149</v>
      </c>
      <c r="Q594">
        <v>117</v>
      </c>
      <c r="R594" s="296">
        <v>1E-4</v>
      </c>
      <c r="S594" s="296">
        <v>0.93110000000000004</v>
      </c>
      <c r="T594" s="297">
        <v>18356</v>
      </c>
      <c r="U594" s="340">
        <v>81017</v>
      </c>
      <c r="V594" s="340">
        <v>247979</v>
      </c>
      <c r="W594" s="297">
        <v>43402</v>
      </c>
      <c r="X594" s="296">
        <v>-2E-3</v>
      </c>
    </row>
    <row r="595" spans="13:24">
      <c r="M595">
        <v>593</v>
      </c>
      <c r="N595">
        <v>54121</v>
      </c>
      <c r="O595" t="s">
        <v>696</v>
      </c>
      <c r="P595" t="s">
        <v>149</v>
      </c>
      <c r="Q595">
        <v>259</v>
      </c>
      <c r="R595" s="296">
        <v>1E-4</v>
      </c>
      <c r="S595" s="296">
        <v>0.93110000000000004</v>
      </c>
      <c r="T595" s="297">
        <v>1468</v>
      </c>
      <c r="U595" s="340">
        <v>79423</v>
      </c>
      <c r="V595" s="340">
        <v>246778</v>
      </c>
      <c r="W595" s="297">
        <v>3074</v>
      </c>
      <c r="X595" s="296">
        <v>1E-3</v>
      </c>
    </row>
    <row r="596" spans="13:24">
      <c r="M596">
        <v>594</v>
      </c>
      <c r="N596">
        <v>53948</v>
      </c>
      <c r="O596" t="s">
        <v>1154</v>
      </c>
      <c r="P596" t="s">
        <v>149</v>
      </c>
      <c r="Q596">
        <v>162</v>
      </c>
      <c r="R596" s="296">
        <v>1E-4</v>
      </c>
      <c r="S596" s="296">
        <v>0.93120000000000003</v>
      </c>
      <c r="T596" s="297">
        <v>3563</v>
      </c>
      <c r="U596" s="340">
        <v>78631</v>
      </c>
      <c r="V596" s="340">
        <v>238455</v>
      </c>
      <c r="W596" s="297">
        <v>8302</v>
      </c>
      <c r="X596" s="296">
        <v>2E-3</v>
      </c>
    </row>
    <row r="597" spans="13:24">
      <c r="M597">
        <v>595</v>
      </c>
      <c r="N597">
        <v>53223</v>
      </c>
      <c r="O597" t="s">
        <v>463</v>
      </c>
      <c r="P597" t="s">
        <v>149</v>
      </c>
      <c r="Q597">
        <v>71</v>
      </c>
      <c r="R597" s="296">
        <v>1E-4</v>
      </c>
      <c r="S597" s="296">
        <v>0.93130000000000002</v>
      </c>
      <c r="T597" s="297">
        <v>12429</v>
      </c>
      <c r="U597" s="340">
        <v>78248</v>
      </c>
      <c r="V597" s="340">
        <v>221160</v>
      </c>
      <c r="W597" s="297">
        <v>29855</v>
      </c>
      <c r="X597" s="296">
        <v>0</v>
      </c>
    </row>
    <row r="598" spans="13:24">
      <c r="M598">
        <v>596</v>
      </c>
      <c r="N598">
        <v>90011</v>
      </c>
      <c r="O598" t="s">
        <v>309</v>
      </c>
      <c r="P598" t="s">
        <v>132</v>
      </c>
      <c r="Q598">
        <v>1739</v>
      </c>
      <c r="R598" s="296">
        <v>1E-4</v>
      </c>
      <c r="S598" s="296">
        <v>0.93140000000000001</v>
      </c>
      <c r="T598" s="297">
        <v>23904</v>
      </c>
      <c r="U598" s="340">
        <v>74256</v>
      </c>
      <c r="V598" s="340">
        <v>674568</v>
      </c>
      <c r="W598" s="297">
        <v>100233</v>
      </c>
      <c r="X598" s="296">
        <v>-8.0000000000000002E-3</v>
      </c>
    </row>
    <row r="599" spans="13:24">
      <c r="M599">
        <v>597</v>
      </c>
      <c r="N599">
        <v>83236</v>
      </c>
      <c r="O599" t="s">
        <v>1155</v>
      </c>
      <c r="P599" t="s">
        <v>172</v>
      </c>
      <c r="Q599">
        <v>1230</v>
      </c>
      <c r="R599" s="296">
        <v>1E-4</v>
      </c>
      <c r="S599" s="296">
        <v>0.93140000000000001</v>
      </c>
      <c r="T599" s="297">
        <v>1386</v>
      </c>
      <c r="U599" s="340">
        <v>73416</v>
      </c>
      <c r="V599" s="340">
        <v>384754</v>
      </c>
      <c r="W599" s="297">
        <v>4233</v>
      </c>
      <c r="X599" s="296">
        <v>3.0000000000000001E-3</v>
      </c>
    </row>
    <row r="600" spans="13:24">
      <c r="M600">
        <v>598</v>
      </c>
      <c r="N600">
        <v>62301</v>
      </c>
      <c r="O600" t="s">
        <v>372</v>
      </c>
      <c r="P600" t="s">
        <v>131</v>
      </c>
      <c r="Q600">
        <v>242</v>
      </c>
      <c r="R600" s="296">
        <v>1E-4</v>
      </c>
      <c r="S600" s="296">
        <v>0.93149999999999999</v>
      </c>
      <c r="T600" s="297">
        <v>13330</v>
      </c>
      <c r="U600" s="340">
        <v>72849</v>
      </c>
      <c r="V600" s="340">
        <v>169073</v>
      </c>
      <c r="W600" s="297">
        <v>30561</v>
      </c>
      <c r="X600" s="296">
        <v>-5.0000000000000001E-3</v>
      </c>
    </row>
    <row r="601" spans="13:24">
      <c r="M601">
        <v>599</v>
      </c>
      <c r="N601">
        <v>49006</v>
      </c>
      <c r="O601" t="s">
        <v>1156</v>
      </c>
      <c r="P601" t="s">
        <v>140</v>
      </c>
      <c r="Q601">
        <v>111</v>
      </c>
      <c r="R601" s="296">
        <v>1E-4</v>
      </c>
      <c r="S601" s="296">
        <v>0.93159999999999998</v>
      </c>
      <c r="T601" s="297">
        <v>10818</v>
      </c>
      <c r="U601" s="340">
        <v>72842</v>
      </c>
      <c r="V601" s="340">
        <v>229392</v>
      </c>
      <c r="W601" s="297">
        <v>24263</v>
      </c>
      <c r="X601" s="296">
        <v>0</v>
      </c>
    </row>
    <row r="602" spans="13:24">
      <c r="M602">
        <v>600</v>
      </c>
      <c r="N602">
        <v>61606</v>
      </c>
      <c r="O602" t="s">
        <v>1052</v>
      </c>
      <c r="P602" t="s">
        <v>131</v>
      </c>
      <c r="Q602">
        <v>138</v>
      </c>
      <c r="R602" s="296">
        <v>1E-4</v>
      </c>
      <c r="S602" s="296">
        <v>0.93169999999999997</v>
      </c>
      <c r="T602" s="297">
        <v>2420</v>
      </c>
      <c r="U602" s="340">
        <v>72479</v>
      </c>
      <c r="V602" s="340">
        <v>171315</v>
      </c>
      <c r="W602" s="297">
        <v>7069</v>
      </c>
      <c r="X602" s="296">
        <v>-3.0000000000000001E-3</v>
      </c>
    </row>
    <row r="603" spans="13:24">
      <c r="M603">
        <v>601</v>
      </c>
      <c r="N603">
        <v>61832</v>
      </c>
      <c r="O603" t="s">
        <v>304</v>
      </c>
      <c r="P603" t="s">
        <v>131</v>
      </c>
      <c r="Q603">
        <v>139</v>
      </c>
      <c r="R603" s="296">
        <v>1E-4</v>
      </c>
      <c r="S603" s="296">
        <v>0.93169999999999997</v>
      </c>
      <c r="T603" s="297">
        <v>13131</v>
      </c>
      <c r="U603" s="340">
        <v>68836</v>
      </c>
      <c r="V603" s="340">
        <v>121609</v>
      </c>
      <c r="W603" s="297">
        <v>30363</v>
      </c>
      <c r="X603" s="296">
        <v>-1.0999999999999999E-2</v>
      </c>
    </row>
    <row r="604" spans="13:24">
      <c r="M604">
        <v>602</v>
      </c>
      <c r="N604">
        <v>62703</v>
      </c>
      <c r="O604" t="s">
        <v>515</v>
      </c>
      <c r="P604" t="s">
        <v>131</v>
      </c>
      <c r="Q604">
        <v>191</v>
      </c>
      <c r="R604" s="296">
        <v>1E-4</v>
      </c>
      <c r="S604" s="296">
        <v>0.93179999999999996</v>
      </c>
      <c r="T604" s="297">
        <v>11788</v>
      </c>
      <c r="U604" s="340">
        <v>68716</v>
      </c>
      <c r="V604" s="340">
        <v>146185</v>
      </c>
      <c r="W604" s="297">
        <v>27482</v>
      </c>
      <c r="X604" s="296">
        <v>-5.0000000000000001E-3</v>
      </c>
    </row>
    <row r="605" spans="13:24">
      <c r="M605">
        <v>603</v>
      </c>
      <c r="N605">
        <v>61603</v>
      </c>
      <c r="O605" t="s">
        <v>1052</v>
      </c>
      <c r="P605" t="s">
        <v>131</v>
      </c>
      <c r="Q605">
        <v>136</v>
      </c>
      <c r="R605" s="296">
        <v>1E-4</v>
      </c>
      <c r="S605" s="296">
        <v>0.93189999999999995</v>
      </c>
      <c r="T605" s="297">
        <v>6161</v>
      </c>
      <c r="U605" s="340">
        <v>56972</v>
      </c>
      <c r="V605" s="340">
        <v>122391</v>
      </c>
      <c r="W605" s="297">
        <v>15638</v>
      </c>
      <c r="X605" s="296">
        <v>1E-3</v>
      </c>
    </row>
    <row r="606" spans="13:24">
      <c r="M606">
        <v>604</v>
      </c>
      <c r="N606">
        <v>48109</v>
      </c>
      <c r="O606" t="s">
        <v>540</v>
      </c>
      <c r="P606" t="s">
        <v>140</v>
      </c>
      <c r="Q606">
        <v>207</v>
      </c>
      <c r="R606" s="296">
        <v>1E-4</v>
      </c>
      <c r="S606" s="296">
        <v>0.93200000000000005</v>
      </c>
      <c r="T606">
        <v>201</v>
      </c>
      <c r="U606" s="340">
        <v>48729</v>
      </c>
      <c r="V606" s="340">
        <v>125000</v>
      </c>
      <c r="W606" s="297">
        <v>5677</v>
      </c>
      <c r="X606" s="296">
        <v>-2.9000000000000001E-2</v>
      </c>
    </row>
    <row r="607" spans="13:24">
      <c r="M607">
        <v>605</v>
      </c>
      <c r="N607">
        <v>22207</v>
      </c>
      <c r="O607" t="s">
        <v>403</v>
      </c>
      <c r="P607" t="s">
        <v>139</v>
      </c>
      <c r="Q607">
        <v>603</v>
      </c>
      <c r="R607" s="296">
        <v>1E-4</v>
      </c>
      <c r="S607" s="296">
        <v>0.93200000000000005</v>
      </c>
      <c r="T607" s="297">
        <v>11392</v>
      </c>
      <c r="U607" s="340">
        <v>295059</v>
      </c>
      <c r="V607" s="340">
        <v>1322878</v>
      </c>
      <c r="W607" s="297">
        <v>33359</v>
      </c>
      <c r="X607" s="296">
        <v>0</v>
      </c>
    </row>
    <row r="608" spans="13:24">
      <c r="M608">
        <v>606</v>
      </c>
      <c r="N608">
        <v>19425</v>
      </c>
      <c r="O608" t="s">
        <v>1157</v>
      </c>
      <c r="P608" t="s">
        <v>133</v>
      </c>
      <c r="Q608">
        <v>647</v>
      </c>
      <c r="R608" s="296">
        <v>1E-4</v>
      </c>
      <c r="S608" s="296">
        <v>0.93210000000000004</v>
      </c>
      <c r="T608" s="297">
        <v>5929</v>
      </c>
      <c r="U608" s="340">
        <v>249625</v>
      </c>
      <c r="V608" s="340">
        <v>667622</v>
      </c>
      <c r="W608" s="297">
        <v>17527</v>
      </c>
      <c r="X608" s="296">
        <v>0.01</v>
      </c>
    </row>
    <row r="609" spans="13:24">
      <c r="M609">
        <v>607</v>
      </c>
      <c r="N609">
        <v>48374</v>
      </c>
      <c r="O609" t="s">
        <v>520</v>
      </c>
      <c r="P609" t="s">
        <v>140</v>
      </c>
      <c r="Q609">
        <v>219</v>
      </c>
      <c r="R609" s="296">
        <v>1E-4</v>
      </c>
      <c r="S609" s="296">
        <v>0.93210000000000004</v>
      </c>
      <c r="T609" s="297">
        <v>6026</v>
      </c>
      <c r="U609" s="340">
        <v>222414</v>
      </c>
      <c r="V609" s="340">
        <v>535214</v>
      </c>
      <c r="W609" s="297">
        <v>18139</v>
      </c>
      <c r="X609" s="296">
        <v>1E-3</v>
      </c>
    </row>
    <row r="610" spans="13:24">
      <c r="M610">
        <v>608</v>
      </c>
      <c r="N610">
        <v>60604</v>
      </c>
      <c r="O610" t="s">
        <v>437</v>
      </c>
      <c r="P610" t="s">
        <v>131</v>
      </c>
      <c r="Q610">
        <v>20</v>
      </c>
      <c r="R610" s="296">
        <v>1E-4</v>
      </c>
      <c r="S610" s="296">
        <v>0.93220000000000003</v>
      </c>
      <c r="T610">
        <v>498</v>
      </c>
      <c r="U610" s="340">
        <v>220962</v>
      </c>
      <c r="V610" s="340">
        <v>918561</v>
      </c>
      <c r="W610">
        <v>871</v>
      </c>
      <c r="X610" s="296">
        <v>-1.4E-2</v>
      </c>
    </row>
    <row r="611" spans="13:24">
      <c r="M611">
        <v>609</v>
      </c>
      <c r="N611">
        <v>94110</v>
      </c>
      <c r="O611" t="s">
        <v>290</v>
      </c>
      <c r="P611" t="s">
        <v>132</v>
      </c>
      <c r="Q611">
        <v>1846</v>
      </c>
      <c r="R611" s="296">
        <v>1E-4</v>
      </c>
      <c r="S611" s="296">
        <v>0.93230000000000002</v>
      </c>
      <c r="T611" s="297">
        <v>27005</v>
      </c>
      <c r="U611" s="340">
        <v>220832</v>
      </c>
      <c r="V611" s="340">
        <v>1532654</v>
      </c>
      <c r="W611" s="297">
        <v>64754</v>
      </c>
      <c r="X611" s="296">
        <v>-1.2E-2</v>
      </c>
    </row>
    <row r="612" spans="13:24">
      <c r="M612">
        <v>610</v>
      </c>
      <c r="N612">
        <v>46077</v>
      </c>
      <c r="O612" t="s">
        <v>523</v>
      </c>
      <c r="P612" t="s">
        <v>144</v>
      </c>
      <c r="Q612">
        <v>169</v>
      </c>
      <c r="R612" s="296">
        <v>1E-4</v>
      </c>
      <c r="S612" s="296">
        <v>0.93230000000000002</v>
      </c>
      <c r="T612" s="297">
        <v>12792</v>
      </c>
      <c r="U612" s="340">
        <v>215976</v>
      </c>
      <c r="V612" s="340">
        <v>568302</v>
      </c>
      <c r="W612" s="297">
        <v>36967</v>
      </c>
      <c r="X612" s="296">
        <v>0.02</v>
      </c>
    </row>
    <row r="613" spans="13:24">
      <c r="M613">
        <v>611</v>
      </c>
      <c r="N613">
        <v>46033</v>
      </c>
      <c r="O613" t="s">
        <v>614</v>
      </c>
      <c r="P613" t="s">
        <v>144</v>
      </c>
      <c r="Q613">
        <v>174</v>
      </c>
      <c r="R613" s="296">
        <v>1E-4</v>
      </c>
      <c r="S613" s="296">
        <v>0.93240000000000001</v>
      </c>
      <c r="T613" s="297">
        <v>14553</v>
      </c>
      <c r="U613" s="340">
        <v>210559</v>
      </c>
      <c r="V613" s="340">
        <v>527436</v>
      </c>
      <c r="W613" s="297">
        <v>40302</v>
      </c>
      <c r="X613" s="296">
        <v>7.0000000000000001E-3</v>
      </c>
    </row>
    <row r="614" spans="13:24">
      <c r="M614">
        <v>612</v>
      </c>
      <c r="N614">
        <v>76129</v>
      </c>
      <c r="O614" t="s">
        <v>688</v>
      </c>
      <c r="P614" t="s">
        <v>134</v>
      </c>
      <c r="Q614">
        <v>830</v>
      </c>
      <c r="R614" s="296">
        <v>1E-4</v>
      </c>
      <c r="S614" s="296">
        <v>0.9325</v>
      </c>
      <c r="T614">
        <v>9</v>
      </c>
      <c r="U614" s="340">
        <v>207975</v>
      </c>
      <c r="V614" s="340">
        <v>558333</v>
      </c>
      <c r="W614" s="297">
        <v>2621</v>
      </c>
      <c r="X614" s="296">
        <v>2E-3</v>
      </c>
    </row>
    <row r="615" spans="13:24">
      <c r="M615">
        <v>613</v>
      </c>
      <c r="N615">
        <v>80210</v>
      </c>
      <c r="O615" t="s">
        <v>330</v>
      </c>
      <c r="P615" t="s">
        <v>142</v>
      </c>
      <c r="Q615">
        <v>911</v>
      </c>
      <c r="R615" s="296">
        <v>1E-4</v>
      </c>
      <c r="S615" s="296">
        <v>0.9325</v>
      </c>
      <c r="T615" s="297">
        <v>16430</v>
      </c>
      <c r="U615" s="340">
        <v>196712</v>
      </c>
      <c r="V615" s="340">
        <v>1030155</v>
      </c>
      <c r="W615" s="297">
        <v>38525</v>
      </c>
      <c r="X615" s="296">
        <v>-2E-3</v>
      </c>
    </row>
    <row r="616" spans="13:24">
      <c r="M616">
        <v>614</v>
      </c>
      <c r="N616">
        <v>91326</v>
      </c>
      <c r="O616" t="s">
        <v>1158</v>
      </c>
      <c r="P616" t="s">
        <v>132</v>
      </c>
      <c r="Q616">
        <v>1747</v>
      </c>
      <c r="R616" s="296">
        <v>1E-4</v>
      </c>
      <c r="S616" s="296">
        <v>0.93259999999999998</v>
      </c>
      <c r="T616" s="297">
        <v>14200</v>
      </c>
      <c r="U616" s="340">
        <v>189035</v>
      </c>
      <c r="V616" s="340">
        <v>1101501</v>
      </c>
      <c r="W616" s="297">
        <v>40086</v>
      </c>
      <c r="X616" s="296">
        <v>1.0999999999999999E-2</v>
      </c>
    </row>
    <row r="617" spans="13:24">
      <c r="M617">
        <v>615</v>
      </c>
      <c r="N617">
        <v>55317</v>
      </c>
      <c r="O617" t="s">
        <v>608</v>
      </c>
      <c r="P617" t="s">
        <v>151</v>
      </c>
      <c r="Q617">
        <v>344</v>
      </c>
      <c r="R617" s="296">
        <v>1E-4</v>
      </c>
      <c r="S617" s="296">
        <v>0.93259999999999998</v>
      </c>
      <c r="T617" s="297">
        <v>8441</v>
      </c>
      <c r="U617" s="340">
        <v>178001</v>
      </c>
      <c r="V617" s="340">
        <v>661016</v>
      </c>
      <c r="W617" s="297">
        <v>21801</v>
      </c>
      <c r="X617" s="296">
        <v>4.0000000000000001E-3</v>
      </c>
    </row>
    <row r="618" spans="13:24">
      <c r="M618">
        <v>616</v>
      </c>
      <c r="N618">
        <v>85258</v>
      </c>
      <c r="O618" t="s">
        <v>1159</v>
      </c>
      <c r="P618" t="s">
        <v>158</v>
      </c>
      <c r="Q618">
        <v>1436</v>
      </c>
      <c r="R618" s="296">
        <v>1E-4</v>
      </c>
      <c r="S618" s="296">
        <v>0.93269999999999997</v>
      </c>
      <c r="T618" s="297">
        <v>13027</v>
      </c>
      <c r="U618" s="340">
        <v>177192</v>
      </c>
      <c r="V618" s="340">
        <v>784123</v>
      </c>
      <c r="W618" s="297">
        <v>25669</v>
      </c>
      <c r="X618" s="296">
        <v>3.0000000000000001E-3</v>
      </c>
    </row>
    <row r="619" spans="13:24">
      <c r="M619">
        <v>617</v>
      </c>
      <c r="N619">
        <v>45040</v>
      </c>
      <c r="O619" t="s">
        <v>1160</v>
      </c>
      <c r="P619" t="s">
        <v>136</v>
      </c>
      <c r="Q619">
        <v>266</v>
      </c>
      <c r="R619" s="296">
        <v>1E-4</v>
      </c>
      <c r="S619" s="296">
        <v>0.93279999999999996</v>
      </c>
      <c r="T619" s="297">
        <v>21448</v>
      </c>
      <c r="U619" s="340">
        <v>175214</v>
      </c>
      <c r="V619" s="340">
        <v>469620</v>
      </c>
      <c r="W619" s="297">
        <v>59196</v>
      </c>
      <c r="X619" s="296">
        <v>1.0999999999999999E-2</v>
      </c>
    </row>
    <row r="620" spans="13:24">
      <c r="M620">
        <v>618</v>
      </c>
      <c r="N620">
        <v>33133</v>
      </c>
      <c r="O620" t="s">
        <v>293</v>
      </c>
      <c r="P620" t="s">
        <v>127</v>
      </c>
      <c r="Q620">
        <v>1213</v>
      </c>
      <c r="R620" s="296">
        <v>1E-4</v>
      </c>
      <c r="S620" s="296">
        <v>0.93279999999999996</v>
      </c>
      <c r="T620" s="297">
        <v>15122</v>
      </c>
      <c r="U620" s="340">
        <v>173171</v>
      </c>
      <c r="V620" s="340">
        <v>1140723</v>
      </c>
      <c r="W620" s="297">
        <v>34390</v>
      </c>
      <c r="X620" s="296">
        <v>8.0000000000000002E-3</v>
      </c>
    </row>
    <row r="621" spans="13:24">
      <c r="M621">
        <v>619</v>
      </c>
      <c r="N621">
        <v>98026</v>
      </c>
      <c r="O621" t="s">
        <v>1161</v>
      </c>
      <c r="P621" t="s">
        <v>224</v>
      </c>
      <c r="Q621">
        <v>1717</v>
      </c>
      <c r="R621" s="296">
        <v>1E-4</v>
      </c>
      <c r="S621" s="296">
        <v>0.93289999999999995</v>
      </c>
      <c r="T621" s="297">
        <v>15725</v>
      </c>
      <c r="U621" s="340">
        <v>165595</v>
      </c>
      <c r="V621" s="340">
        <v>952237</v>
      </c>
      <c r="W621" s="297">
        <v>39249</v>
      </c>
      <c r="X621" s="296">
        <v>5.0000000000000001E-3</v>
      </c>
    </row>
    <row r="622" spans="13:24">
      <c r="M622">
        <v>620</v>
      </c>
      <c r="N622">
        <v>78681</v>
      </c>
      <c r="O622" t="s">
        <v>496</v>
      </c>
      <c r="P622" t="s">
        <v>134</v>
      </c>
      <c r="Q622">
        <v>974</v>
      </c>
      <c r="R622" s="296">
        <v>1E-4</v>
      </c>
      <c r="S622" s="296">
        <v>0.93300000000000005</v>
      </c>
      <c r="T622" s="297">
        <v>20844</v>
      </c>
      <c r="U622" s="340">
        <v>162274</v>
      </c>
      <c r="V622" s="340">
        <v>543186</v>
      </c>
      <c r="W622" s="297">
        <v>59583</v>
      </c>
      <c r="X622" s="296">
        <v>7.0000000000000001E-3</v>
      </c>
    </row>
    <row r="623" spans="13:24">
      <c r="M623">
        <v>621</v>
      </c>
      <c r="N623">
        <v>53029</v>
      </c>
      <c r="O623" t="s">
        <v>1162</v>
      </c>
      <c r="P623" t="s">
        <v>149</v>
      </c>
      <c r="Q623">
        <v>73</v>
      </c>
      <c r="R623" s="296">
        <v>1E-4</v>
      </c>
      <c r="S623" s="296">
        <v>0.93300000000000005</v>
      </c>
      <c r="T623" s="297">
        <v>8631</v>
      </c>
      <c r="U623" s="340">
        <v>161797</v>
      </c>
      <c r="V623" s="340">
        <v>600830</v>
      </c>
      <c r="W623" s="297">
        <v>22207</v>
      </c>
      <c r="X623" s="296">
        <v>8.9999999999999993E-3</v>
      </c>
    </row>
    <row r="624" spans="13:24">
      <c r="M624">
        <v>622</v>
      </c>
      <c r="N624">
        <v>66223</v>
      </c>
      <c r="O624" t="s">
        <v>593</v>
      </c>
      <c r="P624" t="s">
        <v>176</v>
      </c>
      <c r="Q624">
        <v>426</v>
      </c>
      <c r="R624" s="296">
        <v>1E-4</v>
      </c>
      <c r="S624" s="296">
        <v>0.93310000000000004</v>
      </c>
      <c r="T624" s="297">
        <v>10548</v>
      </c>
      <c r="U624" s="340">
        <v>154239</v>
      </c>
      <c r="V624" s="340">
        <v>463435</v>
      </c>
      <c r="W624" s="297">
        <v>26422</v>
      </c>
      <c r="X624" s="296">
        <v>1.2E-2</v>
      </c>
    </row>
    <row r="625" spans="13:24">
      <c r="M625">
        <v>623</v>
      </c>
      <c r="N625">
        <v>68116</v>
      </c>
      <c r="O625" t="s">
        <v>337</v>
      </c>
      <c r="P625" t="s">
        <v>195</v>
      </c>
      <c r="Q625">
        <v>435</v>
      </c>
      <c r="R625" s="296">
        <v>1E-4</v>
      </c>
      <c r="S625" s="296">
        <v>0.93310000000000004</v>
      </c>
      <c r="T625" s="297">
        <v>13593</v>
      </c>
      <c r="U625" s="340">
        <v>149925</v>
      </c>
      <c r="V625" s="340">
        <v>342570</v>
      </c>
      <c r="W625" s="297">
        <v>35908</v>
      </c>
      <c r="X625" s="296">
        <v>1.2E-2</v>
      </c>
    </row>
    <row r="626" spans="13:24">
      <c r="M626">
        <v>624</v>
      </c>
      <c r="N626">
        <v>76244</v>
      </c>
      <c r="O626" t="s">
        <v>609</v>
      </c>
      <c r="P626" t="s">
        <v>134</v>
      </c>
      <c r="Q626">
        <v>821</v>
      </c>
      <c r="R626" s="296">
        <v>1E-4</v>
      </c>
      <c r="S626" s="296">
        <v>0.93320000000000003</v>
      </c>
      <c r="T626" s="297">
        <v>24767</v>
      </c>
      <c r="U626" s="340">
        <v>149865</v>
      </c>
      <c r="V626" s="340">
        <v>376849</v>
      </c>
      <c r="W626" s="297">
        <v>78937</v>
      </c>
      <c r="X626" s="296">
        <v>8.9999999999999993E-3</v>
      </c>
    </row>
    <row r="627" spans="13:24">
      <c r="M627">
        <v>625</v>
      </c>
      <c r="N627">
        <v>63021</v>
      </c>
      <c r="O627" t="s">
        <v>479</v>
      </c>
      <c r="P627" t="s">
        <v>186</v>
      </c>
      <c r="Q627">
        <v>287</v>
      </c>
      <c r="R627" s="296">
        <v>1E-4</v>
      </c>
      <c r="S627" s="296">
        <v>0.93330000000000002</v>
      </c>
      <c r="T627" s="297">
        <v>22325</v>
      </c>
      <c r="U627" s="340">
        <v>147758</v>
      </c>
      <c r="V627" s="340">
        <v>377681</v>
      </c>
      <c r="W627" s="297">
        <v>56212</v>
      </c>
      <c r="X627" s="296">
        <v>-2E-3</v>
      </c>
    </row>
    <row r="628" spans="13:24">
      <c r="M628">
        <v>626</v>
      </c>
      <c r="N628">
        <v>30066</v>
      </c>
      <c r="O628" t="s">
        <v>611</v>
      </c>
      <c r="P628" t="s">
        <v>130</v>
      </c>
      <c r="Q628">
        <v>588</v>
      </c>
      <c r="R628" s="296">
        <v>1E-4</v>
      </c>
      <c r="S628" s="296">
        <v>0.93330000000000002</v>
      </c>
      <c r="T628" s="297">
        <v>22485</v>
      </c>
      <c r="U628" s="340">
        <v>146129</v>
      </c>
      <c r="V628" s="340">
        <v>496226</v>
      </c>
      <c r="W628" s="297">
        <v>62755</v>
      </c>
      <c r="X628" s="296">
        <v>2E-3</v>
      </c>
    </row>
    <row r="629" spans="13:24">
      <c r="M629">
        <v>627</v>
      </c>
      <c r="N629">
        <v>63119</v>
      </c>
      <c r="O629" t="s">
        <v>536</v>
      </c>
      <c r="P629" t="s">
        <v>186</v>
      </c>
      <c r="Q629">
        <v>280</v>
      </c>
      <c r="R629" s="296">
        <v>1E-4</v>
      </c>
      <c r="S629" s="296">
        <v>0.93340000000000001</v>
      </c>
      <c r="T629" s="297">
        <v>14660</v>
      </c>
      <c r="U629" s="340">
        <v>145152</v>
      </c>
      <c r="V629" s="340">
        <v>424434</v>
      </c>
      <c r="W629" s="297">
        <v>34589</v>
      </c>
      <c r="X629" s="296">
        <v>-2E-3</v>
      </c>
    </row>
    <row r="630" spans="13:24">
      <c r="M630">
        <v>628</v>
      </c>
      <c r="N630">
        <v>81435</v>
      </c>
      <c r="O630" t="s">
        <v>1163</v>
      </c>
      <c r="P630" t="s">
        <v>142</v>
      </c>
      <c r="Q630">
        <v>1097</v>
      </c>
      <c r="R630" s="296">
        <v>1E-4</v>
      </c>
      <c r="S630" s="296">
        <v>0.9335</v>
      </c>
      <c r="T630" s="297">
        <v>2406</v>
      </c>
      <c r="U630" s="340">
        <v>143363</v>
      </c>
      <c r="V630" s="340">
        <v>1183320</v>
      </c>
      <c r="W630" s="297">
        <v>5207</v>
      </c>
      <c r="X630" s="296">
        <v>-1E-3</v>
      </c>
    </row>
    <row r="631" spans="13:24">
      <c r="M631">
        <v>629</v>
      </c>
      <c r="N631">
        <v>64112</v>
      </c>
      <c r="O631" t="s">
        <v>490</v>
      </c>
      <c r="P631" t="s">
        <v>186</v>
      </c>
      <c r="Q631">
        <v>416</v>
      </c>
      <c r="R631" s="296">
        <v>1E-4</v>
      </c>
      <c r="S631" s="296">
        <v>0.9335</v>
      </c>
      <c r="T631" s="297">
        <v>5419</v>
      </c>
      <c r="U631" s="340">
        <v>143232</v>
      </c>
      <c r="V631" s="340">
        <v>617926</v>
      </c>
      <c r="W631" s="297">
        <v>9315</v>
      </c>
      <c r="X631" s="296">
        <v>0</v>
      </c>
    </row>
    <row r="632" spans="13:24">
      <c r="M632">
        <v>630</v>
      </c>
      <c r="N632">
        <v>77025</v>
      </c>
      <c r="O632" t="s">
        <v>314</v>
      </c>
      <c r="P632" t="s">
        <v>134</v>
      </c>
      <c r="Q632">
        <v>960</v>
      </c>
      <c r="R632" s="296">
        <v>1E-4</v>
      </c>
      <c r="S632" s="296">
        <v>0.93359999999999999</v>
      </c>
      <c r="T632" s="297">
        <v>14316</v>
      </c>
      <c r="U632" s="340">
        <v>143212</v>
      </c>
      <c r="V632" s="340">
        <v>660907</v>
      </c>
      <c r="W632" s="297">
        <v>30528</v>
      </c>
      <c r="X632" s="296">
        <v>5.0000000000000001E-3</v>
      </c>
    </row>
    <row r="633" spans="13:24">
      <c r="M633">
        <v>631</v>
      </c>
      <c r="N633">
        <v>78748</v>
      </c>
      <c r="O633" t="s">
        <v>416</v>
      </c>
      <c r="P633" t="s">
        <v>134</v>
      </c>
      <c r="Q633">
        <v>998</v>
      </c>
      <c r="R633" s="296">
        <v>1E-4</v>
      </c>
      <c r="S633" s="296">
        <v>0.93359999999999999</v>
      </c>
      <c r="T633" s="297">
        <v>24522</v>
      </c>
      <c r="U633" s="340">
        <v>141775</v>
      </c>
      <c r="V633" s="340">
        <v>565402</v>
      </c>
      <c r="W633" s="297">
        <v>58564</v>
      </c>
      <c r="X633" s="296">
        <v>1.4E-2</v>
      </c>
    </row>
    <row r="634" spans="13:24">
      <c r="M634">
        <v>632</v>
      </c>
      <c r="N634">
        <v>60180</v>
      </c>
      <c r="O634" t="s">
        <v>1164</v>
      </c>
      <c r="P634" t="s">
        <v>131</v>
      </c>
      <c r="Q634">
        <v>38</v>
      </c>
      <c r="R634" s="296">
        <v>1E-4</v>
      </c>
      <c r="S634" s="296">
        <v>0.93369999999999997</v>
      </c>
      <c r="T634">
        <v>617</v>
      </c>
      <c r="U634" s="340">
        <v>140562</v>
      </c>
      <c r="V634" s="340">
        <v>347993</v>
      </c>
      <c r="W634" s="297">
        <v>1606</v>
      </c>
      <c r="X634" s="296">
        <v>2E-3</v>
      </c>
    </row>
    <row r="635" spans="13:24">
      <c r="M635">
        <v>633</v>
      </c>
      <c r="N635">
        <v>33928</v>
      </c>
      <c r="O635" t="s">
        <v>698</v>
      </c>
      <c r="P635" t="s">
        <v>127</v>
      </c>
      <c r="Q635">
        <v>1137</v>
      </c>
      <c r="R635" s="296">
        <v>1E-4</v>
      </c>
      <c r="S635" s="296">
        <v>0.93379999999999996</v>
      </c>
      <c r="T635" s="297">
        <v>16364</v>
      </c>
      <c r="U635" s="340">
        <v>140531</v>
      </c>
      <c r="V635" s="340">
        <v>549330</v>
      </c>
      <c r="W635" s="297">
        <v>34167</v>
      </c>
      <c r="X635" s="296">
        <v>3.4000000000000002E-2</v>
      </c>
    </row>
    <row r="636" spans="13:24">
      <c r="M636">
        <v>634</v>
      </c>
      <c r="N636">
        <v>53118</v>
      </c>
      <c r="O636" t="s">
        <v>1165</v>
      </c>
      <c r="P636" t="s">
        <v>149</v>
      </c>
      <c r="Q636">
        <v>67</v>
      </c>
      <c r="R636" s="296">
        <v>1E-4</v>
      </c>
      <c r="S636" s="296">
        <v>0.93379999999999996</v>
      </c>
      <c r="T636" s="297">
        <v>2760</v>
      </c>
      <c r="U636" s="340">
        <v>134642</v>
      </c>
      <c r="V636" s="340">
        <v>472207</v>
      </c>
      <c r="W636" s="297">
        <v>7170</v>
      </c>
      <c r="X636" s="296">
        <v>1E-3</v>
      </c>
    </row>
    <row r="637" spans="13:24">
      <c r="M637">
        <v>635</v>
      </c>
      <c r="N637">
        <v>60151</v>
      </c>
      <c r="O637" t="s">
        <v>1166</v>
      </c>
      <c r="P637" t="s">
        <v>131</v>
      </c>
      <c r="Q637">
        <v>44</v>
      </c>
      <c r="R637" s="296">
        <v>1E-4</v>
      </c>
      <c r="S637" s="296">
        <v>0.93389999999999995</v>
      </c>
      <c r="T637" s="297">
        <v>1556</v>
      </c>
      <c r="U637" s="340">
        <v>132276</v>
      </c>
      <c r="V637" s="340">
        <v>401484</v>
      </c>
      <c r="W637" s="297">
        <v>3960</v>
      </c>
      <c r="X637" s="296">
        <v>-4.0000000000000001E-3</v>
      </c>
    </row>
    <row r="638" spans="13:24">
      <c r="M638">
        <v>636</v>
      </c>
      <c r="N638">
        <v>53191</v>
      </c>
      <c r="O638" t="s">
        <v>1167</v>
      </c>
      <c r="P638" t="s">
        <v>149</v>
      </c>
      <c r="Q638">
        <v>49</v>
      </c>
      <c r="R638" s="296">
        <v>1E-4</v>
      </c>
      <c r="S638" s="296">
        <v>0.93400000000000005</v>
      </c>
      <c r="T638" s="297">
        <v>1435</v>
      </c>
      <c r="U638" s="340">
        <v>132228</v>
      </c>
      <c r="V638" s="340">
        <v>479506</v>
      </c>
      <c r="W638" s="297">
        <v>3271</v>
      </c>
      <c r="X638" s="296">
        <v>1.9E-2</v>
      </c>
    </row>
    <row r="639" spans="13:24">
      <c r="M639">
        <v>637</v>
      </c>
      <c r="N639">
        <v>38654</v>
      </c>
      <c r="O639" t="s">
        <v>1168</v>
      </c>
      <c r="P639" t="s">
        <v>188</v>
      </c>
      <c r="Q639">
        <v>510</v>
      </c>
      <c r="R639" s="296">
        <v>1E-4</v>
      </c>
      <c r="S639" s="296">
        <v>0.93400000000000005</v>
      </c>
      <c r="T639" s="297">
        <v>21707</v>
      </c>
      <c r="U639" s="340">
        <v>129750</v>
      </c>
      <c r="V639" s="340">
        <v>329497</v>
      </c>
      <c r="W639" s="297">
        <v>60700</v>
      </c>
      <c r="X639" s="296">
        <v>1.4999999999999999E-2</v>
      </c>
    </row>
    <row r="640" spans="13:24">
      <c r="M640">
        <v>638</v>
      </c>
      <c r="N640">
        <v>49085</v>
      </c>
      <c r="O640" t="s">
        <v>1169</v>
      </c>
      <c r="P640" t="s">
        <v>140</v>
      </c>
      <c r="Q640">
        <v>69</v>
      </c>
      <c r="R640" s="296">
        <v>1E-4</v>
      </c>
      <c r="S640" s="296">
        <v>0.93410000000000004</v>
      </c>
      <c r="T640" s="297">
        <v>10463</v>
      </c>
      <c r="U640" s="340">
        <v>128278</v>
      </c>
      <c r="V640" s="340">
        <v>334222</v>
      </c>
      <c r="W640" s="297">
        <v>23756</v>
      </c>
      <c r="X640" s="296">
        <v>-4.0000000000000001E-3</v>
      </c>
    </row>
    <row r="641" spans="13:24">
      <c r="M641">
        <v>639</v>
      </c>
      <c r="N641">
        <v>31005</v>
      </c>
      <c r="O641" t="s">
        <v>1170</v>
      </c>
      <c r="P641" t="s">
        <v>130</v>
      </c>
      <c r="Q641">
        <v>702</v>
      </c>
      <c r="R641" s="296">
        <v>1E-4</v>
      </c>
      <c r="S641" s="296">
        <v>0.93410000000000004</v>
      </c>
      <c r="T641" s="297">
        <v>7846</v>
      </c>
      <c r="U641" s="340">
        <v>127894</v>
      </c>
      <c r="V641" s="340">
        <v>336141</v>
      </c>
      <c r="W641" s="297">
        <v>21894</v>
      </c>
      <c r="X641" s="296">
        <v>1.6E-2</v>
      </c>
    </row>
    <row r="642" spans="13:24">
      <c r="M642">
        <v>640</v>
      </c>
      <c r="N642">
        <v>61088</v>
      </c>
      <c r="O642" t="s">
        <v>1171</v>
      </c>
      <c r="P642" t="s">
        <v>131</v>
      </c>
      <c r="Q642">
        <v>75</v>
      </c>
      <c r="R642" s="296">
        <v>1E-4</v>
      </c>
      <c r="S642" s="296">
        <v>0.93420000000000003</v>
      </c>
      <c r="T642" s="297">
        <v>2178</v>
      </c>
      <c r="U642" s="340">
        <v>125666</v>
      </c>
      <c r="V642" s="340">
        <v>246726</v>
      </c>
      <c r="W642" s="297">
        <v>5743</v>
      </c>
      <c r="X642" s="296">
        <v>-6.0000000000000001E-3</v>
      </c>
    </row>
    <row r="643" spans="13:24">
      <c r="M643">
        <v>641</v>
      </c>
      <c r="N643">
        <v>55405</v>
      </c>
      <c r="O643" t="s">
        <v>576</v>
      </c>
      <c r="P643" t="s">
        <v>151</v>
      </c>
      <c r="Q643">
        <v>338</v>
      </c>
      <c r="R643" s="296">
        <v>1E-4</v>
      </c>
      <c r="S643" s="296">
        <v>0.93430000000000002</v>
      </c>
      <c r="T643" s="297">
        <v>7220</v>
      </c>
      <c r="U643" s="340">
        <v>123884</v>
      </c>
      <c r="V643" s="340">
        <v>647167</v>
      </c>
      <c r="W643" s="297">
        <v>15092</v>
      </c>
      <c r="X643" s="296">
        <v>1E-3</v>
      </c>
    </row>
    <row r="644" spans="13:24">
      <c r="M644">
        <v>642</v>
      </c>
      <c r="N644">
        <v>49464</v>
      </c>
      <c r="O644" t="s">
        <v>1172</v>
      </c>
      <c r="P644" t="s">
        <v>140</v>
      </c>
      <c r="Q644">
        <v>104</v>
      </c>
      <c r="R644" s="296">
        <v>1E-4</v>
      </c>
      <c r="S644" s="296">
        <v>0.93430000000000002</v>
      </c>
      <c r="T644" s="297">
        <v>10672</v>
      </c>
      <c r="U644" s="340">
        <v>123778</v>
      </c>
      <c r="V644" s="340">
        <v>355829</v>
      </c>
      <c r="W644" s="297">
        <v>30623</v>
      </c>
      <c r="X644" s="296">
        <v>6.0000000000000001E-3</v>
      </c>
    </row>
    <row r="645" spans="13:24">
      <c r="M645">
        <v>643</v>
      </c>
      <c r="N645">
        <v>33908</v>
      </c>
      <c r="O645" t="s">
        <v>345</v>
      </c>
      <c r="P645" t="s">
        <v>127</v>
      </c>
      <c r="Q645">
        <v>1131</v>
      </c>
      <c r="R645" s="296">
        <v>1E-4</v>
      </c>
      <c r="S645" s="296">
        <v>0.93440000000000001</v>
      </c>
      <c r="T645" s="297">
        <v>20761</v>
      </c>
      <c r="U645" s="340">
        <v>121070</v>
      </c>
      <c r="V645" s="340">
        <v>565618</v>
      </c>
      <c r="W645" s="297">
        <v>42379</v>
      </c>
      <c r="X645" s="296">
        <v>-1E-3</v>
      </c>
    </row>
    <row r="646" spans="13:24">
      <c r="M646">
        <v>644</v>
      </c>
      <c r="N646">
        <v>47630</v>
      </c>
      <c r="O646" t="s">
        <v>566</v>
      </c>
      <c r="P646" t="s">
        <v>144</v>
      </c>
      <c r="Q646">
        <v>290</v>
      </c>
      <c r="R646" s="296">
        <v>1E-4</v>
      </c>
      <c r="S646" s="296">
        <v>0.9345</v>
      </c>
      <c r="T646" s="297">
        <v>15432</v>
      </c>
      <c r="U646" s="340">
        <v>120705</v>
      </c>
      <c r="V646" s="340">
        <v>343522</v>
      </c>
      <c r="W646" s="297">
        <v>40015</v>
      </c>
      <c r="X646" s="296">
        <v>0.01</v>
      </c>
    </row>
    <row r="647" spans="13:24">
      <c r="M647">
        <v>645</v>
      </c>
      <c r="N647">
        <v>45409</v>
      </c>
      <c r="O647" t="s">
        <v>767</v>
      </c>
      <c r="P647" t="s">
        <v>136</v>
      </c>
      <c r="Q647">
        <v>252</v>
      </c>
      <c r="R647" s="296">
        <v>1E-4</v>
      </c>
      <c r="S647" s="296">
        <v>0.9345</v>
      </c>
      <c r="T647" s="297">
        <v>2854</v>
      </c>
      <c r="U647" s="340">
        <v>115585</v>
      </c>
      <c r="V647" s="340">
        <v>303196</v>
      </c>
      <c r="W647" s="297">
        <v>9220</v>
      </c>
      <c r="X647" s="296">
        <v>-1E-3</v>
      </c>
    </row>
    <row r="648" spans="13:24">
      <c r="M648">
        <v>646</v>
      </c>
      <c r="N648">
        <v>53203</v>
      </c>
      <c r="O648" t="s">
        <v>463</v>
      </c>
      <c r="P648" t="s">
        <v>149</v>
      </c>
      <c r="Q648">
        <v>62</v>
      </c>
      <c r="R648" s="296">
        <v>1E-4</v>
      </c>
      <c r="S648" s="296">
        <v>0.93459999999999999</v>
      </c>
      <c r="T648" s="297">
        <v>1526</v>
      </c>
      <c r="U648" s="340">
        <v>114613</v>
      </c>
      <c r="V648" s="340">
        <v>420486</v>
      </c>
      <c r="W648" s="297">
        <v>2257</v>
      </c>
      <c r="X648" s="296">
        <v>1.0999999999999999E-2</v>
      </c>
    </row>
    <row r="649" spans="13:24">
      <c r="M649">
        <v>647</v>
      </c>
      <c r="N649">
        <v>52742</v>
      </c>
      <c r="O649" t="s">
        <v>1173</v>
      </c>
      <c r="P649" t="s">
        <v>170</v>
      </c>
      <c r="Q649">
        <v>141</v>
      </c>
      <c r="R649" s="296">
        <v>1E-4</v>
      </c>
      <c r="S649" s="296">
        <v>0.93459999999999999</v>
      </c>
      <c r="T649" s="297">
        <v>3157</v>
      </c>
      <c r="U649" s="340">
        <v>114352</v>
      </c>
      <c r="V649" s="340">
        <v>281357</v>
      </c>
      <c r="W649" s="297">
        <v>7734</v>
      </c>
      <c r="X649" s="296">
        <v>2E-3</v>
      </c>
    </row>
    <row r="650" spans="13:24">
      <c r="M650">
        <v>648</v>
      </c>
      <c r="N650">
        <v>53170</v>
      </c>
      <c r="O650" t="s">
        <v>729</v>
      </c>
      <c r="P650" t="s">
        <v>149</v>
      </c>
      <c r="Q650">
        <v>34</v>
      </c>
      <c r="R650" s="296">
        <v>1E-4</v>
      </c>
      <c r="S650" s="296">
        <v>0.93469999999999998</v>
      </c>
      <c r="T650">
        <v>826</v>
      </c>
      <c r="U650" s="340">
        <v>114004</v>
      </c>
      <c r="V650" s="340">
        <v>330572</v>
      </c>
      <c r="W650" s="297">
        <v>2120</v>
      </c>
      <c r="X650" s="296">
        <v>-1.0999999999999999E-2</v>
      </c>
    </row>
    <row r="651" spans="13:24">
      <c r="M651">
        <v>649</v>
      </c>
      <c r="N651">
        <v>61084</v>
      </c>
      <c r="O651" t="s">
        <v>1174</v>
      </c>
      <c r="P651" t="s">
        <v>131</v>
      </c>
      <c r="Q651">
        <v>72</v>
      </c>
      <c r="R651" s="296">
        <v>1E-4</v>
      </c>
      <c r="S651" s="296">
        <v>0.93479999999999996</v>
      </c>
      <c r="T651" s="297">
        <v>1309</v>
      </c>
      <c r="U651" s="340">
        <v>112481</v>
      </c>
      <c r="V651" s="340">
        <v>296077</v>
      </c>
      <c r="W651" s="297">
        <v>3341</v>
      </c>
      <c r="X651" s="296">
        <v>-3.0000000000000001E-3</v>
      </c>
    </row>
    <row r="652" spans="13:24">
      <c r="M652">
        <v>650</v>
      </c>
      <c r="N652">
        <v>65203</v>
      </c>
      <c r="O652" t="s">
        <v>344</v>
      </c>
      <c r="P652" t="s">
        <v>186</v>
      </c>
      <c r="Q652">
        <v>327</v>
      </c>
      <c r="R652" s="296">
        <v>1E-4</v>
      </c>
      <c r="S652" s="296">
        <v>0.93479999999999996</v>
      </c>
      <c r="T652" s="297">
        <v>26278</v>
      </c>
      <c r="U652" s="340">
        <v>111359</v>
      </c>
      <c r="V652" s="340">
        <v>379279</v>
      </c>
      <c r="W652" s="297">
        <v>61933</v>
      </c>
      <c r="X652" s="296">
        <v>0.01</v>
      </c>
    </row>
    <row r="653" spans="13:24">
      <c r="M653">
        <v>651</v>
      </c>
      <c r="N653">
        <v>34747</v>
      </c>
      <c r="O653" t="s">
        <v>516</v>
      </c>
      <c r="P653" t="s">
        <v>127</v>
      </c>
      <c r="Q653">
        <v>1017</v>
      </c>
      <c r="R653" s="296">
        <v>1E-4</v>
      </c>
      <c r="S653" s="296">
        <v>0.93489999999999995</v>
      </c>
      <c r="T653" s="297">
        <v>13179</v>
      </c>
      <c r="U653" s="340">
        <v>109305</v>
      </c>
      <c r="V653" s="340">
        <v>535707</v>
      </c>
      <c r="W653" s="297">
        <v>33912</v>
      </c>
      <c r="X653" s="296">
        <v>0.06</v>
      </c>
    </row>
    <row r="654" spans="13:24">
      <c r="M654">
        <v>652</v>
      </c>
      <c r="N654">
        <v>55901</v>
      </c>
      <c r="O654" t="s">
        <v>476</v>
      </c>
      <c r="P654" t="s">
        <v>151</v>
      </c>
      <c r="Q654">
        <v>272</v>
      </c>
      <c r="R654" s="296">
        <v>1E-4</v>
      </c>
      <c r="S654" s="296">
        <v>0.93500000000000005</v>
      </c>
      <c r="T654" s="297">
        <v>25315</v>
      </c>
      <c r="U654" s="340">
        <v>107854</v>
      </c>
      <c r="V654" s="340">
        <v>354746</v>
      </c>
      <c r="W654" s="297">
        <v>61113</v>
      </c>
      <c r="X654" s="296">
        <v>8.0000000000000002E-3</v>
      </c>
    </row>
    <row r="655" spans="13:24">
      <c r="M655">
        <v>653</v>
      </c>
      <c r="N655">
        <v>46142</v>
      </c>
      <c r="O655" t="s">
        <v>1054</v>
      </c>
      <c r="P655" t="s">
        <v>144</v>
      </c>
      <c r="Q655">
        <v>194</v>
      </c>
      <c r="R655" s="296">
        <v>1E-4</v>
      </c>
      <c r="S655" s="296">
        <v>0.93500000000000005</v>
      </c>
      <c r="T655" s="297">
        <v>12944</v>
      </c>
      <c r="U655" s="340">
        <v>107043</v>
      </c>
      <c r="V655" s="340">
        <v>317029</v>
      </c>
      <c r="W655" s="297">
        <v>32583</v>
      </c>
      <c r="X655" s="296">
        <v>5.0000000000000001E-3</v>
      </c>
    </row>
    <row r="656" spans="13:24">
      <c r="M656">
        <v>654</v>
      </c>
      <c r="N656">
        <v>33130</v>
      </c>
      <c r="O656" t="s">
        <v>293</v>
      </c>
      <c r="P656" t="s">
        <v>127</v>
      </c>
      <c r="Q656">
        <v>1211</v>
      </c>
      <c r="R656" s="296">
        <v>1E-4</v>
      </c>
      <c r="S656" s="296">
        <v>0.93510000000000004</v>
      </c>
      <c r="T656" s="297">
        <v>18942</v>
      </c>
      <c r="U656" s="340">
        <v>106120</v>
      </c>
      <c r="V656" s="340">
        <v>612153</v>
      </c>
      <c r="W656" s="297">
        <v>36981</v>
      </c>
      <c r="X656" s="296">
        <v>1.9E-2</v>
      </c>
    </row>
    <row r="657" spans="13:24">
      <c r="M657">
        <v>655</v>
      </c>
      <c r="N657">
        <v>53559</v>
      </c>
      <c r="O657" t="s">
        <v>1175</v>
      </c>
      <c r="P657" t="s">
        <v>149</v>
      </c>
      <c r="Q657">
        <v>96</v>
      </c>
      <c r="R657" s="296">
        <v>1E-4</v>
      </c>
      <c r="S657" s="296">
        <v>0.93510000000000004</v>
      </c>
      <c r="T657" s="297">
        <v>2394</v>
      </c>
      <c r="U657" s="340">
        <v>105512</v>
      </c>
      <c r="V657" s="340">
        <v>430954</v>
      </c>
      <c r="W657" s="297">
        <v>6161</v>
      </c>
      <c r="X657" s="296">
        <v>4.0000000000000001E-3</v>
      </c>
    </row>
    <row r="658" spans="13:24">
      <c r="M658">
        <v>656</v>
      </c>
      <c r="N658">
        <v>45429</v>
      </c>
      <c r="O658" t="s">
        <v>767</v>
      </c>
      <c r="P658" t="s">
        <v>136</v>
      </c>
      <c r="Q658">
        <v>255</v>
      </c>
      <c r="R658" s="296">
        <v>1E-4</v>
      </c>
      <c r="S658" s="296">
        <v>0.93520000000000003</v>
      </c>
      <c r="T658" s="297">
        <v>12279</v>
      </c>
      <c r="U658" s="340">
        <v>104675</v>
      </c>
      <c r="V658" s="340">
        <v>262690</v>
      </c>
      <c r="W658" s="297">
        <v>26682</v>
      </c>
      <c r="X658" s="296">
        <v>-2E-3</v>
      </c>
    </row>
    <row r="659" spans="13:24">
      <c r="M659">
        <v>657</v>
      </c>
      <c r="N659">
        <v>49423</v>
      </c>
      <c r="O659" t="s">
        <v>1028</v>
      </c>
      <c r="P659" t="s">
        <v>140</v>
      </c>
      <c r="Q659">
        <v>96</v>
      </c>
      <c r="R659" s="296">
        <v>1E-4</v>
      </c>
      <c r="S659" s="296">
        <v>0.93530000000000002</v>
      </c>
      <c r="T659" s="297">
        <v>18380</v>
      </c>
      <c r="U659" s="340">
        <v>104548</v>
      </c>
      <c r="V659" s="340">
        <v>369828</v>
      </c>
      <c r="W659" s="297">
        <v>47998</v>
      </c>
      <c r="X659" s="296">
        <v>5.0000000000000001E-3</v>
      </c>
    </row>
    <row r="660" spans="13:24">
      <c r="M660">
        <v>658</v>
      </c>
      <c r="N660">
        <v>52246</v>
      </c>
      <c r="O660" t="s">
        <v>1139</v>
      </c>
      <c r="P660" t="s">
        <v>170</v>
      </c>
      <c r="Q660">
        <v>199</v>
      </c>
      <c r="R660" s="296">
        <v>1E-4</v>
      </c>
      <c r="S660" s="296">
        <v>0.93530000000000002</v>
      </c>
      <c r="T660" s="297">
        <v>10433</v>
      </c>
      <c r="U660" s="340">
        <v>103799</v>
      </c>
      <c r="V660" s="340">
        <v>387278</v>
      </c>
      <c r="W660" s="297">
        <v>25009</v>
      </c>
      <c r="X660" s="296">
        <v>1.4E-2</v>
      </c>
    </row>
    <row r="661" spans="13:24">
      <c r="M661">
        <v>659</v>
      </c>
      <c r="N661">
        <v>64075</v>
      </c>
      <c r="O661" t="s">
        <v>1176</v>
      </c>
      <c r="P661" t="s">
        <v>186</v>
      </c>
      <c r="Q661">
        <v>398</v>
      </c>
      <c r="R661" s="296">
        <v>1E-4</v>
      </c>
      <c r="S661" s="296">
        <v>0.93540000000000001</v>
      </c>
      <c r="T661" s="297">
        <v>4603</v>
      </c>
      <c r="U661" s="340">
        <v>103516</v>
      </c>
      <c r="V661" s="340">
        <v>332043</v>
      </c>
      <c r="W661" s="297">
        <v>12492</v>
      </c>
      <c r="X661" s="296">
        <v>7.0000000000000001E-3</v>
      </c>
    </row>
    <row r="662" spans="13:24">
      <c r="M662">
        <v>660</v>
      </c>
      <c r="N662">
        <v>49417</v>
      </c>
      <c r="O662" t="s">
        <v>1177</v>
      </c>
      <c r="P662" t="s">
        <v>140</v>
      </c>
      <c r="Q662">
        <v>103</v>
      </c>
      <c r="R662" s="296">
        <v>1E-4</v>
      </c>
      <c r="S662" s="296">
        <v>0.9355</v>
      </c>
      <c r="T662" s="297">
        <v>13841</v>
      </c>
      <c r="U662" s="340">
        <v>103217</v>
      </c>
      <c r="V662" s="340">
        <v>366437</v>
      </c>
      <c r="W662" s="297">
        <v>33357</v>
      </c>
      <c r="X662" s="296">
        <v>8.9999999999999993E-3</v>
      </c>
    </row>
    <row r="663" spans="13:24">
      <c r="M663">
        <v>661</v>
      </c>
      <c r="N663">
        <v>56057</v>
      </c>
      <c r="O663" t="s">
        <v>1178</v>
      </c>
      <c r="P663" t="s">
        <v>151</v>
      </c>
      <c r="Q663">
        <v>336</v>
      </c>
      <c r="R663" s="296">
        <v>1E-4</v>
      </c>
      <c r="S663" s="296">
        <v>0.9355</v>
      </c>
      <c r="T663" s="297">
        <v>1534</v>
      </c>
      <c r="U663" s="340">
        <v>103112</v>
      </c>
      <c r="V663" s="340">
        <v>356152</v>
      </c>
      <c r="W663" s="297">
        <v>3964</v>
      </c>
      <c r="X663" s="296">
        <v>2E-3</v>
      </c>
    </row>
    <row r="664" spans="13:24">
      <c r="M664">
        <v>662</v>
      </c>
      <c r="N664">
        <v>30606</v>
      </c>
      <c r="O664" t="s">
        <v>1179</v>
      </c>
      <c r="P664" t="s">
        <v>130</v>
      </c>
      <c r="Q664">
        <v>614</v>
      </c>
      <c r="R664" s="296">
        <v>1E-4</v>
      </c>
      <c r="S664" s="296">
        <v>0.93559999999999999</v>
      </c>
      <c r="T664" s="297">
        <v>21336</v>
      </c>
      <c r="U664" s="340">
        <v>102784</v>
      </c>
      <c r="V664" s="340">
        <v>428977</v>
      </c>
      <c r="W664" s="297">
        <v>49129</v>
      </c>
      <c r="X664" s="296">
        <v>0.01</v>
      </c>
    </row>
    <row r="665" spans="13:24">
      <c r="M665">
        <v>663</v>
      </c>
      <c r="N665">
        <v>33991</v>
      </c>
      <c r="O665" t="s">
        <v>817</v>
      </c>
      <c r="P665" t="s">
        <v>127</v>
      </c>
      <c r="Q665">
        <v>1121</v>
      </c>
      <c r="R665" s="296">
        <v>1E-4</v>
      </c>
      <c r="S665" s="296">
        <v>0.93559999999999999</v>
      </c>
      <c r="T665" s="297">
        <v>10888</v>
      </c>
      <c r="U665" s="340">
        <v>101851</v>
      </c>
      <c r="V665" s="340">
        <v>463627</v>
      </c>
      <c r="W665" s="297">
        <v>28752</v>
      </c>
      <c r="X665" s="296">
        <v>2.5999999999999999E-2</v>
      </c>
    </row>
    <row r="666" spans="13:24">
      <c r="M666">
        <v>664</v>
      </c>
      <c r="N666">
        <v>80239</v>
      </c>
      <c r="O666" t="s">
        <v>330</v>
      </c>
      <c r="P666" t="s">
        <v>142</v>
      </c>
      <c r="Q666">
        <v>902</v>
      </c>
      <c r="R666" s="296">
        <v>1E-4</v>
      </c>
      <c r="S666" s="296">
        <v>0.93569999999999998</v>
      </c>
      <c r="T666" s="297">
        <v>12755</v>
      </c>
      <c r="U666" s="340">
        <v>101787</v>
      </c>
      <c r="V666" s="340">
        <v>515218</v>
      </c>
      <c r="W666" s="297">
        <v>44633</v>
      </c>
      <c r="X666" s="296">
        <v>-3.0000000000000001E-3</v>
      </c>
    </row>
    <row r="667" spans="13:24">
      <c r="M667">
        <v>665</v>
      </c>
      <c r="N667">
        <v>78539</v>
      </c>
      <c r="O667" t="s">
        <v>1026</v>
      </c>
      <c r="P667" t="s">
        <v>134</v>
      </c>
      <c r="Q667">
        <v>1245</v>
      </c>
      <c r="R667" s="296">
        <v>1E-4</v>
      </c>
      <c r="S667" s="296">
        <v>0.93579999999999997</v>
      </c>
      <c r="T667" s="297">
        <v>14171</v>
      </c>
      <c r="U667" s="340">
        <v>100936</v>
      </c>
      <c r="V667" s="340">
        <v>260802</v>
      </c>
      <c r="W667" s="297">
        <v>39568</v>
      </c>
      <c r="X667" s="296">
        <v>0.01</v>
      </c>
    </row>
    <row r="668" spans="13:24">
      <c r="M668">
        <v>666</v>
      </c>
      <c r="N668">
        <v>46737</v>
      </c>
      <c r="O668" t="s">
        <v>292</v>
      </c>
      <c r="P668" t="s">
        <v>144</v>
      </c>
      <c r="Q668">
        <v>149</v>
      </c>
      <c r="R668" s="296">
        <v>1E-4</v>
      </c>
      <c r="S668" s="296">
        <v>0.93579999999999997</v>
      </c>
      <c r="T668" s="297">
        <v>2905</v>
      </c>
      <c r="U668" s="340">
        <v>100053</v>
      </c>
      <c r="V668" s="340">
        <v>356250</v>
      </c>
      <c r="W668" s="297">
        <v>6691</v>
      </c>
      <c r="X668" s="296">
        <v>-3.0000000000000001E-3</v>
      </c>
    </row>
    <row r="669" spans="13:24">
      <c r="M669">
        <v>667</v>
      </c>
      <c r="N669">
        <v>58201</v>
      </c>
      <c r="O669" t="s">
        <v>1180</v>
      </c>
      <c r="P669" t="s">
        <v>193</v>
      </c>
      <c r="Q669">
        <v>603</v>
      </c>
      <c r="R669" s="296">
        <v>1E-4</v>
      </c>
      <c r="S669" s="296">
        <v>0.93589999999999995</v>
      </c>
      <c r="T669" s="297">
        <v>19546</v>
      </c>
      <c r="U669" s="340">
        <v>99944</v>
      </c>
      <c r="V669" s="340">
        <v>348683</v>
      </c>
      <c r="W669" s="297">
        <v>43237</v>
      </c>
      <c r="X669" s="296">
        <v>3.0000000000000001E-3</v>
      </c>
    </row>
    <row r="670" spans="13:24">
      <c r="M670">
        <v>668</v>
      </c>
      <c r="N670">
        <v>14522</v>
      </c>
      <c r="O670" t="s">
        <v>1181</v>
      </c>
      <c r="P670" t="s">
        <v>128</v>
      </c>
      <c r="Q670">
        <v>541</v>
      </c>
      <c r="R670" s="296">
        <v>1E-4</v>
      </c>
      <c r="S670" s="296">
        <v>0.93600000000000005</v>
      </c>
      <c r="T670" s="297">
        <v>3869</v>
      </c>
      <c r="U670" s="340">
        <v>99869</v>
      </c>
      <c r="V670" s="340">
        <v>224116</v>
      </c>
      <c r="W670" s="297">
        <v>9017</v>
      </c>
      <c r="X670" s="296">
        <v>0</v>
      </c>
    </row>
    <row r="671" spans="13:24">
      <c r="M671">
        <v>669</v>
      </c>
      <c r="N671">
        <v>29483</v>
      </c>
      <c r="O671" t="s">
        <v>756</v>
      </c>
      <c r="P671" t="s">
        <v>145</v>
      </c>
      <c r="Q671">
        <v>755</v>
      </c>
      <c r="R671" s="296">
        <v>1E-4</v>
      </c>
      <c r="S671" s="296">
        <v>0.93600000000000005</v>
      </c>
      <c r="T671" s="297">
        <v>22403</v>
      </c>
      <c r="U671" s="340">
        <v>98942</v>
      </c>
      <c r="V671" s="340">
        <v>387378</v>
      </c>
      <c r="W671" s="297">
        <v>59777</v>
      </c>
      <c r="X671" s="296">
        <v>1.4999999999999999E-2</v>
      </c>
    </row>
    <row r="672" spans="13:24">
      <c r="M672">
        <v>670</v>
      </c>
      <c r="N672">
        <v>89147</v>
      </c>
      <c r="O672" t="s">
        <v>706</v>
      </c>
      <c r="P672" t="s">
        <v>148</v>
      </c>
      <c r="Q672">
        <v>1524</v>
      </c>
      <c r="R672" s="296">
        <v>1E-4</v>
      </c>
      <c r="S672" s="296">
        <v>0.93610000000000004</v>
      </c>
      <c r="T672" s="297">
        <v>22282</v>
      </c>
      <c r="U672" s="340">
        <v>97862</v>
      </c>
      <c r="V672" s="340">
        <v>469229</v>
      </c>
      <c r="W672" s="297">
        <v>56491</v>
      </c>
      <c r="X672" s="296">
        <v>3.0000000000000001E-3</v>
      </c>
    </row>
    <row r="673" spans="13:24">
      <c r="M673">
        <v>671</v>
      </c>
      <c r="N673">
        <v>97330</v>
      </c>
      <c r="O673" t="s">
        <v>1182</v>
      </c>
      <c r="P673" t="s">
        <v>207</v>
      </c>
      <c r="Q673">
        <v>1776</v>
      </c>
      <c r="R673" s="296">
        <v>1E-4</v>
      </c>
      <c r="S673" s="296">
        <v>0.93610000000000004</v>
      </c>
      <c r="T673" s="297">
        <v>18515</v>
      </c>
      <c r="U673" s="340">
        <v>97503</v>
      </c>
      <c r="V673" s="340">
        <v>540091</v>
      </c>
      <c r="W673" s="297">
        <v>44063</v>
      </c>
      <c r="X673" s="296">
        <v>3.0000000000000001E-3</v>
      </c>
    </row>
    <row r="674" spans="13:24">
      <c r="M674">
        <v>672</v>
      </c>
      <c r="N674">
        <v>47025</v>
      </c>
      <c r="O674" t="s">
        <v>1183</v>
      </c>
      <c r="P674" t="s">
        <v>144</v>
      </c>
      <c r="Q674">
        <v>257</v>
      </c>
      <c r="R674" s="296">
        <v>1E-4</v>
      </c>
      <c r="S674" s="296">
        <v>0.93620000000000003</v>
      </c>
      <c r="T674" s="297">
        <v>9186</v>
      </c>
      <c r="U674" s="340">
        <v>96975</v>
      </c>
      <c r="V674" s="340">
        <v>256265</v>
      </c>
      <c r="W674" s="297">
        <v>23645</v>
      </c>
      <c r="X674" s="296">
        <v>5.0000000000000001E-3</v>
      </c>
    </row>
    <row r="675" spans="13:24">
      <c r="M675">
        <v>673</v>
      </c>
      <c r="N675">
        <v>46835</v>
      </c>
      <c r="O675" t="s">
        <v>1078</v>
      </c>
      <c r="P675" t="s">
        <v>144</v>
      </c>
      <c r="Q675">
        <v>157</v>
      </c>
      <c r="R675" s="296">
        <v>1E-4</v>
      </c>
      <c r="S675" s="296">
        <v>0.93630000000000002</v>
      </c>
      <c r="T675" s="297">
        <v>15814</v>
      </c>
      <c r="U675" s="340">
        <v>96732</v>
      </c>
      <c r="V675" s="340">
        <v>271201</v>
      </c>
      <c r="W675" s="297">
        <v>37193</v>
      </c>
      <c r="X675" s="296">
        <v>4.0000000000000001E-3</v>
      </c>
    </row>
    <row r="676" spans="13:24">
      <c r="M676">
        <v>674</v>
      </c>
      <c r="N676">
        <v>62401</v>
      </c>
      <c r="O676" t="s">
        <v>1184</v>
      </c>
      <c r="P676" t="s">
        <v>131</v>
      </c>
      <c r="Q676">
        <v>213</v>
      </c>
      <c r="R676" s="296">
        <v>1E-4</v>
      </c>
      <c r="S676" s="296">
        <v>0.93630000000000002</v>
      </c>
      <c r="T676" s="297">
        <v>8310</v>
      </c>
      <c r="U676" s="340">
        <v>96597</v>
      </c>
      <c r="V676" s="340">
        <v>261913</v>
      </c>
      <c r="W676" s="297">
        <v>19225</v>
      </c>
      <c r="X676" s="296">
        <v>-3.0000000000000001E-3</v>
      </c>
    </row>
    <row r="677" spans="13:24">
      <c r="M677">
        <v>675</v>
      </c>
      <c r="N677">
        <v>48093</v>
      </c>
      <c r="O677" t="s">
        <v>781</v>
      </c>
      <c r="P677" t="s">
        <v>140</v>
      </c>
      <c r="Q677">
        <v>246</v>
      </c>
      <c r="R677" s="296">
        <v>1E-4</v>
      </c>
      <c r="S677" s="296">
        <v>0.93640000000000001</v>
      </c>
      <c r="T677" s="297">
        <v>10366</v>
      </c>
      <c r="U677" s="340">
        <v>95972</v>
      </c>
      <c r="V677" s="340">
        <v>251437</v>
      </c>
      <c r="W677" s="297">
        <v>24848</v>
      </c>
      <c r="X677" s="296">
        <v>-3.0000000000000001E-3</v>
      </c>
    </row>
    <row r="678" spans="13:24">
      <c r="M678">
        <v>676</v>
      </c>
      <c r="N678">
        <v>46131</v>
      </c>
      <c r="O678" t="s">
        <v>411</v>
      </c>
      <c r="P678" t="s">
        <v>144</v>
      </c>
      <c r="Q678">
        <v>205</v>
      </c>
      <c r="R678" s="296">
        <v>1E-4</v>
      </c>
      <c r="S678" s="296">
        <v>0.93640000000000001</v>
      </c>
      <c r="T678" s="297">
        <v>12701</v>
      </c>
      <c r="U678" s="340">
        <v>94309</v>
      </c>
      <c r="V678" s="340">
        <v>307684</v>
      </c>
      <c r="W678" s="297">
        <v>34257</v>
      </c>
      <c r="X678" s="296">
        <v>1.0999999999999999E-2</v>
      </c>
    </row>
    <row r="679" spans="13:24">
      <c r="M679">
        <v>677</v>
      </c>
      <c r="N679">
        <v>54758</v>
      </c>
      <c r="O679" t="s">
        <v>681</v>
      </c>
      <c r="P679" t="s">
        <v>149</v>
      </c>
      <c r="Q679">
        <v>239</v>
      </c>
      <c r="R679" s="296">
        <v>1E-4</v>
      </c>
      <c r="S679" s="296">
        <v>0.9365</v>
      </c>
      <c r="T679" s="297">
        <v>2109</v>
      </c>
      <c r="U679" s="340">
        <v>94064</v>
      </c>
      <c r="V679" s="340">
        <v>328993</v>
      </c>
      <c r="W679" s="297">
        <v>5271</v>
      </c>
      <c r="X679" s="296">
        <v>2E-3</v>
      </c>
    </row>
    <row r="680" spans="13:24">
      <c r="M680">
        <v>678</v>
      </c>
      <c r="N680">
        <v>62441</v>
      </c>
      <c r="O680" t="s">
        <v>1175</v>
      </c>
      <c r="P680" t="s">
        <v>131</v>
      </c>
      <c r="Q680">
        <v>188</v>
      </c>
      <c r="R680" s="296">
        <v>1E-4</v>
      </c>
      <c r="S680" s="296">
        <v>0.93659999999999999</v>
      </c>
      <c r="T680" s="297">
        <v>3025</v>
      </c>
      <c r="U680" s="340">
        <v>90949</v>
      </c>
      <c r="V680" s="340">
        <v>187098</v>
      </c>
      <c r="W680" s="297">
        <v>6980</v>
      </c>
      <c r="X680" s="296">
        <v>-8.9999999999999993E-3</v>
      </c>
    </row>
    <row r="681" spans="13:24">
      <c r="M681">
        <v>679</v>
      </c>
      <c r="N681">
        <v>80915</v>
      </c>
      <c r="O681" t="s">
        <v>740</v>
      </c>
      <c r="P681" t="s">
        <v>142</v>
      </c>
      <c r="Q681">
        <v>916</v>
      </c>
      <c r="R681" s="296">
        <v>1E-4</v>
      </c>
      <c r="S681" s="296">
        <v>0.93659999999999999</v>
      </c>
      <c r="T681" s="297">
        <v>8658</v>
      </c>
      <c r="U681" s="340">
        <v>89165</v>
      </c>
      <c r="V681" s="340">
        <v>471230</v>
      </c>
      <c r="W681" s="297">
        <v>22376</v>
      </c>
      <c r="X681" s="296">
        <v>6.0000000000000001E-3</v>
      </c>
    </row>
    <row r="682" spans="13:24">
      <c r="M682">
        <v>680</v>
      </c>
      <c r="N682">
        <v>47404</v>
      </c>
      <c r="O682" t="s">
        <v>570</v>
      </c>
      <c r="P682" t="s">
        <v>144</v>
      </c>
      <c r="Q682">
        <v>212</v>
      </c>
      <c r="R682" s="296">
        <v>1E-4</v>
      </c>
      <c r="S682" s="296">
        <v>0.93669999999999998</v>
      </c>
      <c r="T682" s="297">
        <v>10477</v>
      </c>
      <c r="U682" s="340">
        <v>86700</v>
      </c>
      <c r="V682" s="340">
        <v>292344</v>
      </c>
      <c r="W682" s="297">
        <v>24233</v>
      </c>
      <c r="X682" s="296">
        <v>8.9999999999999993E-3</v>
      </c>
    </row>
    <row r="683" spans="13:24">
      <c r="M683">
        <v>681</v>
      </c>
      <c r="N683">
        <v>49505</v>
      </c>
      <c r="O683" t="s">
        <v>467</v>
      </c>
      <c r="P683" t="s">
        <v>140</v>
      </c>
      <c r="Q683">
        <v>125</v>
      </c>
      <c r="R683" s="296">
        <v>1E-4</v>
      </c>
      <c r="S683" s="296">
        <v>0.93679999999999997</v>
      </c>
      <c r="T683" s="297">
        <v>13739</v>
      </c>
      <c r="U683" s="340">
        <v>86243</v>
      </c>
      <c r="V683" s="340">
        <v>304207</v>
      </c>
      <c r="W683" s="297">
        <v>31431</v>
      </c>
      <c r="X683" s="296">
        <v>-1E-3</v>
      </c>
    </row>
    <row r="684" spans="13:24">
      <c r="M684">
        <v>682</v>
      </c>
      <c r="N684">
        <v>47421</v>
      </c>
      <c r="O684" t="s">
        <v>452</v>
      </c>
      <c r="P684" t="s">
        <v>144</v>
      </c>
      <c r="Q684">
        <v>236</v>
      </c>
      <c r="R684" s="296">
        <v>1E-4</v>
      </c>
      <c r="S684" s="296">
        <v>0.93679999999999997</v>
      </c>
      <c r="T684" s="297">
        <v>11672</v>
      </c>
      <c r="U684" s="340">
        <v>86086</v>
      </c>
      <c r="V684" s="340">
        <v>217133</v>
      </c>
      <c r="W684" s="297">
        <v>27973</v>
      </c>
      <c r="X684" s="296">
        <v>0</v>
      </c>
    </row>
    <row r="685" spans="13:24">
      <c r="M685">
        <v>683</v>
      </c>
      <c r="N685">
        <v>52641</v>
      </c>
      <c r="O685" t="s">
        <v>1185</v>
      </c>
      <c r="P685" t="s">
        <v>170</v>
      </c>
      <c r="Q685">
        <v>212</v>
      </c>
      <c r="R685" s="296">
        <v>1E-4</v>
      </c>
      <c r="S685" s="296">
        <v>0.93689999999999996</v>
      </c>
      <c r="T685" s="297">
        <v>4560</v>
      </c>
      <c r="U685" s="340">
        <v>85644</v>
      </c>
      <c r="V685" s="340">
        <v>197579</v>
      </c>
      <c r="W685" s="297">
        <v>12691</v>
      </c>
      <c r="X685" s="296">
        <v>-2E-3</v>
      </c>
    </row>
    <row r="686" spans="13:24">
      <c r="M686">
        <v>684</v>
      </c>
      <c r="N686">
        <v>62650</v>
      </c>
      <c r="O686" t="s">
        <v>331</v>
      </c>
      <c r="P686" t="s">
        <v>131</v>
      </c>
      <c r="Q686">
        <v>210</v>
      </c>
      <c r="R686" s="296">
        <v>1E-4</v>
      </c>
      <c r="S686" s="296">
        <v>0.93689999999999996</v>
      </c>
      <c r="T686" s="297">
        <v>9983</v>
      </c>
      <c r="U686" s="340">
        <v>84057</v>
      </c>
      <c r="V686" s="340">
        <v>170272</v>
      </c>
      <c r="W686" s="297">
        <v>24171</v>
      </c>
      <c r="X686" s="296">
        <v>-8.0000000000000002E-3</v>
      </c>
    </row>
    <row r="687" spans="13:24">
      <c r="M687">
        <v>685</v>
      </c>
      <c r="N687">
        <v>52601</v>
      </c>
      <c r="O687" t="s">
        <v>349</v>
      </c>
      <c r="P687" t="s">
        <v>170</v>
      </c>
      <c r="Q687">
        <v>196</v>
      </c>
      <c r="R687" s="296">
        <v>1E-4</v>
      </c>
      <c r="S687" s="296">
        <v>0.93700000000000006</v>
      </c>
      <c r="T687" s="297">
        <v>12204</v>
      </c>
      <c r="U687" s="340">
        <v>83161</v>
      </c>
      <c r="V687" s="340">
        <v>197723</v>
      </c>
      <c r="W687" s="297">
        <v>27344</v>
      </c>
      <c r="X687" s="296">
        <v>-4.0000000000000001E-3</v>
      </c>
    </row>
    <row r="688" spans="13:24">
      <c r="M688">
        <v>686</v>
      </c>
      <c r="N688">
        <v>60484</v>
      </c>
      <c r="O688" t="s">
        <v>1186</v>
      </c>
      <c r="P688" t="s">
        <v>131</v>
      </c>
      <c r="Q688">
        <v>49</v>
      </c>
      <c r="R688" s="296">
        <v>1E-4</v>
      </c>
      <c r="S688" s="296">
        <v>0.93710000000000004</v>
      </c>
      <c r="T688" s="297">
        <v>2549</v>
      </c>
      <c r="U688" s="340">
        <v>82112</v>
      </c>
      <c r="V688" s="340">
        <v>246138</v>
      </c>
      <c r="W688" s="297">
        <v>7153</v>
      </c>
      <c r="X688" s="296">
        <v>-5.0000000000000001E-3</v>
      </c>
    </row>
    <row r="689" spans="13:24">
      <c r="M689">
        <v>687</v>
      </c>
      <c r="N689">
        <v>54220</v>
      </c>
      <c r="O689" t="s">
        <v>1187</v>
      </c>
      <c r="P689" t="s">
        <v>149</v>
      </c>
      <c r="Q689">
        <v>135</v>
      </c>
      <c r="R689" s="296">
        <v>1E-4</v>
      </c>
      <c r="S689" s="296">
        <v>0.93710000000000004</v>
      </c>
      <c r="T689" s="297">
        <v>18076</v>
      </c>
      <c r="U689" s="340">
        <v>81609</v>
      </c>
      <c r="V689" s="340">
        <v>233602</v>
      </c>
      <c r="W689" s="297">
        <v>41001</v>
      </c>
      <c r="X689" s="296">
        <v>1E-3</v>
      </c>
    </row>
    <row r="690" spans="13:24">
      <c r="M690">
        <v>688</v>
      </c>
      <c r="N690">
        <v>28607</v>
      </c>
      <c r="O690" t="s">
        <v>1188</v>
      </c>
      <c r="P690" t="s">
        <v>138</v>
      </c>
      <c r="Q690">
        <v>525</v>
      </c>
      <c r="R690" s="296">
        <v>1E-4</v>
      </c>
      <c r="S690" s="296">
        <v>0.93720000000000003</v>
      </c>
      <c r="T690" s="297">
        <v>13600</v>
      </c>
      <c r="U690" s="340">
        <v>80087</v>
      </c>
      <c r="V690" s="340">
        <v>455152</v>
      </c>
      <c r="W690" s="297">
        <v>36137</v>
      </c>
      <c r="X690" s="296">
        <v>8.9999999999999993E-3</v>
      </c>
    </row>
    <row r="691" spans="13:24">
      <c r="M691">
        <v>689</v>
      </c>
      <c r="N691">
        <v>63125</v>
      </c>
      <c r="O691" t="s">
        <v>536</v>
      </c>
      <c r="P691" t="s">
        <v>186</v>
      </c>
      <c r="Q691">
        <v>283</v>
      </c>
      <c r="R691" s="296">
        <v>1E-4</v>
      </c>
      <c r="S691" s="296">
        <v>0.93730000000000002</v>
      </c>
      <c r="T691" s="297">
        <v>14048</v>
      </c>
      <c r="U691" s="340">
        <v>76286</v>
      </c>
      <c r="V691" s="340">
        <v>206810</v>
      </c>
      <c r="W691" s="297">
        <v>32204</v>
      </c>
      <c r="X691" s="296">
        <v>-4.0000000000000001E-3</v>
      </c>
    </row>
    <row r="692" spans="13:24">
      <c r="M692">
        <v>690</v>
      </c>
      <c r="N692">
        <v>61364</v>
      </c>
      <c r="O692" t="s">
        <v>1189</v>
      </c>
      <c r="P692" t="s">
        <v>131</v>
      </c>
      <c r="Q692">
        <v>89</v>
      </c>
      <c r="R692" s="296">
        <v>1E-4</v>
      </c>
      <c r="S692" s="296">
        <v>0.93730000000000002</v>
      </c>
      <c r="T692" s="297">
        <v>7871</v>
      </c>
      <c r="U692" s="340">
        <v>74685</v>
      </c>
      <c r="V692" s="340">
        <v>171546</v>
      </c>
      <c r="W692" s="297">
        <v>18179</v>
      </c>
      <c r="X692" s="296">
        <v>-5.0000000000000001E-3</v>
      </c>
    </row>
    <row r="693" spans="13:24">
      <c r="M693">
        <v>691</v>
      </c>
      <c r="N693">
        <v>68310</v>
      </c>
      <c r="O693" t="s">
        <v>1190</v>
      </c>
      <c r="P693" t="s">
        <v>195</v>
      </c>
      <c r="Q693">
        <v>484</v>
      </c>
      <c r="R693" s="296">
        <v>1E-4</v>
      </c>
      <c r="S693" s="296">
        <v>0.93740000000000001</v>
      </c>
      <c r="T693" s="297">
        <v>6123</v>
      </c>
      <c r="U693" s="340">
        <v>70330</v>
      </c>
      <c r="V693" s="340">
        <v>202294</v>
      </c>
      <c r="W693" s="297">
        <v>13979</v>
      </c>
      <c r="X693" s="296">
        <v>-1E-3</v>
      </c>
    </row>
    <row r="694" spans="13:24">
      <c r="M694">
        <v>692</v>
      </c>
      <c r="N694">
        <v>61102</v>
      </c>
      <c r="O694" t="s">
        <v>998</v>
      </c>
      <c r="P694" t="s">
        <v>131</v>
      </c>
      <c r="Q694">
        <v>70</v>
      </c>
      <c r="R694" s="296">
        <v>1E-4</v>
      </c>
      <c r="S694" s="296">
        <v>0.93740000000000001</v>
      </c>
      <c r="T694" s="297">
        <v>6076</v>
      </c>
      <c r="U694" s="340">
        <v>66009</v>
      </c>
      <c r="V694" s="340">
        <v>147433</v>
      </c>
      <c r="W694" s="297">
        <v>17085</v>
      </c>
      <c r="X694" s="296">
        <v>-3.0000000000000001E-3</v>
      </c>
    </row>
    <row r="695" spans="13:24">
      <c r="M695">
        <v>693</v>
      </c>
      <c r="N695">
        <v>60456</v>
      </c>
      <c r="O695" t="s">
        <v>1191</v>
      </c>
      <c r="P695" t="s">
        <v>131</v>
      </c>
      <c r="Q695">
        <v>29</v>
      </c>
      <c r="R695" s="296">
        <v>1E-4</v>
      </c>
      <c r="S695" s="296">
        <v>0.9375</v>
      </c>
      <c r="T695" s="297">
        <v>1849</v>
      </c>
      <c r="U695" s="340">
        <v>65079</v>
      </c>
      <c r="V695" s="340">
        <v>158479</v>
      </c>
      <c r="W695" s="297">
        <v>4172</v>
      </c>
      <c r="X695" s="296">
        <v>-8.9999999999999993E-3</v>
      </c>
    </row>
    <row r="696" spans="13:24">
      <c r="M696">
        <v>694</v>
      </c>
      <c r="N696">
        <v>19153</v>
      </c>
      <c r="O696" t="s">
        <v>469</v>
      </c>
      <c r="P696" t="s">
        <v>133</v>
      </c>
      <c r="Q696">
        <v>671</v>
      </c>
      <c r="R696" s="296">
        <v>1E-4</v>
      </c>
      <c r="S696" s="296">
        <v>0.93759999999999999</v>
      </c>
      <c r="T696" s="297">
        <v>5152</v>
      </c>
      <c r="U696" s="340">
        <v>64895</v>
      </c>
      <c r="V696" s="340">
        <v>241530</v>
      </c>
      <c r="W696" s="297">
        <v>11919</v>
      </c>
      <c r="X696" s="296">
        <v>-8.0000000000000002E-3</v>
      </c>
    </row>
    <row r="697" spans="13:24">
      <c r="M697">
        <v>695</v>
      </c>
      <c r="N697">
        <v>62901</v>
      </c>
      <c r="O697" t="s">
        <v>1192</v>
      </c>
      <c r="P697" t="s">
        <v>131</v>
      </c>
      <c r="Q697">
        <v>314</v>
      </c>
      <c r="R697" s="296">
        <v>1E-4</v>
      </c>
      <c r="S697" s="296">
        <v>0.93759999999999999</v>
      </c>
      <c r="T697" s="297">
        <v>10205</v>
      </c>
      <c r="U697" s="340">
        <v>63614</v>
      </c>
      <c r="V697" s="340">
        <v>195465</v>
      </c>
      <c r="W697" s="297">
        <v>22389</v>
      </c>
      <c r="X697" s="296">
        <v>-8.9999999999999993E-3</v>
      </c>
    </row>
    <row r="698" spans="13:24">
      <c r="M698">
        <v>696</v>
      </c>
      <c r="N698">
        <v>61104</v>
      </c>
      <c r="O698" t="s">
        <v>998</v>
      </c>
      <c r="P698" t="s">
        <v>131</v>
      </c>
      <c r="Q698">
        <v>66</v>
      </c>
      <c r="R698" s="296">
        <v>1E-4</v>
      </c>
      <c r="S698" s="296">
        <v>0.93769999999999998</v>
      </c>
      <c r="T698" s="297">
        <v>6422</v>
      </c>
      <c r="U698" s="340">
        <v>48493</v>
      </c>
      <c r="V698" s="340">
        <v>98504</v>
      </c>
      <c r="W698" s="297">
        <v>16221</v>
      </c>
      <c r="X698" s="296">
        <v>-4.0000000000000001E-3</v>
      </c>
    </row>
    <row r="699" spans="13:24">
      <c r="M699">
        <v>697</v>
      </c>
      <c r="N699">
        <v>53706</v>
      </c>
      <c r="O699" t="s">
        <v>823</v>
      </c>
      <c r="P699" t="s">
        <v>149</v>
      </c>
      <c r="Q699">
        <v>104</v>
      </c>
      <c r="R699" s="296">
        <v>1E-4</v>
      </c>
      <c r="S699" s="296">
        <v>0.93779999999999997</v>
      </c>
      <c r="T699">
        <v>161</v>
      </c>
      <c r="U699" s="340">
        <v>24932</v>
      </c>
      <c r="V699" s="340">
        <v>0</v>
      </c>
      <c r="W699" s="297">
        <v>6995</v>
      </c>
      <c r="X699" s="296">
        <v>-2E-3</v>
      </c>
    </row>
    <row r="700" spans="13:24">
      <c r="M700">
        <v>698</v>
      </c>
      <c r="N700">
        <v>20015</v>
      </c>
      <c r="O700" t="s">
        <v>225</v>
      </c>
      <c r="P700" t="s">
        <v>150</v>
      </c>
      <c r="Q700">
        <v>604</v>
      </c>
      <c r="R700" s="296">
        <v>1E-4</v>
      </c>
      <c r="S700" s="296">
        <v>0.93779999999999997</v>
      </c>
      <c r="T700" s="297">
        <v>6510</v>
      </c>
      <c r="U700" s="340">
        <v>271950</v>
      </c>
      <c r="V700" s="340">
        <v>1269169</v>
      </c>
      <c r="W700" s="297">
        <v>15675</v>
      </c>
      <c r="X700" s="296">
        <v>-8.9999999999999993E-3</v>
      </c>
    </row>
    <row r="701" spans="13:24">
      <c r="M701">
        <v>699</v>
      </c>
      <c r="N701">
        <v>33480</v>
      </c>
      <c r="O701" t="s">
        <v>1193</v>
      </c>
      <c r="P701" t="s">
        <v>127</v>
      </c>
      <c r="Q701">
        <v>1152</v>
      </c>
      <c r="R701" s="296">
        <v>1E-4</v>
      </c>
      <c r="S701" s="296">
        <v>0.93789999999999996</v>
      </c>
      <c r="T701" s="297">
        <v>6150</v>
      </c>
      <c r="U701" s="340">
        <v>256989</v>
      </c>
      <c r="V701" s="340">
        <v>1405279</v>
      </c>
      <c r="W701" s="297">
        <v>10885</v>
      </c>
      <c r="X701" s="296">
        <v>4.0000000000000001E-3</v>
      </c>
    </row>
    <row r="702" spans="13:24">
      <c r="M702">
        <v>700</v>
      </c>
      <c r="N702">
        <v>77005</v>
      </c>
      <c r="O702" t="s">
        <v>314</v>
      </c>
      <c r="P702" t="s">
        <v>134</v>
      </c>
      <c r="Q702">
        <v>958</v>
      </c>
      <c r="R702" s="296">
        <v>1E-4</v>
      </c>
      <c r="S702" s="296">
        <v>0.93789999999999996</v>
      </c>
      <c r="T702" s="297">
        <v>10249</v>
      </c>
      <c r="U702" s="340">
        <v>254891</v>
      </c>
      <c r="V702" s="340">
        <v>1229129</v>
      </c>
      <c r="W702" s="297">
        <v>28539</v>
      </c>
      <c r="X702" s="296">
        <v>2E-3</v>
      </c>
    </row>
    <row r="703" spans="13:24">
      <c r="M703">
        <v>701</v>
      </c>
      <c r="N703">
        <v>85253</v>
      </c>
      <c r="O703" t="s">
        <v>1194</v>
      </c>
      <c r="P703" t="s">
        <v>158</v>
      </c>
      <c r="Q703">
        <v>1440</v>
      </c>
      <c r="R703" s="296">
        <v>1E-4</v>
      </c>
      <c r="S703" s="296">
        <v>0.93799999999999994</v>
      </c>
      <c r="T703" s="297">
        <v>7335</v>
      </c>
      <c r="U703" s="340">
        <v>254138</v>
      </c>
      <c r="V703" s="340">
        <v>1482244</v>
      </c>
      <c r="W703" s="297">
        <v>17695</v>
      </c>
      <c r="X703" s="296">
        <v>5.0000000000000001E-3</v>
      </c>
    </row>
    <row r="704" spans="13:24">
      <c r="M704">
        <v>702</v>
      </c>
      <c r="N704">
        <v>30327</v>
      </c>
      <c r="O704" t="s">
        <v>507</v>
      </c>
      <c r="P704" t="s">
        <v>130</v>
      </c>
      <c r="Q704">
        <v>601</v>
      </c>
      <c r="R704" s="296">
        <v>1E-4</v>
      </c>
      <c r="S704" s="296">
        <v>0.93799999999999994</v>
      </c>
      <c r="T704" s="297">
        <v>10248</v>
      </c>
      <c r="U704" s="340">
        <v>250485</v>
      </c>
      <c r="V704" s="340">
        <v>1179879</v>
      </c>
      <c r="W704" s="297">
        <v>25055</v>
      </c>
      <c r="X704" s="296">
        <v>-2E-3</v>
      </c>
    </row>
    <row r="705" spans="13:24">
      <c r="M705">
        <v>703</v>
      </c>
      <c r="N705">
        <v>63131</v>
      </c>
      <c r="O705" t="s">
        <v>536</v>
      </c>
      <c r="P705" t="s">
        <v>186</v>
      </c>
      <c r="Q705">
        <v>281</v>
      </c>
      <c r="R705" s="296">
        <v>1E-4</v>
      </c>
      <c r="S705" s="296">
        <v>0.93810000000000004</v>
      </c>
      <c r="T705" s="297">
        <v>6424</v>
      </c>
      <c r="U705" s="340">
        <v>248518</v>
      </c>
      <c r="V705" s="340">
        <v>816874</v>
      </c>
      <c r="W705" s="297">
        <v>17922</v>
      </c>
      <c r="X705" s="296">
        <v>-2E-3</v>
      </c>
    </row>
    <row r="706" spans="13:24">
      <c r="M706">
        <v>704</v>
      </c>
      <c r="N706">
        <v>85255</v>
      </c>
      <c r="O706" t="s">
        <v>1159</v>
      </c>
      <c r="P706" t="s">
        <v>158</v>
      </c>
      <c r="Q706">
        <v>1431</v>
      </c>
      <c r="R706" s="296">
        <v>1E-4</v>
      </c>
      <c r="S706" s="296">
        <v>0.93810000000000004</v>
      </c>
      <c r="T706" s="297">
        <v>20344</v>
      </c>
      <c r="U706" s="340">
        <v>221968</v>
      </c>
      <c r="V706" s="340">
        <v>1021489</v>
      </c>
      <c r="W706" s="297">
        <v>46081</v>
      </c>
      <c r="X706" s="296">
        <v>8.9999999999999993E-3</v>
      </c>
    </row>
    <row r="707" spans="13:24">
      <c r="M707">
        <v>705</v>
      </c>
      <c r="N707">
        <v>22102</v>
      </c>
      <c r="O707" t="s">
        <v>519</v>
      </c>
      <c r="P707" t="s">
        <v>139</v>
      </c>
      <c r="Q707">
        <v>596</v>
      </c>
      <c r="R707" s="296">
        <v>1E-4</v>
      </c>
      <c r="S707" s="296">
        <v>0.93820000000000003</v>
      </c>
      <c r="T707" s="297">
        <v>14847</v>
      </c>
      <c r="U707" s="340">
        <v>205647</v>
      </c>
      <c r="V707" s="340">
        <v>1125635</v>
      </c>
      <c r="W707" s="297">
        <v>32329</v>
      </c>
      <c r="X707" s="296">
        <v>3.7999999999999999E-2</v>
      </c>
    </row>
    <row r="708" spans="13:24">
      <c r="M708">
        <v>706</v>
      </c>
      <c r="N708">
        <v>20853</v>
      </c>
      <c r="O708" t="s">
        <v>530</v>
      </c>
      <c r="P708" t="s">
        <v>137</v>
      </c>
      <c r="Q708">
        <v>598</v>
      </c>
      <c r="R708" s="296">
        <v>1E-4</v>
      </c>
      <c r="S708" s="296">
        <v>0.93820000000000003</v>
      </c>
      <c r="T708" s="297">
        <v>8982</v>
      </c>
      <c r="U708" s="340">
        <v>203759</v>
      </c>
      <c r="V708" s="340">
        <v>653843</v>
      </c>
      <c r="W708" s="297">
        <v>28545</v>
      </c>
      <c r="X708" s="296">
        <v>-3.0000000000000001E-3</v>
      </c>
    </row>
    <row r="709" spans="13:24">
      <c r="M709">
        <v>707</v>
      </c>
      <c r="N709">
        <v>30319</v>
      </c>
      <c r="O709" t="s">
        <v>507</v>
      </c>
      <c r="P709" t="s">
        <v>130</v>
      </c>
      <c r="Q709">
        <v>601</v>
      </c>
      <c r="R709" s="296">
        <v>1E-4</v>
      </c>
      <c r="S709" s="296">
        <v>0.93830000000000002</v>
      </c>
      <c r="T709" s="297">
        <v>20945</v>
      </c>
      <c r="U709" s="340">
        <v>203135</v>
      </c>
      <c r="V709" s="340">
        <v>771203</v>
      </c>
      <c r="W709" s="297">
        <v>47541</v>
      </c>
      <c r="X709" s="296">
        <v>8.0000000000000002E-3</v>
      </c>
    </row>
    <row r="710" spans="13:24">
      <c r="M710">
        <v>708</v>
      </c>
      <c r="N710">
        <v>53097</v>
      </c>
      <c r="O710" t="s">
        <v>1027</v>
      </c>
      <c r="P710" t="s">
        <v>149</v>
      </c>
      <c r="Q710">
        <v>77</v>
      </c>
      <c r="R710" s="296">
        <v>1E-4</v>
      </c>
      <c r="S710" s="296">
        <v>0.93830000000000002</v>
      </c>
      <c r="T710" s="297">
        <v>2173</v>
      </c>
      <c r="U710" s="340">
        <v>201893</v>
      </c>
      <c r="V710" s="340">
        <v>676845</v>
      </c>
      <c r="W710" s="297">
        <v>7340</v>
      </c>
      <c r="X710" s="296">
        <v>-2E-3</v>
      </c>
    </row>
    <row r="711" spans="13:24">
      <c r="M711">
        <v>709</v>
      </c>
      <c r="N711">
        <v>22031</v>
      </c>
      <c r="O711" t="s">
        <v>1195</v>
      </c>
      <c r="P711" t="s">
        <v>139</v>
      </c>
      <c r="Q711">
        <v>597</v>
      </c>
      <c r="R711" s="296">
        <v>1E-4</v>
      </c>
      <c r="S711" s="296">
        <v>0.93840000000000001</v>
      </c>
      <c r="T711" s="297">
        <v>15168</v>
      </c>
      <c r="U711" s="340">
        <v>198753</v>
      </c>
      <c r="V711" s="340">
        <v>847453</v>
      </c>
      <c r="W711" s="297">
        <v>37146</v>
      </c>
      <c r="X711" s="296">
        <v>1E-3</v>
      </c>
    </row>
    <row r="712" spans="13:24">
      <c r="M712">
        <v>710</v>
      </c>
      <c r="N712">
        <v>34108</v>
      </c>
      <c r="O712" t="s">
        <v>322</v>
      </c>
      <c r="P712" t="s">
        <v>127</v>
      </c>
      <c r="Q712">
        <v>1150</v>
      </c>
      <c r="R712" s="296">
        <v>1E-4</v>
      </c>
      <c r="S712" s="296">
        <v>0.93840000000000001</v>
      </c>
      <c r="T712" s="297">
        <v>8216</v>
      </c>
      <c r="U712" s="340">
        <v>191977</v>
      </c>
      <c r="V712" s="340">
        <v>1308058</v>
      </c>
      <c r="W712" s="297">
        <v>15639</v>
      </c>
      <c r="X712" s="296">
        <v>-3.0000000000000001E-3</v>
      </c>
    </row>
    <row r="713" spans="13:24">
      <c r="M713">
        <v>711</v>
      </c>
      <c r="N713">
        <v>33067</v>
      </c>
      <c r="O713" t="s">
        <v>567</v>
      </c>
      <c r="P713" t="s">
        <v>127</v>
      </c>
      <c r="Q713">
        <v>1175</v>
      </c>
      <c r="R713" s="296">
        <v>1E-4</v>
      </c>
      <c r="S713" s="296">
        <v>0.9385</v>
      </c>
      <c r="T713" s="297">
        <v>9251</v>
      </c>
      <c r="U713" s="340">
        <v>191520</v>
      </c>
      <c r="V713" s="340">
        <v>722754</v>
      </c>
      <c r="W713" s="297">
        <v>27533</v>
      </c>
      <c r="X713" s="296">
        <v>8.9999999999999993E-3</v>
      </c>
    </row>
    <row r="714" spans="13:24">
      <c r="M714">
        <v>712</v>
      </c>
      <c r="N714">
        <v>20008</v>
      </c>
      <c r="O714" t="s">
        <v>225</v>
      </c>
      <c r="P714" t="s">
        <v>150</v>
      </c>
      <c r="Q714">
        <v>605</v>
      </c>
      <c r="R714" s="296">
        <v>1E-4</v>
      </c>
      <c r="S714" s="296">
        <v>0.9385</v>
      </c>
      <c r="T714" s="297">
        <v>16801</v>
      </c>
      <c r="U714" s="340">
        <v>190801</v>
      </c>
      <c r="V714" s="340">
        <v>1226889</v>
      </c>
      <c r="W714" s="297">
        <v>29839</v>
      </c>
      <c r="X714" s="296">
        <v>-4.0000000000000001E-3</v>
      </c>
    </row>
    <row r="715" spans="13:24">
      <c r="M715">
        <v>713</v>
      </c>
      <c r="N715">
        <v>30009</v>
      </c>
      <c r="O715" t="s">
        <v>493</v>
      </c>
      <c r="P715" t="s">
        <v>130</v>
      </c>
      <c r="Q715">
        <v>589</v>
      </c>
      <c r="R715" s="296">
        <v>1E-4</v>
      </c>
      <c r="S715" s="296">
        <v>0.93859999999999999</v>
      </c>
      <c r="T715" s="297">
        <v>8925</v>
      </c>
      <c r="U715" s="340">
        <v>187130</v>
      </c>
      <c r="V715" s="340">
        <v>702330</v>
      </c>
      <c r="W715" s="297">
        <v>20774</v>
      </c>
      <c r="X715" s="296">
        <v>1.6E-2</v>
      </c>
    </row>
    <row r="716" spans="13:24">
      <c r="M716">
        <v>714</v>
      </c>
      <c r="N716">
        <v>80305</v>
      </c>
      <c r="O716" t="s">
        <v>1111</v>
      </c>
      <c r="P716" t="s">
        <v>142</v>
      </c>
      <c r="Q716">
        <v>920</v>
      </c>
      <c r="R716" s="296">
        <v>1E-4</v>
      </c>
      <c r="S716" s="296">
        <v>0.93859999999999999</v>
      </c>
      <c r="T716" s="297">
        <v>6990</v>
      </c>
      <c r="U716" s="340">
        <v>185537</v>
      </c>
      <c r="V716" s="340">
        <v>1168968</v>
      </c>
      <c r="W716" s="297">
        <v>16441</v>
      </c>
      <c r="X716" s="296">
        <v>-0.01</v>
      </c>
    </row>
    <row r="717" spans="13:24">
      <c r="M717">
        <v>715</v>
      </c>
      <c r="N717">
        <v>2139</v>
      </c>
      <c r="O717" t="s">
        <v>323</v>
      </c>
      <c r="P717" t="s">
        <v>135</v>
      </c>
      <c r="Q717">
        <v>852</v>
      </c>
      <c r="R717" s="296">
        <v>1E-4</v>
      </c>
      <c r="S717" s="296">
        <v>0.93869999999999998</v>
      </c>
      <c r="T717" s="297">
        <v>15885</v>
      </c>
      <c r="U717" s="340">
        <v>182124</v>
      </c>
      <c r="V717" s="340">
        <v>1260495</v>
      </c>
      <c r="W717" s="297">
        <v>40449</v>
      </c>
      <c r="X717" s="296">
        <v>5.0000000000000001E-3</v>
      </c>
    </row>
    <row r="718" spans="13:24">
      <c r="M718">
        <v>716</v>
      </c>
      <c r="N718">
        <v>53122</v>
      </c>
      <c r="O718" t="s">
        <v>1196</v>
      </c>
      <c r="P718" t="s">
        <v>149</v>
      </c>
      <c r="Q718">
        <v>64</v>
      </c>
      <c r="R718" s="296">
        <v>1E-4</v>
      </c>
      <c r="S718" s="296">
        <v>0.93869999999999998</v>
      </c>
      <c r="T718" s="297">
        <v>2499</v>
      </c>
      <c r="U718" s="340">
        <v>181144</v>
      </c>
      <c r="V718" s="340">
        <v>588294</v>
      </c>
      <c r="W718" s="297">
        <v>6467</v>
      </c>
      <c r="X718" s="296">
        <v>-5.0000000000000001E-3</v>
      </c>
    </row>
    <row r="719" spans="13:24">
      <c r="M719">
        <v>717</v>
      </c>
      <c r="N719">
        <v>19006</v>
      </c>
      <c r="O719" t="s">
        <v>621</v>
      </c>
      <c r="P719" t="s">
        <v>133</v>
      </c>
      <c r="Q719">
        <v>676</v>
      </c>
      <c r="R719" s="296">
        <v>1E-4</v>
      </c>
      <c r="S719" s="296">
        <v>0.93879999999999997</v>
      </c>
      <c r="T719" s="297">
        <v>8045</v>
      </c>
      <c r="U719" s="340">
        <v>177395</v>
      </c>
      <c r="V719" s="340">
        <v>609832</v>
      </c>
      <c r="W719" s="297">
        <v>22286</v>
      </c>
      <c r="X719" s="296">
        <v>0</v>
      </c>
    </row>
    <row r="720" spans="13:24">
      <c r="M720">
        <v>718</v>
      </c>
      <c r="N720">
        <v>30024</v>
      </c>
      <c r="O720" t="s">
        <v>617</v>
      </c>
      <c r="P720" t="s">
        <v>130</v>
      </c>
      <c r="Q720">
        <v>594</v>
      </c>
      <c r="R720" s="296">
        <v>1E-4</v>
      </c>
      <c r="S720" s="296">
        <v>0.93879999999999997</v>
      </c>
      <c r="T720" s="297">
        <v>30245</v>
      </c>
      <c r="U720" s="340">
        <v>176664</v>
      </c>
      <c r="V720" s="340">
        <v>558425</v>
      </c>
      <c r="W720" s="297">
        <v>93765</v>
      </c>
      <c r="X720" s="296">
        <v>1.7000000000000001E-2</v>
      </c>
    </row>
    <row r="721" spans="13:24">
      <c r="M721">
        <v>719</v>
      </c>
      <c r="N721">
        <v>55123</v>
      </c>
      <c r="O721" t="s">
        <v>445</v>
      </c>
      <c r="P721" t="s">
        <v>151</v>
      </c>
      <c r="Q721">
        <v>325</v>
      </c>
      <c r="R721" s="296">
        <v>1E-4</v>
      </c>
      <c r="S721" s="296">
        <v>0.93889999999999996</v>
      </c>
      <c r="T721" s="297">
        <v>10039</v>
      </c>
      <c r="U721" s="340">
        <v>176130</v>
      </c>
      <c r="V721" s="340">
        <v>499602</v>
      </c>
      <c r="W721" s="297">
        <v>26797</v>
      </c>
      <c r="X721" s="296">
        <v>-3.0000000000000001E-3</v>
      </c>
    </row>
    <row r="722" spans="13:24">
      <c r="M722">
        <v>720</v>
      </c>
      <c r="N722">
        <v>55364</v>
      </c>
      <c r="O722" t="s">
        <v>1197</v>
      </c>
      <c r="P722" t="s">
        <v>151</v>
      </c>
      <c r="Q722">
        <v>352</v>
      </c>
      <c r="R722" s="296">
        <v>1E-4</v>
      </c>
      <c r="S722" s="296">
        <v>0.93889999999999996</v>
      </c>
      <c r="T722" s="297">
        <v>5973</v>
      </c>
      <c r="U722" s="340">
        <v>173450</v>
      </c>
      <c r="V722" s="340">
        <v>678660</v>
      </c>
      <c r="W722" s="297">
        <v>14498</v>
      </c>
      <c r="X722" s="296">
        <v>-4.0000000000000001E-3</v>
      </c>
    </row>
    <row r="723" spans="13:24">
      <c r="M723">
        <v>721</v>
      </c>
      <c r="N723">
        <v>92867</v>
      </c>
      <c r="O723" t="s">
        <v>528</v>
      </c>
      <c r="P723" t="s">
        <v>132</v>
      </c>
      <c r="Q723">
        <v>1725</v>
      </c>
      <c r="R723" s="296">
        <v>1E-4</v>
      </c>
      <c r="S723" s="296">
        <v>0.93899999999999995</v>
      </c>
      <c r="T723" s="297">
        <v>13524</v>
      </c>
      <c r="U723" s="340">
        <v>170363</v>
      </c>
      <c r="V723" s="340">
        <v>1106351</v>
      </c>
      <c r="W723" s="297">
        <v>43824</v>
      </c>
      <c r="X723" s="296">
        <v>-5.0000000000000001E-3</v>
      </c>
    </row>
    <row r="724" spans="13:24">
      <c r="M724">
        <v>722</v>
      </c>
      <c r="N724">
        <v>20852</v>
      </c>
      <c r="O724" t="s">
        <v>530</v>
      </c>
      <c r="P724" t="s">
        <v>137</v>
      </c>
      <c r="Q724">
        <v>598</v>
      </c>
      <c r="R724" s="296">
        <v>1E-4</v>
      </c>
      <c r="S724" s="296">
        <v>0.93899999999999995</v>
      </c>
      <c r="T724" s="297">
        <v>24852</v>
      </c>
      <c r="U724" s="340">
        <v>169390</v>
      </c>
      <c r="V724" s="340">
        <v>744619</v>
      </c>
      <c r="W724" s="297">
        <v>54605</v>
      </c>
      <c r="X724" s="296">
        <v>6.0000000000000001E-3</v>
      </c>
    </row>
    <row r="725" spans="13:24">
      <c r="M725">
        <v>723</v>
      </c>
      <c r="N725">
        <v>15228</v>
      </c>
      <c r="O725" t="s">
        <v>569</v>
      </c>
      <c r="P725" t="s">
        <v>133</v>
      </c>
      <c r="Q725">
        <v>420</v>
      </c>
      <c r="R725" s="296">
        <v>1E-4</v>
      </c>
      <c r="S725" s="296">
        <v>0.93910000000000005</v>
      </c>
      <c r="T725" s="297">
        <v>7411</v>
      </c>
      <c r="U725" s="340">
        <v>167331</v>
      </c>
      <c r="V725" s="340">
        <v>454360</v>
      </c>
      <c r="W725" s="297">
        <v>17620</v>
      </c>
      <c r="X725" s="296">
        <v>-3.0000000000000001E-3</v>
      </c>
    </row>
    <row r="726" spans="13:24">
      <c r="M726">
        <v>724</v>
      </c>
      <c r="N726">
        <v>20002</v>
      </c>
      <c r="O726" t="s">
        <v>225</v>
      </c>
      <c r="P726" t="s">
        <v>150</v>
      </c>
      <c r="Q726">
        <v>609</v>
      </c>
      <c r="R726" s="296">
        <v>1E-4</v>
      </c>
      <c r="S726" s="296">
        <v>0.93910000000000005</v>
      </c>
      <c r="T726" s="297">
        <v>35007</v>
      </c>
      <c r="U726" s="340">
        <v>167011</v>
      </c>
      <c r="V726" s="340">
        <v>860017</v>
      </c>
      <c r="W726" s="297">
        <v>72825</v>
      </c>
      <c r="X726" s="296">
        <v>1.4E-2</v>
      </c>
    </row>
    <row r="727" spans="13:24">
      <c r="M727">
        <v>725</v>
      </c>
      <c r="N727">
        <v>78006</v>
      </c>
      <c r="O727" t="s">
        <v>1198</v>
      </c>
      <c r="P727" t="s">
        <v>134</v>
      </c>
      <c r="Q727">
        <v>1040</v>
      </c>
      <c r="R727" s="296">
        <v>1E-4</v>
      </c>
      <c r="S727" s="296">
        <v>0.93920000000000003</v>
      </c>
      <c r="T727" s="297">
        <v>17347</v>
      </c>
      <c r="U727" s="340">
        <v>166681</v>
      </c>
      <c r="V727" s="340">
        <v>640379</v>
      </c>
      <c r="W727" s="297">
        <v>46973</v>
      </c>
      <c r="X727" s="296">
        <v>3.4000000000000002E-2</v>
      </c>
    </row>
    <row r="728" spans="13:24">
      <c r="M728">
        <v>726</v>
      </c>
      <c r="N728">
        <v>46074</v>
      </c>
      <c r="O728" t="s">
        <v>327</v>
      </c>
      <c r="P728" t="s">
        <v>144</v>
      </c>
      <c r="Q728">
        <v>168</v>
      </c>
      <c r="R728" s="296">
        <v>1E-4</v>
      </c>
      <c r="S728" s="296">
        <v>0.93920000000000003</v>
      </c>
      <c r="T728" s="297">
        <v>18959</v>
      </c>
      <c r="U728" s="340">
        <v>164539</v>
      </c>
      <c r="V728" s="340">
        <v>474912</v>
      </c>
      <c r="W728" s="297">
        <v>54393</v>
      </c>
      <c r="X728" s="296">
        <v>6.0999999999999999E-2</v>
      </c>
    </row>
    <row r="729" spans="13:24">
      <c r="M729">
        <v>727</v>
      </c>
      <c r="N729">
        <v>2155</v>
      </c>
      <c r="O729" t="s">
        <v>350</v>
      </c>
      <c r="P729" t="s">
        <v>135</v>
      </c>
      <c r="Q729">
        <v>851</v>
      </c>
      <c r="R729" s="296">
        <v>1E-4</v>
      </c>
      <c r="S729" s="296">
        <v>0.93930000000000002</v>
      </c>
      <c r="T729" s="297">
        <v>24682</v>
      </c>
      <c r="U729" s="340">
        <v>164127</v>
      </c>
      <c r="V729" s="340">
        <v>782307</v>
      </c>
      <c r="W729" s="297">
        <v>60087</v>
      </c>
      <c r="X729" s="296">
        <v>-1E-3</v>
      </c>
    </row>
    <row r="730" spans="13:24">
      <c r="M730">
        <v>728</v>
      </c>
      <c r="N730">
        <v>62711</v>
      </c>
      <c r="O730" t="s">
        <v>515</v>
      </c>
      <c r="P730" t="s">
        <v>131</v>
      </c>
      <c r="Q730">
        <v>193</v>
      </c>
      <c r="R730" s="296">
        <v>1E-4</v>
      </c>
      <c r="S730" s="296">
        <v>0.93930000000000002</v>
      </c>
      <c r="T730" s="297">
        <v>7913</v>
      </c>
      <c r="U730" s="340">
        <v>161161</v>
      </c>
      <c r="V730" s="340">
        <v>344633</v>
      </c>
      <c r="W730" s="297">
        <v>18307</v>
      </c>
      <c r="X730" s="296">
        <v>5.0000000000000001E-3</v>
      </c>
    </row>
    <row r="731" spans="13:24">
      <c r="M731">
        <v>729</v>
      </c>
      <c r="N731">
        <v>48178</v>
      </c>
      <c r="O731" t="s">
        <v>1199</v>
      </c>
      <c r="P731" t="s">
        <v>140</v>
      </c>
      <c r="Q731">
        <v>212</v>
      </c>
      <c r="R731" s="296">
        <v>1E-4</v>
      </c>
      <c r="S731" s="296">
        <v>0.93940000000000001</v>
      </c>
      <c r="T731" s="297">
        <v>14536</v>
      </c>
      <c r="U731" s="340">
        <v>160160</v>
      </c>
      <c r="V731" s="340">
        <v>429892</v>
      </c>
      <c r="W731" s="297">
        <v>38553</v>
      </c>
      <c r="X731" s="296">
        <v>0.01</v>
      </c>
    </row>
    <row r="732" spans="13:24">
      <c r="M732">
        <v>730</v>
      </c>
      <c r="N732">
        <v>2141</v>
      </c>
      <c r="O732" t="s">
        <v>323</v>
      </c>
      <c r="P732" t="s">
        <v>135</v>
      </c>
      <c r="Q732">
        <v>853</v>
      </c>
      <c r="R732" s="296">
        <v>1E-4</v>
      </c>
      <c r="S732" s="296">
        <v>0.93940000000000001</v>
      </c>
      <c r="T732" s="297">
        <v>8097</v>
      </c>
      <c r="U732" s="340">
        <v>159599</v>
      </c>
      <c r="V732" s="340">
        <v>1097056</v>
      </c>
      <c r="W732" s="297">
        <v>16610</v>
      </c>
      <c r="X732" s="296">
        <v>1.6E-2</v>
      </c>
    </row>
    <row r="733" spans="13:24">
      <c r="M733">
        <v>731</v>
      </c>
      <c r="N733">
        <v>33431</v>
      </c>
      <c r="O733" t="s">
        <v>502</v>
      </c>
      <c r="P733" t="s">
        <v>127</v>
      </c>
      <c r="Q733">
        <v>1173</v>
      </c>
      <c r="R733" s="296">
        <v>1E-4</v>
      </c>
      <c r="S733" s="296">
        <v>0.9395</v>
      </c>
      <c r="T733" s="297">
        <v>6949</v>
      </c>
      <c r="U733" s="340">
        <v>158007</v>
      </c>
      <c r="V733" s="340">
        <v>781430</v>
      </c>
      <c r="W733" s="297">
        <v>21733</v>
      </c>
      <c r="X733" s="296">
        <v>8.0000000000000002E-3</v>
      </c>
    </row>
    <row r="734" spans="13:24">
      <c r="M734">
        <v>732</v>
      </c>
      <c r="N734">
        <v>23456</v>
      </c>
      <c r="O734" t="s">
        <v>695</v>
      </c>
      <c r="P734" t="s">
        <v>139</v>
      </c>
      <c r="Q734">
        <v>729</v>
      </c>
      <c r="R734" s="296">
        <v>1E-4</v>
      </c>
      <c r="S734" s="296">
        <v>0.9395</v>
      </c>
      <c r="T734" s="297">
        <v>20348</v>
      </c>
      <c r="U734" s="340">
        <v>156078</v>
      </c>
      <c r="V734" s="340">
        <v>553589</v>
      </c>
      <c r="W734" s="297">
        <v>60635</v>
      </c>
      <c r="X734" s="296">
        <v>-1E-3</v>
      </c>
    </row>
    <row r="735" spans="13:24">
      <c r="M735">
        <v>733</v>
      </c>
      <c r="N735">
        <v>63011</v>
      </c>
      <c r="O735" t="s">
        <v>479</v>
      </c>
      <c r="P735" t="s">
        <v>186</v>
      </c>
      <c r="Q735">
        <v>285</v>
      </c>
      <c r="R735" s="296">
        <v>1E-4</v>
      </c>
      <c r="S735" s="296">
        <v>0.93959999999999999</v>
      </c>
      <c r="T735" s="297">
        <v>14579</v>
      </c>
      <c r="U735" s="340">
        <v>155274</v>
      </c>
      <c r="V735" s="340">
        <v>392367</v>
      </c>
      <c r="W735" s="297">
        <v>37035</v>
      </c>
      <c r="X735" s="296">
        <v>-1E-3</v>
      </c>
    </row>
    <row r="736" spans="13:24">
      <c r="M736">
        <v>734</v>
      </c>
      <c r="N736">
        <v>80301</v>
      </c>
      <c r="O736" t="s">
        <v>1111</v>
      </c>
      <c r="P736" t="s">
        <v>142</v>
      </c>
      <c r="Q736">
        <v>917</v>
      </c>
      <c r="R736" s="296">
        <v>1E-4</v>
      </c>
      <c r="S736" s="296">
        <v>0.93959999999999999</v>
      </c>
      <c r="T736" s="297">
        <v>12433</v>
      </c>
      <c r="U736" s="340">
        <v>153511</v>
      </c>
      <c r="V736" s="340">
        <v>892856</v>
      </c>
      <c r="W736" s="297">
        <v>26545</v>
      </c>
      <c r="X736" s="296">
        <v>5.0000000000000001E-3</v>
      </c>
    </row>
    <row r="737" spans="13:24">
      <c r="M737">
        <v>735</v>
      </c>
      <c r="N737">
        <v>10309</v>
      </c>
      <c r="O737" t="s">
        <v>644</v>
      </c>
      <c r="P737" t="s">
        <v>128</v>
      </c>
      <c r="Q737">
        <v>712</v>
      </c>
      <c r="R737" s="296">
        <v>1E-4</v>
      </c>
      <c r="S737" s="296">
        <v>0.93969999999999998</v>
      </c>
      <c r="T737" s="297">
        <v>12081</v>
      </c>
      <c r="U737" s="340">
        <v>152804</v>
      </c>
      <c r="V737" s="340">
        <v>777809</v>
      </c>
      <c r="W737" s="297">
        <v>33400</v>
      </c>
      <c r="X737" s="296">
        <v>-1E-3</v>
      </c>
    </row>
    <row r="738" spans="13:24">
      <c r="M738">
        <v>736</v>
      </c>
      <c r="N738">
        <v>32250</v>
      </c>
      <c r="O738" t="s">
        <v>1200</v>
      </c>
      <c r="P738" t="s">
        <v>127</v>
      </c>
      <c r="Q738">
        <v>893</v>
      </c>
      <c r="R738" s="296">
        <v>1E-4</v>
      </c>
      <c r="S738" s="296">
        <v>0.93969999999999998</v>
      </c>
      <c r="T738" s="297">
        <v>14686</v>
      </c>
      <c r="U738" s="340">
        <v>149579</v>
      </c>
      <c r="V738" s="340">
        <v>564209</v>
      </c>
      <c r="W738" s="297">
        <v>32339</v>
      </c>
      <c r="X738" s="296">
        <v>2E-3</v>
      </c>
    </row>
    <row r="739" spans="13:24">
      <c r="M739">
        <v>737</v>
      </c>
      <c r="N739">
        <v>33408</v>
      </c>
      <c r="O739" t="s">
        <v>1201</v>
      </c>
      <c r="P739" t="s">
        <v>127</v>
      </c>
      <c r="Q739">
        <v>1144</v>
      </c>
      <c r="R739" s="296">
        <v>1E-4</v>
      </c>
      <c r="S739" s="296">
        <v>0.93979999999999997</v>
      </c>
      <c r="T739" s="297">
        <v>9995</v>
      </c>
      <c r="U739" s="340">
        <v>149438</v>
      </c>
      <c r="V739" s="340">
        <v>828877</v>
      </c>
      <c r="W739" s="297">
        <v>19868</v>
      </c>
      <c r="X739" s="296">
        <v>1.0999999999999999E-2</v>
      </c>
    </row>
    <row r="740" spans="13:24">
      <c r="M740">
        <v>738</v>
      </c>
      <c r="N740">
        <v>45305</v>
      </c>
      <c r="O740" t="s">
        <v>1202</v>
      </c>
      <c r="P740" t="s">
        <v>136</v>
      </c>
      <c r="Q740">
        <v>260</v>
      </c>
      <c r="R740" s="296">
        <v>1E-4</v>
      </c>
      <c r="S740" s="296">
        <v>0.93979999999999997</v>
      </c>
      <c r="T740" s="297">
        <v>4629</v>
      </c>
      <c r="U740" s="340">
        <v>148767</v>
      </c>
      <c r="V740" s="340">
        <v>417102</v>
      </c>
      <c r="W740" s="297">
        <v>12056</v>
      </c>
      <c r="X740" s="296">
        <v>8.0000000000000002E-3</v>
      </c>
    </row>
    <row r="741" spans="13:24">
      <c r="M741">
        <v>739</v>
      </c>
      <c r="N741">
        <v>45241</v>
      </c>
      <c r="O741" t="s">
        <v>599</v>
      </c>
      <c r="P741" t="s">
        <v>136</v>
      </c>
      <c r="Q741">
        <v>266</v>
      </c>
      <c r="R741" s="296">
        <v>1E-4</v>
      </c>
      <c r="S741" s="296">
        <v>0.93989999999999996</v>
      </c>
      <c r="T741" s="297">
        <v>9826</v>
      </c>
      <c r="U741" s="340">
        <v>147371</v>
      </c>
      <c r="V741" s="340">
        <v>371700</v>
      </c>
      <c r="W741" s="297">
        <v>23953</v>
      </c>
      <c r="X741" s="296">
        <v>-1E-3</v>
      </c>
    </row>
    <row r="742" spans="13:24">
      <c r="M742">
        <v>740</v>
      </c>
      <c r="N742">
        <v>92596</v>
      </c>
      <c r="O742" t="s">
        <v>377</v>
      </c>
      <c r="P742" t="s">
        <v>132</v>
      </c>
      <c r="Q742">
        <v>1693</v>
      </c>
      <c r="R742" s="296">
        <v>1E-4</v>
      </c>
      <c r="S742" s="296">
        <v>0.93989999999999996</v>
      </c>
      <c r="T742" s="297">
        <v>10815</v>
      </c>
      <c r="U742" s="340">
        <v>144458</v>
      </c>
      <c r="V742" s="340">
        <v>662395</v>
      </c>
      <c r="W742" s="297">
        <v>38476</v>
      </c>
      <c r="X742" s="296">
        <v>4.7E-2</v>
      </c>
    </row>
    <row r="743" spans="13:24">
      <c r="M743">
        <v>741</v>
      </c>
      <c r="N743">
        <v>27612</v>
      </c>
      <c r="O743" t="s">
        <v>443</v>
      </c>
      <c r="P743" t="s">
        <v>138</v>
      </c>
      <c r="Q743">
        <v>653</v>
      </c>
      <c r="R743" s="296">
        <v>1E-4</v>
      </c>
      <c r="S743" s="296">
        <v>0.94</v>
      </c>
      <c r="T743" s="297">
        <v>20203</v>
      </c>
      <c r="U743" s="340">
        <v>144427</v>
      </c>
      <c r="V743" s="340">
        <v>653428</v>
      </c>
      <c r="W743" s="297">
        <v>40762</v>
      </c>
      <c r="X743" s="296">
        <v>7.0000000000000001E-3</v>
      </c>
    </row>
    <row r="744" spans="13:24">
      <c r="M744">
        <v>742</v>
      </c>
      <c r="N744">
        <v>53575</v>
      </c>
      <c r="O744" t="s">
        <v>208</v>
      </c>
      <c r="P744" t="s">
        <v>149</v>
      </c>
      <c r="Q744">
        <v>98</v>
      </c>
      <c r="R744" s="296">
        <v>1E-4</v>
      </c>
      <c r="S744" s="296">
        <v>0.94</v>
      </c>
      <c r="T744" s="297">
        <v>6714</v>
      </c>
      <c r="U744" s="340">
        <v>143327</v>
      </c>
      <c r="V744" s="340">
        <v>467612</v>
      </c>
      <c r="W744" s="297">
        <v>17875</v>
      </c>
      <c r="X744" s="296">
        <v>8.0000000000000002E-3</v>
      </c>
    </row>
    <row r="745" spans="13:24">
      <c r="M745">
        <v>743</v>
      </c>
      <c r="N745">
        <v>53044</v>
      </c>
      <c r="O745" t="s">
        <v>1203</v>
      </c>
      <c r="P745" t="s">
        <v>149</v>
      </c>
      <c r="Q745">
        <v>110</v>
      </c>
      <c r="R745" s="296">
        <v>1E-4</v>
      </c>
      <c r="S745" s="296">
        <v>0.94010000000000005</v>
      </c>
      <c r="T745">
        <v>880</v>
      </c>
      <c r="U745" s="340">
        <v>142842</v>
      </c>
      <c r="V745" s="340">
        <v>428898</v>
      </c>
      <c r="W745" s="297">
        <v>2430</v>
      </c>
      <c r="X745" s="296">
        <v>7.0000000000000001E-3</v>
      </c>
    </row>
    <row r="746" spans="13:24">
      <c r="M746">
        <v>744</v>
      </c>
      <c r="N746">
        <v>55369</v>
      </c>
      <c r="O746" t="s">
        <v>681</v>
      </c>
      <c r="P746" t="s">
        <v>151</v>
      </c>
      <c r="Q746">
        <v>350</v>
      </c>
      <c r="R746" s="296">
        <v>1E-4</v>
      </c>
      <c r="S746" s="296">
        <v>0.94010000000000005</v>
      </c>
      <c r="T746" s="297">
        <v>16841</v>
      </c>
      <c r="U746" s="340">
        <v>142304</v>
      </c>
      <c r="V746" s="340">
        <v>455070</v>
      </c>
      <c r="W746" s="297">
        <v>41414</v>
      </c>
      <c r="X746" s="296">
        <v>1.7999999999999999E-2</v>
      </c>
    </row>
    <row r="747" spans="13:24">
      <c r="M747">
        <v>745</v>
      </c>
      <c r="N747">
        <v>33308</v>
      </c>
      <c r="O747" t="s">
        <v>506</v>
      </c>
      <c r="P747" t="s">
        <v>127</v>
      </c>
      <c r="Q747">
        <v>1190</v>
      </c>
      <c r="R747" s="296">
        <v>1E-4</v>
      </c>
      <c r="S747" s="296">
        <v>0.94020000000000004</v>
      </c>
      <c r="T747" s="297">
        <v>16778</v>
      </c>
      <c r="U747" s="340">
        <v>141457</v>
      </c>
      <c r="V747" s="340">
        <v>783129</v>
      </c>
      <c r="W747" s="297">
        <v>29872</v>
      </c>
      <c r="X747" s="296">
        <v>-1E-3</v>
      </c>
    </row>
    <row r="748" spans="13:24">
      <c r="M748">
        <v>746</v>
      </c>
      <c r="N748">
        <v>46220</v>
      </c>
      <c r="O748" t="s">
        <v>561</v>
      </c>
      <c r="P748" t="s">
        <v>144</v>
      </c>
      <c r="Q748">
        <v>180</v>
      </c>
      <c r="R748" s="296">
        <v>1E-4</v>
      </c>
      <c r="S748" s="296">
        <v>0.94020000000000004</v>
      </c>
      <c r="T748" s="297">
        <v>17492</v>
      </c>
      <c r="U748" s="340">
        <v>139000</v>
      </c>
      <c r="V748" s="340">
        <v>367497</v>
      </c>
      <c r="W748" s="297">
        <v>36580</v>
      </c>
      <c r="X748" s="296">
        <v>2E-3</v>
      </c>
    </row>
    <row r="749" spans="13:24">
      <c r="M749">
        <v>747</v>
      </c>
      <c r="N749">
        <v>22602</v>
      </c>
      <c r="O749" t="s">
        <v>377</v>
      </c>
      <c r="P749" t="s">
        <v>139</v>
      </c>
      <c r="Q749">
        <v>540</v>
      </c>
      <c r="R749" s="296">
        <v>1E-4</v>
      </c>
      <c r="S749" s="296">
        <v>0.94030000000000002</v>
      </c>
      <c r="T749" s="297">
        <v>12515</v>
      </c>
      <c r="U749" s="340">
        <v>136163</v>
      </c>
      <c r="V749" s="340">
        <v>421798</v>
      </c>
      <c r="W749" s="297">
        <v>33923</v>
      </c>
      <c r="X749" s="296">
        <v>1.7000000000000001E-2</v>
      </c>
    </row>
    <row r="750" spans="13:24">
      <c r="M750">
        <v>748</v>
      </c>
      <c r="N750">
        <v>37221</v>
      </c>
      <c r="O750" t="s">
        <v>500</v>
      </c>
      <c r="P750" t="s">
        <v>146</v>
      </c>
      <c r="Q750">
        <v>423</v>
      </c>
      <c r="R750" s="296">
        <v>1E-4</v>
      </c>
      <c r="S750" s="296">
        <v>0.94030000000000002</v>
      </c>
      <c r="T750" s="297">
        <v>20712</v>
      </c>
      <c r="U750" s="340">
        <v>134662</v>
      </c>
      <c r="V750" s="340">
        <v>560220</v>
      </c>
      <c r="W750" s="297">
        <v>46085</v>
      </c>
      <c r="X750" s="296">
        <v>1.4E-2</v>
      </c>
    </row>
    <row r="751" spans="13:24">
      <c r="M751">
        <v>749</v>
      </c>
      <c r="N751">
        <v>63130</v>
      </c>
      <c r="O751" t="s">
        <v>536</v>
      </c>
      <c r="P751" t="s">
        <v>186</v>
      </c>
      <c r="Q751">
        <v>275</v>
      </c>
      <c r="R751" s="296">
        <v>1E-4</v>
      </c>
      <c r="S751" s="296">
        <v>0.94040000000000001</v>
      </c>
      <c r="T751" s="297">
        <v>12694</v>
      </c>
      <c r="U751" s="340">
        <v>128978</v>
      </c>
      <c r="V751" s="340">
        <v>426780</v>
      </c>
      <c r="W751" s="297">
        <v>29497</v>
      </c>
      <c r="X751" s="296">
        <v>-3.0000000000000001E-3</v>
      </c>
    </row>
    <row r="752" spans="13:24">
      <c r="M752">
        <v>750</v>
      </c>
      <c r="N752">
        <v>61114</v>
      </c>
      <c r="O752" t="s">
        <v>998</v>
      </c>
      <c r="P752" t="s">
        <v>131</v>
      </c>
      <c r="Q752">
        <v>62</v>
      </c>
      <c r="R752" s="296">
        <v>1E-4</v>
      </c>
      <c r="S752" s="296">
        <v>0.94040000000000001</v>
      </c>
      <c r="T752" s="297">
        <v>6472</v>
      </c>
      <c r="U752" s="340">
        <v>128393</v>
      </c>
      <c r="V752" s="340">
        <v>250103</v>
      </c>
      <c r="W752" s="297">
        <v>15394</v>
      </c>
      <c r="X752" s="296">
        <v>-2E-3</v>
      </c>
    </row>
    <row r="753" spans="13:24">
      <c r="M753">
        <v>751</v>
      </c>
      <c r="N753">
        <v>63303</v>
      </c>
      <c r="O753" t="s">
        <v>911</v>
      </c>
      <c r="P753" t="s">
        <v>186</v>
      </c>
      <c r="Q753">
        <v>276</v>
      </c>
      <c r="R753" s="296">
        <v>1E-4</v>
      </c>
      <c r="S753" s="296">
        <v>0.9405</v>
      </c>
      <c r="T753" s="297">
        <v>20706</v>
      </c>
      <c r="U753" s="340">
        <v>128188</v>
      </c>
      <c r="V753" s="340">
        <v>367116</v>
      </c>
      <c r="W753" s="297">
        <v>48347</v>
      </c>
      <c r="X753" s="296">
        <v>4.0000000000000001E-3</v>
      </c>
    </row>
    <row r="754" spans="13:24">
      <c r="M754">
        <v>752</v>
      </c>
      <c r="N754">
        <v>49316</v>
      </c>
      <c r="O754" t="s">
        <v>1138</v>
      </c>
      <c r="P754" t="s">
        <v>140</v>
      </c>
      <c r="Q754">
        <v>124</v>
      </c>
      <c r="R754" s="296">
        <v>1E-4</v>
      </c>
      <c r="S754" s="296">
        <v>0.9405</v>
      </c>
      <c r="T754" s="297">
        <v>8827</v>
      </c>
      <c r="U754" s="340">
        <v>127774</v>
      </c>
      <c r="V754" s="340">
        <v>387386</v>
      </c>
      <c r="W754" s="297">
        <v>26155</v>
      </c>
      <c r="X754" s="296">
        <v>7.0000000000000001E-3</v>
      </c>
    </row>
    <row r="755" spans="13:24">
      <c r="M755">
        <v>753</v>
      </c>
      <c r="N755">
        <v>50021</v>
      </c>
      <c r="O755" t="s">
        <v>699</v>
      </c>
      <c r="P755" t="s">
        <v>170</v>
      </c>
      <c r="Q755">
        <v>298</v>
      </c>
      <c r="R755" s="296">
        <v>1E-4</v>
      </c>
      <c r="S755" s="296">
        <v>0.94059999999999999</v>
      </c>
      <c r="T755" s="297">
        <v>12223</v>
      </c>
      <c r="U755" s="340">
        <v>127474</v>
      </c>
      <c r="V755" s="340">
        <v>333027</v>
      </c>
      <c r="W755" s="297">
        <v>30614</v>
      </c>
      <c r="X755" s="296">
        <v>1.7000000000000001E-2</v>
      </c>
    </row>
    <row r="756" spans="13:24">
      <c r="M756">
        <v>754</v>
      </c>
      <c r="N756">
        <v>53012</v>
      </c>
      <c r="O756" t="s">
        <v>1204</v>
      </c>
      <c r="P756" t="s">
        <v>149</v>
      </c>
      <c r="Q756">
        <v>82</v>
      </c>
      <c r="R756" s="296">
        <v>1E-4</v>
      </c>
      <c r="S756" s="296">
        <v>0.94059999999999999</v>
      </c>
      <c r="T756" s="297">
        <v>8111</v>
      </c>
      <c r="U756" s="340">
        <v>127215</v>
      </c>
      <c r="V756" s="340">
        <v>471918</v>
      </c>
      <c r="W756" s="297">
        <v>19752</v>
      </c>
      <c r="X756" s="296">
        <v>7.0000000000000001E-3</v>
      </c>
    </row>
    <row r="757" spans="13:24">
      <c r="M757">
        <v>755</v>
      </c>
      <c r="N757">
        <v>62294</v>
      </c>
      <c r="O757" t="s">
        <v>511</v>
      </c>
      <c r="P757" t="s">
        <v>131</v>
      </c>
      <c r="Q757">
        <v>262</v>
      </c>
      <c r="R757" s="296">
        <v>1E-4</v>
      </c>
      <c r="S757" s="296">
        <v>0.94069999999999998</v>
      </c>
      <c r="T757" s="297">
        <v>5869</v>
      </c>
      <c r="U757" s="340">
        <v>126433</v>
      </c>
      <c r="V757" s="340">
        <v>314211</v>
      </c>
      <c r="W757" s="297">
        <v>15244</v>
      </c>
      <c r="X757" s="296">
        <v>-1E-3</v>
      </c>
    </row>
    <row r="758" spans="13:24">
      <c r="M758">
        <v>756</v>
      </c>
      <c r="N758">
        <v>18612</v>
      </c>
      <c r="O758" t="s">
        <v>338</v>
      </c>
      <c r="P758" t="s">
        <v>133</v>
      </c>
      <c r="Q758">
        <v>611</v>
      </c>
      <c r="R758" s="296">
        <v>1E-4</v>
      </c>
      <c r="S758" s="296">
        <v>0.94069999999999998</v>
      </c>
      <c r="T758" s="297">
        <v>6153</v>
      </c>
      <c r="U758" s="340">
        <v>125355</v>
      </c>
      <c r="V758" s="340">
        <v>339181</v>
      </c>
      <c r="W758" s="297">
        <v>15440</v>
      </c>
      <c r="X758" s="296">
        <v>-3.0000000000000001E-3</v>
      </c>
    </row>
    <row r="759" spans="13:24">
      <c r="M759">
        <v>757</v>
      </c>
      <c r="N759">
        <v>29909</v>
      </c>
      <c r="O759" t="s">
        <v>1205</v>
      </c>
      <c r="P759" t="s">
        <v>145</v>
      </c>
      <c r="Q759">
        <v>778</v>
      </c>
      <c r="R759" s="296">
        <v>1E-4</v>
      </c>
      <c r="S759" s="296">
        <v>0.94079999999999997</v>
      </c>
      <c r="T759" s="297">
        <v>12252</v>
      </c>
      <c r="U759" s="340">
        <v>125126</v>
      </c>
      <c r="V759" s="340">
        <v>521525</v>
      </c>
      <c r="W759" s="297">
        <v>25199</v>
      </c>
      <c r="X759" s="296">
        <v>1.6E-2</v>
      </c>
    </row>
    <row r="760" spans="13:24">
      <c r="M760">
        <v>758</v>
      </c>
      <c r="N760">
        <v>64011</v>
      </c>
      <c r="O760" t="s">
        <v>1206</v>
      </c>
      <c r="P760" t="s">
        <v>186</v>
      </c>
      <c r="Q760">
        <v>396</v>
      </c>
      <c r="R760" s="296">
        <v>1E-4</v>
      </c>
      <c r="S760" s="296">
        <v>0.94079999999999997</v>
      </c>
      <c r="T760" s="297">
        <v>1372</v>
      </c>
      <c r="U760" s="340">
        <v>121325</v>
      </c>
      <c r="V760" s="340">
        <v>380376</v>
      </c>
      <c r="W760" s="297">
        <v>3599</v>
      </c>
      <c r="X760" s="296">
        <v>5.0000000000000001E-3</v>
      </c>
    </row>
    <row r="761" spans="13:24">
      <c r="M761">
        <v>759</v>
      </c>
      <c r="N761">
        <v>63026</v>
      </c>
      <c r="O761" t="s">
        <v>1207</v>
      </c>
      <c r="P761" t="s">
        <v>186</v>
      </c>
      <c r="Q761">
        <v>289</v>
      </c>
      <c r="R761" s="296">
        <v>1E-4</v>
      </c>
      <c r="S761" s="296">
        <v>0.94089999999999996</v>
      </c>
      <c r="T761" s="297">
        <v>17465</v>
      </c>
      <c r="U761" s="340">
        <v>120732</v>
      </c>
      <c r="V761" s="340">
        <v>318658</v>
      </c>
      <c r="W761" s="297">
        <v>44735</v>
      </c>
      <c r="X761" s="296">
        <v>3.0000000000000001E-3</v>
      </c>
    </row>
    <row r="762" spans="13:24">
      <c r="M762">
        <v>760</v>
      </c>
      <c r="N762">
        <v>61015</v>
      </c>
      <c r="O762" t="s">
        <v>1208</v>
      </c>
      <c r="P762" t="s">
        <v>131</v>
      </c>
      <c r="Q762">
        <v>73</v>
      </c>
      <c r="R762" s="296">
        <v>1E-4</v>
      </c>
      <c r="S762" s="296">
        <v>0.94089999999999996</v>
      </c>
      <c r="T762">
        <v>409</v>
      </c>
      <c r="U762" s="340">
        <v>120396</v>
      </c>
      <c r="V762" s="340">
        <v>356634</v>
      </c>
      <c r="W762" s="297">
        <v>1006</v>
      </c>
      <c r="X762" s="296">
        <v>-3.0000000000000001E-3</v>
      </c>
    </row>
    <row r="763" spans="13:24">
      <c r="M763">
        <v>761</v>
      </c>
      <c r="N763">
        <v>34683</v>
      </c>
      <c r="O763" t="s">
        <v>780</v>
      </c>
      <c r="P763" t="s">
        <v>127</v>
      </c>
      <c r="Q763">
        <v>1013</v>
      </c>
      <c r="R763" s="296">
        <v>1E-4</v>
      </c>
      <c r="S763" s="296">
        <v>0.94099999999999995</v>
      </c>
      <c r="T763" s="297">
        <v>14699</v>
      </c>
      <c r="U763" s="340">
        <v>118915</v>
      </c>
      <c r="V763" s="340">
        <v>515984</v>
      </c>
      <c r="W763" s="297">
        <v>34213</v>
      </c>
      <c r="X763" s="296">
        <v>-1E-3</v>
      </c>
    </row>
    <row r="764" spans="13:24">
      <c r="M764">
        <v>762</v>
      </c>
      <c r="N764">
        <v>60301</v>
      </c>
      <c r="O764" t="s">
        <v>807</v>
      </c>
      <c r="P764" t="s">
        <v>131</v>
      </c>
      <c r="Q764">
        <v>18</v>
      </c>
      <c r="R764" s="296">
        <v>1E-4</v>
      </c>
      <c r="S764" s="296">
        <v>0.94099999999999995</v>
      </c>
      <c r="T764" s="297">
        <v>2474</v>
      </c>
      <c r="U764" s="340">
        <v>117004</v>
      </c>
      <c r="V764" s="340">
        <v>333043</v>
      </c>
      <c r="W764" s="297">
        <v>3858</v>
      </c>
      <c r="X764" s="296">
        <v>2.1999999999999999E-2</v>
      </c>
    </row>
    <row r="765" spans="13:24">
      <c r="M765">
        <v>763</v>
      </c>
      <c r="N765">
        <v>49024</v>
      </c>
      <c r="O765" t="s">
        <v>1000</v>
      </c>
      <c r="P765" t="s">
        <v>140</v>
      </c>
      <c r="Q765">
        <v>111</v>
      </c>
      <c r="R765" s="296">
        <v>1E-4</v>
      </c>
      <c r="S765" s="296">
        <v>0.94110000000000005</v>
      </c>
      <c r="T765" s="297">
        <v>12650</v>
      </c>
      <c r="U765" s="340">
        <v>116859</v>
      </c>
      <c r="V765" s="340">
        <v>314747</v>
      </c>
      <c r="W765" s="297">
        <v>30475</v>
      </c>
      <c r="X765" s="296">
        <v>0</v>
      </c>
    </row>
    <row r="766" spans="13:24">
      <c r="M766">
        <v>764</v>
      </c>
      <c r="N766">
        <v>49456</v>
      </c>
      <c r="O766" t="s">
        <v>1209</v>
      </c>
      <c r="P766" t="s">
        <v>140</v>
      </c>
      <c r="Q766">
        <v>104</v>
      </c>
      <c r="R766" s="296">
        <v>1E-4</v>
      </c>
      <c r="S766" s="296">
        <v>0.94110000000000005</v>
      </c>
      <c r="T766" s="297">
        <v>8800</v>
      </c>
      <c r="U766" s="340">
        <v>115921</v>
      </c>
      <c r="V766" s="340">
        <v>443126</v>
      </c>
      <c r="W766" s="297">
        <v>20902</v>
      </c>
      <c r="X766" s="296">
        <v>8.0000000000000002E-3</v>
      </c>
    </row>
    <row r="767" spans="13:24">
      <c r="M767">
        <v>765</v>
      </c>
      <c r="N767">
        <v>53024</v>
      </c>
      <c r="O767" t="s">
        <v>613</v>
      </c>
      <c r="P767" t="s">
        <v>149</v>
      </c>
      <c r="Q767">
        <v>82</v>
      </c>
      <c r="R767" s="296">
        <v>1E-4</v>
      </c>
      <c r="S767" s="296">
        <v>0.94120000000000004</v>
      </c>
      <c r="T767" s="297">
        <v>7958</v>
      </c>
      <c r="U767" s="340">
        <v>115816</v>
      </c>
      <c r="V767" s="340">
        <v>435390</v>
      </c>
      <c r="W767" s="297">
        <v>18561</v>
      </c>
      <c r="X767" s="296">
        <v>7.0000000000000001E-3</v>
      </c>
    </row>
    <row r="768" spans="13:24">
      <c r="M768">
        <v>766</v>
      </c>
      <c r="N768">
        <v>66538</v>
      </c>
      <c r="O768" t="s">
        <v>1210</v>
      </c>
      <c r="P768" t="s">
        <v>176</v>
      </c>
      <c r="Q768">
        <v>458</v>
      </c>
      <c r="R768" s="296">
        <v>1E-4</v>
      </c>
      <c r="S768" s="296">
        <v>0.94120000000000004</v>
      </c>
      <c r="T768" s="297">
        <v>1376</v>
      </c>
      <c r="U768" s="340">
        <v>115705</v>
      </c>
      <c r="V768" s="340">
        <v>298118</v>
      </c>
      <c r="W768" s="297">
        <v>3395</v>
      </c>
      <c r="X768" s="296">
        <v>4.0000000000000001E-3</v>
      </c>
    </row>
    <row r="769" spans="13:24">
      <c r="M769">
        <v>767</v>
      </c>
      <c r="N769">
        <v>27705</v>
      </c>
      <c r="O769" t="s">
        <v>505</v>
      </c>
      <c r="P769" t="s">
        <v>138</v>
      </c>
      <c r="Q769">
        <v>635</v>
      </c>
      <c r="R769" s="296">
        <v>1E-4</v>
      </c>
      <c r="S769" s="296">
        <v>0.94130000000000003</v>
      </c>
      <c r="T769" s="297">
        <v>22848</v>
      </c>
      <c r="U769" s="340">
        <v>113655</v>
      </c>
      <c r="V769" s="340">
        <v>530173</v>
      </c>
      <c r="W769" s="297">
        <v>49887</v>
      </c>
      <c r="X769" s="296">
        <v>4.0000000000000001E-3</v>
      </c>
    </row>
    <row r="770" spans="13:24">
      <c r="M770">
        <v>768</v>
      </c>
      <c r="N770">
        <v>54904</v>
      </c>
      <c r="O770" t="s">
        <v>1102</v>
      </c>
      <c r="P770" t="s">
        <v>149</v>
      </c>
      <c r="Q770">
        <v>136</v>
      </c>
      <c r="R770" s="296">
        <v>1E-4</v>
      </c>
      <c r="S770" s="296">
        <v>0.94130000000000003</v>
      </c>
      <c r="T770" s="297">
        <v>9400</v>
      </c>
      <c r="U770" s="340">
        <v>113175</v>
      </c>
      <c r="V770" s="340">
        <v>325435</v>
      </c>
      <c r="W770" s="297">
        <v>22282</v>
      </c>
      <c r="X770" s="296">
        <v>4.0000000000000001E-3</v>
      </c>
    </row>
    <row r="771" spans="13:24">
      <c r="M771">
        <v>769</v>
      </c>
      <c r="N771">
        <v>30102</v>
      </c>
      <c r="O771" t="s">
        <v>1211</v>
      </c>
      <c r="P771" t="s">
        <v>130</v>
      </c>
      <c r="Q771">
        <v>584</v>
      </c>
      <c r="R771" s="296">
        <v>1E-4</v>
      </c>
      <c r="S771" s="296">
        <v>0.94140000000000001</v>
      </c>
      <c r="T771" s="297">
        <v>16637</v>
      </c>
      <c r="U771" s="340">
        <v>112143</v>
      </c>
      <c r="V771" s="340">
        <v>378992</v>
      </c>
      <c r="W771" s="297">
        <v>47368</v>
      </c>
      <c r="X771" s="296">
        <v>0.02</v>
      </c>
    </row>
    <row r="772" spans="13:24">
      <c r="M772">
        <v>770</v>
      </c>
      <c r="N772">
        <v>53716</v>
      </c>
      <c r="O772" t="s">
        <v>823</v>
      </c>
      <c r="P772" t="s">
        <v>149</v>
      </c>
      <c r="Q772">
        <v>100</v>
      </c>
      <c r="R772" s="296">
        <v>1E-4</v>
      </c>
      <c r="S772" s="296">
        <v>0.94140000000000001</v>
      </c>
      <c r="T772" s="297">
        <v>8620</v>
      </c>
      <c r="U772" s="340">
        <v>111798</v>
      </c>
      <c r="V772" s="340">
        <v>449411</v>
      </c>
      <c r="W772" s="297">
        <v>19387</v>
      </c>
      <c r="X772" s="296">
        <v>3.0000000000000001E-3</v>
      </c>
    </row>
    <row r="773" spans="13:24">
      <c r="M773">
        <v>771</v>
      </c>
      <c r="N773">
        <v>46617</v>
      </c>
      <c r="O773" t="s">
        <v>1212</v>
      </c>
      <c r="P773" t="s">
        <v>144</v>
      </c>
      <c r="Q773">
        <v>86</v>
      </c>
      <c r="R773" s="296">
        <v>1E-4</v>
      </c>
      <c r="S773" s="296">
        <v>0.94140000000000001</v>
      </c>
      <c r="T773" s="297">
        <v>4613</v>
      </c>
      <c r="U773" s="340">
        <v>111141</v>
      </c>
      <c r="V773" s="340">
        <v>317944</v>
      </c>
      <c r="W773" s="297">
        <v>10414</v>
      </c>
      <c r="X773" s="296">
        <v>1.0999999999999999E-2</v>
      </c>
    </row>
    <row r="774" spans="13:24">
      <c r="M774">
        <v>772</v>
      </c>
      <c r="N774">
        <v>80226</v>
      </c>
      <c r="O774" t="s">
        <v>330</v>
      </c>
      <c r="P774" t="s">
        <v>142</v>
      </c>
      <c r="Q774">
        <v>917</v>
      </c>
      <c r="R774" s="296">
        <v>1E-4</v>
      </c>
      <c r="S774" s="296">
        <v>0.9415</v>
      </c>
      <c r="T774" s="297">
        <v>13100</v>
      </c>
      <c r="U774" s="340">
        <v>109776</v>
      </c>
      <c r="V774" s="340">
        <v>676055</v>
      </c>
      <c r="W774" s="297">
        <v>31970</v>
      </c>
      <c r="X774" s="296">
        <v>-1E-3</v>
      </c>
    </row>
    <row r="775" spans="13:24">
      <c r="M775">
        <v>773</v>
      </c>
      <c r="N775">
        <v>55382</v>
      </c>
      <c r="O775" t="s">
        <v>1116</v>
      </c>
      <c r="P775" t="s">
        <v>151</v>
      </c>
      <c r="Q775">
        <v>387</v>
      </c>
      <c r="R775" s="296">
        <v>1E-4</v>
      </c>
      <c r="S775" s="296">
        <v>0.94159999999999999</v>
      </c>
      <c r="T775" s="297">
        <v>1474</v>
      </c>
      <c r="U775" s="340">
        <v>109708</v>
      </c>
      <c r="V775" s="340">
        <v>458797</v>
      </c>
      <c r="W775" s="297">
        <v>3809</v>
      </c>
      <c r="X775" s="296">
        <v>1E-3</v>
      </c>
    </row>
    <row r="776" spans="13:24">
      <c r="M776">
        <v>774</v>
      </c>
      <c r="N776">
        <v>91335</v>
      </c>
      <c r="O776" t="s">
        <v>1213</v>
      </c>
      <c r="P776" t="s">
        <v>132</v>
      </c>
      <c r="Q776">
        <v>1747</v>
      </c>
      <c r="R776" s="296">
        <v>1E-4</v>
      </c>
      <c r="S776" s="296">
        <v>0.94159999999999999</v>
      </c>
      <c r="T776" s="297">
        <v>24466</v>
      </c>
      <c r="U776" s="340">
        <v>109202</v>
      </c>
      <c r="V776" s="340">
        <v>805611</v>
      </c>
      <c r="W776" s="297">
        <v>76535</v>
      </c>
      <c r="X776" s="296">
        <v>-2E-3</v>
      </c>
    </row>
    <row r="777" spans="13:24">
      <c r="M777">
        <v>775</v>
      </c>
      <c r="N777">
        <v>48314</v>
      </c>
      <c r="O777" t="s">
        <v>1142</v>
      </c>
      <c r="P777" t="s">
        <v>140</v>
      </c>
      <c r="Q777">
        <v>244</v>
      </c>
      <c r="R777" s="296">
        <v>1E-4</v>
      </c>
      <c r="S777" s="296">
        <v>0.94169999999999998</v>
      </c>
      <c r="T777" s="297">
        <v>8726</v>
      </c>
      <c r="U777" s="340">
        <v>106659</v>
      </c>
      <c r="V777" s="340">
        <v>349010</v>
      </c>
      <c r="W777" s="297">
        <v>21642</v>
      </c>
      <c r="X777" s="296">
        <v>0</v>
      </c>
    </row>
    <row r="778" spans="13:24">
      <c r="M778">
        <v>776</v>
      </c>
      <c r="N778">
        <v>15229</v>
      </c>
      <c r="O778" t="s">
        <v>569</v>
      </c>
      <c r="P778" t="s">
        <v>133</v>
      </c>
      <c r="Q778">
        <v>417</v>
      </c>
      <c r="R778" s="296">
        <v>1E-4</v>
      </c>
      <c r="S778" s="296">
        <v>0.94169999999999998</v>
      </c>
      <c r="T778" s="297">
        <v>6738</v>
      </c>
      <c r="U778" s="340">
        <v>106539</v>
      </c>
      <c r="V778" s="340">
        <v>297033</v>
      </c>
      <c r="W778" s="297">
        <v>14848</v>
      </c>
      <c r="X778" s="296">
        <v>-3.0000000000000001E-3</v>
      </c>
    </row>
    <row r="779" spans="13:24">
      <c r="M779">
        <v>777</v>
      </c>
      <c r="N779">
        <v>78504</v>
      </c>
      <c r="O779" t="s">
        <v>1214</v>
      </c>
      <c r="P779" t="s">
        <v>134</v>
      </c>
      <c r="Q779">
        <v>1247</v>
      </c>
      <c r="R779" s="296">
        <v>1E-4</v>
      </c>
      <c r="S779" s="296">
        <v>0.94169999999999998</v>
      </c>
      <c r="T779" s="297">
        <v>20283</v>
      </c>
      <c r="U779" s="340">
        <v>105744</v>
      </c>
      <c r="V779" s="340">
        <v>246885</v>
      </c>
      <c r="W779" s="297">
        <v>59838</v>
      </c>
      <c r="X779" s="296">
        <v>1.2999999999999999E-2</v>
      </c>
    </row>
    <row r="780" spans="13:24">
      <c r="M780">
        <v>778</v>
      </c>
      <c r="N780">
        <v>15211</v>
      </c>
      <c r="O780" t="s">
        <v>569</v>
      </c>
      <c r="P780" t="s">
        <v>133</v>
      </c>
      <c r="Q780">
        <v>421</v>
      </c>
      <c r="R780" s="296">
        <v>1E-4</v>
      </c>
      <c r="S780" s="296">
        <v>0.94179999999999997</v>
      </c>
      <c r="T780" s="297">
        <v>5926</v>
      </c>
      <c r="U780" s="340">
        <v>104152</v>
      </c>
      <c r="V780" s="340">
        <v>293244</v>
      </c>
      <c r="W780" s="297">
        <v>10864</v>
      </c>
      <c r="X780" s="296">
        <v>-2E-3</v>
      </c>
    </row>
    <row r="781" spans="13:24">
      <c r="M781">
        <v>779</v>
      </c>
      <c r="N781">
        <v>55362</v>
      </c>
      <c r="O781" t="s">
        <v>1215</v>
      </c>
      <c r="P781" t="s">
        <v>151</v>
      </c>
      <c r="Q781">
        <v>371</v>
      </c>
      <c r="R781" s="296">
        <v>1E-4</v>
      </c>
      <c r="S781" s="296">
        <v>0.94179999999999997</v>
      </c>
      <c r="T781" s="297">
        <v>7944</v>
      </c>
      <c r="U781" s="340">
        <v>103993</v>
      </c>
      <c r="V781" s="340">
        <v>387926</v>
      </c>
      <c r="W781" s="297">
        <v>21318</v>
      </c>
      <c r="X781" s="296">
        <v>7.0000000000000001E-3</v>
      </c>
    </row>
    <row r="782" spans="13:24">
      <c r="M782">
        <v>780</v>
      </c>
      <c r="N782">
        <v>87124</v>
      </c>
      <c r="O782" t="s">
        <v>1216</v>
      </c>
      <c r="P782" t="s">
        <v>200</v>
      </c>
      <c r="Q782">
        <v>1125</v>
      </c>
      <c r="R782" s="296">
        <v>1E-4</v>
      </c>
      <c r="S782" s="296">
        <v>0.94189999999999996</v>
      </c>
      <c r="T782" s="297">
        <v>22916</v>
      </c>
      <c r="U782" s="340">
        <v>103308</v>
      </c>
      <c r="V782" s="340">
        <v>337981</v>
      </c>
      <c r="W782" s="297">
        <v>60509</v>
      </c>
      <c r="X782" s="296">
        <v>5.0000000000000001E-3</v>
      </c>
    </row>
    <row r="783" spans="13:24">
      <c r="M783">
        <v>781</v>
      </c>
      <c r="N783">
        <v>63108</v>
      </c>
      <c r="O783" t="s">
        <v>536</v>
      </c>
      <c r="P783" t="s">
        <v>186</v>
      </c>
      <c r="Q783">
        <v>275</v>
      </c>
      <c r="R783" s="296">
        <v>1E-4</v>
      </c>
      <c r="S783" s="296">
        <v>0.94189999999999996</v>
      </c>
      <c r="T783" s="297">
        <v>12772</v>
      </c>
      <c r="U783" s="340">
        <v>103292</v>
      </c>
      <c r="V783" s="340">
        <v>451609</v>
      </c>
      <c r="W783" s="297">
        <v>22121</v>
      </c>
      <c r="X783" s="296">
        <v>5.0000000000000001E-3</v>
      </c>
    </row>
    <row r="784" spans="13:24">
      <c r="M784">
        <v>782</v>
      </c>
      <c r="N784">
        <v>66617</v>
      </c>
      <c r="O784" t="s">
        <v>1217</v>
      </c>
      <c r="P784" t="s">
        <v>176</v>
      </c>
      <c r="Q784">
        <v>461</v>
      </c>
      <c r="R784" s="296">
        <v>1E-4</v>
      </c>
      <c r="S784" s="296">
        <v>0.94199999999999995</v>
      </c>
      <c r="T784" s="297">
        <v>3474</v>
      </c>
      <c r="U784" s="340">
        <v>103225</v>
      </c>
      <c r="V784" s="340">
        <v>286512</v>
      </c>
      <c r="W784" s="297">
        <v>8738</v>
      </c>
      <c r="X784" s="296">
        <v>1E-3</v>
      </c>
    </row>
    <row r="785" spans="13:24">
      <c r="M785">
        <v>783</v>
      </c>
      <c r="N785">
        <v>33406</v>
      </c>
      <c r="O785" t="s">
        <v>586</v>
      </c>
      <c r="P785" t="s">
        <v>127</v>
      </c>
      <c r="Q785">
        <v>1157</v>
      </c>
      <c r="R785" s="296">
        <v>1E-4</v>
      </c>
      <c r="S785" s="296">
        <v>0.94199999999999995</v>
      </c>
      <c r="T785" s="297">
        <v>9421</v>
      </c>
      <c r="U785" s="340">
        <v>102508</v>
      </c>
      <c r="V785" s="340">
        <v>488467</v>
      </c>
      <c r="W785" s="297">
        <v>27607</v>
      </c>
      <c r="X785" s="296">
        <v>0</v>
      </c>
    </row>
    <row r="786" spans="13:24">
      <c r="M786">
        <v>784</v>
      </c>
      <c r="N786">
        <v>54467</v>
      </c>
      <c r="O786" t="s">
        <v>1218</v>
      </c>
      <c r="P786" t="s">
        <v>149</v>
      </c>
      <c r="Q786">
        <v>182</v>
      </c>
      <c r="R786" s="296">
        <v>1E-4</v>
      </c>
      <c r="S786" s="296">
        <v>0.94210000000000005</v>
      </c>
      <c r="T786" s="297">
        <v>6415</v>
      </c>
      <c r="U786" s="340">
        <v>102060</v>
      </c>
      <c r="V786" s="340">
        <v>298227</v>
      </c>
      <c r="W786" s="297">
        <v>15076</v>
      </c>
      <c r="X786" s="296">
        <v>7.0000000000000001E-3</v>
      </c>
    </row>
    <row r="787" spans="13:24">
      <c r="M787">
        <v>785</v>
      </c>
      <c r="N787">
        <v>54701</v>
      </c>
      <c r="O787" t="s">
        <v>1219</v>
      </c>
      <c r="P787" t="s">
        <v>149</v>
      </c>
      <c r="Q787">
        <v>259</v>
      </c>
      <c r="R787" s="296">
        <v>1E-4</v>
      </c>
      <c r="S787" s="296">
        <v>0.94210000000000005</v>
      </c>
      <c r="T787" s="297">
        <v>17468</v>
      </c>
      <c r="U787" s="340">
        <v>101359</v>
      </c>
      <c r="V787" s="340">
        <v>348268</v>
      </c>
      <c r="W787" s="297">
        <v>42670</v>
      </c>
      <c r="X787" s="296">
        <v>8.0000000000000002E-3</v>
      </c>
    </row>
    <row r="788" spans="13:24">
      <c r="M788">
        <v>786</v>
      </c>
      <c r="N788">
        <v>61821</v>
      </c>
      <c r="O788" t="s">
        <v>935</v>
      </c>
      <c r="P788" t="s">
        <v>131</v>
      </c>
      <c r="Q788">
        <v>143</v>
      </c>
      <c r="R788" s="296">
        <v>1E-4</v>
      </c>
      <c r="S788" s="296">
        <v>0.94220000000000004</v>
      </c>
      <c r="T788" s="297">
        <v>12861</v>
      </c>
      <c r="U788" s="340">
        <v>100840</v>
      </c>
      <c r="V788" s="340">
        <v>244563</v>
      </c>
      <c r="W788" s="297">
        <v>29004</v>
      </c>
      <c r="X788" s="296">
        <v>-5.0000000000000001E-3</v>
      </c>
    </row>
    <row r="789" spans="13:24">
      <c r="M789">
        <v>787</v>
      </c>
      <c r="N789">
        <v>46250</v>
      </c>
      <c r="O789" t="s">
        <v>561</v>
      </c>
      <c r="P789" t="s">
        <v>144</v>
      </c>
      <c r="Q789">
        <v>179</v>
      </c>
      <c r="R789" s="296">
        <v>1E-4</v>
      </c>
      <c r="S789" s="296">
        <v>0.94220000000000004</v>
      </c>
      <c r="T789" s="297">
        <v>9850</v>
      </c>
      <c r="U789" s="340">
        <v>100295</v>
      </c>
      <c r="V789" s="340">
        <v>330483</v>
      </c>
      <c r="W789" s="297">
        <v>19381</v>
      </c>
      <c r="X789" s="296">
        <v>-7.0000000000000001E-3</v>
      </c>
    </row>
    <row r="790" spans="13:24">
      <c r="M790">
        <v>788</v>
      </c>
      <c r="N790">
        <v>48328</v>
      </c>
      <c r="O790" t="s">
        <v>1039</v>
      </c>
      <c r="P790" t="s">
        <v>140</v>
      </c>
      <c r="Q790">
        <v>229</v>
      </c>
      <c r="R790" s="296">
        <v>1E-4</v>
      </c>
      <c r="S790" s="296">
        <v>0.94230000000000003</v>
      </c>
      <c r="T790" s="297">
        <v>11394</v>
      </c>
      <c r="U790" s="340">
        <v>100282</v>
      </c>
      <c r="V790" s="340">
        <v>345798</v>
      </c>
      <c r="W790" s="297">
        <v>24229</v>
      </c>
      <c r="X790" s="296">
        <v>-2E-3</v>
      </c>
    </row>
    <row r="791" spans="13:24">
      <c r="M791">
        <v>789</v>
      </c>
      <c r="N791">
        <v>24073</v>
      </c>
      <c r="O791" t="s">
        <v>1220</v>
      </c>
      <c r="P791" t="s">
        <v>139</v>
      </c>
      <c r="Q791">
        <v>523</v>
      </c>
      <c r="R791" s="296">
        <v>1E-4</v>
      </c>
      <c r="S791" s="296">
        <v>0.94230000000000003</v>
      </c>
      <c r="T791" s="297">
        <v>13329</v>
      </c>
      <c r="U791" s="340">
        <v>99586</v>
      </c>
      <c r="V791" s="340">
        <v>343686</v>
      </c>
      <c r="W791" s="297">
        <v>31291</v>
      </c>
      <c r="X791" s="296">
        <v>-4.0000000000000001E-3</v>
      </c>
    </row>
    <row r="792" spans="13:24">
      <c r="M792">
        <v>790</v>
      </c>
      <c r="N792">
        <v>55434</v>
      </c>
      <c r="O792" t="s">
        <v>576</v>
      </c>
      <c r="P792" t="s">
        <v>151</v>
      </c>
      <c r="Q792">
        <v>344</v>
      </c>
      <c r="R792" s="296">
        <v>1E-4</v>
      </c>
      <c r="S792" s="296">
        <v>0.94240000000000002</v>
      </c>
      <c r="T792" s="297">
        <v>12500</v>
      </c>
      <c r="U792" s="340">
        <v>97910</v>
      </c>
      <c r="V792" s="340">
        <v>321842</v>
      </c>
      <c r="W792" s="297">
        <v>32936</v>
      </c>
      <c r="X792" s="296">
        <v>8.0000000000000002E-3</v>
      </c>
    </row>
    <row r="793" spans="13:24">
      <c r="M793">
        <v>791</v>
      </c>
      <c r="N793">
        <v>76110</v>
      </c>
      <c r="O793" t="s">
        <v>688</v>
      </c>
      <c r="P793" t="s">
        <v>134</v>
      </c>
      <c r="Q793">
        <v>835</v>
      </c>
      <c r="R793" s="296">
        <v>1E-4</v>
      </c>
      <c r="S793" s="296">
        <v>0.94240000000000002</v>
      </c>
      <c r="T793" s="297">
        <v>10184</v>
      </c>
      <c r="U793" s="340">
        <v>97765</v>
      </c>
      <c r="V793" s="340">
        <v>364997</v>
      </c>
      <c r="W793" s="297">
        <v>30011</v>
      </c>
      <c r="X793" s="296">
        <v>2E-3</v>
      </c>
    </row>
    <row r="794" spans="13:24">
      <c r="M794">
        <v>792</v>
      </c>
      <c r="N794">
        <v>41042</v>
      </c>
      <c r="O794" t="s">
        <v>696</v>
      </c>
      <c r="P794" t="s">
        <v>143</v>
      </c>
      <c r="Q794">
        <v>273</v>
      </c>
      <c r="R794" s="296">
        <v>1E-4</v>
      </c>
      <c r="S794" s="296">
        <v>0.9425</v>
      </c>
      <c r="T794" s="297">
        <v>22055</v>
      </c>
      <c r="U794" s="340">
        <v>97626</v>
      </c>
      <c r="V794" s="340">
        <v>246481</v>
      </c>
      <c r="W794" s="297">
        <v>56020</v>
      </c>
      <c r="X794" s="296">
        <v>1.0999999999999999E-2</v>
      </c>
    </row>
    <row r="795" spans="13:24">
      <c r="M795">
        <v>793</v>
      </c>
      <c r="N795">
        <v>62226</v>
      </c>
      <c r="O795" t="s">
        <v>1221</v>
      </c>
      <c r="P795" t="s">
        <v>131</v>
      </c>
      <c r="Q795">
        <v>275</v>
      </c>
      <c r="R795" s="296">
        <v>1E-4</v>
      </c>
      <c r="S795" s="296">
        <v>0.9425</v>
      </c>
      <c r="T795" s="297">
        <v>12807</v>
      </c>
      <c r="U795" s="340">
        <v>97483</v>
      </c>
      <c r="V795" s="340">
        <v>226926</v>
      </c>
      <c r="W795" s="297">
        <v>28832</v>
      </c>
      <c r="X795" s="296">
        <v>-7.0000000000000001E-3</v>
      </c>
    </row>
    <row r="796" spans="13:24">
      <c r="M796">
        <v>794</v>
      </c>
      <c r="N796">
        <v>48197</v>
      </c>
      <c r="O796" t="s">
        <v>1222</v>
      </c>
      <c r="P796" t="s">
        <v>140</v>
      </c>
      <c r="Q796">
        <v>213</v>
      </c>
      <c r="R796" s="296">
        <v>1E-4</v>
      </c>
      <c r="S796" s="296">
        <v>0.94259999999999999</v>
      </c>
      <c r="T796" s="297">
        <v>27251</v>
      </c>
      <c r="U796" s="340">
        <v>96681</v>
      </c>
      <c r="V796" s="340">
        <v>319744</v>
      </c>
      <c r="W796" s="297">
        <v>67403</v>
      </c>
      <c r="X796" s="296">
        <v>-2E-3</v>
      </c>
    </row>
    <row r="797" spans="13:24">
      <c r="M797">
        <v>795</v>
      </c>
      <c r="N797">
        <v>24065</v>
      </c>
      <c r="O797" t="s">
        <v>1223</v>
      </c>
      <c r="P797" t="s">
        <v>139</v>
      </c>
      <c r="Q797">
        <v>542</v>
      </c>
      <c r="R797" s="296">
        <v>1E-4</v>
      </c>
      <c r="S797" s="296">
        <v>0.94259999999999999</v>
      </c>
      <c r="T797" s="297">
        <v>2538</v>
      </c>
      <c r="U797" s="340">
        <v>96676</v>
      </c>
      <c r="V797" s="340">
        <v>328453</v>
      </c>
      <c r="W797" s="297">
        <v>6282</v>
      </c>
      <c r="X797" s="296">
        <v>-2E-3</v>
      </c>
    </row>
    <row r="798" spans="13:24">
      <c r="M798">
        <v>796</v>
      </c>
      <c r="N798">
        <v>33781</v>
      </c>
      <c r="O798" t="s">
        <v>812</v>
      </c>
      <c r="P798" t="s">
        <v>127</v>
      </c>
      <c r="Q798">
        <v>1029</v>
      </c>
      <c r="R798" s="296">
        <v>1E-4</v>
      </c>
      <c r="S798" s="296">
        <v>0.94269999999999998</v>
      </c>
      <c r="T798" s="297">
        <v>10742</v>
      </c>
      <c r="U798" s="340">
        <v>96526</v>
      </c>
      <c r="V798" s="340">
        <v>396921</v>
      </c>
      <c r="W798" s="297">
        <v>26649</v>
      </c>
      <c r="X798" s="296">
        <v>7.0000000000000001E-3</v>
      </c>
    </row>
    <row r="799" spans="13:24">
      <c r="M799">
        <v>797</v>
      </c>
      <c r="N799">
        <v>12180</v>
      </c>
      <c r="O799" t="s">
        <v>511</v>
      </c>
      <c r="P799" t="s">
        <v>128</v>
      </c>
      <c r="Q799">
        <v>724</v>
      </c>
      <c r="R799" s="296">
        <v>1E-4</v>
      </c>
      <c r="S799" s="296">
        <v>0.94269999999999998</v>
      </c>
      <c r="T799" s="297">
        <v>23236</v>
      </c>
      <c r="U799" s="340">
        <v>96401</v>
      </c>
      <c r="V799" s="340">
        <v>305305</v>
      </c>
      <c r="W799" s="297">
        <v>56114</v>
      </c>
      <c r="X799" s="296">
        <v>0</v>
      </c>
    </row>
    <row r="800" spans="13:24">
      <c r="M800">
        <v>798</v>
      </c>
      <c r="N800">
        <v>45014</v>
      </c>
      <c r="O800" t="s">
        <v>298</v>
      </c>
      <c r="P800" t="s">
        <v>136</v>
      </c>
      <c r="Q800">
        <v>258</v>
      </c>
      <c r="R800" s="296">
        <v>1E-4</v>
      </c>
      <c r="S800" s="296">
        <v>0.94279999999999997</v>
      </c>
      <c r="T800" s="297">
        <v>19090</v>
      </c>
      <c r="U800" s="340">
        <v>95765</v>
      </c>
      <c r="V800" s="340">
        <v>279068</v>
      </c>
      <c r="W800" s="297">
        <v>45587</v>
      </c>
      <c r="X800" s="296">
        <v>-3.0000000000000001E-3</v>
      </c>
    </row>
    <row r="801" spans="13:24">
      <c r="M801">
        <v>799</v>
      </c>
      <c r="N801">
        <v>33705</v>
      </c>
      <c r="O801" t="s">
        <v>782</v>
      </c>
      <c r="P801" t="s">
        <v>127</v>
      </c>
      <c r="Q801">
        <v>1037</v>
      </c>
      <c r="R801" s="296">
        <v>1E-4</v>
      </c>
      <c r="S801" s="296">
        <v>0.94279999999999997</v>
      </c>
      <c r="T801" s="297">
        <v>12586</v>
      </c>
      <c r="U801" s="340">
        <v>95755</v>
      </c>
      <c r="V801" s="340">
        <v>517643</v>
      </c>
      <c r="W801" s="297">
        <v>28142</v>
      </c>
      <c r="X801" s="296">
        <v>2E-3</v>
      </c>
    </row>
    <row r="802" spans="13:24">
      <c r="M802">
        <v>800</v>
      </c>
      <c r="N802">
        <v>15301</v>
      </c>
      <c r="O802" t="s">
        <v>225</v>
      </c>
      <c r="P802" t="s">
        <v>133</v>
      </c>
      <c r="Q802">
        <v>415</v>
      </c>
      <c r="R802" s="296">
        <v>1E-4</v>
      </c>
      <c r="S802" s="296">
        <v>0.94289999999999996</v>
      </c>
      <c r="T802" s="297">
        <v>21000</v>
      </c>
      <c r="U802" s="340">
        <v>95309</v>
      </c>
      <c r="V802" s="340">
        <v>307704</v>
      </c>
      <c r="W802" s="297">
        <v>48391</v>
      </c>
      <c r="X802" s="296">
        <v>-1E-3</v>
      </c>
    </row>
    <row r="803" spans="13:24">
      <c r="M803">
        <v>801</v>
      </c>
      <c r="N803">
        <v>52776</v>
      </c>
      <c r="O803" t="s">
        <v>1224</v>
      </c>
      <c r="P803" t="s">
        <v>170</v>
      </c>
      <c r="Q803">
        <v>183</v>
      </c>
      <c r="R803" s="296">
        <v>1E-4</v>
      </c>
      <c r="S803" s="296">
        <v>0.94289999999999996</v>
      </c>
      <c r="T803" s="297">
        <v>1727</v>
      </c>
      <c r="U803" s="340">
        <v>94629</v>
      </c>
      <c r="V803" s="340">
        <v>236702</v>
      </c>
      <c r="W803" s="297">
        <v>4946</v>
      </c>
      <c r="X803" s="296">
        <v>-5.0000000000000001E-3</v>
      </c>
    </row>
    <row r="804" spans="13:24">
      <c r="M804">
        <v>802</v>
      </c>
      <c r="N804">
        <v>24019</v>
      </c>
      <c r="O804" t="s">
        <v>324</v>
      </c>
      <c r="P804" t="s">
        <v>139</v>
      </c>
      <c r="Q804">
        <v>532</v>
      </c>
      <c r="R804" s="296">
        <v>1E-4</v>
      </c>
      <c r="S804" s="296">
        <v>0.94299999999999995</v>
      </c>
      <c r="T804" s="297">
        <v>11640</v>
      </c>
      <c r="U804" s="340">
        <v>94616</v>
      </c>
      <c r="V804" s="340">
        <v>316808</v>
      </c>
      <c r="W804" s="297">
        <v>28054</v>
      </c>
      <c r="X804" s="296">
        <v>1E-3</v>
      </c>
    </row>
    <row r="805" spans="13:24">
      <c r="M805">
        <v>803</v>
      </c>
      <c r="N805">
        <v>61335</v>
      </c>
      <c r="O805" t="s">
        <v>1225</v>
      </c>
      <c r="P805" t="s">
        <v>131</v>
      </c>
      <c r="Q805">
        <v>100</v>
      </c>
      <c r="R805" s="296">
        <v>1E-4</v>
      </c>
      <c r="S805" s="296">
        <v>0.94299999999999995</v>
      </c>
      <c r="T805">
        <v>262</v>
      </c>
      <c r="U805" s="340">
        <v>94355</v>
      </c>
      <c r="V805" s="340">
        <v>198035</v>
      </c>
      <c r="W805">
        <v>583</v>
      </c>
      <c r="X805" s="296">
        <v>-2.1999999999999999E-2</v>
      </c>
    </row>
    <row r="806" spans="13:24">
      <c r="M806">
        <v>804</v>
      </c>
      <c r="N806">
        <v>60112</v>
      </c>
      <c r="O806" t="s">
        <v>1226</v>
      </c>
      <c r="P806" t="s">
        <v>131</v>
      </c>
      <c r="Q806">
        <v>49</v>
      </c>
      <c r="R806" s="296">
        <v>1E-4</v>
      </c>
      <c r="S806" s="296">
        <v>0.94310000000000005</v>
      </c>
      <c r="T806" s="297">
        <v>1641</v>
      </c>
      <c r="U806" s="340">
        <v>94327</v>
      </c>
      <c r="V806" s="340">
        <v>226487</v>
      </c>
      <c r="W806" s="297">
        <v>4577</v>
      </c>
      <c r="X806" s="296">
        <v>2E-3</v>
      </c>
    </row>
    <row r="807" spans="13:24">
      <c r="M807">
        <v>805</v>
      </c>
      <c r="N807">
        <v>46072</v>
      </c>
      <c r="O807" t="s">
        <v>1227</v>
      </c>
      <c r="P807" t="s">
        <v>144</v>
      </c>
      <c r="Q807">
        <v>158</v>
      </c>
      <c r="R807" s="296">
        <v>1E-4</v>
      </c>
      <c r="S807" s="296">
        <v>0.94310000000000005</v>
      </c>
      <c r="T807" s="297">
        <v>3845</v>
      </c>
      <c r="U807" s="340">
        <v>93574</v>
      </c>
      <c r="V807" s="340">
        <v>230058</v>
      </c>
      <c r="W807" s="297">
        <v>9183</v>
      </c>
      <c r="X807" s="296">
        <v>0</v>
      </c>
    </row>
    <row r="808" spans="13:24">
      <c r="M808">
        <v>806</v>
      </c>
      <c r="N808">
        <v>46310</v>
      </c>
      <c r="O808" t="s">
        <v>1228</v>
      </c>
      <c r="P808" t="s">
        <v>144</v>
      </c>
      <c r="Q808">
        <v>73</v>
      </c>
      <c r="R808" s="296">
        <v>1E-4</v>
      </c>
      <c r="S808" s="296">
        <v>0.94320000000000004</v>
      </c>
      <c r="T808" s="297">
        <v>5573</v>
      </c>
      <c r="U808" s="340">
        <v>93406</v>
      </c>
      <c r="V808" s="340">
        <v>241091</v>
      </c>
      <c r="W808" s="297">
        <v>14347</v>
      </c>
      <c r="X808" s="296">
        <v>3.0000000000000001E-3</v>
      </c>
    </row>
    <row r="809" spans="13:24">
      <c r="M809">
        <v>807</v>
      </c>
      <c r="N809">
        <v>50310</v>
      </c>
      <c r="O809" t="s">
        <v>820</v>
      </c>
      <c r="P809" t="s">
        <v>170</v>
      </c>
      <c r="Q809">
        <v>305</v>
      </c>
      <c r="R809" s="296">
        <v>1E-4</v>
      </c>
      <c r="S809" s="296">
        <v>0.94320000000000004</v>
      </c>
      <c r="T809" s="297">
        <v>13498</v>
      </c>
      <c r="U809" s="340">
        <v>92852</v>
      </c>
      <c r="V809" s="340">
        <v>254646</v>
      </c>
      <c r="W809" s="297">
        <v>31153</v>
      </c>
      <c r="X809" s="296">
        <v>4.0000000000000001E-3</v>
      </c>
    </row>
    <row r="810" spans="13:24">
      <c r="M810">
        <v>808</v>
      </c>
      <c r="N810">
        <v>42104</v>
      </c>
      <c r="O810" t="s">
        <v>1229</v>
      </c>
      <c r="P810" t="s">
        <v>143</v>
      </c>
      <c r="Q810">
        <v>371</v>
      </c>
      <c r="R810" s="296">
        <v>1E-4</v>
      </c>
      <c r="S810" s="296">
        <v>0.94330000000000003</v>
      </c>
      <c r="T810" s="297">
        <v>16145</v>
      </c>
      <c r="U810" s="340">
        <v>92796</v>
      </c>
      <c r="V810" s="340">
        <v>328928</v>
      </c>
      <c r="W810" s="297">
        <v>40370</v>
      </c>
      <c r="X810" s="296">
        <v>1.7000000000000001E-2</v>
      </c>
    </row>
    <row r="811" spans="13:24">
      <c r="M811">
        <v>809</v>
      </c>
      <c r="N811">
        <v>60425</v>
      </c>
      <c r="O811" t="s">
        <v>1230</v>
      </c>
      <c r="P811" t="s">
        <v>131</v>
      </c>
      <c r="Q811">
        <v>42</v>
      </c>
      <c r="R811" s="296">
        <v>1E-4</v>
      </c>
      <c r="S811" s="296">
        <v>0.94330000000000003</v>
      </c>
      <c r="T811" s="297">
        <v>3254</v>
      </c>
      <c r="U811" s="340">
        <v>92770</v>
      </c>
      <c r="V811" s="340">
        <v>256749</v>
      </c>
      <c r="W811" s="297">
        <v>8517</v>
      </c>
      <c r="X811" s="296">
        <v>-7.0000000000000001E-3</v>
      </c>
    </row>
    <row r="812" spans="13:24">
      <c r="M812">
        <v>810</v>
      </c>
      <c r="N812">
        <v>52405</v>
      </c>
      <c r="O812" t="s">
        <v>969</v>
      </c>
      <c r="P812" t="s">
        <v>170</v>
      </c>
      <c r="Q812">
        <v>203</v>
      </c>
      <c r="R812" s="296">
        <v>1E-4</v>
      </c>
      <c r="S812" s="296">
        <v>0.94340000000000002</v>
      </c>
      <c r="T812" s="297">
        <v>10679</v>
      </c>
      <c r="U812" s="340">
        <v>92337</v>
      </c>
      <c r="V812" s="340">
        <v>212054</v>
      </c>
      <c r="W812" s="297">
        <v>25041</v>
      </c>
      <c r="X812" s="296">
        <v>-1E-3</v>
      </c>
    </row>
    <row r="813" spans="13:24">
      <c r="M813">
        <v>811</v>
      </c>
      <c r="N813">
        <v>92544</v>
      </c>
      <c r="O813" t="s">
        <v>1231</v>
      </c>
      <c r="P813" t="s">
        <v>132</v>
      </c>
      <c r="Q813">
        <v>1681</v>
      </c>
      <c r="R813" s="296">
        <v>1E-4</v>
      </c>
      <c r="S813" s="296">
        <v>0.94340000000000002</v>
      </c>
      <c r="T813" s="297">
        <v>15902</v>
      </c>
      <c r="U813" s="340">
        <v>92077</v>
      </c>
      <c r="V813" s="340">
        <v>509043</v>
      </c>
      <c r="W813" s="297">
        <v>49489</v>
      </c>
      <c r="X813" s="296">
        <v>1E-3</v>
      </c>
    </row>
    <row r="814" spans="13:24">
      <c r="M814">
        <v>812</v>
      </c>
      <c r="N814">
        <v>54703</v>
      </c>
      <c r="O814" t="s">
        <v>1219</v>
      </c>
      <c r="P814" t="s">
        <v>149</v>
      </c>
      <c r="Q814">
        <v>264</v>
      </c>
      <c r="R814" s="296">
        <v>1E-4</v>
      </c>
      <c r="S814" s="296">
        <v>0.94350000000000001</v>
      </c>
      <c r="T814" s="297">
        <v>19056</v>
      </c>
      <c r="U814" s="340">
        <v>91944</v>
      </c>
      <c r="V814" s="340">
        <v>277651</v>
      </c>
      <c r="W814" s="297">
        <v>45284</v>
      </c>
      <c r="X814" s="296">
        <v>5.0000000000000001E-3</v>
      </c>
    </row>
    <row r="815" spans="13:24">
      <c r="M815">
        <v>813</v>
      </c>
      <c r="N815">
        <v>62473</v>
      </c>
      <c r="O815" t="s">
        <v>1232</v>
      </c>
      <c r="P815" t="s">
        <v>131</v>
      </c>
      <c r="Q815">
        <v>222</v>
      </c>
      <c r="R815" s="296">
        <v>1E-4</v>
      </c>
      <c r="S815" s="296">
        <v>0.94350000000000001</v>
      </c>
      <c r="T815">
        <v>496</v>
      </c>
      <c r="U815" s="340">
        <v>91702</v>
      </c>
      <c r="V815" s="340">
        <v>231250</v>
      </c>
      <c r="W815" s="297">
        <v>1205</v>
      </c>
      <c r="X815" s="296">
        <v>-8.0000000000000002E-3</v>
      </c>
    </row>
    <row r="816" spans="13:24">
      <c r="M816">
        <v>814</v>
      </c>
      <c r="N816">
        <v>53510</v>
      </c>
      <c r="O816" t="s">
        <v>287</v>
      </c>
      <c r="P816" t="s">
        <v>149</v>
      </c>
      <c r="Q816">
        <v>136</v>
      </c>
      <c r="R816" s="296">
        <v>1E-4</v>
      </c>
      <c r="S816" s="296">
        <v>0.94359999999999999</v>
      </c>
      <c r="T816">
        <v>660</v>
      </c>
      <c r="U816" s="340">
        <v>91406</v>
      </c>
      <c r="V816" s="340">
        <v>323830</v>
      </c>
      <c r="W816" s="297">
        <v>1653</v>
      </c>
      <c r="X816" s="296">
        <v>7.0000000000000001E-3</v>
      </c>
    </row>
    <row r="817" spans="13:24">
      <c r="M817">
        <v>815</v>
      </c>
      <c r="N817">
        <v>49038</v>
      </c>
      <c r="O817" t="s">
        <v>1233</v>
      </c>
      <c r="P817" t="s">
        <v>140</v>
      </c>
      <c r="Q817">
        <v>75</v>
      </c>
      <c r="R817" s="296">
        <v>1E-4</v>
      </c>
      <c r="S817" s="296">
        <v>0.94359999999999999</v>
      </c>
      <c r="T817" s="297">
        <v>3687</v>
      </c>
      <c r="U817" s="340">
        <v>90908</v>
      </c>
      <c r="V817" s="340">
        <v>290908</v>
      </c>
      <c r="W817" s="297">
        <v>8742</v>
      </c>
      <c r="X817" s="296">
        <v>-6.0000000000000001E-3</v>
      </c>
    </row>
    <row r="818" spans="13:24">
      <c r="M818">
        <v>816</v>
      </c>
      <c r="N818">
        <v>55428</v>
      </c>
      <c r="O818" t="s">
        <v>576</v>
      </c>
      <c r="P818" t="s">
        <v>151</v>
      </c>
      <c r="Q818">
        <v>345</v>
      </c>
      <c r="R818" s="296">
        <v>1E-4</v>
      </c>
      <c r="S818" s="296">
        <v>0.94369999999999998</v>
      </c>
      <c r="T818" s="297">
        <v>12220</v>
      </c>
      <c r="U818" s="340">
        <v>90411</v>
      </c>
      <c r="V818" s="340">
        <v>332171</v>
      </c>
      <c r="W818" s="297">
        <v>31283</v>
      </c>
      <c r="X818" s="296">
        <v>-3.0000000000000001E-3</v>
      </c>
    </row>
    <row r="819" spans="13:24">
      <c r="M819">
        <v>817</v>
      </c>
      <c r="N819">
        <v>34746</v>
      </c>
      <c r="O819" t="s">
        <v>516</v>
      </c>
      <c r="P819" t="s">
        <v>127</v>
      </c>
      <c r="Q819">
        <v>1022</v>
      </c>
      <c r="R819" s="296">
        <v>1E-4</v>
      </c>
      <c r="S819" s="296">
        <v>0.94369999999999998</v>
      </c>
      <c r="T819" s="297">
        <v>22247</v>
      </c>
      <c r="U819" s="340">
        <v>90116</v>
      </c>
      <c r="V819" s="340">
        <v>392287</v>
      </c>
      <c r="W819" s="297">
        <v>68398</v>
      </c>
      <c r="X819" s="296">
        <v>4.7E-2</v>
      </c>
    </row>
    <row r="820" spans="13:24">
      <c r="M820">
        <v>818</v>
      </c>
      <c r="N820">
        <v>48823</v>
      </c>
      <c r="O820" t="s">
        <v>1234</v>
      </c>
      <c r="P820" t="s">
        <v>140</v>
      </c>
      <c r="Q820">
        <v>174</v>
      </c>
      <c r="R820" s="296">
        <v>1E-4</v>
      </c>
      <c r="S820" s="296">
        <v>0.94379999999999997</v>
      </c>
      <c r="T820" s="297">
        <v>22339</v>
      </c>
      <c r="U820" s="340">
        <v>89974</v>
      </c>
      <c r="V820" s="340">
        <v>318505</v>
      </c>
      <c r="W820" s="297">
        <v>50094</v>
      </c>
      <c r="X820" s="296">
        <v>3.0000000000000001E-3</v>
      </c>
    </row>
    <row r="821" spans="13:24">
      <c r="M821">
        <v>819</v>
      </c>
      <c r="N821">
        <v>50311</v>
      </c>
      <c r="O821" t="s">
        <v>820</v>
      </c>
      <c r="P821" t="s">
        <v>170</v>
      </c>
      <c r="Q821">
        <v>305</v>
      </c>
      <c r="R821" s="296">
        <v>1E-4</v>
      </c>
      <c r="S821" s="296">
        <v>0.94379999999999997</v>
      </c>
      <c r="T821" s="297">
        <v>6160</v>
      </c>
      <c r="U821" s="340">
        <v>89859</v>
      </c>
      <c r="V821" s="340">
        <v>260081</v>
      </c>
      <c r="W821" s="297">
        <v>15247</v>
      </c>
      <c r="X821" s="296">
        <v>7.0000000000000001E-3</v>
      </c>
    </row>
    <row r="822" spans="13:24">
      <c r="M822">
        <v>820</v>
      </c>
      <c r="N822">
        <v>46721</v>
      </c>
      <c r="O822" t="s">
        <v>1235</v>
      </c>
      <c r="P822" t="s">
        <v>144</v>
      </c>
      <c r="Q822">
        <v>158</v>
      </c>
      <c r="R822" s="296">
        <v>1E-4</v>
      </c>
      <c r="S822" s="296">
        <v>0.94389999999999996</v>
      </c>
      <c r="T822" s="297">
        <v>1875</v>
      </c>
      <c r="U822" s="340">
        <v>89799</v>
      </c>
      <c r="V822" s="340">
        <v>231250</v>
      </c>
      <c r="W822" s="297">
        <v>4941</v>
      </c>
      <c r="X822" s="296">
        <v>-2E-3</v>
      </c>
    </row>
    <row r="823" spans="13:24">
      <c r="M823">
        <v>821</v>
      </c>
      <c r="N823">
        <v>53224</v>
      </c>
      <c r="O823" t="s">
        <v>463</v>
      </c>
      <c r="P823" t="s">
        <v>149</v>
      </c>
      <c r="Q823">
        <v>71</v>
      </c>
      <c r="R823" s="296">
        <v>1E-4</v>
      </c>
      <c r="S823" s="296">
        <v>0.94389999999999996</v>
      </c>
      <c r="T823" s="297">
        <v>7703</v>
      </c>
      <c r="U823" s="340">
        <v>89509</v>
      </c>
      <c r="V823" s="340">
        <v>254151</v>
      </c>
      <c r="W823" s="297">
        <v>20080</v>
      </c>
      <c r="X823" s="296">
        <v>-8.9999999999999993E-3</v>
      </c>
    </row>
    <row r="824" spans="13:24">
      <c r="M824">
        <v>822</v>
      </c>
      <c r="N824">
        <v>46229</v>
      </c>
      <c r="O824" t="s">
        <v>561</v>
      </c>
      <c r="P824" t="s">
        <v>144</v>
      </c>
      <c r="Q824">
        <v>189</v>
      </c>
      <c r="R824" s="296">
        <v>1E-4</v>
      </c>
      <c r="S824" s="296">
        <v>0.94399999999999995</v>
      </c>
      <c r="T824" s="297">
        <v>11097</v>
      </c>
      <c r="U824" s="340">
        <v>88104</v>
      </c>
      <c r="V824" s="340">
        <v>269120</v>
      </c>
      <c r="W824" s="297">
        <v>28960</v>
      </c>
      <c r="X824" s="296">
        <v>1E-3</v>
      </c>
    </row>
    <row r="825" spans="13:24">
      <c r="M825">
        <v>823</v>
      </c>
      <c r="N825">
        <v>61354</v>
      </c>
      <c r="O825" t="s">
        <v>1236</v>
      </c>
      <c r="P825" t="s">
        <v>131</v>
      </c>
      <c r="Q825">
        <v>89</v>
      </c>
      <c r="R825" s="296">
        <v>1E-4</v>
      </c>
      <c r="S825" s="296">
        <v>0.94399999999999995</v>
      </c>
      <c r="T825" s="297">
        <v>4623</v>
      </c>
      <c r="U825" s="340">
        <v>87877</v>
      </c>
      <c r="V825" s="340">
        <v>228263</v>
      </c>
      <c r="W825" s="297">
        <v>10307</v>
      </c>
      <c r="X825" s="296">
        <v>-6.0000000000000001E-3</v>
      </c>
    </row>
    <row r="826" spans="13:24">
      <c r="M826">
        <v>824</v>
      </c>
      <c r="N826">
        <v>62903</v>
      </c>
      <c r="O826" t="s">
        <v>1192</v>
      </c>
      <c r="P826" t="s">
        <v>131</v>
      </c>
      <c r="Q826">
        <v>320</v>
      </c>
      <c r="R826" s="296">
        <v>1E-4</v>
      </c>
      <c r="S826" s="296">
        <v>0.94410000000000005</v>
      </c>
      <c r="T826" s="297">
        <v>1046</v>
      </c>
      <c r="U826" s="340">
        <v>86895</v>
      </c>
      <c r="V826" s="340">
        <v>181923</v>
      </c>
      <c r="W826" s="297">
        <v>2244</v>
      </c>
      <c r="X826" s="296">
        <v>-2E-3</v>
      </c>
    </row>
    <row r="827" spans="13:24">
      <c r="M827">
        <v>825</v>
      </c>
      <c r="N827">
        <v>78216</v>
      </c>
      <c r="O827" t="s">
        <v>326</v>
      </c>
      <c r="P827" t="s">
        <v>134</v>
      </c>
      <c r="Q827">
        <v>1056</v>
      </c>
      <c r="R827" s="296">
        <v>1E-4</v>
      </c>
      <c r="S827" s="296">
        <v>0.94410000000000005</v>
      </c>
      <c r="T827" s="297">
        <v>15821</v>
      </c>
      <c r="U827" s="340">
        <v>86842</v>
      </c>
      <c r="V827" s="340">
        <v>340415</v>
      </c>
      <c r="W827" s="297">
        <v>34877</v>
      </c>
      <c r="X827" s="296">
        <v>-8.0000000000000002E-3</v>
      </c>
    </row>
    <row r="828" spans="13:24">
      <c r="M828">
        <v>826</v>
      </c>
      <c r="N828">
        <v>77071</v>
      </c>
      <c r="O828" t="s">
        <v>314</v>
      </c>
      <c r="P828" t="s">
        <v>134</v>
      </c>
      <c r="Q828">
        <v>965</v>
      </c>
      <c r="R828" s="296">
        <v>1E-4</v>
      </c>
      <c r="S828" s="296">
        <v>0.94420000000000004</v>
      </c>
      <c r="T828" s="297">
        <v>9509</v>
      </c>
      <c r="U828" s="340">
        <v>85933</v>
      </c>
      <c r="V828" s="340">
        <v>294044</v>
      </c>
      <c r="W828" s="297">
        <v>25467</v>
      </c>
      <c r="X828" s="296">
        <v>-5.0000000000000001E-3</v>
      </c>
    </row>
    <row r="829" spans="13:24">
      <c r="M829">
        <v>827</v>
      </c>
      <c r="N829">
        <v>53703</v>
      </c>
      <c r="O829" t="s">
        <v>823</v>
      </c>
      <c r="P829" t="s">
        <v>149</v>
      </c>
      <c r="Q829">
        <v>103</v>
      </c>
      <c r="R829" s="296">
        <v>1E-4</v>
      </c>
      <c r="S829" s="296">
        <v>0.94420000000000004</v>
      </c>
      <c r="T829" s="297">
        <v>20444</v>
      </c>
      <c r="U829" s="340">
        <v>85696</v>
      </c>
      <c r="V829" s="340">
        <v>618270</v>
      </c>
      <c r="W829" s="297">
        <v>39517</v>
      </c>
      <c r="X829" s="296">
        <v>8.0000000000000002E-3</v>
      </c>
    </row>
    <row r="830" spans="13:24">
      <c r="M830">
        <v>828</v>
      </c>
      <c r="N830">
        <v>61362</v>
      </c>
      <c r="O830" t="s">
        <v>1237</v>
      </c>
      <c r="P830" t="s">
        <v>131</v>
      </c>
      <c r="Q830">
        <v>92</v>
      </c>
      <c r="R830" s="296">
        <v>1E-4</v>
      </c>
      <c r="S830" s="296">
        <v>0.94430000000000003</v>
      </c>
      <c r="T830" s="297">
        <v>2403</v>
      </c>
      <c r="U830" s="340">
        <v>85668</v>
      </c>
      <c r="V830" s="340">
        <v>154121</v>
      </c>
      <c r="W830" s="297">
        <v>5448</v>
      </c>
      <c r="X830" s="296">
        <v>-1.4E-2</v>
      </c>
    </row>
    <row r="831" spans="13:24">
      <c r="M831">
        <v>829</v>
      </c>
      <c r="N831">
        <v>63143</v>
      </c>
      <c r="O831" t="s">
        <v>536</v>
      </c>
      <c r="P831" t="s">
        <v>186</v>
      </c>
      <c r="Q831">
        <v>278</v>
      </c>
      <c r="R831" s="296">
        <v>1E-4</v>
      </c>
      <c r="S831" s="296">
        <v>0.94430000000000003</v>
      </c>
      <c r="T831" s="297">
        <v>5271</v>
      </c>
      <c r="U831" s="340">
        <v>84641</v>
      </c>
      <c r="V831" s="340">
        <v>302351</v>
      </c>
      <c r="W831" s="297">
        <v>9990</v>
      </c>
      <c r="X831" s="296">
        <v>3.0000000000000001E-3</v>
      </c>
    </row>
    <row r="832" spans="13:24">
      <c r="M832">
        <v>830</v>
      </c>
      <c r="N832">
        <v>61348</v>
      </c>
      <c r="O832" t="s">
        <v>1238</v>
      </c>
      <c r="P832" t="s">
        <v>131</v>
      </c>
      <c r="Q832">
        <v>88</v>
      </c>
      <c r="R832" s="296">
        <v>1E-4</v>
      </c>
      <c r="S832" s="296">
        <v>0.94440000000000002</v>
      </c>
      <c r="T832" s="297">
        <v>1970</v>
      </c>
      <c r="U832" s="340">
        <v>84476</v>
      </c>
      <c r="V832" s="340">
        <v>187119</v>
      </c>
      <c r="W832" s="297">
        <v>4375</v>
      </c>
      <c r="X832" s="296">
        <v>-8.9999999999999993E-3</v>
      </c>
    </row>
    <row r="833" spans="13:24">
      <c r="M833">
        <v>831</v>
      </c>
      <c r="N833">
        <v>1850</v>
      </c>
      <c r="O833" t="s">
        <v>398</v>
      </c>
      <c r="P833" t="s">
        <v>135</v>
      </c>
      <c r="Q833">
        <v>840</v>
      </c>
      <c r="R833" s="296">
        <v>1E-4</v>
      </c>
      <c r="S833" s="296">
        <v>0.94440000000000002</v>
      </c>
      <c r="T833" s="297">
        <v>5770</v>
      </c>
      <c r="U833" s="340">
        <v>84070</v>
      </c>
      <c r="V833" s="340">
        <v>449270</v>
      </c>
      <c r="W833" s="297">
        <v>16447</v>
      </c>
      <c r="X833" s="296">
        <v>-1E-3</v>
      </c>
    </row>
    <row r="834" spans="13:24">
      <c r="M834">
        <v>832</v>
      </c>
      <c r="N834">
        <v>61265</v>
      </c>
      <c r="O834" t="s">
        <v>1239</v>
      </c>
      <c r="P834" t="s">
        <v>131</v>
      </c>
      <c r="Q834">
        <v>147</v>
      </c>
      <c r="R834" s="296">
        <v>1E-4</v>
      </c>
      <c r="S834" s="296">
        <v>0.94450000000000001</v>
      </c>
      <c r="T834" s="297">
        <v>18962</v>
      </c>
      <c r="U834" s="340">
        <v>83785</v>
      </c>
      <c r="V834" s="340">
        <v>176666</v>
      </c>
      <c r="W834" s="297">
        <v>42694</v>
      </c>
      <c r="X834" s="296">
        <v>-8.9999999999999993E-3</v>
      </c>
    </row>
    <row r="835" spans="13:24">
      <c r="M835">
        <v>833</v>
      </c>
      <c r="N835">
        <v>37040</v>
      </c>
      <c r="O835" t="s">
        <v>1115</v>
      </c>
      <c r="P835" t="s">
        <v>146</v>
      </c>
      <c r="Q835">
        <v>389</v>
      </c>
      <c r="R835" s="296">
        <v>1E-4</v>
      </c>
      <c r="S835" s="296">
        <v>0.94450000000000001</v>
      </c>
      <c r="T835" s="297">
        <v>24279</v>
      </c>
      <c r="U835" s="340">
        <v>83183</v>
      </c>
      <c r="V835" s="340">
        <v>328445</v>
      </c>
      <c r="W835" s="297">
        <v>66402</v>
      </c>
      <c r="X835" s="296">
        <v>2.5000000000000001E-2</v>
      </c>
    </row>
    <row r="836" spans="13:24">
      <c r="M836">
        <v>834</v>
      </c>
      <c r="N836">
        <v>87106</v>
      </c>
      <c r="O836" t="s">
        <v>783</v>
      </c>
      <c r="P836" t="s">
        <v>200</v>
      </c>
      <c r="Q836">
        <v>1126</v>
      </c>
      <c r="R836" s="296">
        <v>1E-4</v>
      </c>
      <c r="S836" s="296">
        <v>0.9446</v>
      </c>
      <c r="T836" s="297">
        <v>12379</v>
      </c>
      <c r="U836" s="340">
        <v>82801</v>
      </c>
      <c r="V836" s="340">
        <v>392145</v>
      </c>
      <c r="W836" s="297">
        <v>26896</v>
      </c>
      <c r="X836" s="296">
        <v>3.0000000000000001E-3</v>
      </c>
    </row>
    <row r="837" spans="13:24">
      <c r="M837">
        <v>835</v>
      </c>
      <c r="N837">
        <v>77075</v>
      </c>
      <c r="O837" t="s">
        <v>314</v>
      </c>
      <c r="P837" t="s">
        <v>134</v>
      </c>
      <c r="Q837">
        <v>960</v>
      </c>
      <c r="R837" s="296">
        <v>1E-4</v>
      </c>
      <c r="S837" s="296">
        <v>0.9446</v>
      </c>
      <c r="T837" s="297">
        <v>13857</v>
      </c>
      <c r="U837" s="340">
        <v>82730</v>
      </c>
      <c r="V837" s="340">
        <v>244462</v>
      </c>
      <c r="W837" s="297">
        <v>43502</v>
      </c>
      <c r="X837" s="296">
        <v>6.0000000000000001E-3</v>
      </c>
    </row>
    <row r="838" spans="13:24">
      <c r="M838">
        <v>836</v>
      </c>
      <c r="N838">
        <v>48198</v>
      </c>
      <c r="O838" t="s">
        <v>1222</v>
      </c>
      <c r="P838" t="s">
        <v>140</v>
      </c>
      <c r="Q838">
        <v>215</v>
      </c>
      <c r="R838" s="296">
        <v>1E-4</v>
      </c>
      <c r="S838" s="296">
        <v>0.94469999999999998</v>
      </c>
      <c r="T838" s="297">
        <v>17205</v>
      </c>
      <c r="U838" s="340">
        <v>82496</v>
      </c>
      <c r="V838" s="340">
        <v>267226</v>
      </c>
      <c r="W838" s="297">
        <v>40129</v>
      </c>
      <c r="X838" s="296">
        <v>-3.0000000000000001E-3</v>
      </c>
    </row>
    <row r="839" spans="13:24">
      <c r="M839">
        <v>837</v>
      </c>
      <c r="N839">
        <v>49107</v>
      </c>
      <c r="O839" t="s">
        <v>1240</v>
      </c>
      <c r="P839" t="s">
        <v>140</v>
      </c>
      <c r="Q839">
        <v>76</v>
      </c>
      <c r="R839" s="296">
        <v>1E-4</v>
      </c>
      <c r="S839" s="296">
        <v>0.94469999999999998</v>
      </c>
      <c r="T839" s="297">
        <v>4000</v>
      </c>
      <c r="U839" s="340">
        <v>82334</v>
      </c>
      <c r="V839" s="340">
        <v>305529</v>
      </c>
      <c r="W839" s="297">
        <v>9450</v>
      </c>
      <c r="X839" s="296">
        <v>-1E-3</v>
      </c>
    </row>
    <row r="840" spans="13:24">
      <c r="M840">
        <v>838</v>
      </c>
      <c r="N840">
        <v>53110</v>
      </c>
      <c r="O840" t="s">
        <v>1241</v>
      </c>
      <c r="P840" t="s">
        <v>149</v>
      </c>
      <c r="Q840">
        <v>55</v>
      </c>
      <c r="R840" s="296">
        <v>1E-4</v>
      </c>
      <c r="S840" s="296">
        <v>0.94479999999999997</v>
      </c>
      <c r="T840" s="297">
        <v>8034</v>
      </c>
      <c r="U840" s="340">
        <v>82144</v>
      </c>
      <c r="V840" s="340">
        <v>239626</v>
      </c>
      <c r="W840" s="297">
        <v>17513</v>
      </c>
      <c r="X840" s="296">
        <v>-8.9999999999999993E-3</v>
      </c>
    </row>
    <row r="841" spans="13:24">
      <c r="M841">
        <v>839</v>
      </c>
      <c r="N841">
        <v>39507</v>
      </c>
      <c r="O841" t="s">
        <v>1242</v>
      </c>
      <c r="P841" t="s">
        <v>188</v>
      </c>
      <c r="Q841">
        <v>815</v>
      </c>
      <c r="R841" s="296">
        <v>1E-4</v>
      </c>
      <c r="S841" s="296">
        <v>0.94479999999999997</v>
      </c>
      <c r="T841" s="297">
        <v>7757</v>
      </c>
      <c r="U841" s="340">
        <v>81525</v>
      </c>
      <c r="V841" s="340">
        <v>308624</v>
      </c>
      <c r="W841" s="297">
        <v>17965</v>
      </c>
      <c r="X841" s="296">
        <v>4.0000000000000001E-3</v>
      </c>
    </row>
    <row r="842" spans="13:24">
      <c r="M842">
        <v>840</v>
      </c>
      <c r="N842">
        <v>30337</v>
      </c>
      <c r="O842" t="s">
        <v>507</v>
      </c>
      <c r="P842" t="s">
        <v>130</v>
      </c>
      <c r="Q842">
        <v>615</v>
      </c>
      <c r="R842" s="296">
        <v>1E-4</v>
      </c>
      <c r="S842" s="296">
        <v>0.94489999999999996</v>
      </c>
      <c r="T842" s="297">
        <v>5690</v>
      </c>
      <c r="U842" s="340">
        <v>80909</v>
      </c>
      <c r="V842" s="340">
        <v>440585</v>
      </c>
      <c r="W842" s="297">
        <v>12596</v>
      </c>
      <c r="X842" s="296">
        <v>7.0000000000000001E-3</v>
      </c>
    </row>
    <row r="843" spans="13:24">
      <c r="M843">
        <v>841</v>
      </c>
      <c r="N843">
        <v>52240</v>
      </c>
      <c r="O843" t="s">
        <v>1139</v>
      </c>
      <c r="P843" t="s">
        <v>170</v>
      </c>
      <c r="Q843">
        <v>194</v>
      </c>
      <c r="R843" s="296">
        <v>1E-4</v>
      </c>
      <c r="S843" s="296">
        <v>0.94489999999999996</v>
      </c>
      <c r="T843" s="297">
        <v>16102</v>
      </c>
      <c r="U843" s="340">
        <v>79669</v>
      </c>
      <c r="V843" s="340">
        <v>299111</v>
      </c>
      <c r="W843" s="297">
        <v>36525</v>
      </c>
      <c r="X843" s="296">
        <v>1.4999999999999999E-2</v>
      </c>
    </row>
    <row r="844" spans="13:24">
      <c r="M844">
        <v>842</v>
      </c>
      <c r="N844">
        <v>26554</v>
      </c>
      <c r="O844" t="s">
        <v>1243</v>
      </c>
      <c r="P844" t="s">
        <v>227</v>
      </c>
      <c r="Q844">
        <v>436</v>
      </c>
      <c r="R844" s="296">
        <v>1E-4</v>
      </c>
      <c r="S844" s="296">
        <v>0.94499999999999995</v>
      </c>
      <c r="T844" s="297">
        <v>17560</v>
      </c>
      <c r="U844" s="340">
        <v>78490</v>
      </c>
      <c r="V844" s="340">
        <v>201969</v>
      </c>
      <c r="W844" s="297">
        <v>42266</v>
      </c>
      <c r="X844" s="296">
        <v>-1E-3</v>
      </c>
    </row>
    <row r="845" spans="13:24">
      <c r="M845">
        <v>843</v>
      </c>
      <c r="N845">
        <v>60915</v>
      </c>
      <c r="O845" t="s">
        <v>1244</v>
      </c>
      <c r="P845" t="s">
        <v>131</v>
      </c>
      <c r="Q845">
        <v>69</v>
      </c>
      <c r="R845" s="296">
        <v>1E-4</v>
      </c>
      <c r="S845" s="296">
        <v>0.94499999999999995</v>
      </c>
      <c r="T845" s="297">
        <v>4147</v>
      </c>
      <c r="U845" s="340">
        <v>78043</v>
      </c>
      <c r="V845" s="340">
        <v>219216</v>
      </c>
      <c r="W845" s="297">
        <v>9808</v>
      </c>
      <c r="X845" s="296">
        <v>-8.0000000000000002E-3</v>
      </c>
    </row>
    <row r="846" spans="13:24">
      <c r="M846">
        <v>844</v>
      </c>
      <c r="N846">
        <v>28334</v>
      </c>
      <c r="O846" t="s">
        <v>1245</v>
      </c>
      <c r="P846" t="s">
        <v>138</v>
      </c>
      <c r="Q846">
        <v>683</v>
      </c>
      <c r="R846" s="296">
        <v>1E-4</v>
      </c>
      <c r="S846" s="296">
        <v>0.94510000000000005</v>
      </c>
      <c r="T846" s="297">
        <v>9877</v>
      </c>
      <c r="U846" s="340">
        <v>77565</v>
      </c>
      <c r="V846" s="340">
        <v>276926</v>
      </c>
      <c r="W846" s="297">
        <v>24197</v>
      </c>
      <c r="X846" s="296">
        <v>3.0000000000000001E-3</v>
      </c>
    </row>
    <row r="847" spans="13:24">
      <c r="M847">
        <v>845</v>
      </c>
      <c r="N847">
        <v>64735</v>
      </c>
      <c r="O847" t="s">
        <v>419</v>
      </c>
      <c r="P847" t="s">
        <v>186</v>
      </c>
      <c r="Q847">
        <v>410</v>
      </c>
      <c r="R847" s="296">
        <v>1E-4</v>
      </c>
      <c r="S847" s="296">
        <v>0.94510000000000005</v>
      </c>
      <c r="T847" s="297">
        <v>5910</v>
      </c>
      <c r="U847" s="340">
        <v>76776</v>
      </c>
      <c r="V847" s="340">
        <v>232156</v>
      </c>
      <c r="W847" s="297">
        <v>13634</v>
      </c>
      <c r="X847" s="296">
        <v>2E-3</v>
      </c>
    </row>
    <row r="848" spans="13:24">
      <c r="M848">
        <v>846</v>
      </c>
      <c r="N848">
        <v>55411</v>
      </c>
      <c r="O848" t="s">
        <v>576</v>
      </c>
      <c r="P848" t="s">
        <v>151</v>
      </c>
      <c r="Q848">
        <v>339</v>
      </c>
      <c r="R848" s="296">
        <v>1E-4</v>
      </c>
      <c r="S848" s="296">
        <v>0.94520000000000004</v>
      </c>
      <c r="T848" s="297">
        <v>9968</v>
      </c>
      <c r="U848" s="340">
        <v>76678</v>
      </c>
      <c r="V848" s="340">
        <v>382827</v>
      </c>
      <c r="W848" s="297">
        <v>30940</v>
      </c>
      <c r="X848" s="296">
        <v>-3.0000000000000001E-3</v>
      </c>
    </row>
    <row r="849" spans="13:24">
      <c r="M849">
        <v>847</v>
      </c>
      <c r="N849">
        <v>62568</v>
      </c>
      <c r="O849" t="s">
        <v>1246</v>
      </c>
      <c r="P849" t="s">
        <v>131</v>
      </c>
      <c r="Q849">
        <v>196</v>
      </c>
      <c r="R849" s="296">
        <v>1E-4</v>
      </c>
      <c r="S849" s="296">
        <v>0.94520000000000004</v>
      </c>
      <c r="T849" s="297">
        <v>6345</v>
      </c>
      <c r="U849" s="340">
        <v>76524</v>
      </c>
      <c r="V849" s="340">
        <v>182382</v>
      </c>
      <c r="W849" s="297">
        <v>16390</v>
      </c>
      <c r="X849" s="296">
        <v>-8.9999999999999993E-3</v>
      </c>
    </row>
    <row r="850" spans="13:24">
      <c r="M850">
        <v>848</v>
      </c>
      <c r="N850">
        <v>78503</v>
      </c>
      <c r="O850" t="s">
        <v>1214</v>
      </c>
      <c r="P850" t="s">
        <v>134</v>
      </c>
      <c r="Q850">
        <v>1253</v>
      </c>
      <c r="R850" s="296">
        <v>1E-4</v>
      </c>
      <c r="S850" s="296">
        <v>0.94530000000000003</v>
      </c>
      <c r="T850" s="297">
        <v>8057</v>
      </c>
      <c r="U850" s="340">
        <v>76297</v>
      </c>
      <c r="V850" s="340">
        <v>208725</v>
      </c>
      <c r="W850" s="297">
        <v>24508</v>
      </c>
      <c r="X850" s="296">
        <v>0</v>
      </c>
    </row>
    <row r="851" spans="13:24">
      <c r="M851">
        <v>849</v>
      </c>
      <c r="N851">
        <v>78840</v>
      </c>
      <c r="O851" t="s">
        <v>1247</v>
      </c>
      <c r="P851" t="s">
        <v>134</v>
      </c>
      <c r="Q851">
        <v>1121</v>
      </c>
      <c r="R851" s="296">
        <v>1E-4</v>
      </c>
      <c r="S851" s="296">
        <v>0.94530000000000003</v>
      </c>
      <c r="T851" s="297">
        <v>15879</v>
      </c>
      <c r="U851" s="340">
        <v>75756</v>
      </c>
      <c r="V851" s="340">
        <v>216923</v>
      </c>
      <c r="W851" s="297">
        <v>46318</v>
      </c>
      <c r="X851" s="296">
        <v>-3.0000000000000001E-3</v>
      </c>
    </row>
    <row r="852" spans="13:24">
      <c r="M852">
        <v>850</v>
      </c>
      <c r="N852">
        <v>46947</v>
      </c>
      <c r="O852" t="s">
        <v>1248</v>
      </c>
      <c r="P852" t="s">
        <v>144</v>
      </c>
      <c r="Q852">
        <v>121</v>
      </c>
      <c r="R852" s="296">
        <v>1E-4</v>
      </c>
      <c r="S852" s="296">
        <v>0.94540000000000002</v>
      </c>
      <c r="T852" s="297">
        <v>10964</v>
      </c>
      <c r="U852" s="340">
        <v>75353</v>
      </c>
      <c r="V852" s="340">
        <v>158121</v>
      </c>
      <c r="W852" s="297">
        <v>27908</v>
      </c>
      <c r="X852" s="296">
        <v>-3.0000000000000001E-3</v>
      </c>
    </row>
    <row r="853" spans="13:24">
      <c r="M853">
        <v>851</v>
      </c>
      <c r="N853">
        <v>46219</v>
      </c>
      <c r="O853" t="s">
        <v>561</v>
      </c>
      <c r="P853" t="s">
        <v>144</v>
      </c>
      <c r="Q853">
        <v>187</v>
      </c>
      <c r="R853" s="296">
        <v>1E-4</v>
      </c>
      <c r="S853" s="296">
        <v>0.94540000000000002</v>
      </c>
      <c r="T853" s="297">
        <v>15292</v>
      </c>
      <c r="U853" s="340">
        <v>74910</v>
      </c>
      <c r="V853" s="340">
        <v>225914</v>
      </c>
      <c r="W853" s="297">
        <v>35444</v>
      </c>
      <c r="X853" s="296">
        <v>-1E-3</v>
      </c>
    </row>
    <row r="854" spans="13:24">
      <c r="M854">
        <v>852</v>
      </c>
      <c r="N854">
        <v>60469</v>
      </c>
      <c r="O854" t="s">
        <v>1249</v>
      </c>
      <c r="P854" t="s">
        <v>131</v>
      </c>
      <c r="Q854">
        <v>36</v>
      </c>
      <c r="R854" s="296">
        <v>1E-4</v>
      </c>
      <c r="S854" s="296">
        <v>0.94550000000000001</v>
      </c>
      <c r="T854" s="297">
        <v>1772</v>
      </c>
      <c r="U854" s="340">
        <v>74441</v>
      </c>
      <c r="V854" s="340">
        <v>188396</v>
      </c>
      <c r="W854" s="297">
        <v>5485</v>
      </c>
      <c r="X854" s="296">
        <v>-1.2E-2</v>
      </c>
    </row>
    <row r="855" spans="13:24">
      <c r="M855">
        <v>853</v>
      </c>
      <c r="N855">
        <v>61938</v>
      </c>
      <c r="O855" t="s">
        <v>806</v>
      </c>
      <c r="P855" t="s">
        <v>131</v>
      </c>
      <c r="Q855">
        <v>187</v>
      </c>
      <c r="R855" s="296">
        <v>1E-4</v>
      </c>
      <c r="S855" s="296">
        <v>0.94550000000000001</v>
      </c>
      <c r="T855" s="297">
        <v>9035</v>
      </c>
      <c r="U855" s="340">
        <v>73832</v>
      </c>
      <c r="V855" s="340">
        <v>154713</v>
      </c>
      <c r="W855" s="297">
        <v>19889</v>
      </c>
      <c r="X855" s="296">
        <v>-0.01</v>
      </c>
    </row>
    <row r="856" spans="13:24">
      <c r="M856">
        <v>854</v>
      </c>
      <c r="N856">
        <v>31794</v>
      </c>
      <c r="O856" t="s">
        <v>1250</v>
      </c>
      <c r="P856" t="s">
        <v>130</v>
      </c>
      <c r="Q856">
        <v>777</v>
      </c>
      <c r="R856" s="296">
        <v>1E-4</v>
      </c>
      <c r="S856" s="296">
        <v>0.9456</v>
      </c>
      <c r="T856" s="297">
        <v>11250</v>
      </c>
      <c r="U856" s="340">
        <v>73671</v>
      </c>
      <c r="V856" s="340">
        <v>209025</v>
      </c>
      <c r="W856" s="297">
        <v>28465</v>
      </c>
      <c r="X856" s="296">
        <v>3.0000000000000001E-3</v>
      </c>
    </row>
    <row r="857" spans="13:24">
      <c r="M857">
        <v>855</v>
      </c>
      <c r="N857">
        <v>44106</v>
      </c>
      <c r="O857" t="s">
        <v>1251</v>
      </c>
      <c r="P857" t="s">
        <v>136</v>
      </c>
      <c r="Q857">
        <v>321</v>
      </c>
      <c r="R857" s="296">
        <v>1E-4</v>
      </c>
      <c r="S857" s="296">
        <v>0.9456</v>
      </c>
      <c r="T857" s="297">
        <v>12401</v>
      </c>
      <c r="U857" s="340">
        <v>73056</v>
      </c>
      <c r="V857" s="340">
        <v>365463</v>
      </c>
      <c r="W857" s="297">
        <v>27022</v>
      </c>
      <c r="X857" s="296">
        <v>4.0000000000000001E-3</v>
      </c>
    </row>
    <row r="858" spans="13:24">
      <c r="M858">
        <v>856</v>
      </c>
      <c r="N858">
        <v>43207</v>
      </c>
      <c r="O858" t="s">
        <v>468</v>
      </c>
      <c r="P858" t="s">
        <v>136</v>
      </c>
      <c r="Q858">
        <v>296</v>
      </c>
      <c r="R858" s="296">
        <v>1E-4</v>
      </c>
      <c r="S858" s="296">
        <v>0.94569999999999999</v>
      </c>
      <c r="T858" s="297">
        <v>18845</v>
      </c>
      <c r="U858" s="340">
        <v>72295</v>
      </c>
      <c r="V858" s="340">
        <v>226755</v>
      </c>
      <c r="W858" s="297">
        <v>47857</v>
      </c>
      <c r="X858" s="296">
        <v>5.0000000000000001E-3</v>
      </c>
    </row>
    <row r="859" spans="13:24">
      <c r="M859">
        <v>857</v>
      </c>
      <c r="N859">
        <v>46516</v>
      </c>
      <c r="O859" t="s">
        <v>791</v>
      </c>
      <c r="P859" t="s">
        <v>144</v>
      </c>
      <c r="Q859">
        <v>99</v>
      </c>
      <c r="R859" s="296">
        <v>1E-4</v>
      </c>
      <c r="S859" s="296">
        <v>0.94569999999999999</v>
      </c>
      <c r="T859" s="297">
        <v>12302</v>
      </c>
      <c r="U859" s="340">
        <v>72132</v>
      </c>
      <c r="V859" s="340">
        <v>248706</v>
      </c>
      <c r="W859" s="297">
        <v>34108</v>
      </c>
      <c r="X859" s="296">
        <v>7.0000000000000001E-3</v>
      </c>
    </row>
    <row r="860" spans="13:24">
      <c r="M860">
        <v>858</v>
      </c>
      <c r="N860">
        <v>46405</v>
      </c>
      <c r="O860" t="s">
        <v>1252</v>
      </c>
      <c r="P860" t="s">
        <v>144</v>
      </c>
      <c r="Q860">
        <v>48</v>
      </c>
      <c r="R860" s="296">
        <v>1E-4</v>
      </c>
      <c r="S860" s="296">
        <v>0.94579999999999997</v>
      </c>
      <c r="T860" s="297">
        <v>4320</v>
      </c>
      <c r="U860" s="340">
        <v>70872</v>
      </c>
      <c r="V860" s="340">
        <v>218957</v>
      </c>
      <c r="W860" s="297">
        <v>11551</v>
      </c>
      <c r="X860" s="296">
        <v>-4.0000000000000001E-3</v>
      </c>
    </row>
    <row r="861" spans="13:24">
      <c r="M861">
        <v>859</v>
      </c>
      <c r="N861">
        <v>37311</v>
      </c>
      <c r="O861" t="s">
        <v>1251</v>
      </c>
      <c r="P861" t="s">
        <v>146</v>
      </c>
      <c r="Q861">
        <v>510</v>
      </c>
      <c r="R861" s="296">
        <v>1E-4</v>
      </c>
      <c r="S861" s="296">
        <v>0.94579999999999997</v>
      </c>
      <c r="T861" s="297">
        <v>11575</v>
      </c>
      <c r="U861" s="340">
        <v>70110</v>
      </c>
      <c r="V861" s="340">
        <v>364045</v>
      </c>
      <c r="W861" s="297">
        <v>29861</v>
      </c>
      <c r="X861" s="296">
        <v>5.0000000000000001E-3</v>
      </c>
    </row>
    <row r="862" spans="13:24">
      <c r="M862">
        <v>860</v>
      </c>
      <c r="N862">
        <v>55103</v>
      </c>
      <c r="O862" t="s">
        <v>445</v>
      </c>
      <c r="P862" t="s">
        <v>151</v>
      </c>
      <c r="Q862">
        <v>330</v>
      </c>
      <c r="R862" s="296">
        <v>1E-4</v>
      </c>
      <c r="S862" s="296">
        <v>0.94589999999999996</v>
      </c>
      <c r="T862" s="297">
        <v>4564</v>
      </c>
      <c r="U862" s="340">
        <v>68682</v>
      </c>
      <c r="V862" s="340">
        <v>327469</v>
      </c>
      <c r="W862" s="297">
        <v>13129</v>
      </c>
      <c r="X862" s="296">
        <v>6.0000000000000001E-3</v>
      </c>
    </row>
    <row r="863" spans="13:24">
      <c r="M863">
        <v>861</v>
      </c>
      <c r="N863">
        <v>46808</v>
      </c>
      <c r="O863" t="s">
        <v>1078</v>
      </c>
      <c r="P863" t="s">
        <v>144</v>
      </c>
      <c r="Q863">
        <v>154</v>
      </c>
      <c r="R863" s="296">
        <v>1E-4</v>
      </c>
      <c r="S863" s="296">
        <v>0.94589999999999996</v>
      </c>
      <c r="T863" s="297">
        <v>8614</v>
      </c>
      <c r="U863" s="340">
        <v>68045</v>
      </c>
      <c r="V863" s="340">
        <v>197912</v>
      </c>
      <c r="W863" s="297">
        <v>19982</v>
      </c>
      <c r="X863" s="296">
        <v>3.0000000000000001E-3</v>
      </c>
    </row>
    <row r="864" spans="13:24">
      <c r="M864">
        <v>862</v>
      </c>
      <c r="N864">
        <v>38329</v>
      </c>
      <c r="O864" t="s">
        <v>1253</v>
      </c>
      <c r="P864" t="s">
        <v>146</v>
      </c>
      <c r="Q864">
        <v>457</v>
      </c>
      <c r="R864" s="296">
        <v>1E-4</v>
      </c>
      <c r="S864" s="296">
        <v>0.94599999999999995</v>
      </c>
      <c r="T864" s="297">
        <v>1418</v>
      </c>
      <c r="U864" s="340">
        <v>65859</v>
      </c>
      <c r="V864" s="340">
        <v>228169</v>
      </c>
      <c r="W864" s="297">
        <v>3434</v>
      </c>
      <c r="X864" s="296">
        <v>-5.0000000000000001E-3</v>
      </c>
    </row>
    <row r="865" spans="13:24">
      <c r="M865">
        <v>863</v>
      </c>
      <c r="N865">
        <v>65807</v>
      </c>
      <c r="O865" t="s">
        <v>515</v>
      </c>
      <c r="P865" t="s">
        <v>186</v>
      </c>
      <c r="Q865">
        <v>452</v>
      </c>
      <c r="R865" s="296">
        <v>1E-4</v>
      </c>
      <c r="S865" s="296">
        <v>0.94599999999999995</v>
      </c>
      <c r="T865" s="297">
        <v>26405</v>
      </c>
      <c r="U865" s="340">
        <v>65753</v>
      </c>
      <c r="V865" s="340">
        <v>216234</v>
      </c>
      <c r="W865" s="297">
        <v>59351</v>
      </c>
      <c r="X865" s="296">
        <v>6.0000000000000001E-3</v>
      </c>
    </row>
    <row r="866" spans="13:24">
      <c r="M866">
        <v>864</v>
      </c>
      <c r="N866">
        <v>85719</v>
      </c>
      <c r="O866" t="s">
        <v>579</v>
      </c>
      <c r="P866" t="s">
        <v>158</v>
      </c>
      <c r="Q866">
        <v>1440</v>
      </c>
      <c r="R866" s="296">
        <v>1E-4</v>
      </c>
      <c r="S866" s="296">
        <v>0.94610000000000005</v>
      </c>
      <c r="T866" s="297">
        <v>18037</v>
      </c>
      <c r="U866" s="340">
        <v>64492</v>
      </c>
      <c r="V866" s="340">
        <v>383357</v>
      </c>
      <c r="W866" s="297">
        <v>44512</v>
      </c>
      <c r="X866" s="296">
        <v>-2E-3</v>
      </c>
    </row>
    <row r="867" spans="13:24">
      <c r="M867">
        <v>865</v>
      </c>
      <c r="N867">
        <v>53208</v>
      </c>
      <c r="O867" t="s">
        <v>463</v>
      </c>
      <c r="P867" t="s">
        <v>149</v>
      </c>
      <c r="Q867">
        <v>63</v>
      </c>
      <c r="R867" s="296">
        <v>1E-4</v>
      </c>
      <c r="S867" s="296">
        <v>0.94610000000000005</v>
      </c>
      <c r="T867" s="297">
        <v>12143</v>
      </c>
      <c r="U867" s="340">
        <v>64341</v>
      </c>
      <c r="V867" s="340">
        <v>234901</v>
      </c>
      <c r="W867" s="297">
        <v>28468</v>
      </c>
      <c r="X867" s="296">
        <v>-6.0000000000000001E-3</v>
      </c>
    </row>
    <row r="868" spans="13:24">
      <c r="M868">
        <v>866</v>
      </c>
      <c r="N868">
        <v>15213</v>
      </c>
      <c r="O868" t="s">
        <v>569</v>
      </c>
      <c r="P868" t="s">
        <v>133</v>
      </c>
      <c r="Q868">
        <v>423</v>
      </c>
      <c r="R868" s="296">
        <v>1E-4</v>
      </c>
      <c r="S868" s="296">
        <v>0.94620000000000004</v>
      </c>
      <c r="T868" s="297">
        <v>10746</v>
      </c>
      <c r="U868" s="340">
        <v>63754</v>
      </c>
      <c r="V868" s="340">
        <v>414492</v>
      </c>
      <c r="W868" s="297">
        <v>27593</v>
      </c>
      <c r="X868" s="296">
        <v>8.9999999999999993E-3</v>
      </c>
    </row>
    <row r="869" spans="13:24">
      <c r="M869">
        <v>867</v>
      </c>
      <c r="N869">
        <v>32601</v>
      </c>
      <c r="O869" t="s">
        <v>606</v>
      </c>
      <c r="P869" t="s">
        <v>127</v>
      </c>
      <c r="Q869">
        <v>916</v>
      </c>
      <c r="R869" s="296">
        <v>1E-4</v>
      </c>
      <c r="S869" s="296">
        <v>0.94620000000000004</v>
      </c>
      <c r="T869" s="297">
        <v>10756</v>
      </c>
      <c r="U869" s="340">
        <v>58401</v>
      </c>
      <c r="V869" s="340">
        <v>322897</v>
      </c>
      <c r="W869" s="297">
        <v>24439</v>
      </c>
      <c r="X869" s="296">
        <v>2E-3</v>
      </c>
    </row>
    <row r="870" spans="13:24">
      <c r="M870">
        <v>868</v>
      </c>
      <c r="N870">
        <v>46222</v>
      </c>
      <c r="O870" t="s">
        <v>561</v>
      </c>
      <c r="P870" t="s">
        <v>144</v>
      </c>
      <c r="Q870">
        <v>182</v>
      </c>
      <c r="R870" s="296">
        <v>1E-4</v>
      </c>
      <c r="S870" s="296">
        <v>0.94630000000000003</v>
      </c>
      <c r="T870" s="297">
        <v>14081</v>
      </c>
      <c r="U870" s="340">
        <v>58269</v>
      </c>
      <c r="V870" s="340">
        <v>169703</v>
      </c>
      <c r="W870" s="297">
        <v>38089</v>
      </c>
      <c r="X870" s="296">
        <v>5.0000000000000001E-3</v>
      </c>
    </row>
    <row r="871" spans="13:24">
      <c r="M871">
        <v>869</v>
      </c>
      <c r="N871">
        <v>33150</v>
      </c>
      <c r="O871" t="s">
        <v>293</v>
      </c>
      <c r="P871" t="s">
        <v>127</v>
      </c>
      <c r="Q871">
        <v>1206</v>
      </c>
      <c r="R871" s="296">
        <v>1E-4</v>
      </c>
      <c r="S871" s="296">
        <v>0.94630000000000003</v>
      </c>
      <c r="T871" s="297">
        <v>10156</v>
      </c>
      <c r="U871" s="340">
        <v>57724</v>
      </c>
      <c r="V871" s="340">
        <v>528872</v>
      </c>
      <c r="W871" s="297">
        <v>27963</v>
      </c>
      <c r="X871" s="296">
        <v>-8.0000000000000002E-3</v>
      </c>
    </row>
    <row r="872" spans="13:24">
      <c r="M872">
        <v>870</v>
      </c>
      <c r="N872">
        <v>46408</v>
      </c>
      <c r="O872" t="s">
        <v>1105</v>
      </c>
      <c r="P872" t="s">
        <v>144</v>
      </c>
      <c r="Q872">
        <v>47</v>
      </c>
      <c r="R872" s="296">
        <v>1E-4</v>
      </c>
      <c r="S872" s="296">
        <v>0.94640000000000002</v>
      </c>
      <c r="T872" s="297">
        <v>5991</v>
      </c>
      <c r="U872" s="340">
        <v>56092</v>
      </c>
      <c r="V872" s="340">
        <v>193317</v>
      </c>
      <c r="W872" s="297">
        <v>14661</v>
      </c>
      <c r="X872" s="296">
        <v>-8.0000000000000002E-3</v>
      </c>
    </row>
    <row r="873" spans="13:24">
      <c r="M873">
        <v>871</v>
      </c>
      <c r="N873">
        <v>48209</v>
      </c>
      <c r="O873" t="s">
        <v>588</v>
      </c>
      <c r="P873" t="s">
        <v>140</v>
      </c>
      <c r="Q873">
        <v>239</v>
      </c>
      <c r="R873" s="296">
        <v>1E-4</v>
      </c>
      <c r="S873" s="296">
        <v>0.94640000000000002</v>
      </c>
      <c r="T873" s="297">
        <v>8391</v>
      </c>
      <c r="U873" s="340">
        <v>53669</v>
      </c>
      <c r="V873" s="340">
        <v>167033</v>
      </c>
      <c r="W873" s="297">
        <v>25987</v>
      </c>
      <c r="X873" s="296">
        <v>-8.9999999999999993E-3</v>
      </c>
    </row>
    <row r="874" spans="13:24">
      <c r="M874">
        <v>872</v>
      </c>
      <c r="N874">
        <v>46320</v>
      </c>
      <c r="O874" t="s">
        <v>995</v>
      </c>
      <c r="P874" t="s">
        <v>144</v>
      </c>
      <c r="Q874">
        <v>38</v>
      </c>
      <c r="R874" s="296">
        <v>1E-4</v>
      </c>
      <c r="S874" s="296">
        <v>0.94650000000000001</v>
      </c>
      <c r="T874" s="297">
        <v>5670</v>
      </c>
      <c r="U874" s="340">
        <v>53538</v>
      </c>
      <c r="V874" s="340">
        <v>156499</v>
      </c>
      <c r="W874" s="297">
        <v>14180</v>
      </c>
      <c r="X874" s="296">
        <v>-8.0000000000000002E-3</v>
      </c>
    </row>
    <row r="875" spans="13:24">
      <c r="M875">
        <v>873</v>
      </c>
      <c r="N875">
        <v>60141</v>
      </c>
      <c r="O875" t="s">
        <v>1254</v>
      </c>
      <c r="P875" t="s">
        <v>131</v>
      </c>
      <c r="Q875">
        <v>20</v>
      </c>
      <c r="R875" s="296">
        <v>1E-4</v>
      </c>
      <c r="S875" s="296">
        <v>0.94650000000000001</v>
      </c>
      <c r="T875">
        <v>81</v>
      </c>
      <c r="U875" s="340">
        <v>52790</v>
      </c>
      <c r="V875" s="340">
        <v>112288</v>
      </c>
      <c r="W875">
        <v>131</v>
      </c>
      <c r="X875" s="296">
        <v>0</v>
      </c>
    </row>
    <row r="876" spans="13:24">
      <c r="M876">
        <v>874</v>
      </c>
      <c r="N876">
        <v>43902</v>
      </c>
      <c r="O876" t="s">
        <v>1255</v>
      </c>
      <c r="P876" t="s">
        <v>136</v>
      </c>
      <c r="Q876">
        <v>388</v>
      </c>
      <c r="R876" s="296">
        <v>1E-4</v>
      </c>
      <c r="S876" s="296">
        <v>0.9466</v>
      </c>
      <c r="T876">
        <v>69</v>
      </c>
      <c r="U876" s="340">
        <v>48337</v>
      </c>
      <c r="V876" s="340">
        <v>196552</v>
      </c>
      <c r="W876">
        <v>182</v>
      </c>
      <c r="X876" s="296">
        <v>-8.9999999999999993E-3</v>
      </c>
    </row>
    <row r="877" spans="13:24">
      <c r="M877">
        <v>875</v>
      </c>
      <c r="N877">
        <v>48238</v>
      </c>
      <c r="O877" t="s">
        <v>588</v>
      </c>
      <c r="P877" t="s">
        <v>140</v>
      </c>
      <c r="Q877">
        <v>238</v>
      </c>
      <c r="R877" s="296">
        <v>1E-4</v>
      </c>
      <c r="S877" s="296">
        <v>0.9466</v>
      </c>
      <c r="T877" s="297">
        <v>10537</v>
      </c>
      <c r="U877" s="340">
        <v>47043</v>
      </c>
      <c r="V877" s="340">
        <v>132740</v>
      </c>
      <c r="W877" s="297">
        <v>25156</v>
      </c>
      <c r="X877" s="296">
        <v>-5.0000000000000001E-3</v>
      </c>
    </row>
    <row r="878" spans="13:24">
      <c r="M878">
        <v>876</v>
      </c>
      <c r="N878">
        <v>46556</v>
      </c>
      <c r="O878" t="s">
        <v>1256</v>
      </c>
      <c r="P878" t="s">
        <v>144</v>
      </c>
      <c r="Q878">
        <v>86</v>
      </c>
      <c r="R878" s="296">
        <v>1E-4</v>
      </c>
      <c r="S878" s="296">
        <v>0.94669999999999999</v>
      </c>
      <c r="T878">
        <v>178</v>
      </c>
      <c r="U878" s="340">
        <v>35627</v>
      </c>
      <c r="V878" s="340">
        <v>477500</v>
      </c>
      <c r="W878" s="297">
        <v>7321</v>
      </c>
      <c r="X878" s="296">
        <v>3.0000000000000001E-3</v>
      </c>
    </row>
    <row r="879" spans="13:24">
      <c r="M879">
        <v>877</v>
      </c>
      <c r="N879">
        <v>19085</v>
      </c>
      <c r="O879" t="s">
        <v>1257</v>
      </c>
      <c r="P879" t="s">
        <v>133</v>
      </c>
      <c r="Q879">
        <v>663</v>
      </c>
      <c r="R879" s="296">
        <v>0</v>
      </c>
      <c r="S879" s="296">
        <v>0.94669999999999999</v>
      </c>
      <c r="T879" s="297">
        <v>1941</v>
      </c>
      <c r="U879" s="340">
        <v>316328</v>
      </c>
      <c r="V879" s="340">
        <v>955003</v>
      </c>
      <c r="W879" s="297">
        <v>10045</v>
      </c>
      <c r="X879" s="296">
        <v>6.0000000000000001E-3</v>
      </c>
    </row>
    <row r="880" spans="13:24">
      <c r="M880">
        <v>878</v>
      </c>
      <c r="N880">
        <v>20854</v>
      </c>
      <c r="O880" t="s">
        <v>1258</v>
      </c>
      <c r="P880" t="s">
        <v>137</v>
      </c>
      <c r="Q880">
        <v>595</v>
      </c>
      <c r="R880" s="296">
        <v>0</v>
      </c>
      <c r="S880" s="296">
        <v>0.94679999999999997</v>
      </c>
      <c r="T880" s="297">
        <v>16890</v>
      </c>
      <c r="U880" s="340">
        <v>310409</v>
      </c>
      <c r="V880" s="340">
        <v>1160092</v>
      </c>
      <c r="W880" s="297">
        <v>50130</v>
      </c>
      <c r="X880" s="296">
        <v>-3.0000000000000001E-3</v>
      </c>
    </row>
    <row r="881" spans="13:24">
      <c r="M881">
        <v>879</v>
      </c>
      <c r="N881">
        <v>22101</v>
      </c>
      <c r="O881" t="s">
        <v>519</v>
      </c>
      <c r="P881" t="s">
        <v>139</v>
      </c>
      <c r="Q881">
        <v>600</v>
      </c>
      <c r="R881" s="296">
        <v>0</v>
      </c>
      <c r="S881" s="296">
        <v>0.94679999999999997</v>
      </c>
      <c r="T881" s="297">
        <v>10667</v>
      </c>
      <c r="U881" s="340">
        <v>310354</v>
      </c>
      <c r="V881" s="340">
        <v>1434239</v>
      </c>
      <c r="W881" s="297">
        <v>31153</v>
      </c>
      <c r="X881" s="296">
        <v>-1E-3</v>
      </c>
    </row>
    <row r="882" spans="13:24">
      <c r="M882">
        <v>880</v>
      </c>
      <c r="N882">
        <v>7039</v>
      </c>
      <c r="O882" t="s">
        <v>1259</v>
      </c>
      <c r="P882" t="s">
        <v>129</v>
      </c>
      <c r="Q882">
        <v>702</v>
      </c>
      <c r="R882" s="296">
        <v>0</v>
      </c>
      <c r="S882" s="296">
        <v>0.94679999999999997</v>
      </c>
      <c r="T882" s="297">
        <v>10471</v>
      </c>
      <c r="U882" s="340">
        <v>277967</v>
      </c>
      <c r="V882" s="340">
        <v>895957</v>
      </c>
      <c r="W882" s="297">
        <v>31659</v>
      </c>
      <c r="X882" s="296">
        <v>2E-3</v>
      </c>
    </row>
    <row r="883" spans="13:24">
      <c r="M883">
        <v>881</v>
      </c>
      <c r="N883">
        <v>20815</v>
      </c>
      <c r="O883" t="s">
        <v>1260</v>
      </c>
      <c r="P883" t="s">
        <v>137</v>
      </c>
      <c r="Q883">
        <v>603</v>
      </c>
      <c r="R883" s="296">
        <v>0</v>
      </c>
      <c r="S883" s="296">
        <v>0.94689999999999996</v>
      </c>
      <c r="T883" s="297">
        <v>13566</v>
      </c>
      <c r="U883" s="340">
        <v>255550</v>
      </c>
      <c r="V883" s="340">
        <v>1310104</v>
      </c>
      <c r="W883" s="297">
        <v>31041</v>
      </c>
      <c r="X883" s="296">
        <v>0</v>
      </c>
    </row>
    <row r="884" spans="13:24">
      <c r="M884">
        <v>882</v>
      </c>
      <c r="N884">
        <v>78732</v>
      </c>
      <c r="O884" t="s">
        <v>416</v>
      </c>
      <c r="P884" t="s">
        <v>134</v>
      </c>
      <c r="Q884">
        <v>988</v>
      </c>
      <c r="R884" s="296">
        <v>0</v>
      </c>
      <c r="S884" s="296">
        <v>0.94689999999999996</v>
      </c>
      <c r="T884" s="297">
        <v>6388</v>
      </c>
      <c r="U884" s="340">
        <v>248298</v>
      </c>
      <c r="V884" s="340">
        <v>882232</v>
      </c>
      <c r="W884" s="297">
        <v>18556</v>
      </c>
      <c r="X884" s="296">
        <v>-6.0000000000000001E-3</v>
      </c>
    </row>
    <row r="885" spans="13:24">
      <c r="M885">
        <v>883</v>
      </c>
      <c r="N885">
        <v>48301</v>
      </c>
      <c r="O885" t="s">
        <v>1106</v>
      </c>
      <c r="P885" t="s">
        <v>140</v>
      </c>
      <c r="Q885">
        <v>232</v>
      </c>
      <c r="R885" s="296">
        <v>0</v>
      </c>
      <c r="S885" s="296">
        <v>0.94689999999999996</v>
      </c>
      <c r="T885" s="297">
        <v>5580</v>
      </c>
      <c r="U885" s="340">
        <v>243034</v>
      </c>
      <c r="V885" s="340">
        <v>726989</v>
      </c>
      <c r="W885" s="297">
        <v>14913</v>
      </c>
      <c r="X885" s="296">
        <v>-3.0000000000000001E-3</v>
      </c>
    </row>
    <row r="886" spans="13:24">
      <c r="M886">
        <v>884</v>
      </c>
      <c r="N886">
        <v>95129</v>
      </c>
      <c r="O886" t="s">
        <v>296</v>
      </c>
      <c r="P886" t="s">
        <v>132</v>
      </c>
      <c r="Q886">
        <v>1836</v>
      </c>
      <c r="R886" s="296">
        <v>0</v>
      </c>
      <c r="S886" s="296">
        <v>0.94699999999999995</v>
      </c>
      <c r="T886" s="297">
        <v>13275</v>
      </c>
      <c r="U886" s="340">
        <v>240715</v>
      </c>
      <c r="V886" s="340">
        <v>1773389</v>
      </c>
      <c r="W886" s="297">
        <v>39291</v>
      </c>
      <c r="X886" s="296">
        <v>-4.0000000000000001E-3</v>
      </c>
    </row>
    <row r="887" spans="13:24">
      <c r="M887">
        <v>885</v>
      </c>
      <c r="N887">
        <v>1886</v>
      </c>
      <c r="O887" t="s">
        <v>429</v>
      </c>
      <c r="P887" t="s">
        <v>135</v>
      </c>
      <c r="Q887">
        <v>834</v>
      </c>
      <c r="R887" s="296">
        <v>0</v>
      </c>
      <c r="S887" s="296">
        <v>0.94699999999999995</v>
      </c>
      <c r="T887" s="297">
        <v>9210</v>
      </c>
      <c r="U887" s="340">
        <v>239831</v>
      </c>
      <c r="V887" s="340">
        <v>817109</v>
      </c>
      <c r="W887" s="297">
        <v>26519</v>
      </c>
      <c r="X887" s="296">
        <v>1.7000000000000001E-2</v>
      </c>
    </row>
    <row r="888" spans="13:24">
      <c r="M888">
        <v>886</v>
      </c>
      <c r="N888">
        <v>48070</v>
      </c>
      <c r="O888" t="s">
        <v>1261</v>
      </c>
      <c r="P888" t="s">
        <v>140</v>
      </c>
      <c r="Q888">
        <v>237</v>
      </c>
      <c r="R888" s="296">
        <v>0</v>
      </c>
      <c r="S888" s="296">
        <v>0.94710000000000005</v>
      </c>
      <c r="T888" s="297">
        <v>2393</v>
      </c>
      <c r="U888" s="340">
        <v>237929</v>
      </c>
      <c r="V888" s="340">
        <v>523543</v>
      </c>
      <c r="W888" s="297">
        <v>6300</v>
      </c>
      <c r="X888" s="296">
        <v>-4.0000000000000001E-3</v>
      </c>
    </row>
    <row r="889" spans="13:24">
      <c r="M889">
        <v>887</v>
      </c>
      <c r="N889">
        <v>37215</v>
      </c>
      <c r="O889" t="s">
        <v>500</v>
      </c>
      <c r="P889" t="s">
        <v>146</v>
      </c>
      <c r="Q889">
        <v>422</v>
      </c>
      <c r="R889" s="296">
        <v>0</v>
      </c>
      <c r="S889" s="296">
        <v>0.94710000000000005</v>
      </c>
      <c r="T889" s="297">
        <v>10649</v>
      </c>
      <c r="U889" s="340">
        <v>230701</v>
      </c>
      <c r="V889" s="340">
        <v>1039579</v>
      </c>
      <c r="W889" s="297">
        <v>25612</v>
      </c>
      <c r="X889" s="296">
        <v>2E-3</v>
      </c>
    </row>
    <row r="890" spans="13:24">
      <c r="M890">
        <v>888</v>
      </c>
      <c r="N890">
        <v>84098</v>
      </c>
      <c r="O890" t="s">
        <v>1262</v>
      </c>
      <c r="P890" t="s">
        <v>219</v>
      </c>
      <c r="Q890">
        <v>1230</v>
      </c>
      <c r="R890" s="296">
        <v>0</v>
      </c>
      <c r="S890" s="296">
        <v>0.94710000000000005</v>
      </c>
      <c r="T890" s="297">
        <v>8151</v>
      </c>
      <c r="U890" s="340">
        <v>229437</v>
      </c>
      <c r="V890" s="340">
        <v>1337404</v>
      </c>
      <c r="W890" s="297">
        <v>21913</v>
      </c>
      <c r="X890" s="296">
        <v>1.4999999999999999E-2</v>
      </c>
    </row>
    <row r="891" spans="13:24">
      <c r="M891">
        <v>889</v>
      </c>
      <c r="N891">
        <v>55391</v>
      </c>
      <c r="O891" t="s">
        <v>1263</v>
      </c>
      <c r="P891" t="s">
        <v>151</v>
      </c>
      <c r="Q891">
        <v>347</v>
      </c>
      <c r="R891" s="296">
        <v>0</v>
      </c>
      <c r="S891" s="296">
        <v>0.94720000000000004</v>
      </c>
      <c r="T891" s="297">
        <v>6586</v>
      </c>
      <c r="U891" s="340">
        <v>227181</v>
      </c>
      <c r="V891" s="340">
        <v>1002707</v>
      </c>
      <c r="W891" s="297">
        <v>15674</v>
      </c>
      <c r="X891" s="296">
        <v>-3.0000000000000001E-3</v>
      </c>
    </row>
    <row r="892" spans="13:24">
      <c r="M892">
        <v>890</v>
      </c>
      <c r="N892">
        <v>7656</v>
      </c>
      <c r="O892" t="s">
        <v>859</v>
      </c>
      <c r="P892" t="s">
        <v>129</v>
      </c>
      <c r="Q892">
        <v>714</v>
      </c>
      <c r="R892" s="296">
        <v>0</v>
      </c>
      <c r="S892" s="296">
        <v>0.94720000000000004</v>
      </c>
      <c r="T892" s="297">
        <v>3670</v>
      </c>
      <c r="U892" s="340">
        <v>224466</v>
      </c>
      <c r="V892" s="340">
        <v>747690</v>
      </c>
      <c r="W892" s="297">
        <v>9722</v>
      </c>
      <c r="X892" s="296">
        <v>1.6E-2</v>
      </c>
    </row>
    <row r="893" spans="13:24">
      <c r="M893">
        <v>891</v>
      </c>
      <c r="N893">
        <v>37027</v>
      </c>
      <c r="O893" t="s">
        <v>295</v>
      </c>
      <c r="P893" t="s">
        <v>146</v>
      </c>
      <c r="Q893">
        <v>428</v>
      </c>
      <c r="R893" s="296">
        <v>0</v>
      </c>
      <c r="S893" s="296">
        <v>0.94720000000000004</v>
      </c>
      <c r="T893" s="297">
        <v>23432</v>
      </c>
      <c r="U893" s="340">
        <v>219385</v>
      </c>
      <c r="V893" s="340">
        <v>940977</v>
      </c>
      <c r="W893" s="297">
        <v>65632</v>
      </c>
      <c r="X893" s="296">
        <v>1.2E-2</v>
      </c>
    </row>
    <row r="894" spans="13:24">
      <c r="M894">
        <v>892</v>
      </c>
      <c r="N894">
        <v>10956</v>
      </c>
      <c r="O894" t="s">
        <v>597</v>
      </c>
      <c r="P894" t="s">
        <v>128</v>
      </c>
      <c r="Q894">
        <v>715</v>
      </c>
      <c r="R894" s="296">
        <v>0</v>
      </c>
      <c r="S894" s="296">
        <v>0.94730000000000003</v>
      </c>
      <c r="T894" s="297">
        <v>10263</v>
      </c>
      <c r="U894" s="340">
        <v>218057</v>
      </c>
      <c r="V894" s="340">
        <v>677538</v>
      </c>
      <c r="W894" s="297">
        <v>32490</v>
      </c>
      <c r="X894" s="296">
        <v>-1E-3</v>
      </c>
    </row>
    <row r="895" spans="13:24">
      <c r="M895">
        <v>893</v>
      </c>
      <c r="N895">
        <v>20814</v>
      </c>
      <c r="O895" t="s">
        <v>471</v>
      </c>
      <c r="P895" t="s">
        <v>137</v>
      </c>
      <c r="Q895">
        <v>601</v>
      </c>
      <c r="R895" s="296">
        <v>0</v>
      </c>
      <c r="S895" s="296">
        <v>0.94730000000000003</v>
      </c>
      <c r="T895" s="297">
        <v>17214</v>
      </c>
      <c r="U895" s="340">
        <v>214061</v>
      </c>
      <c r="V895" s="340">
        <v>1070376</v>
      </c>
      <c r="W895" s="297">
        <v>37072</v>
      </c>
      <c r="X895" s="296">
        <v>2.5000000000000001E-2</v>
      </c>
    </row>
    <row r="896" spans="13:24">
      <c r="M896">
        <v>894</v>
      </c>
      <c r="N896">
        <v>2116</v>
      </c>
      <c r="O896" t="s">
        <v>368</v>
      </c>
      <c r="P896" t="s">
        <v>135</v>
      </c>
      <c r="Q896">
        <v>853</v>
      </c>
      <c r="R896" s="296">
        <v>0</v>
      </c>
      <c r="S896" s="296">
        <v>0.94740000000000002</v>
      </c>
      <c r="T896" s="297">
        <v>11200</v>
      </c>
      <c r="U896" s="340">
        <v>212526</v>
      </c>
      <c r="V896" s="340">
        <v>1510431</v>
      </c>
      <c r="W896" s="297">
        <v>22079</v>
      </c>
      <c r="X896" s="296">
        <v>-8.0000000000000002E-3</v>
      </c>
    </row>
    <row r="897" spans="13:24">
      <c r="M897">
        <v>895</v>
      </c>
      <c r="N897">
        <v>90292</v>
      </c>
      <c r="O897" t="s">
        <v>1264</v>
      </c>
      <c r="P897" t="s">
        <v>132</v>
      </c>
      <c r="Q897">
        <v>1750</v>
      </c>
      <c r="R897" s="296">
        <v>0</v>
      </c>
      <c r="S897" s="296">
        <v>0.94740000000000002</v>
      </c>
      <c r="T897" s="297">
        <v>16638</v>
      </c>
      <c r="U897" s="340">
        <v>211435</v>
      </c>
      <c r="V897" s="340">
        <v>1449615</v>
      </c>
      <c r="W897" s="297">
        <v>28676</v>
      </c>
      <c r="X897" s="296">
        <v>1.2E-2</v>
      </c>
    </row>
    <row r="898" spans="13:24">
      <c r="M898">
        <v>896</v>
      </c>
      <c r="N898">
        <v>2476</v>
      </c>
      <c r="O898" t="s">
        <v>403</v>
      </c>
      <c r="P898" t="s">
        <v>135</v>
      </c>
      <c r="Q898">
        <v>848</v>
      </c>
      <c r="R898" s="296">
        <v>0</v>
      </c>
      <c r="S898" s="296">
        <v>0.94740000000000002</v>
      </c>
      <c r="T898" s="297">
        <v>7442</v>
      </c>
      <c r="U898" s="340">
        <v>209217</v>
      </c>
      <c r="V898" s="340">
        <v>962794</v>
      </c>
      <c r="W898" s="297">
        <v>17400</v>
      </c>
      <c r="X898" s="296">
        <v>-3.0000000000000001E-3</v>
      </c>
    </row>
    <row r="899" spans="13:24">
      <c r="M899">
        <v>897</v>
      </c>
      <c r="N899">
        <v>10011</v>
      </c>
      <c r="O899" t="s">
        <v>203</v>
      </c>
      <c r="P899" t="s">
        <v>128</v>
      </c>
      <c r="Q899">
        <v>720</v>
      </c>
      <c r="R899" s="296">
        <v>0</v>
      </c>
      <c r="S899" s="296">
        <v>0.94750000000000001</v>
      </c>
      <c r="T899" s="297">
        <v>29670</v>
      </c>
      <c r="U899" s="340">
        <v>206256</v>
      </c>
      <c r="V899" s="340">
        <v>1302101</v>
      </c>
      <c r="W899" s="297">
        <v>50425</v>
      </c>
      <c r="X899" s="296">
        <v>-1.0999999999999999E-2</v>
      </c>
    </row>
    <row r="900" spans="13:24">
      <c r="M900">
        <v>898</v>
      </c>
      <c r="N900">
        <v>50323</v>
      </c>
      <c r="O900" t="s">
        <v>1265</v>
      </c>
      <c r="P900" t="s">
        <v>170</v>
      </c>
      <c r="Q900">
        <v>310</v>
      </c>
      <c r="R900" s="296">
        <v>0</v>
      </c>
      <c r="S900" s="296">
        <v>0.94750000000000001</v>
      </c>
      <c r="T900" s="297">
        <v>6128</v>
      </c>
      <c r="U900" s="340">
        <v>205930</v>
      </c>
      <c r="V900" s="340">
        <v>480794</v>
      </c>
      <c r="W900" s="297">
        <v>18396</v>
      </c>
      <c r="X900" s="296">
        <v>2.7E-2</v>
      </c>
    </row>
    <row r="901" spans="13:24">
      <c r="M901">
        <v>899</v>
      </c>
      <c r="N901">
        <v>97229</v>
      </c>
      <c r="O901" t="s">
        <v>420</v>
      </c>
      <c r="P901" t="s">
        <v>207</v>
      </c>
      <c r="Q901">
        <v>1746</v>
      </c>
      <c r="R901" s="296">
        <v>0</v>
      </c>
      <c r="S901" s="296">
        <v>0.94750000000000001</v>
      </c>
      <c r="T901" s="297">
        <v>27235</v>
      </c>
      <c r="U901" s="340">
        <v>204868</v>
      </c>
      <c r="V901" s="340">
        <v>784889</v>
      </c>
      <c r="W901" s="297">
        <v>74969</v>
      </c>
      <c r="X901" s="296">
        <v>8.9999999999999993E-3</v>
      </c>
    </row>
    <row r="902" spans="13:24">
      <c r="M902">
        <v>900</v>
      </c>
      <c r="N902">
        <v>90064</v>
      </c>
      <c r="O902" t="s">
        <v>309</v>
      </c>
      <c r="P902" t="s">
        <v>132</v>
      </c>
      <c r="Q902">
        <v>1747</v>
      </c>
      <c r="R902" s="296">
        <v>0</v>
      </c>
      <c r="S902" s="296">
        <v>0.9476</v>
      </c>
      <c r="T902" s="297">
        <v>11947</v>
      </c>
      <c r="U902" s="340">
        <v>203145</v>
      </c>
      <c r="V902" s="340">
        <v>1663660</v>
      </c>
      <c r="W902" s="297">
        <v>27263</v>
      </c>
      <c r="X902" s="296">
        <v>6.0000000000000001E-3</v>
      </c>
    </row>
    <row r="903" spans="13:24">
      <c r="M903">
        <v>901</v>
      </c>
      <c r="N903">
        <v>22314</v>
      </c>
      <c r="O903" t="s">
        <v>521</v>
      </c>
      <c r="P903" t="s">
        <v>139</v>
      </c>
      <c r="Q903">
        <v>609</v>
      </c>
      <c r="R903" s="296">
        <v>0</v>
      </c>
      <c r="S903" s="296">
        <v>0.9476</v>
      </c>
      <c r="T903" s="297">
        <v>21469</v>
      </c>
      <c r="U903" s="340">
        <v>201956</v>
      </c>
      <c r="V903" s="340">
        <v>1014540</v>
      </c>
      <c r="W903" s="297">
        <v>38720</v>
      </c>
      <c r="X903" s="296">
        <v>2.1999999999999999E-2</v>
      </c>
    </row>
    <row r="904" spans="13:24">
      <c r="M904">
        <v>902</v>
      </c>
      <c r="N904">
        <v>11746</v>
      </c>
      <c r="O904" t="s">
        <v>1266</v>
      </c>
      <c r="P904" t="s">
        <v>128</v>
      </c>
      <c r="Q904">
        <v>751</v>
      </c>
      <c r="R904" s="296">
        <v>0</v>
      </c>
      <c r="S904" s="296">
        <v>0.94769999999999999</v>
      </c>
      <c r="T904" s="297">
        <v>21370</v>
      </c>
      <c r="U904" s="340">
        <v>199615</v>
      </c>
      <c r="V904" s="340">
        <v>745040</v>
      </c>
      <c r="W904" s="297">
        <v>69576</v>
      </c>
      <c r="X904" s="296">
        <v>-1E-3</v>
      </c>
    </row>
    <row r="905" spans="13:24">
      <c r="M905">
        <v>903</v>
      </c>
      <c r="N905">
        <v>22152</v>
      </c>
      <c r="O905" t="s">
        <v>515</v>
      </c>
      <c r="P905" t="s">
        <v>139</v>
      </c>
      <c r="Q905">
        <v>601</v>
      </c>
      <c r="R905" s="296">
        <v>0</v>
      </c>
      <c r="S905" s="296">
        <v>0.94769999999999999</v>
      </c>
      <c r="T905" s="297">
        <v>9963</v>
      </c>
      <c r="U905" s="340">
        <v>199434</v>
      </c>
      <c r="V905" s="340">
        <v>676532</v>
      </c>
      <c r="W905" s="297">
        <v>29321</v>
      </c>
      <c r="X905" s="296">
        <v>-4.0000000000000001E-3</v>
      </c>
    </row>
    <row r="906" spans="13:24">
      <c r="M906">
        <v>904</v>
      </c>
      <c r="N906">
        <v>60184</v>
      </c>
      <c r="O906" t="s">
        <v>454</v>
      </c>
      <c r="P906" t="s">
        <v>131</v>
      </c>
      <c r="Q906">
        <v>27</v>
      </c>
      <c r="R906" s="296">
        <v>0</v>
      </c>
      <c r="S906" s="296">
        <v>0.94769999999999999</v>
      </c>
      <c r="T906">
        <v>881</v>
      </c>
      <c r="U906" s="340">
        <v>198809</v>
      </c>
      <c r="V906" s="340">
        <v>646149</v>
      </c>
      <c r="W906" s="297">
        <v>2527</v>
      </c>
      <c r="X906" s="296">
        <v>0.01</v>
      </c>
    </row>
    <row r="907" spans="13:24">
      <c r="M907">
        <v>905</v>
      </c>
      <c r="N907">
        <v>91604</v>
      </c>
      <c r="O907" t="s">
        <v>1267</v>
      </c>
      <c r="P907" t="s">
        <v>132</v>
      </c>
      <c r="Q907">
        <v>1742</v>
      </c>
      <c r="R907" s="296">
        <v>0</v>
      </c>
      <c r="S907" s="296">
        <v>0.94779999999999998</v>
      </c>
      <c r="T907" s="297">
        <v>14066</v>
      </c>
      <c r="U907" s="340">
        <v>198012</v>
      </c>
      <c r="V907" s="340">
        <v>1568584</v>
      </c>
      <c r="W907" s="297">
        <v>29475</v>
      </c>
      <c r="X907" s="296">
        <v>-6.0000000000000001E-3</v>
      </c>
    </row>
    <row r="908" spans="13:24">
      <c r="M908">
        <v>906</v>
      </c>
      <c r="N908">
        <v>34103</v>
      </c>
      <c r="O908" t="s">
        <v>322</v>
      </c>
      <c r="P908" t="s">
        <v>127</v>
      </c>
      <c r="Q908">
        <v>1153</v>
      </c>
      <c r="R908" s="296">
        <v>0</v>
      </c>
      <c r="S908" s="296">
        <v>0.94779999999999998</v>
      </c>
      <c r="T908" s="297">
        <v>5999</v>
      </c>
      <c r="U908" s="340">
        <v>195178</v>
      </c>
      <c r="V908" s="340">
        <v>1272453</v>
      </c>
      <c r="W908" s="297">
        <v>12092</v>
      </c>
      <c r="X908" s="296">
        <v>6.0000000000000001E-3</v>
      </c>
    </row>
    <row r="909" spans="13:24">
      <c r="M909">
        <v>907</v>
      </c>
      <c r="N909">
        <v>75209</v>
      </c>
      <c r="O909" t="s">
        <v>338</v>
      </c>
      <c r="P909" t="s">
        <v>134</v>
      </c>
      <c r="Q909">
        <v>810</v>
      </c>
      <c r="R909" s="296">
        <v>0</v>
      </c>
      <c r="S909" s="296">
        <v>0.94779999999999998</v>
      </c>
      <c r="T909" s="297">
        <v>6955</v>
      </c>
      <c r="U909" s="340">
        <v>195133</v>
      </c>
      <c r="V909" s="340">
        <v>952773</v>
      </c>
      <c r="W909" s="297">
        <v>15061</v>
      </c>
      <c r="X909" s="296">
        <v>7.0000000000000001E-3</v>
      </c>
    </row>
    <row r="910" spans="13:24">
      <c r="M910">
        <v>908</v>
      </c>
      <c r="N910">
        <v>92677</v>
      </c>
      <c r="O910" t="s">
        <v>1268</v>
      </c>
      <c r="P910" t="s">
        <v>132</v>
      </c>
      <c r="Q910">
        <v>1728</v>
      </c>
      <c r="R910" s="296">
        <v>0</v>
      </c>
      <c r="S910" s="296">
        <v>0.94789999999999996</v>
      </c>
      <c r="T910" s="297">
        <v>25825</v>
      </c>
      <c r="U910" s="340">
        <v>193797</v>
      </c>
      <c r="V910" s="340">
        <v>1335639</v>
      </c>
      <c r="W910" s="297">
        <v>64261</v>
      </c>
      <c r="X910" s="296">
        <v>-3.0000000000000001E-3</v>
      </c>
    </row>
    <row r="911" spans="13:24">
      <c r="M911">
        <v>909</v>
      </c>
      <c r="N911">
        <v>48324</v>
      </c>
      <c r="O911" t="s">
        <v>596</v>
      </c>
      <c r="P911" t="s">
        <v>140</v>
      </c>
      <c r="Q911">
        <v>227</v>
      </c>
      <c r="R911" s="296">
        <v>0</v>
      </c>
      <c r="S911" s="296">
        <v>0.94789999999999996</v>
      </c>
      <c r="T911" s="297">
        <v>6539</v>
      </c>
      <c r="U911" s="340">
        <v>187737</v>
      </c>
      <c r="V911" s="340">
        <v>572346</v>
      </c>
      <c r="W911" s="297">
        <v>16678</v>
      </c>
      <c r="X911" s="296">
        <v>-4.0000000000000001E-3</v>
      </c>
    </row>
    <row r="912" spans="13:24">
      <c r="M912">
        <v>910</v>
      </c>
      <c r="N912">
        <v>75093</v>
      </c>
      <c r="O912" t="s">
        <v>504</v>
      </c>
      <c r="P912" t="s">
        <v>134</v>
      </c>
      <c r="Q912">
        <v>799</v>
      </c>
      <c r="R912" s="296">
        <v>0</v>
      </c>
      <c r="S912" s="296">
        <v>0.94799999999999995</v>
      </c>
      <c r="T912" s="297">
        <v>20615</v>
      </c>
      <c r="U912" s="340">
        <v>186828</v>
      </c>
      <c r="V912" s="340">
        <v>718825</v>
      </c>
      <c r="W912" s="297">
        <v>50073</v>
      </c>
      <c r="X912" s="296">
        <v>4.0000000000000001E-3</v>
      </c>
    </row>
    <row r="913" spans="13:24">
      <c r="M913">
        <v>911</v>
      </c>
      <c r="N913">
        <v>21012</v>
      </c>
      <c r="O913" t="s">
        <v>1269</v>
      </c>
      <c r="P913" t="s">
        <v>137</v>
      </c>
      <c r="Q913">
        <v>629</v>
      </c>
      <c r="R913" s="296">
        <v>0</v>
      </c>
      <c r="S913" s="296">
        <v>0.94799999999999995</v>
      </c>
      <c r="T913" s="297">
        <v>8102</v>
      </c>
      <c r="U913" s="340">
        <v>185373</v>
      </c>
      <c r="V913" s="340">
        <v>691256</v>
      </c>
      <c r="W913" s="297">
        <v>22295</v>
      </c>
      <c r="X913" s="296">
        <v>0</v>
      </c>
    </row>
    <row r="914" spans="13:24">
      <c r="M914">
        <v>912</v>
      </c>
      <c r="N914">
        <v>11705</v>
      </c>
      <c r="O914" t="s">
        <v>1270</v>
      </c>
      <c r="P914" t="s">
        <v>128</v>
      </c>
      <c r="Q914">
        <v>768</v>
      </c>
      <c r="R914" s="296">
        <v>0</v>
      </c>
      <c r="S914" s="296">
        <v>0.94799999999999995</v>
      </c>
      <c r="T914" s="297">
        <v>2777</v>
      </c>
      <c r="U914" s="340">
        <v>185068</v>
      </c>
      <c r="V914" s="340">
        <v>739007</v>
      </c>
      <c r="W914" s="297">
        <v>7905</v>
      </c>
      <c r="X914" s="296">
        <v>-1E-3</v>
      </c>
    </row>
    <row r="915" spans="13:24">
      <c r="M915">
        <v>913</v>
      </c>
      <c r="N915">
        <v>43017</v>
      </c>
      <c r="O915" t="s">
        <v>1271</v>
      </c>
      <c r="P915" t="s">
        <v>136</v>
      </c>
      <c r="Q915">
        <v>280</v>
      </c>
      <c r="R915" s="296">
        <v>0</v>
      </c>
      <c r="S915" s="296">
        <v>0.94810000000000005</v>
      </c>
      <c r="T915" s="297">
        <v>16299</v>
      </c>
      <c r="U915" s="340">
        <v>182388</v>
      </c>
      <c r="V915" s="340">
        <v>508688</v>
      </c>
      <c r="W915" s="297">
        <v>43524</v>
      </c>
      <c r="X915" s="296">
        <v>1E-3</v>
      </c>
    </row>
    <row r="916" spans="13:24">
      <c r="M916">
        <v>914</v>
      </c>
      <c r="N916">
        <v>91403</v>
      </c>
      <c r="O916" t="s">
        <v>1272</v>
      </c>
      <c r="P916" t="s">
        <v>132</v>
      </c>
      <c r="Q916">
        <v>1745</v>
      </c>
      <c r="R916" s="296">
        <v>0</v>
      </c>
      <c r="S916" s="296">
        <v>0.94810000000000005</v>
      </c>
      <c r="T916" s="297">
        <v>10631</v>
      </c>
      <c r="U916" s="340">
        <v>181021</v>
      </c>
      <c r="V916" s="340">
        <v>1508371</v>
      </c>
      <c r="W916" s="297">
        <v>22544</v>
      </c>
      <c r="X916" s="296">
        <v>-7.0000000000000001E-3</v>
      </c>
    </row>
    <row r="917" spans="13:24">
      <c r="M917">
        <v>915</v>
      </c>
      <c r="N917">
        <v>98034</v>
      </c>
      <c r="O917" t="s">
        <v>630</v>
      </c>
      <c r="P917" t="s">
        <v>224</v>
      </c>
      <c r="Q917">
        <v>1711</v>
      </c>
      <c r="R917" s="296">
        <v>0</v>
      </c>
      <c r="S917" s="296">
        <v>0.94810000000000005</v>
      </c>
      <c r="T917" s="297">
        <v>22662</v>
      </c>
      <c r="U917" s="340">
        <v>181017</v>
      </c>
      <c r="V917" s="340">
        <v>1077599</v>
      </c>
      <c r="W917" s="297">
        <v>55435</v>
      </c>
      <c r="X917" s="296">
        <v>1.7999999999999999E-2</v>
      </c>
    </row>
    <row r="918" spans="13:24">
      <c r="M918">
        <v>916</v>
      </c>
      <c r="N918">
        <v>80304</v>
      </c>
      <c r="O918" t="s">
        <v>1111</v>
      </c>
      <c r="P918" t="s">
        <v>142</v>
      </c>
      <c r="Q918">
        <v>921</v>
      </c>
      <c r="R918" s="296">
        <v>0</v>
      </c>
      <c r="S918" s="296">
        <v>0.94820000000000004</v>
      </c>
      <c r="T918" s="297">
        <v>11643</v>
      </c>
      <c r="U918" s="340">
        <v>180793</v>
      </c>
      <c r="V918" s="340">
        <v>1255015</v>
      </c>
      <c r="W918" s="297">
        <v>27359</v>
      </c>
      <c r="X918" s="296">
        <v>-3.0000000000000001E-3</v>
      </c>
    </row>
    <row r="919" spans="13:24">
      <c r="M919">
        <v>917</v>
      </c>
      <c r="N919">
        <v>20009</v>
      </c>
      <c r="O919" t="s">
        <v>225</v>
      </c>
      <c r="P919" t="s">
        <v>150</v>
      </c>
      <c r="Q919">
        <v>606</v>
      </c>
      <c r="R919" s="296">
        <v>0</v>
      </c>
      <c r="S919" s="296">
        <v>0.94820000000000004</v>
      </c>
      <c r="T919" s="297">
        <v>30772</v>
      </c>
      <c r="U919" s="340">
        <v>179811</v>
      </c>
      <c r="V919" s="340">
        <v>999773</v>
      </c>
      <c r="W919" s="297">
        <v>53297</v>
      </c>
      <c r="X919" s="296">
        <v>-6.0000000000000001E-3</v>
      </c>
    </row>
    <row r="920" spans="13:24">
      <c r="M920">
        <v>918</v>
      </c>
      <c r="N920">
        <v>38017</v>
      </c>
      <c r="O920" t="s">
        <v>622</v>
      </c>
      <c r="P920" t="s">
        <v>146</v>
      </c>
      <c r="Q920">
        <v>500</v>
      </c>
      <c r="R920" s="296">
        <v>0</v>
      </c>
      <c r="S920" s="296">
        <v>0.94830000000000003</v>
      </c>
      <c r="T920" s="297">
        <v>20167</v>
      </c>
      <c r="U920" s="340">
        <v>175214</v>
      </c>
      <c r="V920" s="340">
        <v>467060</v>
      </c>
      <c r="W920" s="297">
        <v>55156</v>
      </c>
      <c r="X920" s="296">
        <v>-1E-3</v>
      </c>
    </row>
    <row r="921" spans="13:24">
      <c r="M921">
        <v>919</v>
      </c>
      <c r="N921">
        <v>61011</v>
      </c>
      <c r="O921" t="s">
        <v>1138</v>
      </c>
      <c r="P921" t="s">
        <v>131</v>
      </c>
      <c r="Q921">
        <v>60</v>
      </c>
      <c r="R921" s="296">
        <v>0</v>
      </c>
      <c r="S921" s="296">
        <v>0.94830000000000003</v>
      </c>
      <c r="T921" s="297">
        <v>1131</v>
      </c>
      <c r="U921" s="340">
        <v>174743</v>
      </c>
      <c r="V921" s="340">
        <v>317341</v>
      </c>
      <c r="W921" s="297">
        <v>2911</v>
      </c>
      <c r="X921" s="296">
        <v>-2E-3</v>
      </c>
    </row>
    <row r="922" spans="13:24">
      <c r="M922">
        <v>920</v>
      </c>
      <c r="N922">
        <v>55127</v>
      </c>
      <c r="O922" t="s">
        <v>445</v>
      </c>
      <c r="P922" t="s">
        <v>151</v>
      </c>
      <c r="Q922">
        <v>334</v>
      </c>
      <c r="R922" s="296">
        <v>0</v>
      </c>
      <c r="S922" s="296">
        <v>0.94830000000000003</v>
      </c>
      <c r="T922" s="297">
        <v>7813</v>
      </c>
      <c r="U922" s="340">
        <v>174199</v>
      </c>
      <c r="V922" s="340">
        <v>523320</v>
      </c>
      <c r="W922" s="297">
        <v>19523</v>
      </c>
      <c r="X922" s="296">
        <v>0.01</v>
      </c>
    </row>
    <row r="923" spans="13:24">
      <c r="M923">
        <v>921</v>
      </c>
      <c r="N923">
        <v>53045</v>
      </c>
      <c r="O923" t="s">
        <v>615</v>
      </c>
      <c r="P923" t="s">
        <v>149</v>
      </c>
      <c r="Q923">
        <v>66</v>
      </c>
      <c r="R923" s="296">
        <v>0</v>
      </c>
      <c r="S923" s="296">
        <v>0.94840000000000002</v>
      </c>
      <c r="T923" s="297">
        <v>9611</v>
      </c>
      <c r="U923" s="340">
        <v>174027</v>
      </c>
      <c r="V923" s="340">
        <v>527022</v>
      </c>
      <c r="W923" s="297">
        <v>24069</v>
      </c>
      <c r="X923" s="296">
        <v>3.0000000000000001E-3</v>
      </c>
    </row>
    <row r="924" spans="13:24">
      <c r="M924">
        <v>922</v>
      </c>
      <c r="N924">
        <v>80211</v>
      </c>
      <c r="O924" t="s">
        <v>330</v>
      </c>
      <c r="P924" t="s">
        <v>142</v>
      </c>
      <c r="Q924">
        <v>912</v>
      </c>
      <c r="R924" s="296">
        <v>0</v>
      </c>
      <c r="S924" s="296">
        <v>0.94840000000000002</v>
      </c>
      <c r="T924" s="297">
        <v>20550</v>
      </c>
      <c r="U924" s="340">
        <v>172266</v>
      </c>
      <c r="V924" s="340">
        <v>872121</v>
      </c>
      <c r="W924" s="297">
        <v>40484</v>
      </c>
      <c r="X924" s="296">
        <v>8.9999999999999993E-3</v>
      </c>
    </row>
    <row r="925" spans="13:24">
      <c r="M925">
        <v>923</v>
      </c>
      <c r="N925">
        <v>53593</v>
      </c>
      <c r="O925" t="s">
        <v>1273</v>
      </c>
      <c r="P925" t="s">
        <v>149</v>
      </c>
      <c r="Q925">
        <v>108</v>
      </c>
      <c r="R925" s="296">
        <v>0</v>
      </c>
      <c r="S925" s="296">
        <v>0.94840000000000002</v>
      </c>
      <c r="T925" s="297">
        <v>12652</v>
      </c>
      <c r="U925" s="340">
        <v>171495</v>
      </c>
      <c r="V925" s="340">
        <v>553045</v>
      </c>
      <c r="W925" s="297">
        <v>31330</v>
      </c>
      <c r="X925" s="296">
        <v>0.02</v>
      </c>
    </row>
    <row r="926" spans="13:24">
      <c r="M926">
        <v>924</v>
      </c>
      <c r="N926">
        <v>21015</v>
      </c>
      <c r="O926" t="s">
        <v>1274</v>
      </c>
      <c r="P926" t="s">
        <v>137</v>
      </c>
      <c r="Q926">
        <v>626</v>
      </c>
      <c r="R926" s="296">
        <v>0</v>
      </c>
      <c r="S926" s="296">
        <v>0.94850000000000001</v>
      </c>
      <c r="T926" s="297">
        <v>11344</v>
      </c>
      <c r="U926" s="340">
        <v>169570</v>
      </c>
      <c r="V926" s="340">
        <v>521088</v>
      </c>
      <c r="W926" s="297">
        <v>31463</v>
      </c>
      <c r="X926" s="296">
        <v>0.01</v>
      </c>
    </row>
    <row r="927" spans="13:24">
      <c r="M927">
        <v>925</v>
      </c>
      <c r="N927">
        <v>27513</v>
      </c>
      <c r="O927" t="s">
        <v>701</v>
      </c>
      <c r="P927" t="s">
        <v>138</v>
      </c>
      <c r="Q927">
        <v>651</v>
      </c>
      <c r="R927" s="296">
        <v>0</v>
      </c>
      <c r="S927" s="296">
        <v>0.94850000000000001</v>
      </c>
      <c r="T927" s="297">
        <v>19374</v>
      </c>
      <c r="U927" s="340">
        <v>167897</v>
      </c>
      <c r="V927" s="340">
        <v>572958</v>
      </c>
      <c r="W927" s="297">
        <v>46614</v>
      </c>
      <c r="X927" s="296">
        <v>-1E-3</v>
      </c>
    </row>
    <row r="928" spans="13:24">
      <c r="M928">
        <v>926</v>
      </c>
      <c r="N928">
        <v>37067</v>
      </c>
      <c r="O928" t="s">
        <v>411</v>
      </c>
      <c r="P928" t="s">
        <v>146</v>
      </c>
      <c r="Q928">
        <v>434</v>
      </c>
      <c r="R928" s="296">
        <v>0</v>
      </c>
      <c r="S928" s="296">
        <v>0.9486</v>
      </c>
      <c r="T928" s="297">
        <v>13804</v>
      </c>
      <c r="U928" s="340">
        <v>166870</v>
      </c>
      <c r="V928" s="340">
        <v>812692</v>
      </c>
      <c r="W928" s="297">
        <v>33670</v>
      </c>
      <c r="X928" s="296">
        <v>2.3E-2</v>
      </c>
    </row>
    <row r="929" spans="13:24">
      <c r="M929">
        <v>927</v>
      </c>
      <c r="N929">
        <v>53017</v>
      </c>
      <c r="O929" t="s">
        <v>1275</v>
      </c>
      <c r="P929" t="s">
        <v>149</v>
      </c>
      <c r="Q929">
        <v>77</v>
      </c>
      <c r="R929" s="296">
        <v>0</v>
      </c>
      <c r="S929" s="296">
        <v>0.9486</v>
      </c>
      <c r="T929" s="297">
        <v>2160</v>
      </c>
      <c r="U929" s="340">
        <v>166043</v>
      </c>
      <c r="V929" s="340">
        <v>521065</v>
      </c>
      <c r="W929" s="297">
        <v>5611</v>
      </c>
      <c r="X929" s="296">
        <v>6.0000000000000001E-3</v>
      </c>
    </row>
    <row r="930" spans="13:24">
      <c r="M930">
        <v>928</v>
      </c>
      <c r="N930">
        <v>46055</v>
      </c>
      <c r="O930" t="s">
        <v>1276</v>
      </c>
      <c r="P930" t="s">
        <v>144</v>
      </c>
      <c r="Q930">
        <v>183</v>
      </c>
      <c r="R930" s="296">
        <v>0</v>
      </c>
      <c r="S930" s="296">
        <v>0.9486</v>
      </c>
      <c r="T930" s="297">
        <v>6128</v>
      </c>
      <c r="U930" s="340">
        <v>165900</v>
      </c>
      <c r="V930" s="340">
        <v>388398</v>
      </c>
      <c r="W930" s="297">
        <v>17481</v>
      </c>
      <c r="X930" s="296">
        <v>3.5999999999999997E-2</v>
      </c>
    </row>
    <row r="931" spans="13:24">
      <c r="M931">
        <v>929</v>
      </c>
      <c r="N931">
        <v>37377</v>
      </c>
      <c r="O931" t="s">
        <v>624</v>
      </c>
      <c r="P931" t="s">
        <v>146</v>
      </c>
      <c r="Q931">
        <v>497</v>
      </c>
      <c r="R931" s="296">
        <v>0</v>
      </c>
      <c r="S931" s="296">
        <v>0.94869999999999999</v>
      </c>
      <c r="T931" s="297">
        <v>6970</v>
      </c>
      <c r="U931" s="340">
        <v>165630</v>
      </c>
      <c r="V931" s="340">
        <v>538199</v>
      </c>
      <c r="W931" s="297">
        <v>18385</v>
      </c>
      <c r="X931" s="296">
        <v>8.0000000000000002E-3</v>
      </c>
    </row>
    <row r="932" spans="13:24">
      <c r="M932">
        <v>930</v>
      </c>
      <c r="N932">
        <v>30152</v>
      </c>
      <c r="O932" t="s">
        <v>1277</v>
      </c>
      <c r="P932" t="s">
        <v>130</v>
      </c>
      <c r="Q932">
        <v>588</v>
      </c>
      <c r="R932" s="296">
        <v>0</v>
      </c>
      <c r="S932" s="296">
        <v>0.94869999999999999</v>
      </c>
      <c r="T932" s="297">
        <v>15776</v>
      </c>
      <c r="U932" s="340">
        <v>165391</v>
      </c>
      <c r="V932" s="340">
        <v>515049</v>
      </c>
      <c r="W932" s="297">
        <v>43734</v>
      </c>
      <c r="X932" s="296">
        <v>1E-3</v>
      </c>
    </row>
    <row r="933" spans="13:24">
      <c r="M933">
        <v>931</v>
      </c>
      <c r="N933">
        <v>33572</v>
      </c>
      <c r="O933" t="s">
        <v>1278</v>
      </c>
      <c r="P933" t="s">
        <v>127</v>
      </c>
      <c r="Q933">
        <v>1038</v>
      </c>
      <c r="R933" s="296">
        <v>0</v>
      </c>
      <c r="S933" s="296">
        <v>0.94869999999999999</v>
      </c>
      <c r="T933" s="297">
        <v>11246</v>
      </c>
      <c r="U933" s="340">
        <v>165171</v>
      </c>
      <c r="V933" s="340">
        <v>570168</v>
      </c>
      <c r="W933" s="297">
        <v>28338</v>
      </c>
      <c r="X933" s="296">
        <v>5.7000000000000002E-2</v>
      </c>
    </row>
    <row r="934" spans="13:24">
      <c r="M934">
        <v>932</v>
      </c>
      <c r="N934">
        <v>97225</v>
      </c>
      <c r="O934" t="s">
        <v>420</v>
      </c>
      <c r="P934" t="s">
        <v>207</v>
      </c>
      <c r="Q934">
        <v>1745</v>
      </c>
      <c r="R934" s="296">
        <v>0</v>
      </c>
      <c r="S934" s="296">
        <v>0.94879999999999998</v>
      </c>
      <c r="T934" s="297">
        <v>12214</v>
      </c>
      <c r="U934" s="340">
        <v>164107</v>
      </c>
      <c r="V934" s="340">
        <v>821764</v>
      </c>
      <c r="W934" s="297">
        <v>27381</v>
      </c>
      <c r="X934" s="296">
        <v>6.0000000000000001E-3</v>
      </c>
    </row>
    <row r="935" spans="13:24">
      <c r="M935">
        <v>933</v>
      </c>
      <c r="N935">
        <v>27540</v>
      </c>
      <c r="O935" t="s">
        <v>1279</v>
      </c>
      <c r="P935" t="s">
        <v>138</v>
      </c>
      <c r="Q935">
        <v>658</v>
      </c>
      <c r="R935" s="296">
        <v>0</v>
      </c>
      <c r="S935" s="296">
        <v>0.94879999999999998</v>
      </c>
      <c r="T935" s="297">
        <v>17958</v>
      </c>
      <c r="U935" s="340">
        <v>163528</v>
      </c>
      <c r="V935" s="340">
        <v>584326</v>
      </c>
      <c r="W935" s="297">
        <v>55055</v>
      </c>
      <c r="X935" s="296">
        <v>4.8000000000000001E-2</v>
      </c>
    </row>
    <row r="936" spans="13:24">
      <c r="M936">
        <v>934</v>
      </c>
      <c r="N936">
        <v>77406</v>
      </c>
      <c r="O936" t="s">
        <v>302</v>
      </c>
      <c r="P936" t="s">
        <v>134</v>
      </c>
      <c r="Q936">
        <v>972</v>
      </c>
      <c r="R936" s="296">
        <v>0</v>
      </c>
      <c r="S936" s="296">
        <v>0.94889999999999997</v>
      </c>
      <c r="T936" s="297">
        <v>22779</v>
      </c>
      <c r="U936" s="340">
        <v>162500</v>
      </c>
      <c r="V936" s="340">
        <v>489037</v>
      </c>
      <c r="W936" s="297">
        <v>70344</v>
      </c>
      <c r="X936" s="296">
        <v>4.1000000000000002E-2</v>
      </c>
    </row>
    <row r="937" spans="13:24">
      <c r="M937">
        <v>935</v>
      </c>
      <c r="N937">
        <v>33432</v>
      </c>
      <c r="O937" t="s">
        <v>502</v>
      </c>
      <c r="P937" t="s">
        <v>127</v>
      </c>
      <c r="Q937">
        <v>1176</v>
      </c>
      <c r="R937" s="296">
        <v>0</v>
      </c>
      <c r="S937" s="296">
        <v>0.94889999999999997</v>
      </c>
      <c r="T937" s="297">
        <v>12770</v>
      </c>
      <c r="U937" s="340">
        <v>160035</v>
      </c>
      <c r="V937" s="340">
        <v>1084888</v>
      </c>
      <c r="W937" s="297">
        <v>24911</v>
      </c>
      <c r="X937" s="296">
        <v>8.9999999999999993E-3</v>
      </c>
    </row>
    <row r="938" spans="13:24">
      <c r="M938">
        <v>936</v>
      </c>
      <c r="N938">
        <v>33486</v>
      </c>
      <c r="O938" t="s">
        <v>502</v>
      </c>
      <c r="P938" t="s">
        <v>127</v>
      </c>
      <c r="Q938">
        <v>1175</v>
      </c>
      <c r="R938" s="296">
        <v>0</v>
      </c>
      <c r="S938" s="296">
        <v>0.94889999999999997</v>
      </c>
      <c r="T938" s="297">
        <v>8562</v>
      </c>
      <c r="U938" s="340">
        <v>159849</v>
      </c>
      <c r="V938" s="340">
        <v>778876</v>
      </c>
      <c r="W938" s="297">
        <v>21936</v>
      </c>
      <c r="X938" s="296">
        <v>-1E-3</v>
      </c>
    </row>
    <row r="939" spans="13:24">
      <c r="M939">
        <v>937</v>
      </c>
      <c r="N939">
        <v>80015</v>
      </c>
      <c r="O939" t="s">
        <v>334</v>
      </c>
      <c r="P939" t="s">
        <v>142</v>
      </c>
      <c r="Q939">
        <v>903</v>
      </c>
      <c r="R939" s="296">
        <v>0</v>
      </c>
      <c r="S939" s="296">
        <v>0.94899999999999995</v>
      </c>
      <c r="T939" s="297">
        <v>24781</v>
      </c>
      <c r="U939" s="340">
        <v>159706</v>
      </c>
      <c r="V939" s="340">
        <v>613341</v>
      </c>
      <c r="W939" s="297">
        <v>73589</v>
      </c>
      <c r="X939" s="296">
        <v>7.0000000000000001E-3</v>
      </c>
    </row>
    <row r="940" spans="13:24">
      <c r="M940">
        <v>938</v>
      </c>
      <c r="N940">
        <v>90505</v>
      </c>
      <c r="O940" t="s">
        <v>1280</v>
      </c>
      <c r="P940" t="s">
        <v>132</v>
      </c>
      <c r="Q940">
        <v>1750</v>
      </c>
      <c r="R940" s="296">
        <v>0</v>
      </c>
      <c r="S940" s="296">
        <v>0.94899999999999995</v>
      </c>
      <c r="T940" s="297">
        <v>13910</v>
      </c>
      <c r="U940" s="340">
        <v>158519</v>
      </c>
      <c r="V940" s="340">
        <v>1186557</v>
      </c>
      <c r="W940" s="297">
        <v>34979</v>
      </c>
      <c r="X940" s="296">
        <v>-8.0000000000000002E-3</v>
      </c>
    </row>
    <row r="941" spans="13:24">
      <c r="M941">
        <v>939</v>
      </c>
      <c r="N941">
        <v>8873</v>
      </c>
      <c r="O941" t="s">
        <v>546</v>
      </c>
      <c r="P941" t="s">
        <v>129</v>
      </c>
      <c r="Q941">
        <v>696</v>
      </c>
      <c r="R941" s="296">
        <v>0</v>
      </c>
      <c r="S941" s="296">
        <v>0.94899999999999995</v>
      </c>
      <c r="T941" s="297">
        <v>21311</v>
      </c>
      <c r="U941" s="340">
        <v>156616</v>
      </c>
      <c r="V941" s="340">
        <v>517203</v>
      </c>
      <c r="W941" s="297">
        <v>55780</v>
      </c>
      <c r="X941" s="296">
        <v>1E-3</v>
      </c>
    </row>
    <row r="942" spans="13:24">
      <c r="M942">
        <v>940</v>
      </c>
      <c r="N942">
        <v>33316</v>
      </c>
      <c r="O942" t="s">
        <v>506</v>
      </c>
      <c r="P942" t="s">
        <v>127</v>
      </c>
      <c r="Q942">
        <v>1191</v>
      </c>
      <c r="R942" s="296">
        <v>0</v>
      </c>
      <c r="S942" s="296">
        <v>0.94910000000000005</v>
      </c>
      <c r="T942" s="297">
        <v>7280</v>
      </c>
      <c r="U942" s="340">
        <v>155622</v>
      </c>
      <c r="V942" s="340">
        <v>1082260</v>
      </c>
      <c r="W942" s="297">
        <v>13207</v>
      </c>
      <c r="X942" s="296">
        <v>7.0000000000000001E-3</v>
      </c>
    </row>
    <row r="943" spans="13:24">
      <c r="M943">
        <v>941</v>
      </c>
      <c r="N943">
        <v>73012</v>
      </c>
      <c r="O943" t="s">
        <v>303</v>
      </c>
      <c r="P943" t="s">
        <v>205</v>
      </c>
      <c r="Q943">
        <v>691</v>
      </c>
      <c r="R943" s="296">
        <v>0</v>
      </c>
      <c r="S943" s="296">
        <v>0.94910000000000005</v>
      </c>
      <c r="T943" s="297">
        <v>15689</v>
      </c>
      <c r="U943" s="340">
        <v>155334</v>
      </c>
      <c r="V943" s="340">
        <v>355010</v>
      </c>
      <c r="W943" s="297">
        <v>45896</v>
      </c>
      <c r="X943" s="296">
        <v>2.4E-2</v>
      </c>
    </row>
    <row r="944" spans="13:24">
      <c r="M944">
        <v>942</v>
      </c>
      <c r="N944">
        <v>85142</v>
      </c>
      <c r="O944" t="s">
        <v>1281</v>
      </c>
      <c r="P944" t="s">
        <v>158</v>
      </c>
      <c r="Q944">
        <v>1439</v>
      </c>
      <c r="R944" s="296">
        <v>0</v>
      </c>
      <c r="S944" s="296">
        <v>0.94920000000000004</v>
      </c>
      <c r="T944" s="297">
        <v>31001</v>
      </c>
      <c r="U944" s="340">
        <v>154979</v>
      </c>
      <c r="V944" s="340">
        <v>579835</v>
      </c>
      <c r="W944" s="297">
        <v>102905</v>
      </c>
      <c r="X944" s="296">
        <v>5.8000000000000003E-2</v>
      </c>
    </row>
    <row r="945" spans="13:24">
      <c r="M945">
        <v>943</v>
      </c>
      <c r="N945">
        <v>53018</v>
      </c>
      <c r="O945" t="s">
        <v>1282</v>
      </c>
      <c r="P945" t="s">
        <v>149</v>
      </c>
      <c r="Q945">
        <v>70</v>
      </c>
      <c r="R945" s="296">
        <v>0</v>
      </c>
      <c r="S945" s="296">
        <v>0.94920000000000004</v>
      </c>
      <c r="T945" s="297">
        <v>3027</v>
      </c>
      <c r="U945" s="340">
        <v>154648</v>
      </c>
      <c r="V945" s="340">
        <v>609658</v>
      </c>
      <c r="W945" s="297">
        <v>7303</v>
      </c>
      <c r="X945" s="296">
        <v>-1E-3</v>
      </c>
    </row>
    <row r="946" spans="13:24">
      <c r="M946">
        <v>944</v>
      </c>
      <c r="N946">
        <v>55038</v>
      </c>
      <c r="O946" t="s">
        <v>1283</v>
      </c>
      <c r="P946" t="s">
        <v>151</v>
      </c>
      <c r="Q946">
        <v>332</v>
      </c>
      <c r="R946" s="296">
        <v>0</v>
      </c>
      <c r="S946" s="296">
        <v>0.94920000000000004</v>
      </c>
      <c r="T946" s="297">
        <v>9587</v>
      </c>
      <c r="U946" s="340">
        <v>154600</v>
      </c>
      <c r="V946" s="340">
        <v>503662</v>
      </c>
      <c r="W946" s="297">
        <v>26225</v>
      </c>
      <c r="X946" s="296">
        <v>2.8000000000000001E-2</v>
      </c>
    </row>
    <row r="947" spans="13:24">
      <c r="M947">
        <v>945</v>
      </c>
      <c r="N947">
        <v>33913</v>
      </c>
      <c r="O947" t="s">
        <v>345</v>
      </c>
      <c r="P947" t="s">
        <v>127</v>
      </c>
      <c r="Q947">
        <v>1133</v>
      </c>
      <c r="R947" s="296">
        <v>0</v>
      </c>
      <c r="S947" s="296">
        <v>0.94930000000000003</v>
      </c>
      <c r="T947" s="297">
        <v>16017</v>
      </c>
      <c r="U947" s="340">
        <v>153212</v>
      </c>
      <c r="V947" s="340">
        <v>582195</v>
      </c>
      <c r="W947" s="297">
        <v>39441</v>
      </c>
      <c r="X947" s="296">
        <v>6.8000000000000005E-2</v>
      </c>
    </row>
    <row r="948" spans="13:24">
      <c r="M948">
        <v>946</v>
      </c>
      <c r="N948">
        <v>43085</v>
      </c>
      <c r="O948" t="s">
        <v>468</v>
      </c>
      <c r="P948" t="s">
        <v>136</v>
      </c>
      <c r="Q948">
        <v>286</v>
      </c>
      <c r="R948" s="296">
        <v>0</v>
      </c>
      <c r="S948" s="296">
        <v>0.94930000000000003</v>
      </c>
      <c r="T948" s="297">
        <v>10783</v>
      </c>
      <c r="U948" s="340">
        <v>153126</v>
      </c>
      <c r="V948" s="340">
        <v>405102</v>
      </c>
      <c r="W948" s="297">
        <v>26912</v>
      </c>
      <c r="X948" s="296">
        <v>8.0000000000000002E-3</v>
      </c>
    </row>
    <row r="949" spans="13:24">
      <c r="M949">
        <v>947</v>
      </c>
      <c r="N949">
        <v>68046</v>
      </c>
      <c r="O949" t="s">
        <v>1284</v>
      </c>
      <c r="P949" t="s">
        <v>195</v>
      </c>
      <c r="Q949">
        <v>433</v>
      </c>
      <c r="R949" s="296">
        <v>0</v>
      </c>
      <c r="S949" s="296">
        <v>0.94930000000000003</v>
      </c>
      <c r="T949" s="297">
        <v>12903</v>
      </c>
      <c r="U949" s="340">
        <v>152951</v>
      </c>
      <c r="V949" s="340">
        <v>346249</v>
      </c>
      <c r="W949" s="297">
        <v>36084</v>
      </c>
      <c r="X949" s="296">
        <v>2.8000000000000001E-2</v>
      </c>
    </row>
    <row r="950" spans="13:24">
      <c r="M950">
        <v>948</v>
      </c>
      <c r="N950">
        <v>34638</v>
      </c>
      <c r="O950" t="s">
        <v>672</v>
      </c>
      <c r="P950" t="s">
        <v>127</v>
      </c>
      <c r="Q950">
        <v>1005</v>
      </c>
      <c r="R950" s="296">
        <v>0</v>
      </c>
      <c r="S950" s="296">
        <v>0.94940000000000002</v>
      </c>
      <c r="T950" s="297">
        <v>13682</v>
      </c>
      <c r="U950" s="340">
        <v>152725</v>
      </c>
      <c r="V950" s="340">
        <v>462847</v>
      </c>
      <c r="W950" s="297">
        <v>40126</v>
      </c>
      <c r="X950" s="296">
        <v>5.7000000000000002E-2</v>
      </c>
    </row>
    <row r="951" spans="13:24">
      <c r="M951">
        <v>949</v>
      </c>
      <c r="N951">
        <v>85296</v>
      </c>
      <c r="O951" t="s">
        <v>655</v>
      </c>
      <c r="P951" t="s">
        <v>158</v>
      </c>
      <c r="Q951">
        <v>1437</v>
      </c>
      <c r="R951" s="296">
        <v>0</v>
      </c>
      <c r="S951" s="296">
        <v>0.94940000000000002</v>
      </c>
      <c r="T951" s="297">
        <v>17611</v>
      </c>
      <c r="U951" s="340">
        <v>152567</v>
      </c>
      <c r="V951" s="340">
        <v>606725</v>
      </c>
      <c r="W951" s="297">
        <v>53901</v>
      </c>
      <c r="X951" s="296">
        <v>2.1000000000000001E-2</v>
      </c>
    </row>
    <row r="952" spans="13:24">
      <c r="M952">
        <v>950</v>
      </c>
      <c r="N952">
        <v>48188</v>
      </c>
      <c r="O952" t="s">
        <v>383</v>
      </c>
      <c r="P952" t="s">
        <v>140</v>
      </c>
      <c r="Q952">
        <v>220</v>
      </c>
      <c r="R952" s="296">
        <v>0</v>
      </c>
      <c r="S952" s="296">
        <v>0.94950000000000001</v>
      </c>
      <c r="T952" s="297">
        <v>17064</v>
      </c>
      <c r="U952" s="340">
        <v>152547</v>
      </c>
      <c r="V952" s="340">
        <v>350007</v>
      </c>
      <c r="W952" s="297">
        <v>46604</v>
      </c>
      <c r="X952" s="296">
        <v>2E-3</v>
      </c>
    </row>
    <row r="953" spans="13:24">
      <c r="M953">
        <v>951</v>
      </c>
      <c r="N953">
        <v>81620</v>
      </c>
      <c r="O953" t="s">
        <v>563</v>
      </c>
      <c r="P953" t="s">
        <v>142</v>
      </c>
      <c r="Q953">
        <v>991</v>
      </c>
      <c r="R953" s="296">
        <v>0</v>
      </c>
      <c r="S953" s="296">
        <v>0.94950000000000001</v>
      </c>
      <c r="T953" s="297">
        <v>3587</v>
      </c>
      <c r="U953" s="340">
        <v>152136</v>
      </c>
      <c r="V953" s="340">
        <v>965759</v>
      </c>
      <c r="W953" s="297">
        <v>8848</v>
      </c>
      <c r="X953" s="296">
        <v>-8.0000000000000002E-3</v>
      </c>
    </row>
    <row r="954" spans="13:24">
      <c r="M954">
        <v>952</v>
      </c>
      <c r="N954">
        <v>34787</v>
      </c>
      <c r="O954" t="s">
        <v>680</v>
      </c>
      <c r="P954" t="s">
        <v>127</v>
      </c>
      <c r="Q954">
        <v>1002</v>
      </c>
      <c r="R954" s="296">
        <v>0</v>
      </c>
      <c r="S954" s="296">
        <v>0.94950000000000001</v>
      </c>
      <c r="T954" s="297">
        <v>37434</v>
      </c>
      <c r="U954" s="340">
        <v>151927</v>
      </c>
      <c r="V954" s="340">
        <v>536034</v>
      </c>
      <c r="W954" s="297">
        <v>112058</v>
      </c>
      <c r="X954" s="296">
        <v>5.0999999999999997E-2</v>
      </c>
    </row>
    <row r="955" spans="13:24">
      <c r="M955">
        <v>953</v>
      </c>
      <c r="N955">
        <v>91311</v>
      </c>
      <c r="O955" t="s">
        <v>1285</v>
      </c>
      <c r="P955" t="s">
        <v>132</v>
      </c>
      <c r="Q955">
        <v>1748</v>
      </c>
      <c r="R955" s="296">
        <v>0</v>
      </c>
      <c r="S955" s="296">
        <v>0.9496</v>
      </c>
      <c r="T955" s="297">
        <v>14404</v>
      </c>
      <c r="U955" s="340">
        <v>151027</v>
      </c>
      <c r="V955" s="340">
        <v>998453</v>
      </c>
      <c r="W955" s="297">
        <v>39547</v>
      </c>
      <c r="X955" s="296">
        <v>2E-3</v>
      </c>
    </row>
    <row r="956" spans="13:24">
      <c r="M956">
        <v>954</v>
      </c>
      <c r="N956">
        <v>92563</v>
      </c>
      <c r="O956" t="s">
        <v>666</v>
      </c>
      <c r="P956" t="s">
        <v>132</v>
      </c>
      <c r="Q956">
        <v>1697</v>
      </c>
      <c r="R956" s="296">
        <v>0</v>
      </c>
      <c r="S956" s="296">
        <v>0.9496</v>
      </c>
      <c r="T956" s="297">
        <v>22265</v>
      </c>
      <c r="U956" s="340">
        <v>150792</v>
      </c>
      <c r="V956" s="340">
        <v>656540</v>
      </c>
      <c r="W956" s="297">
        <v>74255</v>
      </c>
      <c r="X956" s="296">
        <v>7.0000000000000001E-3</v>
      </c>
    </row>
    <row r="957" spans="13:24">
      <c r="M957">
        <v>955</v>
      </c>
      <c r="N957">
        <v>46236</v>
      </c>
      <c r="O957" t="s">
        <v>561</v>
      </c>
      <c r="P957" t="s">
        <v>144</v>
      </c>
      <c r="Q957">
        <v>184</v>
      </c>
      <c r="R957" s="296">
        <v>0</v>
      </c>
      <c r="S957" s="296">
        <v>0.9496</v>
      </c>
      <c r="T957" s="297">
        <v>10364</v>
      </c>
      <c r="U957" s="340">
        <v>150724</v>
      </c>
      <c r="V957" s="340">
        <v>318845</v>
      </c>
      <c r="W957" s="297">
        <v>28235</v>
      </c>
      <c r="X957" s="296">
        <v>0</v>
      </c>
    </row>
    <row r="958" spans="13:24">
      <c r="M958">
        <v>956</v>
      </c>
      <c r="N958">
        <v>80106</v>
      </c>
      <c r="O958" t="s">
        <v>1286</v>
      </c>
      <c r="P958" t="s">
        <v>142</v>
      </c>
      <c r="Q958">
        <v>898</v>
      </c>
      <c r="R958" s="296">
        <v>0</v>
      </c>
      <c r="S958" s="296">
        <v>0.94969999999999999</v>
      </c>
      <c r="T958" s="297">
        <v>1764</v>
      </c>
      <c r="U958" s="340">
        <v>150641</v>
      </c>
      <c r="V958" s="340">
        <v>761990</v>
      </c>
      <c r="W958" s="297">
        <v>4794</v>
      </c>
      <c r="X958" s="296">
        <v>4.0000000000000001E-3</v>
      </c>
    </row>
    <row r="959" spans="13:24">
      <c r="M959">
        <v>957</v>
      </c>
      <c r="N959">
        <v>77379</v>
      </c>
      <c r="O959" t="s">
        <v>626</v>
      </c>
      <c r="P959" t="s">
        <v>134</v>
      </c>
      <c r="Q959">
        <v>941</v>
      </c>
      <c r="R959" s="296">
        <v>0</v>
      </c>
      <c r="S959" s="296">
        <v>0.94969999999999999</v>
      </c>
      <c r="T959" s="297">
        <v>30623</v>
      </c>
      <c r="U959" s="340">
        <v>149842</v>
      </c>
      <c r="V959" s="340">
        <v>387051</v>
      </c>
      <c r="W959" s="297">
        <v>89773</v>
      </c>
      <c r="X959" s="296">
        <v>1.2E-2</v>
      </c>
    </row>
    <row r="960" spans="13:24">
      <c r="M960">
        <v>958</v>
      </c>
      <c r="N960">
        <v>64152</v>
      </c>
      <c r="O960" t="s">
        <v>490</v>
      </c>
      <c r="P960" t="s">
        <v>186</v>
      </c>
      <c r="Q960">
        <v>416</v>
      </c>
      <c r="R960" s="296">
        <v>0</v>
      </c>
      <c r="S960" s="296">
        <v>0.94979999999999998</v>
      </c>
      <c r="T960" s="297">
        <v>11771</v>
      </c>
      <c r="U960" s="340">
        <v>148695</v>
      </c>
      <c r="V960" s="340">
        <v>437744</v>
      </c>
      <c r="W960" s="297">
        <v>32668</v>
      </c>
      <c r="X960" s="296">
        <v>2.3E-2</v>
      </c>
    </row>
    <row r="961" spans="13:24">
      <c r="M961">
        <v>959</v>
      </c>
      <c r="N961">
        <v>89131</v>
      </c>
      <c r="O961" t="s">
        <v>706</v>
      </c>
      <c r="P961" t="s">
        <v>148</v>
      </c>
      <c r="Q961">
        <v>1517</v>
      </c>
      <c r="R961" s="296">
        <v>0</v>
      </c>
      <c r="S961" s="296">
        <v>0.94979999999999998</v>
      </c>
      <c r="T961" s="297">
        <v>17243</v>
      </c>
      <c r="U961" s="340">
        <v>145317</v>
      </c>
      <c r="V961" s="340">
        <v>549936</v>
      </c>
      <c r="W961" s="297">
        <v>50448</v>
      </c>
      <c r="X961" s="296">
        <v>2E-3</v>
      </c>
    </row>
    <row r="962" spans="13:24">
      <c r="M962">
        <v>960</v>
      </c>
      <c r="N962">
        <v>91506</v>
      </c>
      <c r="O962" t="s">
        <v>676</v>
      </c>
      <c r="P962" t="s">
        <v>132</v>
      </c>
      <c r="Q962">
        <v>1737</v>
      </c>
      <c r="R962" s="296">
        <v>0</v>
      </c>
      <c r="S962" s="296">
        <v>0.94979999999999998</v>
      </c>
      <c r="T962" s="297">
        <v>8034</v>
      </c>
      <c r="U962" s="340">
        <v>145303</v>
      </c>
      <c r="V962" s="340">
        <v>1067001</v>
      </c>
      <c r="W962" s="297">
        <v>19544</v>
      </c>
      <c r="X962" s="296">
        <v>-7.0000000000000001E-3</v>
      </c>
    </row>
    <row r="963" spans="13:24">
      <c r="M963">
        <v>961</v>
      </c>
      <c r="N963">
        <v>90024</v>
      </c>
      <c r="O963" t="s">
        <v>309</v>
      </c>
      <c r="P963" t="s">
        <v>132</v>
      </c>
      <c r="Q963">
        <v>1747</v>
      </c>
      <c r="R963" s="296">
        <v>0</v>
      </c>
      <c r="S963" s="296">
        <v>0.94989999999999997</v>
      </c>
      <c r="T963" s="297">
        <v>16922</v>
      </c>
      <c r="U963" s="340">
        <v>145183</v>
      </c>
      <c r="V963" s="340">
        <v>1668241</v>
      </c>
      <c r="W963" s="297">
        <v>51651</v>
      </c>
      <c r="X963" s="296">
        <v>-7.0000000000000001E-3</v>
      </c>
    </row>
    <row r="964" spans="13:24">
      <c r="M964">
        <v>962</v>
      </c>
      <c r="N964">
        <v>80020</v>
      </c>
      <c r="O964" t="s">
        <v>321</v>
      </c>
      <c r="P964" t="s">
        <v>142</v>
      </c>
      <c r="Q964">
        <v>912</v>
      </c>
      <c r="R964" s="296">
        <v>0</v>
      </c>
      <c r="S964" s="296">
        <v>0.94989999999999997</v>
      </c>
      <c r="T964" s="297">
        <v>21744</v>
      </c>
      <c r="U964" s="340">
        <v>144781</v>
      </c>
      <c r="V964" s="340">
        <v>581175</v>
      </c>
      <c r="W964" s="297">
        <v>55094</v>
      </c>
      <c r="X964" s="296">
        <v>4.0000000000000001E-3</v>
      </c>
    </row>
    <row r="965" spans="13:24">
      <c r="M965">
        <v>963</v>
      </c>
      <c r="N965">
        <v>49506</v>
      </c>
      <c r="O965" t="s">
        <v>467</v>
      </c>
      <c r="P965" t="s">
        <v>140</v>
      </c>
      <c r="Q965">
        <v>123</v>
      </c>
      <c r="R965" s="296">
        <v>0</v>
      </c>
      <c r="S965" s="296">
        <v>0.94989999999999997</v>
      </c>
      <c r="T965" s="297">
        <v>12552</v>
      </c>
      <c r="U965" s="340">
        <v>144536</v>
      </c>
      <c r="V965" s="340">
        <v>431199</v>
      </c>
      <c r="W965" s="297">
        <v>33034</v>
      </c>
      <c r="X965" s="296">
        <v>-1E-3</v>
      </c>
    </row>
    <row r="966" spans="13:24">
      <c r="M966">
        <v>964</v>
      </c>
      <c r="N966">
        <v>10312</v>
      </c>
      <c r="O966" t="s">
        <v>644</v>
      </c>
      <c r="P966" t="s">
        <v>128</v>
      </c>
      <c r="Q966">
        <v>714</v>
      </c>
      <c r="R966" s="296">
        <v>0</v>
      </c>
      <c r="S966" s="296">
        <v>0.95</v>
      </c>
      <c r="T966" s="297">
        <v>21651</v>
      </c>
      <c r="U966" s="340">
        <v>144371</v>
      </c>
      <c r="V966" s="340">
        <v>731349</v>
      </c>
      <c r="W966" s="297">
        <v>60671</v>
      </c>
      <c r="X966" s="296">
        <v>-2E-3</v>
      </c>
    </row>
    <row r="967" spans="13:24">
      <c r="M967">
        <v>965</v>
      </c>
      <c r="N967">
        <v>53717</v>
      </c>
      <c r="O967" t="s">
        <v>823</v>
      </c>
      <c r="P967" t="s">
        <v>149</v>
      </c>
      <c r="Q967">
        <v>109</v>
      </c>
      <c r="R967" s="296">
        <v>0</v>
      </c>
      <c r="S967" s="296">
        <v>0.95</v>
      </c>
      <c r="T967" s="297">
        <v>6548</v>
      </c>
      <c r="U967" s="340">
        <v>143411</v>
      </c>
      <c r="V967" s="340">
        <v>513626</v>
      </c>
      <c r="W967" s="297">
        <v>13095</v>
      </c>
      <c r="X967" s="296">
        <v>5.0000000000000001E-3</v>
      </c>
    </row>
    <row r="968" spans="13:24">
      <c r="M968">
        <v>966</v>
      </c>
      <c r="N968">
        <v>48067</v>
      </c>
      <c r="O968" t="s">
        <v>1287</v>
      </c>
      <c r="P968" t="s">
        <v>140</v>
      </c>
      <c r="Q968">
        <v>239</v>
      </c>
      <c r="R968" s="296">
        <v>0</v>
      </c>
      <c r="S968" s="296">
        <v>0.95009999999999994</v>
      </c>
      <c r="T968" s="297">
        <v>13104</v>
      </c>
      <c r="U968" s="340">
        <v>143213</v>
      </c>
      <c r="V968" s="340">
        <v>420850</v>
      </c>
      <c r="W968" s="297">
        <v>25242</v>
      </c>
      <c r="X968" s="296">
        <v>4.0000000000000001E-3</v>
      </c>
    </row>
    <row r="969" spans="13:24">
      <c r="M969">
        <v>967</v>
      </c>
      <c r="N969">
        <v>61548</v>
      </c>
      <c r="O969" t="s">
        <v>1288</v>
      </c>
      <c r="P969" t="s">
        <v>131</v>
      </c>
      <c r="Q969">
        <v>127</v>
      </c>
      <c r="R969" s="296">
        <v>0</v>
      </c>
      <c r="S969" s="296">
        <v>0.95009999999999994</v>
      </c>
      <c r="T969" s="297">
        <v>4589</v>
      </c>
      <c r="U969" s="340">
        <v>143173</v>
      </c>
      <c r="V969" s="340">
        <v>289722</v>
      </c>
      <c r="W969" s="297">
        <v>12339</v>
      </c>
      <c r="X969" s="296">
        <v>-1E-3</v>
      </c>
    </row>
    <row r="970" spans="13:24">
      <c r="M970">
        <v>968</v>
      </c>
      <c r="N970">
        <v>38002</v>
      </c>
      <c r="O970" t="s">
        <v>403</v>
      </c>
      <c r="P970" t="s">
        <v>146</v>
      </c>
      <c r="Q970">
        <v>486</v>
      </c>
      <c r="R970" s="296">
        <v>0</v>
      </c>
      <c r="S970" s="296">
        <v>0.95009999999999994</v>
      </c>
      <c r="T970" s="297">
        <v>15618</v>
      </c>
      <c r="U970" s="340">
        <v>142877</v>
      </c>
      <c r="V970" s="340">
        <v>400324</v>
      </c>
      <c r="W970" s="297">
        <v>45489</v>
      </c>
      <c r="X970" s="296">
        <v>2E-3</v>
      </c>
    </row>
    <row r="971" spans="13:24">
      <c r="M971">
        <v>969</v>
      </c>
      <c r="N971">
        <v>48105</v>
      </c>
      <c r="O971" t="s">
        <v>540</v>
      </c>
      <c r="P971" t="s">
        <v>140</v>
      </c>
      <c r="Q971">
        <v>209</v>
      </c>
      <c r="R971" s="296">
        <v>0</v>
      </c>
      <c r="S971" s="296">
        <v>0.95020000000000004</v>
      </c>
      <c r="T971" s="297">
        <v>16202</v>
      </c>
      <c r="U971" s="340">
        <v>142603</v>
      </c>
      <c r="V971" s="340">
        <v>557643</v>
      </c>
      <c r="W971" s="297">
        <v>39598</v>
      </c>
      <c r="X971" s="296">
        <v>4.0000000000000001E-3</v>
      </c>
    </row>
    <row r="972" spans="13:24">
      <c r="M972">
        <v>970</v>
      </c>
      <c r="N972">
        <v>53149</v>
      </c>
      <c r="O972" t="s">
        <v>1289</v>
      </c>
      <c r="P972" t="s">
        <v>149</v>
      </c>
      <c r="Q972">
        <v>58</v>
      </c>
      <c r="R972" s="296">
        <v>0</v>
      </c>
      <c r="S972" s="296">
        <v>0.95020000000000004</v>
      </c>
      <c r="T972" s="297">
        <v>7823</v>
      </c>
      <c r="U972" s="340">
        <v>142302</v>
      </c>
      <c r="V972" s="340">
        <v>470026</v>
      </c>
      <c r="W972" s="297">
        <v>20222</v>
      </c>
      <c r="X972" s="296">
        <v>5.0000000000000001E-3</v>
      </c>
    </row>
    <row r="973" spans="13:24">
      <c r="M973">
        <v>971</v>
      </c>
      <c r="N973">
        <v>33180</v>
      </c>
      <c r="O973" t="s">
        <v>293</v>
      </c>
      <c r="P973" t="s">
        <v>127</v>
      </c>
      <c r="Q973">
        <v>1200</v>
      </c>
      <c r="R973" s="296">
        <v>0</v>
      </c>
      <c r="S973" s="296">
        <v>0.95020000000000004</v>
      </c>
      <c r="T973" s="297">
        <v>15688</v>
      </c>
      <c r="U973" s="340">
        <v>141449</v>
      </c>
      <c r="V973" s="340">
        <v>708160</v>
      </c>
      <c r="W973" s="297">
        <v>35447</v>
      </c>
      <c r="X973" s="296">
        <v>4.0000000000000001E-3</v>
      </c>
    </row>
    <row r="974" spans="13:24">
      <c r="M974">
        <v>972</v>
      </c>
      <c r="N974">
        <v>30019</v>
      </c>
      <c r="O974" t="s">
        <v>1290</v>
      </c>
      <c r="P974" t="s">
        <v>130</v>
      </c>
      <c r="Q974">
        <v>602</v>
      </c>
      <c r="R974" s="296">
        <v>0</v>
      </c>
      <c r="S974" s="296">
        <v>0.95030000000000003</v>
      </c>
      <c r="T974" s="297">
        <v>16252</v>
      </c>
      <c r="U974" s="340">
        <v>140883</v>
      </c>
      <c r="V974" s="340">
        <v>452187</v>
      </c>
      <c r="W974" s="297">
        <v>53870</v>
      </c>
      <c r="X974" s="296">
        <v>1.4999999999999999E-2</v>
      </c>
    </row>
    <row r="975" spans="13:24">
      <c r="M975">
        <v>973</v>
      </c>
      <c r="N975">
        <v>66062</v>
      </c>
      <c r="O975" t="s">
        <v>1291</v>
      </c>
      <c r="P975" t="s">
        <v>176</v>
      </c>
      <c r="Q975">
        <v>433</v>
      </c>
      <c r="R975" s="296">
        <v>0</v>
      </c>
      <c r="S975" s="296">
        <v>0.95030000000000003</v>
      </c>
      <c r="T975" s="297">
        <v>28433</v>
      </c>
      <c r="U975" s="340">
        <v>139642</v>
      </c>
      <c r="V975" s="340">
        <v>389177</v>
      </c>
      <c r="W975" s="297">
        <v>79632</v>
      </c>
      <c r="X975" s="296">
        <v>7.0000000000000001E-3</v>
      </c>
    </row>
    <row r="976" spans="13:24">
      <c r="M976">
        <v>974</v>
      </c>
      <c r="N976">
        <v>33019</v>
      </c>
      <c r="O976" t="s">
        <v>542</v>
      </c>
      <c r="P976" t="s">
        <v>127</v>
      </c>
      <c r="Q976">
        <v>1197</v>
      </c>
      <c r="R976" s="296">
        <v>0</v>
      </c>
      <c r="S976" s="296">
        <v>0.95040000000000002</v>
      </c>
      <c r="T976" s="297">
        <v>7873</v>
      </c>
      <c r="U976" s="340">
        <v>137529</v>
      </c>
      <c r="V976" s="340">
        <v>815849</v>
      </c>
      <c r="W976" s="297">
        <v>15842</v>
      </c>
      <c r="X976" s="296">
        <v>-1E-3</v>
      </c>
    </row>
    <row r="977" spans="13:24">
      <c r="M977">
        <v>975</v>
      </c>
      <c r="N977">
        <v>31324</v>
      </c>
      <c r="O977" t="s">
        <v>746</v>
      </c>
      <c r="P977" t="s">
        <v>130</v>
      </c>
      <c r="Q977">
        <v>796</v>
      </c>
      <c r="R977" s="296">
        <v>0</v>
      </c>
      <c r="S977" s="296">
        <v>0.95040000000000002</v>
      </c>
      <c r="T977" s="297">
        <v>13337</v>
      </c>
      <c r="U977" s="340">
        <v>137280</v>
      </c>
      <c r="V977" s="340">
        <v>398340</v>
      </c>
      <c r="W977" s="297">
        <v>39457</v>
      </c>
      <c r="X977" s="296">
        <v>3.7999999999999999E-2</v>
      </c>
    </row>
    <row r="978" spans="13:24">
      <c r="M978">
        <v>976</v>
      </c>
      <c r="N978">
        <v>30189</v>
      </c>
      <c r="O978" t="s">
        <v>724</v>
      </c>
      <c r="P978" t="s">
        <v>130</v>
      </c>
      <c r="Q978">
        <v>581</v>
      </c>
      <c r="R978" s="296">
        <v>0</v>
      </c>
      <c r="S978" s="296">
        <v>0.95040000000000002</v>
      </c>
      <c r="T978" s="297">
        <v>15424</v>
      </c>
      <c r="U978" s="340">
        <v>136464</v>
      </c>
      <c r="V978" s="340">
        <v>432958</v>
      </c>
      <c r="W978" s="297">
        <v>41233</v>
      </c>
      <c r="X978" s="296">
        <v>1.2E-2</v>
      </c>
    </row>
    <row r="979" spans="13:24">
      <c r="M979">
        <v>977</v>
      </c>
      <c r="N979">
        <v>32819</v>
      </c>
      <c r="O979" t="s">
        <v>539</v>
      </c>
      <c r="P979" t="s">
        <v>127</v>
      </c>
      <c r="Q979">
        <v>1010</v>
      </c>
      <c r="R979" s="296">
        <v>0</v>
      </c>
      <c r="S979" s="296">
        <v>0.95050000000000001</v>
      </c>
      <c r="T979" s="297">
        <v>14409</v>
      </c>
      <c r="U979" s="340">
        <v>135706</v>
      </c>
      <c r="V979" s="340">
        <v>621548</v>
      </c>
      <c r="W979" s="297">
        <v>36318</v>
      </c>
      <c r="X979" s="296">
        <v>3.9E-2</v>
      </c>
    </row>
    <row r="980" spans="13:24">
      <c r="M980">
        <v>978</v>
      </c>
      <c r="N980">
        <v>53119</v>
      </c>
      <c r="O980" t="s">
        <v>1292</v>
      </c>
      <c r="P980" t="s">
        <v>149</v>
      </c>
      <c r="Q980">
        <v>61</v>
      </c>
      <c r="R980" s="296">
        <v>0</v>
      </c>
      <c r="S980" s="296">
        <v>0.95050000000000001</v>
      </c>
      <c r="T980" s="297">
        <v>2215</v>
      </c>
      <c r="U980" s="340">
        <v>135174</v>
      </c>
      <c r="V980" s="340">
        <v>501531</v>
      </c>
      <c r="W980" s="297">
        <v>5837</v>
      </c>
      <c r="X980" s="296">
        <v>6.0000000000000001E-3</v>
      </c>
    </row>
    <row r="981" spans="13:24">
      <c r="M981">
        <v>979</v>
      </c>
      <c r="N981">
        <v>30308</v>
      </c>
      <c r="O981" t="s">
        <v>507</v>
      </c>
      <c r="P981" t="s">
        <v>130</v>
      </c>
      <c r="Q981">
        <v>608</v>
      </c>
      <c r="R981" s="296">
        <v>0</v>
      </c>
      <c r="S981" s="296">
        <v>0.95050000000000001</v>
      </c>
      <c r="T981" s="297">
        <v>16035</v>
      </c>
      <c r="U981" s="340">
        <v>135026</v>
      </c>
      <c r="V981" s="340">
        <v>604593</v>
      </c>
      <c r="W981" s="297">
        <v>28411</v>
      </c>
      <c r="X981" s="296">
        <v>1.7999999999999999E-2</v>
      </c>
    </row>
    <row r="982" spans="13:24">
      <c r="M982">
        <v>980</v>
      </c>
      <c r="N982">
        <v>91316</v>
      </c>
      <c r="O982" t="s">
        <v>591</v>
      </c>
      <c r="P982" t="s">
        <v>132</v>
      </c>
      <c r="Q982">
        <v>1747</v>
      </c>
      <c r="R982" s="296">
        <v>0</v>
      </c>
      <c r="S982" s="296">
        <v>0.9506</v>
      </c>
      <c r="T982" s="297">
        <v>12518</v>
      </c>
      <c r="U982" s="340">
        <v>134684</v>
      </c>
      <c r="V982" s="340">
        <v>1248017</v>
      </c>
      <c r="W982" s="297">
        <v>27918</v>
      </c>
      <c r="X982" s="296">
        <v>-6.0000000000000001E-3</v>
      </c>
    </row>
    <row r="983" spans="13:24">
      <c r="M983">
        <v>981</v>
      </c>
      <c r="N983">
        <v>11694</v>
      </c>
      <c r="O983" t="s">
        <v>1293</v>
      </c>
      <c r="P983" t="s">
        <v>128</v>
      </c>
      <c r="Q983">
        <v>730</v>
      </c>
      <c r="R983" s="296">
        <v>0</v>
      </c>
      <c r="S983" s="296">
        <v>0.9506</v>
      </c>
      <c r="T983" s="297">
        <v>7790</v>
      </c>
      <c r="U983" s="340">
        <v>134270</v>
      </c>
      <c r="V983" s="340">
        <v>906218</v>
      </c>
      <c r="W983" s="297">
        <v>19149</v>
      </c>
      <c r="X983" s="296">
        <v>-5.0000000000000001E-3</v>
      </c>
    </row>
    <row r="984" spans="13:24">
      <c r="M984">
        <v>982</v>
      </c>
      <c r="N984">
        <v>66061</v>
      </c>
      <c r="O984" t="s">
        <v>1291</v>
      </c>
      <c r="P984" t="s">
        <v>176</v>
      </c>
      <c r="Q984">
        <v>435</v>
      </c>
      <c r="R984" s="296">
        <v>0</v>
      </c>
      <c r="S984" s="296">
        <v>0.95069999999999999</v>
      </c>
      <c r="T984" s="297">
        <v>24269</v>
      </c>
      <c r="U984" s="340">
        <v>133627</v>
      </c>
      <c r="V984" s="340">
        <v>411626</v>
      </c>
      <c r="W984" s="297">
        <v>68412</v>
      </c>
      <c r="X984" s="296">
        <v>7.0000000000000001E-3</v>
      </c>
    </row>
    <row r="985" spans="13:24">
      <c r="M985">
        <v>983</v>
      </c>
      <c r="N985">
        <v>30127</v>
      </c>
      <c r="O985" t="s">
        <v>1294</v>
      </c>
      <c r="P985" t="s">
        <v>130</v>
      </c>
      <c r="Q985">
        <v>596</v>
      </c>
      <c r="R985" s="296">
        <v>0</v>
      </c>
      <c r="S985" s="296">
        <v>0.95069999999999999</v>
      </c>
      <c r="T985" s="297">
        <v>24179</v>
      </c>
      <c r="U985" s="340">
        <v>133550</v>
      </c>
      <c r="V985" s="340">
        <v>428905</v>
      </c>
      <c r="W985" s="297">
        <v>72033</v>
      </c>
      <c r="X985" s="296">
        <v>8.0000000000000002E-3</v>
      </c>
    </row>
    <row r="986" spans="13:24">
      <c r="M986">
        <v>984</v>
      </c>
      <c r="N986">
        <v>48315</v>
      </c>
      <c r="O986" t="s">
        <v>1049</v>
      </c>
      <c r="P986" t="s">
        <v>140</v>
      </c>
      <c r="Q986">
        <v>247</v>
      </c>
      <c r="R986" s="296">
        <v>0</v>
      </c>
      <c r="S986" s="296">
        <v>0.95069999999999999</v>
      </c>
      <c r="T986" s="297">
        <v>11273</v>
      </c>
      <c r="U986" s="340">
        <v>133324</v>
      </c>
      <c r="V986" s="340">
        <v>365949</v>
      </c>
      <c r="W986" s="297">
        <v>29035</v>
      </c>
      <c r="X986" s="296">
        <v>4.0000000000000001E-3</v>
      </c>
    </row>
    <row r="987" spans="13:24">
      <c r="M987">
        <v>985</v>
      </c>
      <c r="N987">
        <v>44056</v>
      </c>
      <c r="O987" t="s">
        <v>1295</v>
      </c>
      <c r="P987" t="s">
        <v>136</v>
      </c>
      <c r="Q987">
        <v>329</v>
      </c>
      <c r="R987" s="296">
        <v>0</v>
      </c>
      <c r="S987" s="296">
        <v>0.95079999999999998</v>
      </c>
      <c r="T987" s="297">
        <v>4891</v>
      </c>
      <c r="U987" s="340">
        <v>133083</v>
      </c>
      <c r="V987" s="340">
        <v>319594</v>
      </c>
      <c r="W987" s="297">
        <v>12005</v>
      </c>
      <c r="X987" s="296">
        <v>-5.0000000000000001E-3</v>
      </c>
    </row>
    <row r="988" spans="13:24">
      <c r="M988">
        <v>986</v>
      </c>
      <c r="N988">
        <v>21117</v>
      </c>
      <c r="O988" t="s">
        <v>1296</v>
      </c>
      <c r="P988" t="s">
        <v>137</v>
      </c>
      <c r="Q988">
        <v>606</v>
      </c>
      <c r="R988" s="296">
        <v>0</v>
      </c>
      <c r="S988" s="296">
        <v>0.95079999999999998</v>
      </c>
      <c r="T988" s="297">
        <v>24266</v>
      </c>
      <c r="U988" s="340">
        <v>133022</v>
      </c>
      <c r="V988" s="340">
        <v>470143</v>
      </c>
      <c r="W988" s="297">
        <v>60608</v>
      </c>
      <c r="X988" s="296">
        <v>7.0000000000000001E-3</v>
      </c>
    </row>
    <row r="989" spans="13:24">
      <c r="M989">
        <v>987</v>
      </c>
      <c r="N989">
        <v>62712</v>
      </c>
      <c r="O989" t="s">
        <v>515</v>
      </c>
      <c r="P989" t="s">
        <v>131</v>
      </c>
      <c r="Q989">
        <v>190</v>
      </c>
      <c r="R989" s="296">
        <v>0</v>
      </c>
      <c r="S989" s="296">
        <v>0.95079999999999998</v>
      </c>
      <c r="T989" s="297">
        <v>4174</v>
      </c>
      <c r="U989" s="340">
        <v>132585</v>
      </c>
      <c r="V989" s="340">
        <v>312088</v>
      </c>
      <c r="W989" s="297">
        <v>10032</v>
      </c>
      <c r="X989" s="296">
        <v>-5.0000000000000001E-3</v>
      </c>
    </row>
    <row r="990" spans="13:24">
      <c r="M990">
        <v>988</v>
      </c>
      <c r="N990">
        <v>68516</v>
      </c>
      <c r="O990" t="s">
        <v>415</v>
      </c>
      <c r="P990" t="s">
        <v>195</v>
      </c>
      <c r="Q990">
        <v>469</v>
      </c>
      <c r="R990" s="296">
        <v>0</v>
      </c>
      <c r="S990" s="296">
        <v>0.95089999999999997</v>
      </c>
      <c r="T990" s="297">
        <v>20293</v>
      </c>
      <c r="U990" s="340">
        <v>132511</v>
      </c>
      <c r="V990" s="340">
        <v>369916</v>
      </c>
      <c r="W990" s="297">
        <v>50485</v>
      </c>
      <c r="X990" s="296">
        <v>1.2999999999999999E-2</v>
      </c>
    </row>
    <row r="991" spans="13:24">
      <c r="M991">
        <v>989</v>
      </c>
      <c r="N991">
        <v>80205</v>
      </c>
      <c r="O991" t="s">
        <v>330</v>
      </c>
      <c r="P991" t="s">
        <v>142</v>
      </c>
      <c r="Q991">
        <v>910</v>
      </c>
      <c r="R991" s="296">
        <v>0</v>
      </c>
      <c r="S991" s="296">
        <v>0.95089999999999997</v>
      </c>
      <c r="T991" s="297">
        <v>17815</v>
      </c>
      <c r="U991" s="340">
        <v>132391</v>
      </c>
      <c r="V991" s="340">
        <v>796222</v>
      </c>
      <c r="W991" s="297">
        <v>36889</v>
      </c>
      <c r="X991" s="296">
        <v>1.6E-2</v>
      </c>
    </row>
    <row r="992" spans="13:24">
      <c r="M992">
        <v>990</v>
      </c>
      <c r="N992">
        <v>92040</v>
      </c>
      <c r="O992" t="s">
        <v>1297</v>
      </c>
      <c r="P992" t="s">
        <v>132</v>
      </c>
      <c r="Q992">
        <v>1710</v>
      </c>
      <c r="R992" s="296">
        <v>0</v>
      </c>
      <c r="S992" s="296">
        <v>0.95099999999999996</v>
      </c>
      <c r="T992" s="297">
        <v>15488</v>
      </c>
      <c r="U992" s="340">
        <v>131315</v>
      </c>
      <c r="V992" s="340">
        <v>784194</v>
      </c>
      <c r="W992" s="297">
        <v>43492</v>
      </c>
      <c r="X992" s="296">
        <v>-4.0000000000000001E-3</v>
      </c>
    </row>
    <row r="993" spans="13:24">
      <c r="M993">
        <v>991</v>
      </c>
      <c r="N993">
        <v>21701</v>
      </c>
      <c r="O993" t="s">
        <v>1298</v>
      </c>
      <c r="P993" t="s">
        <v>137</v>
      </c>
      <c r="Q993">
        <v>577</v>
      </c>
      <c r="R993" s="296">
        <v>0</v>
      </c>
      <c r="S993" s="296">
        <v>0.95099999999999996</v>
      </c>
      <c r="T993" s="297">
        <v>18219</v>
      </c>
      <c r="U993" s="340">
        <v>131102</v>
      </c>
      <c r="V993" s="340">
        <v>541003</v>
      </c>
      <c r="W993" s="297">
        <v>43442</v>
      </c>
      <c r="X993" s="296">
        <v>0.02</v>
      </c>
    </row>
    <row r="994" spans="13:24">
      <c r="M994">
        <v>992</v>
      </c>
      <c r="N994">
        <v>92101</v>
      </c>
      <c r="O994" t="s">
        <v>316</v>
      </c>
      <c r="P994" t="s">
        <v>132</v>
      </c>
      <c r="Q994">
        <v>1727</v>
      </c>
      <c r="R994" s="296">
        <v>0</v>
      </c>
      <c r="S994" s="296">
        <v>0.95099999999999996</v>
      </c>
      <c r="T994" s="297">
        <v>31256</v>
      </c>
      <c r="U994" s="340">
        <v>131090</v>
      </c>
      <c r="V994" s="340">
        <v>1116996</v>
      </c>
      <c r="W994" s="297">
        <v>54970</v>
      </c>
      <c r="X994" s="296">
        <v>2.5000000000000001E-2</v>
      </c>
    </row>
    <row r="995" spans="13:24">
      <c r="M995">
        <v>993</v>
      </c>
      <c r="N995">
        <v>46540</v>
      </c>
      <c r="O995" t="s">
        <v>775</v>
      </c>
      <c r="P995" t="s">
        <v>144</v>
      </c>
      <c r="Q995">
        <v>112</v>
      </c>
      <c r="R995" s="296">
        <v>0</v>
      </c>
      <c r="S995" s="296">
        <v>0.95109999999999995</v>
      </c>
      <c r="T995" s="297">
        <v>4120</v>
      </c>
      <c r="U995" s="340">
        <v>130648</v>
      </c>
      <c r="V995" s="340">
        <v>383598</v>
      </c>
      <c r="W995" s="297">
        <v>12489</v>
      </c>
      <c r="X995" s="296">
        <v>3.0000000000000001E-3</v>
      </c>
    </row>
    <row r="996" spans="13:24">
      <c r="M996">
        <v>994</v>
      </c>
      <c r="N996">
        <v>34114</v>
      </c>
      <c r="O996" t="s">
        <v>322</v>
      </c>
      <c r="P996" t="s">
        <v>127</v>
      </c>
      <c r="Q996">
        <v>1169</v>
      </c>
      <c r="R996" s="296">
        <v>0</v>
      </c>
      <c r="S996" s="296">
        <v>0.95109999999999995</v>
      </c>
      <c r="T996" s="297">
        <v>12032</v>
      </c>
      <c r="U996" s="340">
        <v>130235</v>
      </c>
      <c r="V996" s="340">
        <v>637719</v>
      </c>
      <c r="W996" s="297">
        <v>25516</v>
      </c>
      <c r="X996" s="296">
        <v>4.1000000000000002E-2</v>
      </c>
    </row>
    <row r="997" spans="13:24">
      <c r="M997">
        <v>995</v>
      </c>
      <c r="N997">
        <v>53705</v>
      </c>
      <c r="O997" t="s">
        <v>823</v>
      </c>
      <c r="P997" t="s">
        <v>149</v>
      </c>
      <c r="Q997">
        <v>106</v>
      </c>
      <c r="R997" s="296">
        <v>0</v>
      </c>
      <c r="S997" s="296">
        <v>0.95109999999999995</v>
      </c>
      <c r="T997" s="297">
        <v>12380</v>
      </c>
      <c r="U997" s="340">
        <v>129992</v>
      </c>
      <c r="V997" s="340">
        <v>536309</v>
      </c>
      <c r="W997" s="297">
        <v>25363</v>
      </c>
      <c r="X997" s="296">
        <v>5.0000000000000001E-3</v>
      </c>
    </row>
    <row r="998" spans="13:24">
      <c r="M998">
        <v>996</v>
      </c>
      <c r="N998">
        <v>48386</v>
      </c>
      <c r="O998" t="s">
        <v>1299</v>
      </c>
      <c r="P998" t="s">
        <v>140</v>
      </c>
      <c r="Q998">
        <v>223</v>
      </c>
      <c r="R998" s="296">
        <v>0</v>
      </c>
      <c r="S998" s="296">
        <v>0.95120000000000005</v>
      </c>
      <c r="T998" s="297">
        <v>7375</v>
      </c>
      <c r="U998" s="340">
        <v>128934</v>
      </c>
      <c r="V998" s="340">
        <v>391598</v>
      </c>
      <c r="W998" s="297">
        <v>17892</v>
      </c>
      <c r="X998" s="296">
        <v>2E-3</v>
      </c>
    </row>
    <row r="999" spans="13:24">
      <c r="M999">
        <v>997</v>
      </c>
      <c r="N999">
        <v>40509</v>
      </c>
      <c r="O999" t="s">
        <v>405</v>
      </c>
      <c r="P999" t="s">
        <v>143</v>
      </c>
      <c r="Q999">
        <v>339</v>
      </c>
      <c r="R999" s="296">
        <v>0</v>
      </c>
      <c r="S999" s="296">
        <v>0.95120000000000005</v>
      </c>
      <c r="T999" s="297">
        <v>18865</v>
      </c>
      <c r="U999" s="340">
        <v>128874</v>
      </c>
      <c r="V999" s="340">
        <v>415182</v>
      </c>
      <c r="W999" s="297">
        <v>46073</v>
      </c>
      <c r="X999" s="296">
        <v>7.0000000000000001E-3</v>
      </c>
    </row>
    <row r="1000" spans="13:24">
      <c r="M1000">
        <v>998</v>
      </c>
      <c r="N1000">
        <v>15330</v>
      </c>
      <c r="O1000" t="s">
        <v>1300</v>
      </c>
      <c r="P1000" t="s">
        <v>133</v>
      </c>
      <c r="Q1000">
        <v>422</v>
      </c>
      <c r="R1000" s="296">
        <v>0</v>
      </c>
      <c r="S1000" s="296">
        <v>0.95130000000000003</v>
      </c>
      <c r="T1000" s="297">
        <v>2361</v>
      </c>
      <c r="U1000" s="340">
        <v>128646</v>
      </c>
      <c r="V1000" s="340">
        <v>456308</v>
      </c>
      <c r="W1000" s="297">
        <v>5640</v>
      </c>
      <c r="X1000" s="296">
        <v>1.9E-2</v>
      </c>
    </row>
    <row r="1001" spans="13:24">
      <c r="M1001">
        <v>999</v>
      </c>
      <c r="N1001">
        <v>85140</v>
      </c>
      <c r="O1001" t="s">
        <v>1301</v>
      </c>
      <c r="P1001" t="s">
        <v>158</v>
      </c>
      <c r="Q1001">
        <v>1426</v>
      </c>
      <c r="R1001" s="296">
        <v>0</v>
      </c>
      <c r="S1001" s="296">
        <v>0.95130000000000003</v>
      </c>
      <c r="T1001" s="297">
        <v>16746</v>
      </c>
      <c r="U1001" s="340">
        <v>128248</v>
      </c>
      <c r="V1001" s="340">
        <v>474344</v>
      </c>
      <c r="W1001" s="297">
        <v>52407</v>
      </c>
      <c r="X1001" s="296">
        <v>3.4000000000000002E-2</v>
      </c>
    </row>
    <row r="1002" spans="13:24">
      <c r="M1002">
        <v>1000</v>
      </c>
      <c r="N1002">
        <v>18707</v>
      </c>
      <c r="O1002" t="s">
        <v>1302</v>
      </c>
      <c r="P1002" t="s">
        <v>133</v>
      </c>
      <c r="Q1002">
        <v>615</v>
      </c>
      <c r="R1002" s="296">
        <v>0</v>
      </c>
      <c r="S1002" s="296">
        <v>0.95130000000000003</v>
      </c>
      <c r="T1002" s="297">
        <v>6075</v>
      </c>
      <c r="U1002" s="340">
        <v>126882</v>
      </c>
      <c r="V1002" s="340">
        <v>333755</v>
      </c>
      <c r="W1002" s="297">
        <v>15757</v>
      </c>
      <c r="X1002" s="296">
        <v>-4.0000000000000001E-3</v>
      </c>
    </row>
    <row r="1003" spans="13:24">
      <c r="M1003">
        <v>1001</v>
      </c>
      <c r="N1003">
        <v>55330</v>
      </c>
      <c r="O1003" t="s">
        <v>1303</v>
      </c>
      <c r="P1003" t="s">
        <v>151</v>
      </c>
      <c r="Q1003">
        <v>362</v>
      </c>
      <c r="R1003" s="296">
        <v>0</v>
      </c>
      <c r="S1003" s="296">
        <v>0.95140000000000002</v>
      </c>
      <c r="T1003" s="297">
        <v>16975</v>
      </c>
      <c r="U1003" s="340">
        <v>126787</v>
      </c>
      <c r="V1003" s="340">
        <v>398344</v>
      </c>
      <c r="W1003" s="297">
        <v>48171</v>
      </c>
      <c r="X1003" s="296">
        <v>2.1000000000000001E-2</v>
      </c>
    </row>
    <row r="1004" spans="13:24">
      <c r="M1004">
        <v>1002</v>
      </c>
      <c r="N1004">
        <v>48189</v>
      </c>
      <c r="O1004" t="s">
        <v>564</v>
      </c>
      <c r="P1004" t="s">
        <v>140</v>
      </c>
      <c r="Q1004">
        <v>205</v>
      </c>
      <c r="R1004" s="296">
        <v>0</v>
      </c>
      <c r="S1004" s="296">
        <v>0.95140000000000002</v>
      </c>
      <c r="T1004" s="297">
        <v>6050</v>
      </c>
      <c r="U1004" s="340">
        <v>126232</v>
      </c>
      <c r="V1004" s="340">
        <v>370152</v>
      </c>
      <c r="W1004" s="297">
        <v>14598</v>
      </c>
      <c r="X1004" s="296">
        <v>0</v>
      </c>
    </row>
    <row r="1005" spans="13:24">
      <c r="M1005">
        <v>1003</v>
      </c>
      <c r="N1005">
        <v>49127</v>
      </c>
      <c r="O1005" t="s">
        <v>1304</v>
      </c>
      <c r="P1005" t="s">
        <v>140</v>
      </c>
      <c r="Q1005">
        <v>66</v>
      </c>
      <c r="R1005" s="296">
        <v>0</v>
      </c>
      <c r="S1005" s="296">
        <v>0.95140000000000002</v>
      </c>
      <c r="T1005" s="297">
        <v>4423</v>
      </c>
      <c r="U1005" s="340">
        <v>125639</v>
      </c>
      <c r="V1005" s="340">
        <v>365222</v>
      </c>
      <c r="W1005" s="297">
        <v>10642</v>
      </c>
      <c r="X1005" s="296">
        <v>-5.0000000000000001E-3</v>
      </c>
    </row>
    <row r="1006" spans="13:24">
      <c r="M1006">
        <v>1004</v>
      </c>
      <c r="N1006">
        <v>8234</v>
      </c>
      <c r="O1006" t="s">
        <v>1305</v>
      </c>
      <c r="P1006" t="s">
        <v>129</v>
      </c>
      <c r="Q1006">
        <v>714</v>
      </c>
      <c r="R1006" s="296">
        <v>0</v>
      </c>
      <c r="S1006" s="296">
        <v>0.95150000000000001</v>
      </c>
      <c r="T1006" s="297">
        <v>17134</v>
      </c>
      <c r="U1006" s="340">
        <v>125599</v>
      </c>
      <c r="V1006" s="340">
        <v>347001</v>
      </c>
      <c r="W1006" s="297">
        <v>47422</v>
      </c>
      <c r="X1006" s="296">
        <v>4.0000000000000001E-3</v>
      </c>
    </row>
    <row r="1007" spans="13:24">
      <c r="M1007">
        <v>1005</v>
      </c>
      <c r="N1007">
        <v>46280</v>
      </c>
      <c r="O1007" t="s">
        <v>561</v>
      </c>
      <c r="P1007" t="s">
        <v>144</v>
      </c>
      <c r="Q1007">
        <v>176</v>
      </c>
      <c r="R1007" s="296">
        <v>0</v>
      </c>
      <c r="S1007" s="296">
        <v>0.95150000000000001</v>
      </c>
      <c r="T1007" s="297">
        <v>3742</v>
      </c>
      <c r="U1007" s="340">
        <v>124985</v>
      </c>
      <c r="V1007" s="340">
        <v>421689</v>
      </c>
      <c r="W1007" s="297">
        <v>7988</v>
      </c>
      <c r="X1007" s="296">
        <v>5.0000000000000001E-3</v>
      </c>
    </row>
    <row r="1008" spans="13:24">
      <c r="M1008">
        <v>1006</v>
      </c>
      <c r="N1008">
        <v>70005</v>
      </c>
      <c r="O1008" t="s">
        <v>1306</v>
      </c>
      <c r="P1008" t="s">
        <v>147</v>
      </c>
      <c r="Q1008">
        <v>849</v>
      </c>
      <c r="R1008" s="296">
        <v>0</v>
      </c>
      <c r="S1008" s="296">
        <v>0.95150000000000001</v>
      </c>
      <c r="T1008" s="297">
        <v>11560</v>
      </c>
      <c r="U1008" s="340">
        <v>124525</v>
      </c>
      <c r="V1008" s="340">
        <v>546469</v>
      </c>
      <c r="W1008" s="297">
        <v>24737</v>
      </c>
      <c r="X1008" s="296">
        <v>-7.0000000000000001E-3</v>
      </c>
    </row>
    <row r="1009" spans="13:24">
      <c r="M1009">
        <v>1007</v>
      </c>
      <c r="N1009">
        <v>43081</v>
      </c>
      <c r="O1009" t="s">
        <v>1307</v>
      </c>
      <c r="P1009" t="s">
        <v>136</v>
      </c>
      <c r="Q1009">
        <v>291</v>
      </c>
      <c r="R1009" s="296">
        <v>0</v>
      </c>
      <c r="S1009" s="296">
        <v>0.9516</v>
      </c>
      <c r="T1009" s="297">
        <v>27679</v>
      </c>
      <c r="U1009" s="340">
        <v>123698</v>
      </c>
      <c r="V1009" s="340">
        <v>340410</v>
      </c>
      <c r="W1009" s="297">
        <v>65921</v>
      </c>
      <c r="X1009" s="296">
        <v>8.0000000000000002E-3</v>
      </c>
    </row>
    <row r="1010" spans="13:24">
      <c r="M1010">
        <v>1008</v>
      </c>
      <c r="N1010">
        <v>32413</v>
      </c>
      <c r="O1010" t="s">
        <v>1308</v>
      </c>
      <c r="P1010" t="s">
        <v>127</v>
      </c>
      <c r="Q1010">
        <v>824</v>
      </c>
      <c r="R1010" s="296">
        <v>0</v>
      </c>
      <c r="S1010" s="296">
        <v>0.9516</v>
      </c>
      <c r="T1010" s="297">
        <v>7448</v>
      </c>
      <c r="U1010" s="340">
        <v>123550</v>
      </c>
      <c r="V1010" s="340">
        <v>541663</v>
      </c>
      <c r="W1010" s="297">
        <v>15993</v>
      </c>
      <c r="X1010" s="296">
        <v>1.0999999999999999E-2</v>
      </c>
    </row>
    <row r="1011" spans="13:24">
      <c r="M1011">
        <v>1009</v>
      </c>
      <c r="N1011">
        <v>33433</v>
      </c>
      <c r="O1011" t="s">
        <v>502</v>
      </c>
      <c r="P1011" t="s">
        <v>127</v>
      </c>
      <c r="Q1011">
        <v>1174</v>
      </c>
      <c r="R1011" s="296">
        <v>0</v>
      </c>
      <c r="S1011" s="296">
        <v>0.95169999999999999</v>
      </c>
      <c r="T1011" s="297">
        <v>20782</v>
      </c>
      <c r="U1011" s="340">
        <v>123358</v>
      </c>
      <c r="V1011" s="340">
        <v>638554</v>
      </c>
      <c r="W1011" s="297">
        <v>46973</v>
      </c>
      <c r="X1011" s="296">
        <v>3.0000000000000001E-3</v>
      </c>
    </row>
    <row r="1012" spans="13:24">
      <c r="M1012">
        <v>1010</v>
      </c>
      <c r="N1012">
        <v>80517</v>
      </c>
      <c r="O1012" t="s">
        <v>1309</v>
      </c>
      <c r="P1012" t="s">
        <v>142</v>
      </c>
      <c r="Q1012">
        <v>927</v>
      </c>
      <c r="R1012" s="296">
        <v>0</v>
      </c>
      <c r="S1012" s="296">
        <v>0.95169999999999999</v>
      </c>
      <c r="T1012" s="297">
        <v>4406</v>
      </c>
      <c r="U1012" s="340">
        <v>122479</v>
      </c>
      <c r="V1012" s="340">
        <v>740087</v>
      </c>
      <c r="W1012" s="297">
        <v>9714</v>
      </c>
      <c r="X1012" s="296">
        <v>-1E-3</v>
      </c>
    </row>
    <row r="1013" spans="13:24">
      <c r="M1013">
        <v>1011</v>
      </c>
      <c r="N1013">
        <v>48108</v>
      </c>
      <c r="O1013" t="s">
        <v>540</v>
      </c>
      <c r="P1013" t="s">
        <v>140</v>
      </c>
      <c r="Q1013">
        <v>209</v>
      </c>
      <c r="R1013" s="296">
        <v>0</v>
      </c>
      <c r="S1013" s="296">
        <v>0.95169999999999999</v>
      </c>
      <c r="T1013" s="297">
        <v>11993</v>
      </c>
      <c r="U1013" s="340">
        <v>122211</v>
      </c>
      <c r="V1013" s="340">
        <v>422484</v>
      </c>
      <c r="W1013" s="297">
        <v>26709</v>
      </c>
      <c r="X1013" s="296">
        <v>-2E-3</v>
      </c>
    </row>
    <row r="1014" spans="13:24">
      <c r="M1014">
        <v>1012</v>
      </c>
      <c r="N1014">
        <v>30043</v>
      </c>
      <c r="O1014" t="s">
        <v>704</v>
      </c>
      <c r="P1014" t="s">
        <v>130</v>
      </c>
      <c r="Q1014">
        <v>599</v>
      </c>
      <c r="R1014" s="296">
        <v>0</v>
      </c>
      <c r="S1014" s="296">
        <v>0.95179999999999998</v>
      </c>
      <c r="T1014" s="297">
        <v>30324</v>
      </c>
      <c r="U1014" s="340">
        <v>121614</v>
      </c>
      <c r="V1014" s="340">
        <v>449365</v>
      </c>
      <c r="W1014" s="297">
        <v>90606</v>
      </c>
      <c r="X1014" s="296">
        <v>5.0000000000000001E-3</v>
      </c>
    </row>
    <row r="1015" spans="13:24">
      <c r="M1015">
        <v>1013</v>
      </c>
      <c r="N1015">
        <v>77469</v>
      </c>
      <c r="O1015" t="s">
        <v>302</v>
      </c>
      <c r="P1015" t="s">
        <v>134</v>
      </c>
      <c r="Q1015">
        <v>976</v>
      </c>
      <c r="R1015" s="296">
        <v>0</v>
      </c>
      <c r="S1015" s="296">
        <v>0.95179999999999998</v>
      </c>
      <c r="T1015" s="297">
        <v>24591</v>
      </c>
      <c r="U1015" s="340">
        <v>121524</v>
      </c>
      <c r="V1015" s="340">
        <v>416825</v>
      </c>
      <c r="W1015" s="297">
        <v>73464</v>
      </c>
      <c r="X1015" s="296">
        <v>5.8999999999999997E-2</v>
      </c>
    </row>
    <row r="1016" spans="13:24">
      <c r="M1016">
        <v>1014</v>
      </c>
      <c r="N1016">
        <v>98311</v>
      </c>
      <c r="O1016" t="s">
        <v>1310</v>
      </c>
      <c r="P1016" t="s">
        <v>224</v>
      </c>
      <c r="Q1016">
        <v>1732</v>
      </c>
      <c r="R1016" s="296">
        <v>0</v>
      </c>
      <c r="S1016" s="296">
        <v>0.95179999999999998</v>
      </c>
      <c r="T1016" s="297">
        <v>10871</v>
      </c>
      <c r="U1016" s="340">
        <v>121523</v>
      </c>
      <c r="V1016" s="340">
        <v>607701</v>
      </c>
      <c r="W1016" s="297">
        <v>29453</v>
      </c>
      <c r="X1016" s="296">
        <v>6.0000000000000001E-3</v>
      </c>
    </row>
    <row r="1017" spans="13:24">
      <c r="M1017">
        <v>1015</v>
      </c>
      <c r="N1017">
        <v>49009</v>
      </c>
      <c r="O1017" t="s">
        <v>1156</v>
      </c>
      <c r="P1017" t="s">
        <v>140</v>
      </c>
      <c r="Q1017">
        <v>108</v>
      </c>
      <c r="R1017" s="296">
        <v>0</v>
      </c>
      <c r="S1017" s="296">
        <v>0.95189999999999997</v>
      </c>
      <c r="T1017" s="297">
        <v>19514</v>
      </c>
      <c r="U1017" s="340">
        <v>121400</v>
      </c>
      <c r="V1017" s="340">
        <v>360749</v>
      </c>
      <c r="W1017" s="297">
        <v>47371</v>
      </c>
      <c r="X1017" s="296">
        <v>4.0000000000000001E-3</v>
      </c>
    </row>
    <row r="1018" spans="13:24">
      <c r="M1018">
        <v>1016</v>
      </c>
      <c r="N1018">
        <v>78373</v>
      </c>
      <c r="O1018" t="s">
        <v>1311</v>
      </c>
      <c r="P1018" t="s">
        <v>134</v>
      </c>
      <c r="Q1018">
        <v>1122</v>
      </c>
      <c r="R1018" s="296">
        <v>0</v>
      </c>
      <c r="S1018" s="296">
        <v>0.95189999999999997</v>
      </c>
      <c r="T1018" s="297">
        <v>1505</v>
      </c>
      <c r="U1018" s="340">
        <v>121374</v>
      </c>
      <c r="V1018" s="340">
        <v>519484</v>
      </c>
      <c r="W1018" s="297">
        <v>3054</v>
      </c>
      <c r="X1018" s="296">
        <v>-6.0000000000000001E-3</v>
      </c>
    </row>
    <row r="1019" spans="13:24">
      <c r="M1019">
        <v>1017</v>
      </c>
      <c r="N1019">
        <v>48073</v>
      </c>
      <c r="O1019" t="s">
        <v>1287</v>
      </c>
      <c r="P1019" t="s">
        <v>140</v>
      </c>
      <c r="Q1019">
        <v>238</v>
      </c>
      <c r="R1019" s="296">
        <v>0</v>
      </c>
      <c r="S1019" s="296">
        <v>0.95199999999999996</v>
      </c>
      <c r="T1019" s="297">
        <v>16940</v>
      </c>
      <c r="U1019" s="340">
        <v>120605</v>
      </c>
      <c r="V1019" s="340">
        <v>371227</v>
      </c>
      <c r="W1019" s="297">
        <v>33025</v>
      </c>
      <c r="X1019" s="296">
        <v>-2E-3</v>
      </c>
    </row>
    <row r="1020" spans="13:24">
      <c r="M1020">
        <v>1018</v>
      </c>
      <c r="N1020">
        <v>61010</v>
      </c>
      <c r="O1020" t="s">
        <v>1312</v>
      </c>
      <c r="P1020" t="s">
        <v>131</v>
      </c>
      <c r="Q1020">
        <v>76</v>
      </c>
      <c r="R1020" s="296">
        <v>0</v>
      </c>
      <c r="S1020" s="296">
        <v>0.95199999999999996</v>
      </c>
      <c r="T1020" s="297">
        <v>2825</v>
      </c>
      <c r="U1020" s="340">
        <v>119757</v>
      </c>
      <c r="V1020" s="340">
        <v>260741</v>
      </c>
      <c r="W1020" s="297">
        <v>7287</v>
      </c>
      <c r="X1020" s="296">
        <v>-5.0000000000000001E-3</v>
      </c>
    </row>
    <row r="1021" spans="13:24">
      <c r="M1021">
        <v>1019</v>
      </c>
      <c r="N1021">
        <v>91761</v>
      </c>
      <c r="O1021" t="s">
        <v>1313</v>
      </c>
      <c r="P1021" t="s">
        <v>132</v>
      </c>
      <c r="Q1021">
        <v>1705</v>
      </c>
      <c r="R1021" s="296">
        <v>0</v>
      </c>
      <c r="S1021" s="296">
        <v>0.95199999999999996</v>
      </c>
      <c r="T1021" s="297">
        <v>19968</v>
      </c>
      <c r="U1021" s="340">
        <v>119380</v>
      </c>
      <c r="V1021" s="340">
        <v>592646</v>
      </c>
      <c r="W1021" s="297">
        <v>68204</v>
      </c>
      <c r="X1021" s="296">
        <v>2.7E-2</v>
      </c>
    </row>
    <row r="1022" spans="13:24">
      <c r="M1022">
        <v>1020</v>
      </c>
      <c r="N1022">
        <v>61550</v>
      </c>
      <c r="O1022" t="s">
        <v>1314</v>
      </c>
      <c r="P1022" t="s">
        <v>131</v>
      </c>
      <c r="Q1022">
        <v>136</v>
      </c>
      <c r="R1022" s="296">
        <v>0</v>
      </c>
      <c r="S1022" s="296">
        <v>0.95209999999999995</v>
      </c>
      <c r="T1022" s="297">
        <v>7613</v>
      </c>
      <c r="U1022" s="340">
        <v>119217</v>
      </c>
      <c r="V1022" s="340">
        <v>270396</v>
      </c>
      <c r="W1022" s="297">
        <v>18492</v>
      </c>
      <c r="X1022" s="296">
        <v>1E-3</v>
      </c>
    </row>
    <row r="1023" spans="13:24">
      <c r="M1023">
        <v>1021</v>
      </c>
      <c r="N1023">
        <v>63366</v>
      </c>
      <c r="O1023" t="s">
        <v>1091</v>
      </c>
      <c r="P1023" t="s">
        <v>186</v>
      </c>
      <c r="Q1023">
        <v>277</v>
      </c>
      <c r="R1023" s="296">
        <v>0</v>
      </c>
      <c r="S1023" s="296">
        <v>0.95209999999999995</v>
      </c>
      <c r="T1023" s="297">
        <v>21326</v>
      </c>
      <c r="U1023" s="340">
        <v>118817</v>
      </c>
      <c r="V1023" s="340">
        <v>351219</v>
      </c>
      <c r="W1023" s="297">
        <v>56139</v>
      </c>
      <c r="X1023" s="296">
        <v>1.6E-2</v>
      </c>
    </row>
    <row r="1024" spans="13:24">
      <c r="M1024">
        <v>1022</v>
      </c>
      <c r="N1024">
        <v>77339</v>
      </c>
      <c r="O1024" t="s">
        <v>317</v>
      </c>
      <c r="P1024" t="s">
        <v>134</v>
      </c>
      <c r="Q1024">
        <v>931</v>
      </c>
      <c r="R1024" s="296">
        <v>0</v>
      </c>
      <c r="S1024" s="296">
        <v>0.95209999999999995</v>
      </c>
      <c r="T1024" s="297">
        <v>17565</v>
      </c>
      <c r="U1024" s="340">
        <v>118489</v>
      </c>
      <c r="V1024" s="340">
        <v>338924</v>
      </c>
      <c r="W1024" s="297">
        <v>44465</v>
      </c>
      <c r="X1024" s="296">
        <v>7.0000000000000001E-3</v>
      </c>
    </row>
    <row r="1025" spans="13:24">
      <c r="M1025">
        <v>1023</v>
      </c>
      <c r="N1025">
        <v>44720</v>
      </c>
      <c r="O1025" t="s">
        <v>1315</v>
      </c>
      <c r="P1025" t="s">
        <v>136</v>
      </c>
      <c r="Q1025">
        <v>340</v>
      </c>
      <c r="R1025" s="296">
        <v>0</v>
      </c>
      <c r="S1025" s="296">
        <v>0.95220000000000005</v>
      </c>
      <c r="T1025" s="297">
        <v>17085</v>
      </c>
      <c r="U1025" s="340">
        <v>118420</v>
      </c>
      <c r="V1025" s="340">
        <v>288719</v>
      </c>
      <c r="W1025" s="297">
        <v>40006</v>
      </c>
      <c r="X1025" s="296">
        <v>1E-3</v>
      </c>
    </row>
    <row r="1026" spans="13:24">
      <c r="M1026">
        <v>1024</v>
      </c>
      <c r="N1026">
        <v>61072</v>
      </c>
      <c r="O1026" t="s">
        <v>1316</v>
      </c>
      <c r="P1026" t="s">
        <v>131</v>
      </c>
      <c r="Q1026">
        <v>72</v>
      </c>
      <c r="R1026" s="296">
        <v>0</v>
      </c>
      <c r="S1026" s="296">
        <v>0.95220000000000005</v>
      </c>
      <c r="T1026" s="297">
        <v>4270</v>
      </c>
      <c r="U1026" s="340">
        <v>118288</v>
      </c>
      <c r="V1026" s="340">
        <v>234849</v>
      </c>
      <c r="W1026" s="297">
        <v>10820</v>
      </c>
      <c r="X1026" s="296">
        <v>-7.0000000000000001E-3</v>
      </c>
    </row>
    <row r="1027" spans="13:24">
      <c r="M1027">
        <v>1025</v>
      </c>
      <c r="N1027">
        <v>68331</v>
      </c>
      <c r="O1027" t="s">
        <v>1226</v>
      </c>
      <c r="P1027" t="s">
        <v>195</v>
      </c>
      <c r="Q1027">
        <v>477</v>
      </c>
      <c r="R1027" s="296">
        <v>0</v>
      </c>
      <c r="S1027" s="296">
        <v>0.95230000000000004</v>
      </c>
      <c r="T1027">
        <v>390</v>
      </c>
      <c r="U1027" s="340">
        <v>116853</v>
      </c>
      <c r="V1027" s="340">
        <v>300385</v>
      </c>
      <c r="W1027">
        <v>990</v>
      </c>
      <c r="X1027" s="296">
        <v>-5.0000000000000001E-3</v>
      </c>
    </row>
    <row r="1028" spans="13:24">
      <c r="M1028">
        <v>1026</v>
      </c>
      <c r="N1028">
        <v>2135</v>
      </c>
      <c r="O1028" t="s">
        <v>328</v>
      </c>
      <c r="P1028" t="s">
        <v>135</v>
      </c>
      <c r="Q1028">
        <v>849</v>
      </c>
      <c r="R1028" s="296">
        <v>0</v>
      </c>
      <c r="S1028" s="296">
        <v>0.95230000000000004</v>
      </c>
      <c r="T1028" s="297">
        <v>21436</v>
      </c>
      <c r="U1028" s="340">
        <v>116708</v>
      </c>
      <c r="V1028" s="340">
        <v>787745</v>
      </c>
      <c r="W1028" s="297">
        <v>46522</v>
      </c>
      <c r="X1028" s="296">
        <v>-2E-3</v>
      </c>
    </row>
    <row r="1029" spans="13:24">
      <c r="M1029">
        <v>1027</v>
      </c>
      <c r="N1029">
        <v>60407</v>
      </c>
      <c r="O1029" t="s">
        <v>1317</v>
      </c>
      <c r="P1029" t="s">
        <v>131</v>
      </c>
      <c r="Q1029">
        <v>68</v>
      </c>
      <c r="R1029" s="296">
        <v>0</v>
      </c>
      <c r="S1029" s="296">
        <v>0.95230000000000004</v>
      </c>
      <c r="T1029">
        <v>597</v>
      </c>
      <c r="U1029" s="340">
        <v>116060</v>
      </c>
      <c r="V1029" s="340">
        <v>238552</v>
      </c>
      <c r="W1029" s="297">
        <v>1451</v>
      </c>
      <c r="X1029" s="296">
        <v>-1.0999999999999999E-2</v>
      </c>
    </row>
    <row r="1030" spans="13:24">
      <c r="M1030">
        <v>1028</v>
      </c>
      <c r="N1030">
        <v>95355</v>
      </c>
      <c r="O1030" t="s">
        <v>1318</v>
      </c>
      <c r="P1030" t="s">
        <v>132</v>
      </c>
      <c r="Q1030">
        <v>1773</v>
      </c>
      <c r="R1030" s="296">
        <v>0</v>
      </c>
      <c r="S1030" s="296">
        <v>0.95240000000000002</v>
      </c>
      <c r="T1030" s="297">
        <v>21935</v>
      </c>
      <c r="U1030" s="340">
        <v>115441</v>
      </c>
      <c r="V1030" s="340">
        <v>521720</v>
      </c>
      <c r="W1030" s="297">
        <v>61358</v>
      </c>
      <c r="X1030" s="296">
        <v>0</v>
      </c>
    </row>
    <row r="1031" spans="13:24">
      <c r="M1031">
        <v>1029</v>
      </c>
      <c r="N1031">
        <v>55303</v>
      </c>
      <c r="O1031" t="s">
        <v>1319</v>
      </c>
      <c r="P1031" t="s">
        <v>151</v>
      </c>
      <c r="Q1031">
        <v>355</v>
      </c>
      <c r="R1031" s="296">
        <v>0</v>
      </c>
      <c r="S1031" s="296">
        <v>0.95240000000000002</v>
      </c>
      <c r="T1031" s="297">
        <v>19660</v>
      </c>
      <c r="U1031" s="340">
        <v>115419</v>
      </c>
      <c r="V1031" s="340">
        <v>421202</v>
      </c>
      <c r="W1031" s="297">
        <v>52332</v>
      </c>
      <c r="X1031" s="296">
        <v>6.0000000000000001E-3</v>
      </c>
    </row>
    <row r="1032" spans="13:24">
      <c r="M1032">
        <v>1030</v>
      </c>
      <c r="N1032">
        <v>45011</v>
      </c>
      <c r="O1032" t="s">
        <v>739</v>
      </c>
      <c r="P1032" t="s">
        <v>136</v>
      </c>
      <c r="Q1032">
        <v>255</v>
      </c>
      <c r="R1032" s="296">
        <v>0</v>
      </c>
      <c r="S1032" s="296">
        <v>0.95240000000000002</v>
      </c>
      <c r="T1032" s="297">
        <v>26845</v>
      </c>
      <c r="U1032" s="340">
        <v>114010</v>
      </c>
      <c r="V1032" s="340">
        <v>324451</v>
      </c>
      <c r="W1032" s="297">
        <v>76048</v>
      </c>
      <c r="X1032" s="296">
        <v>3.0000000000000001E-3</v>
      </c>
    </row>
    <row r="1033" spans="13:24">
      <c r="M1033">
        <v>1031</v>
      </c>
      <c r="N1033">
        <v>53130</v>
      </c>
      <c r="O1033" t="s">
        <v>1320</v>
      </c>
      <c r="P1033" t="s">
        <v>149</v>
      </c>
      <c r="Q1033">
        <v>56</v>
      </c>
      <c r="R1033" s="296">
        <v>0</v>
      </c>
      <c r="S1033" s="296">
        <v>0.95250000000000001</v>
      </c>
      <c r="T1033" s="297">
        <v>3334</v>
      </c>
      <c r="U1033" s="340">
        <v>112899</v>
      </c>
      <c r="V1033" s="340">
        <v>324861</v>
      </c>
      <c r="W1033" s="297">
        <v>7467</v>
      </c>
      <c r="X1033" s="296">
        <v>-4.0000000000000001E-3</v>
      </c>
    </row>
    <row r="1034" spans="13:24">
      <c r="M1034">
        <v>1032</v>
      </c>
      <c r="N1034">
        <v>46239</v>
      </c>
      <c r="O1034" t="s">
        <v>561</v>
      </c>
      <c r="P1034" t="s">
        <v>144</v>
      </c>
      <c r="Q1034">
        <v>192</v>
      </c>
      <c r="R1034" s="296">
        <v>0</v>
      </c>
      <c r="S1034" s="296">
        <v>0.95250000000000001</v>
      </c>
      <c r="T1034" s="297">
        <v>12618</v>
      </c>
      <c r="U1034" s="340">
        <v>112889</v>
      </c>
      <c r="V1034" s="340">
        <v>304554</v>
      </c>
      <c r="W1034" s="297">
        <v>36664</v>
      </c>
      <c r="X1034" s="296">
        <v>2.1999999999999999E-2</v>
      </c>
    </row>
    <row r="1035" spans="13:24">
      <c r="M1035">
        <v>1033</v>
      </c>
      <c r="N1035">
        <v>49408</v>
      </c>
      <c r="O1035" t="s">
        <v>1321</v>
      </c>
      <c r="P1035" t="s">
        <v>140</v>
      </c>
      <c r="Q1035">
        <v>90</v>
      </c>
      <c r="R1035" s="296">
        <v>0</v>
      </c>
      <c r="S1035" s="296">
        <v>0.9526</v>
      </c>
      <c r="T1035" s="297">
        <v>3913</v>
      </c>
      <c r="U1035" s="340">
        <v>112884</v>
      </c>
      <c r="V1035" s="340">
        <v>467353</v>
      </c>
      <c r="W1035" s="297">
        <v>9972</v>
      </c>
      <c r="X1035" s="296">
        <v>1.2999999999999999E-2</v>
      </c>
    </row>
    <row r="1036" spans="13:24">
      <c r="M1036">
        <v>1034</v>
      </c>
      <c r="N1036">
        <v>48329</v>
      </c>
      <c r="O1036" t="s">
        <v>1039</v>
      </c>
      <c r="P1036" t="s">
        <v>140</v>
      </c>
      <c r="Q1036">
        <v>227</v>
      </c>
      <c r="R1036" s="296">
        <v>0</v>
      </c>
      <c r="S1036" s="296">
        <v>0.9526</v>
      </c>
      <c r="T1036" s="297">
        <v>9912</v>
      </c>
      <c r="U1036" s="340">
        <v>112840</v>
      </c>
      <c r="V1036" s="340">
        <v>387989</v>
      </c>
      <c r="W1036" s="297">
        <v>23175</v>
      </c>
      <c r="X1036" s="296">
        <v>-7.0000000000000001E-3</v>
      </c>
    </row>
    <row r="1037" spans="13:24">
      <c r="M1037">
        <v>1035</v>
      </c>
      <c r="N1037">
        <v>61571</v>
      </c>
      <c r="O1037" t="s">
        <v>225</v>
      </c>
      <c r="P1037" t="s">
        <v>131</v>
      </c>
      <c r="Q1037">
        <v>131</v>
      </c>
      <c r="R1037" s="296">
        <v>0</v>
      </c>
      <c r="S1037" s="296">
        <v>0.9526</v>
      </c>
      <c r="T1037" s="297">
        <v>9626</v>
      </c>
      <c r="U1037" s="340">
        <v>111468</v>
      </c>
      <c r="V1037" s="340">
        <v>258627</v>
      </c>
      <c r="W1037" s="297">
        <v>24091</v>
      </c>
      <c r="X1037" s="296">
        <v>-6.0000000000000001E-3</v>
      </c>
    </row>
    <row r="1038" spans="13:24">
      <c r="M1038">
        <v>1036</v>
      </c>
      <c r="N1038">
        <v>53038</v>
      </c>
      <c r="O1038" t="s">
        <v>1322</v>
      </c>
      <c r="P1038" t="s">
        <v>149</v>
      </c>
      <c r="Q1038">
        <v>82</v>
      </c>
      <c r="R1038" s="296">
        <v>0</v>
      </c>
      <c r="S1038" s="296">
        <v>0.95269999999999999</v>
      </c>
      <c r="T1038" s="297">
        <v>1734</v>
      </c>
      <c r="U1038" s="340">
        <v>111444</v>
      </c>
      <c r="V1038" s="340">
        <v>353453</v>
      </c>
      <c r="W1038" s="297">
        <v>4408</v>
      </c>
      <c r="X1038" s="296">
        <v>3.0000000000000001E-3</v>
      </c>
    </row>
    <row r="1039" spans="13:24">
      <c r="M1039">
        <v>1037</v>
      </c>
      <c r="N1039">
        <v>27410</v>
      </c>
      <c r="O1039" t="s">
        <v>1323</v>
      </c>
      <c r="P1039" t="s">
        <v>138</v>
      </c>
      <c r="Q1039">
        <v>595</v>
      </c>
      <c r="R1039" s="296">
        <v>0</v>
      </c>
      <c r="S1039" s="296">
        <v>0.95269999999999999</v>
      </c>
      <c r="T1039" s="297">
        <v>25047</v>
      </c>
      <c r="U1039" s="340">
        <v>111167</v>
      </c>
      <c r="V1039" s="340">
        <v>357379</v>
      </c>
      <c r="W1039" s="297">
        <v>55443</v>
      </c>
      <c r="X1039" s="296">
        <v>4.0000000000000001E-3</v>
      </c>
    </row>
    <row r="1040" spans="13:24">
      <c r="M1040">
        <v>1038</v>
      </c>
      <c r="N1040">
        <v>60552</v>
      </c>
      <c r="O1040" t="s">
        <v>1324</v>
      </c>
      <c r="P1040" t="s">
        <v>131</v>
      </c>
      <c r="Q1040">
        <v>58</v>
      </c>
      <c r="R1040" s="296">
        <v>0</v>
      </c>
      <c r="S1040" s="296">
        <v>0.95269999999999999</v>
      </c>
      <c r="T1040" s="297">
        <v>1594</v>
      </c>
      <c r="U1040" s="340">
        <v>110906</v>
      </c>
      <c r="V1040" s="340">
        <v>251725</v>
      </c>
      <c r="W1040" s="297">
        <v>4146</v>
      </c>
      <c r="X1040" s="296">
        <v>-4.0000000000000001E-3</v>
      </c>
    </row>
    <row r="1041" spans="13:24">
      <c r="M1041">
        <v>1039</v>
      </c>
      <c r="N1041">
        <v>33437</v>
      </c>
      <c r="O1041" t="s">
        <v>1325</v>
      </c>
      <c r="P1041" t="s">
        <v>127</v>
      </c>
      <c r="Q1041">
        <v>1163</v>
      </c>
      <c r="R1041" s="296">
        <v>0</v>
      </c>
      <c r="S1041" s="296">
        <v>0.95279999999999998</v>
      </c>
      <c r="T1041" s="297">
        <v>19286</v>
      </c>
      <c r="U1041" s="340">
        <v>110636</v>
      </c>
      <c r="V1041" s="340">
        <v>507742</v>
      </c>
      <c r="W1041" s="297">
        <v>38648</v>
      </c>
      <c r="X1041" s="296">
        <v>2E-3</v>
      </c>
    </row>
    <row r="1042" spans="13:24">
      <c r="M1042">
        <v>1040</v>
      </c>
      <c r="N1042">
        <v>80231</v>
      </c>
      <c r="O1042" t="s">
        <v>330</v>
      </c>
      <c r="P1042" t="s">
        <v>142</v>
      </c>
      <c r="Q1042">
        <v>907</v>
      </c>
      <c r="R1042" s="296">
        <v>0</v>
      </c>
      <c r="S1042" s="296">
        <v>0.95279999999999998</v>
      </c>
      <c r="T1042" s="297">
        <v>16405</v>
      </c>
      <c r="U1042" s="340">
        <v>109999</v>
      </c>
      <c r="V1042" s="340">
        <v>622917</v>
      </c>
      <c r="W1042" s="297">
        <v>34710</v>
      </c>
      <c r="X1042" s="296">
        <v>-1E-3</v>
      </c>
    </row>
    <row r="1043" spans="13:24">
      <c r="M1043">
        <v>1041</v>
      </c>
      <c r="N1043">
        <v>28732</v>
      </c>
      <c r="O1043" t="s">
        <v>1326</v>
      </c>
      <c r="P1043" t="s">
        <v>138</v>
      </c>
      <c r="Q1043">
        <v>543</v>
      </c>
      <c r="R1043" s="296">
        <v>0</v>
      </c>
      <c r="S1043" s="296">
        <v>0.95289999999999997</v>
      </c>
      <c r="T1043" s="297">
        <v>8081</v>
      </c>
      <c r="U1043" s="340">
        <v>109692</v>
      </c>
      <c r="V1043" s="340">
        <v>471962</v>
      </c>
      <c r="W1043" s="297">
        <v>20037</v>
      </c>
      <c r="X1043" s="296">
        <v>8.9999999999999993E-3</v>
      </c>
    </row>
    <row r="1044" spans="13:24">
      <c r="M1044">
        <v>1042</v>
      </c>
      <c r="N1044">
        <v>54650</v>
      </c>
      <c r="O1044" t="s">
        <v>1327</v>
      </c>
      <c r="P1044" t="s">
        <v>149</v>
      </c>
      <c r="Q1044">
        <v>213</v>
      </c>
      <c r="R1044" s="296">
        <v>0</v>
      </c>
      <c r="S1044" s="296">
        <v>0.95289999999999997</v>
      </c>
      <c r="T1044" s="297">
        <v>10444</v>
      </c>
      <c r="U1044" s="340">
        <v>109629</v>
      </c>
      <c r="V1044" s="340">
        <v>325887</v>
      </c>
      <c r="W1044" s="297">
        <v>24984</v>
      </c>
      <c r="X1044" s="296">
        <v>6.0000000000000001E-3</v>
      </c>
    </row>
    <row r="1045" spans="13:24">
      <c r="M1045">
        <v>1043</v>
      </c>
      <c r="N1045">
        <v>14850</v>
      </c>
      <c r="O1045" t="s">
        <v>575</v>
      </c>
      <c r="P1045" t="s">
        <v>128</v>
      </c>
      <c r="Q1045">
        <v>577</v>
      </c>
      <c r="R1045" s="296">
        <v>0</v>
      </c>
      <c r="S1045" s="296">
        <v>0.95289999999999997</v>
      </c>
      <c r="T1045" s="297">
        <v>28546</v>
      </c>
      <c r="U1045" s="340">
        <v>108840</v>
      </c>
      <c r="V1045" s="340">
        <v>419859</v>
      </c>
      <c r="W1045" s="297">
        <v>66871</v>
      </c>
      <c r="X1045" s="296">
        <v>2E-3</v>
      </c>
    </row>
    <row r="1046" spans="13:24">
      <c r="M1046">
        <v>1044</v>
      </c>
      <c r="N1046">
        <v>33967</v>
      </c>
      <c r="O1046" t="s">
        <v>345</v>
      </c>
      <c r="P1046" t="s">
        <v>127</v>
      </c>
      <c r="Q1046">
        <v>1135</v>
      </c>
      <c r="R1046" s="296">
        <v>0</v>
      </c>
      <c r="S1046" s="296">
        <v>0.95299999999999996</v>
      </c>
      <c r="T1046" s="297">
        <v>11391</v>
      </c>
      <c r="U1046" s="340">
        <v>108134</v>
      </c>
      <c r="V1046" s="340">
        <v>443070</v>
      </c>
      <c r="W1046" s="297">
        <v>30466</v>
      </c>
      <c r="X1046" s="296">
        <v>2.3E-2</v>
      </c>
    </row>
    <row r="1047" spans="13:24">
      <c r="M1047">
        <v>1045</v>
      </c>
      <c r="N1047">
        <v>20782</v>
      </c>
      <c r="O1047" t="s">
        <v>725</v>
      </c>
      <c r="P1047" t="s">
        <v>137</v>
      </c>
      <c r="Q1047">
        <v>609</v>
      </c>
      <c r="R1047" s="296">
        <v>0</v>
      </c>
      <c r="S1047" s="296">
        <v>0.95299999999999996</v>
      </c>
      <c r="T1047" s="297">
        <v>13304</v>
      </c>
      <c r="U1047" s="340">
        <v>107980</v>
      </c>
      <c r="V1047" s="340">
        <v>507109</v>
      </c>
      <c r="W1047" s="297">
        <v>36927</v>
      </c>
      <c r="X1047" s="296">
        <v>4.0000000000000001E-3</v>
      </c>
    </row>
    <row r="1048" spans="13:24">
      <c r="M1048">
        <v>1046</v>
      </c>
      <c r="N1048">
        <v>33463</v>
      </c>
      <c r="O1048" t="s">
        <v>1328</v>
      </c>
      <c r="P1048" t="s">
        <v>127</v>
      </c>
      <c r="Q1048">
        <v>1159</v>
      </c>
      <c r="R1048" s="296">
        <v>0</v>
      </c>
      <c r="S1048" s="296">
        <v>0.95299999999999996</v>
      </c>
      <c r="T1048" s="297">
        <v>21170</v>
      </c>
      <c r="U1048" s="340">
        <v>107511</v>
      </c>
      <c r="V1048" s="340">
        <v>425438</v>
      </c>
      <c r="W1048" s="297">
        <v>65459</v>
      </c>
      <c r="X1048" s="296">
        <v>3.0000000000000001E-3</v>
      </c>
    </row>
    <row r="1049" spans="13:24">
      <c r="M1049">
        <v>1047</v>
      </c>
      <c r="N1049">
        <v>93405</v>
      </c>
      <c r="O1049" t="s">
        <v>1329</v>
      </c>
      <c r="P1049" t="s">
        <v>132</v>
      </c>
      <c r="Q1049">
        <v>1823</v>
      </c>
      <c r="R1049" s="296">
        <v>0</v>
      </c>
      <c r="S1049" s="296">
        <v>0.95309999999999995</v>
      </c>
      <c r="T1049" s="297">
        <v>9072</v>
      </c>
      <c r="U1049" s="340">
        <v>107298</v>
      </c>
      <c r="V1049" s="340">
        <v>967664</v>
      </c>
      <c r="W1049" s="297">
        <v>32403</v>
      </c>
      <c r="X1049" s="296">
        <v>1E-3</v>
      </c>
    </row>
    <row r="1050" spans="13:24">
      <c r="M1050">
        <v>1048</v>
      </c>
      <c r="N1050">
        <v>54937</v>
      </c>
      <c r="O1050" t="s">
        <v>1153</v>
      </c>
      <c r="P1050" t="s">
        <v>149</v>
      </c>
      <c r="Q1050">
        <v>119</v>
      </c>
      <c r="R1050" s="296">
        <v>0</v>
      </c>
      <c r="S1050" s="296">
        <v>0.95309999999999995</v>
      </c>
      <c r="T1050" s="297">
        <v>8787</v>
      </c>
      <c r="U1050" s="340">
        <v>107199</v>
      </c>
      <c r="V1050" s="340">
        <v>332816</v>
      </c>
      <c r="W1050" s="297">
        <v>20919</v>
      </c>
      <c r="X1050" s="296">
        <v>8.0000000000000002E-3</v>
      </c>
    </row>
    <row r="1051" spans="13:24">
      <c r="M1051">
        <v>1049</v>
      </c>
      <c r="N1051">
        <v>46528</v>
      </c>
      <c r="O1051" t="s">
        <v>743</v>
      </c>
      <c r="P1051" t="s">
        <v>144</v>
      </c>
      <c r="Q1051">
        <v>107</v>
      </c>
      <c r="R1051" s="296">
        <v>0</v>
      </c>
      <c r="S1051" s="296">
        <v>0.95320000000000005</v>
      </c>
      <c r="T1051" s="297">
        <v>9272</v>
      </c>
      <c r="U1051" s="340">
        <v>106576</v>
      </c>
      <c r="V1051" s="340">
        <v>312642</v>
      </c>
      <c r="W1051" s="297">
        <v>28202</v>
      </c>
      <c r="X1051" s="296">
        <v>1E-3</v>
      </c>
    </row>
    <row r="1052" spans="13:24">
      <c r="M1052">
        <v>1050</v>
      </c>
      <c r="N1052">
        <v>63052</v>
      </c>
      <c r="O1052" t="s">
        <v>1330</v>
      </c>
      <c r="P1052" t="s">
        <v>186</v>
      </c>
      <c r="Q1052">
        <v>294</v>
      </c>
      <c r="R1052" s="296">
        <v>0</v>
      </c>
      <c r="S1052" s="296">
        <v>0.95320000000000005</v>
      </c>
      <c r="T1052" s="297">
        <v>10859</v>
      </c>
      <c r="U1052" s="340">
        <v>106467</v>
      </c>
      <c r="V1052" s="340">
        <v>286789</v>
      </c>
      <c r="W1052" s="297">
        <v>29330</v>
      </c>
      <c r="X1052" s="296">
        <v>3.0000000000000001E-3</v>
      </c>
    </row>
    <row r="1053" spans="13:24">
      <c r="M1053">
        <v>1051</v>
      </c>
      <c r="N1053">
        <v>27284</v>
      </c>
      <c r="O1053" t="s">
        <v>1331</v>
      </c>
      <c r="P1053" t="s">
        <v>138</v>
      </c>
      <c r="Q1053">
        <v>586</v>
      </c>
      <c r="R1053" s="296">
        <v>0</v>
      </c>
      <c r="S1053" s="296">
        <v>0.95320000000000005</v>
      </c>
      <c r="T1053" s="297">
        <v>25388</v>
      </c>
      <c r="U1053" s="340">
        <v>106085</v>
      </c>
      <c r="V1053" s="340">
        <v>324230</v>
      </c>
      <c r="W1053" s="297">
        <v>60952</v>
      </c>
      <c r="X1053" s="296">
        <v>1.4E-2</v>
      </c>
    </row>
    <row r="1054" spans="13:24">
      <c r="M1054">
        <v>1052</v>
      </c>
      <c r="N1054">
        <v>11221</v>
      </c>
      <c r="O1054" t="s">
        <v>472</v>
      </c>
      <c r="P1054" t="s">
        <v>128</v>
      </c>
      <c r="Q1054">
        <v>724</v>
      </c>
      <c r="R1054" s="296">
        <v>0</v>
      </c>
      <c r="S1054" s="296">
        <v>0.95330000000000004</v>
      </c>
      <c r="T1054" s="297">
        <v>34682</v>
      </c>
      <c r="U1054" s="340">
        <v>105916</v>
      </c>
      <c r="V1054" s="340">
        <v>1194733</v>
      </c>
      <c r="W1054" s="297">
        <v>88786</v>
      </c>
      <c r="X1054" s="296">
        <v>-3.0000000000000001E-3</v>
      </c>
    </row>
    <row r="1055" spans="13:24">
      <c r="M1055">
        <v>1053</v>
      </c>
      <c r="N1055">
        <v>63104</v>
      </c>
      <c r="O1055" t="s">
        <v>536</v>
      </c>
      <c r="P1055" t="s">
        <v>186</v>
      </c>
      <c r="Q1055">
        <v>276</v>
      </c>
      <c r="R1055" s="296">
        <v>0</v>
      </c>
      <c r="S1055" s="296">
        <v>0.95330000000000004</v>
      </c>
      <c r="T1055" s="297">
        <v>9755</v>
      </c>
      <c r="U1055" s="340">
        <v>105787</v>
      </c>
      <c r="V1055" s="340">
        <v>361337</v>
      </c>
      <c r="W1055" s="297">
        <v>19017</v>
      </c>
      <c r="X1055" s="296">
        <v>-1E-3</v>
      </c>
    </row>
    <row r="1056" spans="13:24">
      <c r="M1056">
        <v>1054</v>
      </c>
      <c r="N1056">
        <v>43110</v>
      </c>
      <c r="O1056" t="s">
        <v>1332</v>
      </c>
      <c r="P1056" t="s">
        <v>136</v>
      </c>
      <c r="Q1056">
        <v>305</v>
      </c>
      <c r="R1056" s="296">
        <v>0</v>
      </c>
      <c r="S1056" s="296">
        <v>0.95330000000000004</v>
      </c>
      <c r="T1056" s="297">
        <v>16685</v>
      </c>
      <c r="U1056" s="340">
        <v>105608</v>
      </c>
      <c r="V1056" s="340">
        <v>315378</v>
      </c>
      <c r="W1056" s="297">
        <v>43121</v>
      </c>
      <c r="X1056" s="296">
        <v>8.9999999999999993E-3</v>
      </c>
    </row>
    <row r="1057" spans="13:24">
      <c r="M1057">
        <v>1055</v>
      </c>
      <c r="N1057">
        <v>90004</v>
      </c>
      <c r="O1057" t="s">
        <v>309</v>
      </c>
      <c r="P1057" t="s">
        <v>132</v>
      </c>
      <c r="Q1057">
        <v>1739</v>
      </c>
      <c r="R1057" s="296">
        <v>0</v>
      </c>
      <c r="S1057" s="296">
        <v>0.95340000000000003</v>
      </c>
      <c r="T1057" s="297">
        <v>24032</v>
      </c>
      <c r="U1057" s="340">
        <v>105481</v>
      </c>
      <c r="V1057" s="340">
        <v>1488942</v>
      </c>
      <c r="W1057" s="297">
        <v>57985</v>
      </c>
      <c r="X1057" s="296">
        <v>-5.0000000000000001E-3</v>
      </c>
    </row>
    <row r="1058" spans="13:24">
      <c r="M1058">
        <v>1056</v>
      </c>
      <c r="N1058">
        <v>29485</v>
      </c>
      <c r="O1058" t="s">
        <v>756</v>
      </c>
      <c r="P1058" t="s">
        <v>145</v>
      </c>
      <c r="Q1058">
        <v>759</v>
      </c>
      <c r="R1058" s="296">
        <v>0</v>
      </c>
      <c r="S1058" s="296">
        <v>0.95340000000000003</v>
      </c>
      <c r="T1058" s="297">
        <v>22822</v>
      </c>
      <c r="U1058" s="340">
        <v>105295</v>
      </c>
      <c r="V1058" s="340">
        <v>353999</v>
      </c>
      <c r="W1058" s="297">
        <v>59715</v>
      </c>
      <c r="X1058" s="296">
        <v>6.0000000000000001E-3</v>
      </c>
    </row>
    <row r="1059" spans="13:24">
      <c r="M1059">
        <v>1057</v>
      </c>
      <c r="N1059">
        <v>33027</v>
      </c>
      <c r="O1059" t="s">
        <v>542</v>
      </c>
      <c r="P1059" t="s">
        <v>127</v>
      </c>
      <c r="Q1059">
        <v>1194</v>
      </c>
      <c r="R1059" s="296">
        <v>0</v>
      </c>
      <c r="S1059" s="296">
        <v>0.95350000000000001</v>
      </c>
      <c r="T1059" s="297">
        <v>23699</v>
      </c>
      <c r="U1059" s="340">
        <v>104785</v>
      </c>
      <c r="V1059" s="340">
        <v>505798</v>
      </c>
      <c r="W1059" s="297">
        <v>64617</v>
      </c>
      <c r="X1059" s="296">
        <v>3.0000000000000001E-3</v>
      </c>
    </row>
    <row r="1060" spans="13:24">
      <c r="M1060">
        <v>1058</v>
      </c>
      <c r="N1060">
        <v>55109</v>
      </c>
      <c r="O1060" t="s">
        <v>445</v>
      </c>
      <c r="P1060" t="s">
        <v>151</v>
      </c>
      <c r="Q1060">
        <v>329</v>
      </c>
      <c r="R1060" s="296">
        <v>0</v>
      </c>
      <c r="S1060" s="296">
        <v>0.95350000000000001</v>
      </c>
      <c r="T1060" s="297">
        <v>12964</v>
      </c>
      <c r="U1060" s="340">
        <v>104600</v>
      </c>
      <c r="V1060" s="340">
        <v>372167</v>
      </c>
      <c r="W1060" s="297">
        <v>34130</v>
      </c>
      <c r="X1060" s="296">
        <v>3.0000000000000001E-3</v>
      </c>
    </row>
    <row r="1061" spans="13:24">
      <c r="M1061">
        <v>1059</v>
      </c>
      <c r="N1061">
        <v>28405</v>
      </c>
      <c r="O1061" t="s">
        <v>311</v>
      </c>
      <c r="P1061" t="s">
        <v>138</v>
      </c>
      <c r="Q1061">
        <v>765</v>
      </c>
      <c r="R1061" s="296">
        <v>0</v>
      </c>
      <c r="S1061" s="296">
        <v>0.95350000000000001</v>
      </c>
      <c r="T1061" s="297">
        <v>15610</v>
      </c>
      <c r="U1061" s="340">
        <v>104300</v>
      </c>
      <c r="V1061" s="340">
        <v>570413</v>
      </c>
      <c r="W1061" s="297">
        <v>34377</v>
      </c>
      <c r="X1061" s="296">
        <v>1.6E-2</v>
      </c>
    </row>
    <row r="1062" spans="13:24">
      <c r="M1062">
        <v>1060</v>
      </c>
      <c r="N1062">
        <v>61038</v>
      </c>
      <c r="O1062" t="s">
        <v>1333</v>
      </c>
      <c r="P1062" t="s">
        <v>131</v>
      </c>
      <c r="Q1062">
        <v>49</v>
      </c>
      <c r="R1062" s="296">
        <v>0</v>
      </c>
      <c r="S1062" s="296">
        <v>0.9536</v>
      </c>
      <c r="T1062">
        <v>490</v>
      </c>
      <c r="U1062" s="340">
        <v>103895</v>
      </c>
      <c r="V1062" s="340">
        <v>288386</v>
      </c>
      <c r="W1062" s="297">
        <v>1171</v>
      </c>
      <c r="X1062" s="296">
        <v>1E-3</v>
      </c>
    </row>
    <row r="1063" spans="13:24">
      <c r="M1063">
        <v>1061</v>
      </c>
      <c r="N1063">
        <v>60468</v>
      </c>
      <c r="O1063" t="s">
        <v>1334</v>
      </c>
      <c r="P1063" t="s">
        <v>131</v>
      </c>
      <c r="Q1063">
        <v>56</v>
      </c>
      <c r="R1063" s="296">
        <v>0</v>
      </c>
      <c r="S1063" s="296">
        <v>0.9536</v>
      </c>
      <c r="T1063" s="297">
        <v>2340</v>
      </c>
      <c r="U1063" s="340">
        <v>103728</v>
      </c>
      <c r="V1063" s="340">
        <v>351407</v>
      </c>
      <c r="W1063" s="297">
        <v>5875</v>
      </c>
      <c r="X1063" s="296">
        <v>-1E-3</v>
      </c>
    </row>
    <row r="1064" spans="13:24">
      <c r="M1064">
        <v>1062</v>
      </c>
      <c r="N1064">
        <v>93727</v>
      </c>
      <c r="O1064" t="s">
        <v>1335</v>
      </c>
      <c r="P1064" t="s">
        <v>132</v>
      </c>
      <c r="Q1064">
        <v>1732</v>
      </c>
      <c r="R1064" s="296">
        <v>0</v>
      </c>
      <c r="S1064" s="296">
        <v>0.9536</v>
      </c>
      <c r="T1064" s="297">
        <v>27510</v>
      </c>
      <c r="U1064" s="340">
        <v>103628</v>
      </c>
      <c r="V1064" s="340">
        <v>450285</v>
      </c>
      <c r="W1064" s="297">
        <v>91503</v>
      </c>
      <c r="X1064" s="296">
        <v>1.9E-2</v>
      </c>
    </row>
    <row r="1065" spans="13:24">
      <c r="M1065">
        <v>1063</v>
      </c>
      <c r="N1065">
        <v>49008</v>
      </c>
      <c r="O1065" t="s">
        <v>1156</v>
      </c>
      <c r="P1065" t="s">
        <v>140</v>
      </c>
      <c r="Q1065">
        <v>112</v>
      </c>
      <c r="R1065" s="296">
        <v>0</v>
      </c>
      <c r="S1065" s="296">
        <v>0.95369999999999999</v>
      </c>
      <c r="T1065" s="297">
        <v>6961</v>
      </c>
      <c r="U1065" s="340">
        <v>103350</v>
      </c>
      <c r="V1065" s="340">
        <v>320210</v>
      </c>
      <c r="W1065" s="297">
        <v>19590</v>
      </c>
      <c r="X1065" s="296">
        <v>1E-3</v>
      </c>
    </row>
    <row r="1066" spans="13:24">
      <c r="M1066">
        <v>1064</v>
      </c>
      <c r="N1066">
        <v>29403</v>
      </c>
      <c r="O1066" t="s">
        <v>431</v>
      </c>
      <c r="P1066" t="s">
        <v>145</v>
      </c>
      <c r="Q1066">
        <v>775</v>
      </c>
      <c r="R1066" s="296">
        <v>0</v>
      </c>
      <c r="S1066" s="296">
        <v>0.95369999999999999</v>
      </c>
      <c r="T1066" s="297">
        <v>11697</v>
      </c>
      <c r="U1066" s="340">
        <v>103000</v>
      </c>
      <c r="V1066" s="340">
        <v>818296</v>
      </c>
      <c r="W1066" s="297">
        <v>26325</v>
      </c>
      <c r="X1066" s="296">
        <v>3.6999999999999998E-2</v>
      </c>
    </row>
    <row r="1067" spans="13:24">
      <c r="M1067">
        <v>1065</v>
      </c>
      <c r="N1067">
        <v>38016</v>
      </c>
      <c r="O1067" t="s">
        <v>1336</v>
      </c>
      <c r="P1067" t="s">
        <v>146</v>
      </c>
      <c r="Q1067">
        <v>495</v>
      </c>
      <c r="R1067" s="296">
        <v>0</v>
      </c>
      <c r="S1067" s="296">
        <v>0.95379999999999998</v>
      </c>
      <c r="T1067" s="297">
        <v>19456</v>
      </c>
      <c r="U1067" s="340">
        <v>102780</v>
      </c>
      <c r="V1067" s="340">
        <v>343678</v>
      </c>
      <c r="W1067" s="297">
        <v>47411</v>
      </c>
      <c r="X1067" s="296">
        <v>-5.0000000000000001E-3</v>
      </c>
    </row>
    <row r="1068" spans="13:24">
      <c r="M1068">
        <v>1066</v>
      </c>
      <c r="N1068">
        <v>62675</v>
      </c>
      <c r="O1068" t="s">
        <v>1337</v>
      </c>
      <c r="P1068" t="s">
        <v>131</v>
      </c>
      <c r="Q1068">
        <v>181</v>
      </c>
      <c r="R1068" s="296">
        <v>0</v>
      </c>
      <c r="S1068" s="296">
        <v>0.95379999999999998</v>
      </c>
      <c r="T1068" s="297">
        <v>2539</v>
      </c>
      <c r="U1068" s="340">
        <v>102311</v>
      </c>
      <c r="V1068" s="340">
        <v>245521</v>
      </c>
      <c r="W1068" s="297">
        <v>5920</v>
      </c>
      <c r="X1068" s="296">
        <v>-4.0000000000000001E-3</v>
      </c>
    </row>
    <row r="1069" spans="13:24">
      <c r="M1069">
        <v>1067</v>
      </c>
      <c r="N1069">
        <v>49106</v>
      </c>
      <c r="O1069" t="s">
        <v>1338</v>
      </c>
      <c r="P1069" t="s">
        <v>140</v>
      </c>
      <c r="Q1069">
        <v>65</v>
      </c>
      <c r="R1069" s="296">
        <v>0</v>
      </c>
      <c r="S1069" s="296">
        <v>0.95379999999999998</v>
      </c>
      <c r="T1069" s="297">
        <v>1793</v>
      </c>
      <c r="U1069" s="340">
        <v>101821</v>
      </c>
      <c r="V1069" s="340">
        <v>312043</v>
      </c>
      <c r="W1069" s="297">
        <v>4237</v>
      </c>
      <c r="X1069" s="296">
        <v>7.0000000000000001E-3</v>
      </c>
    </row>
    <row r="1070" spans="13:24">
      <c r="M1070">
        <v>1068</v>
      </c>
      <c r="N1070">
        <v>48393</v>
      </c>
      <c r="O1070" t="s">
        <v>1339</v>
      </c>
      <c r="P1070" t="s">
        <v>140</v>
      </c>
      <c r="Q1070">
        <v>219</v>
      </c>
      <c r="R1070" s="296">
        <v>0</v>
      </c>
      <c r="S1070" s="296">
        <v>0.95389999999999997</v>
      </c>
      <c r="T1070" s="297">
        <v>9370</v>
      </c>
      <c r="U1070" s="340">
        <v>101499</v>
      </c>
      <c r="V1070" s="340">
        <v>341934</v>
      </c>
      <c r="W1070" s="297">
        <v>19204</v>
      </c>
      <c r="X1070" s="296">
        <v>-3.0000000000000001E-3</v>
      </c>
    </row>
    <row r="1071" spans="13:24">
      <c r="M1071">
        <v>1069</v>
      </c>
      <c r="N1071">
        <v>53090</v>
      </c>
      <c r="O1071" t="s">
        <v>737</v>
      </c>
      <c r="P1071" t="s">
        <v>149</v>
      </c>
      <c r="Q1071">
        <v>93</v>
      </c>
      <c r="R1071" s="296">
        <v>0</v>
      </c>
      <c r="S1071" s="296">
        <v>0.95389999999999997</v>
      </c>
      <c r="T1071" s="297">
        <v>9160</v>
      </c>
      <c r="U1071" s="340">
        <v>101410</v>
      </c>
      <c r="V1071" s="340">
        <v>384888</v>
      </c>
      <c r="W1071" s="297">
        <v>21878</v>
      </c>
      <c r="X1071" s="296">
        <v>2E-3</v>
      </c>
    </row>
    <row r="1072" spans="13:24">
      <c r="M1072">
        <v>1070</v>
      </c>
      <c r="N1072">
        <v>30504</v>
      </c>
      <c r="O1072" t="s">
        <v>606</v>
      </c>
      <c r="P1072" t="s">
        <v>130</v>
      </c>
      <c r="Q1072">
        <v>584</v>
      </c>
      <c r="R1072" s="296">
        <v>0</v>
      </c>
      <c r="S1072" s="296">
        <v>0.95389999999999997</v>
      </c>
      <c r="T1072" s="297">
        <v>10179</v>
      </c>
      <c r="U1072" s="340">
        <v>101398</v>
      </c>
      <c r="V1072" s="340">
        <v>463848</v>
      </c>
      <c r="W1072" s="297">
        <v>28754</v>
      </c>
      <c r="X1072" s="296">
        <v>1.2E-2</v>
      </c>
    </row>
    <row r="1073" spans="13:24">
      <c r="M1073">
        <v>1071</v>
      </c>
      <c r="N1073">
        <v>62221</v>
      </c>
      <c r="O1073" t="s">
        <v>1221</v>
      </c>
      <c r="P1073" t="s">
        <v>131</v>
      </c>
      <c r="Q1073">
        <v>274</v>
      </c>
      <c r="R1073" s="296">
        <v>0</v>
      </c>
      <c r="S1073" s="296">
        <v>0.95399999999999996</v>
      </c>
      <c r="T1073" s="297">
        <v>11659</v>
      </c>
      <c r="U1073" s="340">
        <v>100704</v>
      </c>
      <c r="V1073" s="340">
        <v>255929</v>
      </c>
      <c r="W1073" s="297">
        <v>28614</v>
      </c>
      <c r="X1073" s="296">
        <v>-3.0000000000000001E-3</v>
      </c>
    </row>
    <row r="1074" spans="13:24">
      <c r="M1074">
        <v>1072</v>
      </c>
      <c r="N1074">
        <v>76180</v>
      </c>
      <c r="O1074" t="s">
        <v>1340</v>
      </c>
      <c r="P1074" t="s">
        <v>134</v>
      </c>
      <c r="Q1074">
        <v>824</v>
      </c>
      <c r="R1074" s="296">
        <v>0</v>
      </c>
      <c r="S1074" s="296">
        <v>0.95399999999999996</v>
      </c>
      <c r="T1074" s="297">
        <v>16177</v>
      </c>
      <c r="U1074" s="340">
        <v>100652</v>
      </c>
      <c r="V1074" s="340">
        <v>366803</v>
      </c>
      <c r="W1074" s="297">
        <v>39095</v>
      </c>
      <c r="X1074" s="296">
        <v>0.02</v>
      </c>
    </row>
    <row r="1075" spans="13:24">
      <c r="M1075">
        <v>1073</v>
      </c>
      <c r="N1075">
        <v>60034</v>
      </c>
      <c r="O1075" t="s">
        <v>447</v>
      </c>
      <c r="P1075" t="s">
        <v>131</v>
      </c>
      <c r="Q1075">
        <v>39</v>
      </c>
      <c r="R1075" s="296">
        <v>0</v>
      </c>
      <c r="S1075" s="296">
        <v>0.95409999999999995</v>
      </c>
      <c r="T1075">
        <v>820</v>
      </c>
      <c r="U1075" s="340">
        <v>100459</v>
      </c>
      <c r="V1075" s="340">
        <v>334213</v>
      </c>
      <c r="W1075" s="297">
        <v>2077</v>
      </c>
      <c r="X1075" s="296">
        <v>-3.0000000000000001E-3</v>
      </c>
    </row>
    <row r="1076" spans="13:24">
      <c r="M1076">
        <v>1074</v>
      </c>
      <c r="N1076">
        <v>4345</v>
      </c>
      <c r="O1076" t="s">
        <v>1341</v>
      </c>
      <c r="P1076" t="s">
        <v>182</v>
      </c>
      <c r="Q1076">
        <v>916</v>
      </c>
      <c r="R1076" s="296">
        <v>0</v>
      </c>
      <c r="S1076" s="296">
        <v>0.95409999999999995</v>
      </c>
      <c r="T1076" s="297">
        <v>5211</v>
      </c>
      <c r="U1076" s="340">
        <v>99781</v>
      </c>
      <c r="V1076" s="340">
        <v>271218</v>
      </c>
      <c r="W1076" s="297">
        <v>12215</v>
      </c>
      <c r="X1076" s="296">
        <v>3.0000000000000001E-3</v>
      </c>
    </row>
    <row r="1077" spans="13:24">
      <c r="M1077">
        <v>1075</v>
      </c>
      <c r="N1077">
        <v>53095</v>
      </c>
      <c r="O1077" t="s">
        <v>737</v>
      </c>
      <c r="P1077" t="s">
        <v>149</v>
      </c>
      <c r="Q1077">
        <v>90</v>
      </c>
      <c r="R1077" s="296">
        <v>0</v>
      </c>
      <c r="S1077" s="296">
        <v>0.95409999999999995</v>
      </c>
      <c r="T1077" s="297">
        <v>11761</v>
      </c>
      <c r="U1077" s="340">
        <v>98459</v>
      </c>
      <c r="V1077" s="340">
        <v>419331</v>
      </c>
      <c r="W1077" s="297">
        <v>27465</v>
      </c>
      <c r="X1077" s="296">
        <v>2E-3</v>
      </c>
    </row>
    <row r="1078" spans="13:24">
      <c r="M1078">
        <v>1076</v>
      </c>
      <c r="N1078">
        <v>50010</v>
      </c>
      <c r="O1078" t="s">
        <v>1100</v>
      </c>
      <c r="P1078" t="s">
        <v>170</v>
      </c>
      <c r="Q1078">
        <v>298</v>
      </c>
      <c r="R1078" s="296">
        <v>0</v>
      </c>
      <c r="S1078" s="296">
        <v>0.95420000000000005</v>
      </c>
      <c r="T1078" s="297">
        <v>14422</v>
      </c>
      <c r="U1078" s="340">
        <v>98425</v>
      </c>
      <c r="V1078" s="340">
        <v>297631</v>
      </c>
      <c r="W1078" s="297">
        <v>33596</v>
      </c>
      <c r="X1078" s="296">
        <v>8.9999999999999993E-3</v>
      </c>
    </row>
    <row r="1079" spans="13:24">
      <c r="M1079">
        <v>1077</v>
      </c>
      <c r="N1079">
        <v>49445</v>
      </c>
      <c r="O1079" t="s">
        <v>1342</v>
      </c>
      <c r="P1079" t="s">
        <v>140</v>
      </c>
      <c r="Q1079">
        <v>110</v>
      </c>
      <c r="R1079" s="296">
        <v>0</v>
      </c>
      <c r="S1079" s="296">
        <v>0.95420000000000005</v>
      </c>
      <c r="T1079" s="297">
        <v>8677</v>
      </c>
      <c r="U1079" s="340">
        <v>98300</v>
      </c>
      <c r="V1079" s="340">
        <v>279659</v>
      </c>
      <c r="W1079" s="297">
        <v>21856</v>
      </c>
      <c r="X1079" s="296">
        <v>-1E-3</v>
      </c>
    </row>
    <row r="1080" spans="13:24">
      <c r="M1080">
        <v>1078</v>
      </c>
      <c r="N1080">
        <v>61080</v>
      </c>
      <c r="O1080" t="s">
        <v>1343</v>
      </c>
      <c r="P1080" t="s">
        <v>131</v>
      </c>
      <c r="Q1080">
        <v>66</v>
      </c>
      <c r="R1080" s="296">
        <v>0</v>
      </c>
      <c r="S1080" s="296">
        <v>0.95420000000000005</v>
      </c>
      <c r="T1080" s="297">
        <v>4292</v>
      </c>
      <c r="U1080" s="340">
        <v>97972</v>
      </c>
      <c r="V1080" s="340">
        <v>218362</v>
      </c>
      <c r="W1080" s="297">
        <v>11189</v>
      </c>
      <c r="X1080" s="296">
        <v>1E-3</v>
      </c>
    </row>
    <row r="1081" spans="13:24">
      <c r="M1081">
        <v>1079</v>
      </c>
      <c r="N1081">
        <v>46582</v>
      </c>
      <c r="O1081" t="s">
        <v>1344</v>
      </c>
      <c r="P1081" t="s">
        <v>144</v>
      </c>
      <c r="Q1081">
        <v>116</v>
      </c>
      <c r="R1081" s="296">
        <v>0</v>
      </c>
      <c r="S1081" s="296">
        <v>0.95430000000000004</v>
      </c>
      <c r="T1081" s="297">
        <v>5758</v>
      </c>
      <c r="U1081" s="340">
        <v>97925</v>
      </c>
      <c r="V1081" s="340">
        <v>284985</v>
      </c>
      <c r="W1081" s="297">
        <v>14354</v>
      </c>
      <c r="X1081" s="296">
        <v>5.0000000000000001E-3</v>
      </c>
    </row>
    <row r="1082" spans="13:24">
      <c r="M1082">
        <v>1080</v>
      </c>
      <c r="N1082">
        <v>90810</v>
      </c>
      <c r="O1082" t="s">
        <v>1345</v>
      </c>
      <c r="P1082" t="s">
        <v>132</v>
      </c>
      <c r="Q1082">
        <v>1744</v>
      </c>
      <c r="R1082" s="296">
        <v>0</v>
      </c>
      <c r="S1082" s="296">
        <v>0.95430000000000004</v>
      </c>
      <c r="T1082" s="297">
        <v>10232</v>
      </c>
      <c r="U1082" s="340">
        <v>97622</v>
      </c>
      <c r="V1082" s="340">
        <v>590609</v>
      </c>
      <c r="W1082" s="297">
        <v>37204</v>
      </c>
      <c r="X1082" s="296">
        <v>-8.0000000000000002E-3</v>
      </c>
    </row>
    <row r="1083" spans="13:24">
      <c r="M1083">
        <v>1081</v>
      </c>
      <c r="N1083">
        <v>77511</v>
      </c>
      <c r="O1083" t="s">
        <v>1346</v>
      </c>
      <c r="P1083" t="s">
        <v>134</v>
      </c>
      <c r="Q1083">
        <v>974</v>
      </c>
      <c r="R1083" s="296">
        <v>0</v>
      </c>
      <c r="S1083" s="296">
        <v>0.95440000000000003</v>
      </c>
      <c r="T1083" s="297">
        <v>19390</v>
      </c>
      <c r="U1083" s="340">
        <v>97172</v>
      </c>
      <c r="V1083" s="340">
        <v>282897</v>
      </c>
      <c r="W1083" s="297">
        <v>53780</v>
      </c>
      <c r="X1083" s="296">
        <v>1.2E-2</v>
      </c>
    </row>
    <row r="1084" spans="13:24">
      <c r="M1084">
        <v>1082</v>
      </c>
      <c r="N1084">
        <v>89031</v>
      </c>
      <c r="O1084" t="s">
        <v>1347</v>
      </c>
      <c r="P1084" t="s">
        <v>148</v>
      </c>
      <c r="Q1084">
        <v>1514</v>
      </c>
      <c r="R1084" s="296">
        <v>0</v>
      </c>
      <c r="S1084" s="296">
        <v>0.95440000000000003</v>
      </c>
      <c r="T1084" s="297">
        <v>25565</v>
      </c>
      <c r="U1084" s="340">
        <v>97165</v>
      </c>
      <c r="V1084" s="340">
        <v>429312</v>
      </c>
      <c r="W1084" s="297">
        <v>78637</v>
      </c>
      <c r="X1084" s="296">
        <v>1.2999999999999999E-2</v>
      </c>
    </row>
    <row r="1085" spans="13:24">
      <c r="M1085">
        <v>1083</v>
      </c>
      <c r="N1085">
        <v>65619</v>
      </c>
      <c r="O1085" t="s">
        <v>374</v>
      </c>
      <c r="P1085" t="s">
        <v>186</v>
      </c>
      <c r="Q1085">
        <v>457</v>
      </c>
      <c r="R1085" s="296">
        <v>0</v>
      </c>
      <c r="S1085" s="296">
        <v>0.95440000000000003</v>
      </c>
      <c r="T1085" s="297">
        <v>3843</v>
      </c>
      <c r="U1085" s="340">
        <v>96629</v>
      </c>
      <c r="V1085" s="340">
        <v>300373</v>
      </c>
      <c r="W1085" s="297">
        <v>9432</v>
      </c>
      <c r="X1085" s="296">
        <v>1.9E-2</v>
      </c>
    </row>
    <row r="1086" spans="13:24">
      <c r="M1086">
        <v>1084</v>
      </c>
      <c r="N1086">
        <v>61061</v>
      </c>
      <c r="O1086" t="s">
        <v>208</v>
      </c>
      <c r="P1086" t="s">
        <v>131</v>
      </c>
      <c r="Q1086">
        <v>80</v>
      </c>
      <c r="R1086" s="296">
        <v>0</v>
      </c>
      <c r="S1086" s="296">
        <v>0.95450000000000002</v>
      </c>
      <c r="T1086" s="297">
        <v>3038</v>
      </c>
      <c r="U1086" s="340">
        <v>96389</v>
      </c>
      <c r="V1086" s="340">
        <v>270980</v>
      </c>
      <c r="W1086" s="297">
        <v>6821</v>
      </c>
      <c r="X1086" s="296">
        <v>-3.0000000000000001E-3</v>
      </c>
    </row>
    <row r="1087" spans="13:24">
      <c r="M1087">
        <v>1085</v>
      </c>
      <c r="N1087">
        <v>54474</v>
      </c>
      <c r="O1087" t="s">
        <v>1348</v>
      </c>
      <c r="P1087" t="s">
        <v>149</v>
      </c>
      <c r="Q1087">
        <v>210</v>
      </c>
      <c r="R1087" s="296">
        <v>0</v>
      </c>
      <c r="S1087" s="296">
        <v>0.95450000000000002</v>
      </c>
      <c r="T1087" s="297">
        <v>1782</v>
      </c>
      <c r="U1087" s="340">
        <v>96322</v>
      </c>
      <c r="V1087" s="340">
        <v>264479</v>
      </c>
      <c r="W1087" s="297">
        <v>4041</v>
      </c>
      <c r="X1087" s="296">
        <v>-2E-3</v>
      </c>
    </row>
    <row r="1088" spans="13:24">
      <c r="M1088">
        <v>1086</v>
      </c>
      <c r="N1088">
        <v>63010</v>
      </c>
      <c r="O1088" t="s">
        <v>1269</v>
      </c>
      <c r="P1088" t="s">
        <v>186</v>
      </c>
      <c r="Q1088">
        <v>291</v>
      </c>
      <c r="R1088" s="296">
        <v>0</v>
      </c>
      <c r="S1088" s="296">
        <v>0.95450000000000002</v>
      </c>
      <c r="T1088" s="297">
        <v>14247</v>
      </c>
      <c r="U1088" s="340">
        <v>96115</v>
      </c>
      <c r="V1088" s="340">
        <v>251672</v>
      </c>
      <c r="W1088" s="297">
        <v>35376</v>
      </c>
      <c r="X1088" s="296">
        <v>2E-3</v>
      </c>
    </row>
    <row r="1089" spans="13:24">
      <c r="M1089">
        <v>1087</v>
      </c>
      <c r="N1089">
        <v>11369</v>
      </c>
      <c r="O1089" t="s">
        <v>1349</v>
      </c>
      <c r="P1089" t="s">
        <v>128</v>
      </c>
      <c r="Q1089">
        <v>726</v>
      </c>
      <c r="R1089" s="296">
        <v>0</v>
      </c>
      <c r="S1089" s="296">
        <v>0.9546</v>
      </c>
      <c r="T1089" s="297">
        <v>11594</v>
      </c>
      <c r="U1089" s="340">
        <v>95380</v>
      </c>
      <c r="V1089" s="340">
        <v>826489</v>
      </c>
      <c r="W1089" s="297">
        <v>40110</v>
      </c>
      <c r="X1089" s="296">
        <v>-6.0000000000000001E-3</v>
      </c>
    </row>
    <row r="1090" spans="13:24">
      <c r="M1090">
        <v>1088</v>
      </c>
      <c r="N1090">
        <v>16823</v>
      </c>
      <c r="O1090" t="s">
        <v>1350</v>
      </c>
      <c r="P1090" t="s">
        <v>133</v>
      </c>
      <c r="Q1090">
        <v>525</v>
      </c>
      <c r="R1090" s="296">
        <v>0</v>
      </c>
      <c r="S1090" s="296">
        <v>0.9546</v>
      </c>
      <c r="T1090" s="297">
        <v>10743</v>
      </c>
      <c r="U1090" s="340">
        <v>94945</v>
      </c>
      <c r="V1090" s="340">
        <v>339517</v>
      </c>
      <c r="W1090" s="297">
        <v>29037</v>
      </c>
      <c r="X1090" s="296">
        <v>-1E-3</v>
      </c>
    </row>
    <row r="1091" spans="13:24">
      <c r="M1091">
        <v>1089</v>
      </c>
      <c r="N1091">
        <v>62898</v>
      </c>
      <c r="O1091" t="s">
        <v>1351</v>
      </c>
      <c r="P1091" t="s">
        <v>131</v>
      </c>
      <c r="Q1091">
        <v>269</v>
      </c>
      <c r="R1091" s="296">
        <v>0</v>
      </c>
      <c r="S1091" s="296">
        <v>0.95469999999999999</v>
      </c>
      <c r="T1091">
        <v>764</v>
      </c>
      <c r="U1091" s="340">
        <v>94901</v>
      </c>
      <c r="V1091" s="340">
        <v>199441</v>
      </c>
      <c r="W1091" s="297">
        <v>1966</v>
      </c>
      <c r="X1091" s="296">
        <v>-0.01</v>
      </c>
    </row>
    <row r="1092" spans="13:24">
      <c r="M1092">
        <v>1090</v>
      </c>
      <c r="N1092">
        <v>49508</v>
      </c>
      <c r="O1092" t="s">
        <v>467</v>
      </c>
      <c r="P1092" t="s">
        <v>140</v>
      </c>
      <c r="Q1092">
        <v>122</v>
      </c>
      <c r="R1092" s="296">
        <v>0</v>
      </c>
      <c r="S1092" s="296">
        <v>0.95469999999999999</v>
      </c>
      <c r="T1092" s="297">
        <v>15738</v>
      </c>
      <c r="U1092" s="340">
        <v>94649</v>
      </c>
      <c r="V1092" s="340">
        <v>295227</v>
      </c>
      <c r="W1092" s="297">
        <v>41694</v>
      </c>
      <c r="X1092" s="296">
        <v>3.0000000000000001E-3</v>
      </c>
    </row>
    <row r="1093" spans="13:24">
      <c r="M1093">
        <v>1091</v>
      </c>
      <c r="N1093">
        <v>46561</v>
      </c>
      <c r="O1093" t="s">
        <v>1352</v>
      </c>
      <c r="P1093" t="s">
        <v>144</v>
      </c>
      <c r="Q1093">
        <v>94</v>
      </c>
      <c r="R1093" s="296">
        <v>0</v>
      </c>
      <c r="S1093" s="296">
        <v>0.95469999999999999</v>
      </c>
      <c r="T1093" s="297">
        <v>4808</v>
      </c>
      <c r="U1093" s="340">
        <v>94440</v>
      </c>
      <c r="V1093" s="340">
        <v>253416</v>
      </c>
      <c r="W1093" s="297">
        <v>13189</v>
      </c>
      <c r="X1093" s="296">
        <v>1E-3</v>
      </c>
    </row>
    <row r="1094" spans="13:24">
      <c r="M1094">
        <v>1092</v>
      </c>
      <c r="N1094">
        <v>46725</v>
      </c>
      <c r="O1094" t="s">
        <v>1353</v>
      </c>
      <c r="P1094" t="s">
        <v>144</v>
      </c>
      <c r="Q1094">
        <v>138</v>
      </c>
      <c r="R1094" s="296">
        <v>0</v>
      </c>
      <c r="S1094" s="296">
        <v>0.95479999999999998</v>
      </c>
      <c r="T1094" s="297">
        <v>10139</v>
      </c>
      <c r="U1094" s="340">
        <v>94336</v>
      </c>
      <c r="V1094" s="340">
        <v>271478</v>
      </c>
      <c r="W1094" s="297">
        <v>24552</v>
      </c>
      <c r="X1094" s="296">
        <v>5.0000000000000001E-3</v>
      </c>
    </row>
    <row r="1095" spans="13:24">
      <c r="M1095">
        <v>1093</v>
      </c>
      <c r="N1095">
        <v>53941</v>
      </c>
      <c r="O1095" t="s">
        <v>1354</v>
      </c>
      <c r="P1095" t="s">
        <v>149</v>
      </c>
      <c r="Q1095">
        <v>154</v>
      </c>
      <c r="R1095" s="296">
        <v>0</v>
      </c>
      <c r="S1095" s="296">
        <v>0.95479999999999998</v>
      </c>
      <c r="T1095" s="297">
        <v>1263</v>
      </c>
      <c r="U1095" s="340">
        <v>94214</v>
      </c>
      <c r="V1095" s="340">
        <v>385942</v>
      </c>
      <c r="W1095" s="297">
        <v>3171</v>
      </c>
      <c r="X1095" s="296">
        <v>1E-3</v>
      </c>
    </row>
    <row r="1096" spans="13:24">
      <c r="M1096">
        <v>1094</v>
      </c>
      <c r="N1096">
        <v>46580</v>
      </c>
      <c r="O1096" t="s">
        <v>1344</v>
      </c>
      <c r="P1096" t="s">
        <v>144</v>
      </c>
      <c r="Q1096">
        <v>118</v>
      </c>
      <c r="R1096" s="296">
        <v>0</v>
      </c>
      <c r="S1096" s="296">
        <v>0.95479999999999998</v>
      </c>
      <c r="T1096" s="297">
        <v>9043</v>
      </c>
      <c r="U1096" s="340">
        <v>94102</v>
      </c>
      <c r="V1096" s="340">
        <v>268422</v>
      </c>
      <c r="W1096" s="297">
        <v>22745</v>
      </c>
      <c r="X1096" s="296">
        <v>1E-3</v>
      </c>
    </row>
    <row r="1097" spans="13:24">
      <c r="M1097">
        <v>1095</v>
      </c>
      <c r="N1097">
        <v>63123</v>
      </c>
      <c r="O1097" t="s">
        <v>536</v>
      </c>
      <c r="P1097" t="s">
        <v>186</v>
      </c>
      <c r="Q1097">
        <v>282</v>
      </c>
      <c r="R1097" s="296">
        <v>0</v>
      </c>
      <c r="S1097" s="296">
        <v>0.95489999999999997</v>
      </c>
      <c r="T1097" s="297">
        <v>22513</v>
      </c>
      <c r="U1097" s="340">
        <v>93606</v>
      </c>
      <c r="V1097" s="340">
        <v>269805</v>
      </c>
      <c r="W1097" s="297">
        <v>50467</v>
      </c>
      <c r="X1097" s="296">
        <v>-3.0000000000000001E-3</v>
      </c>
    </row>
    <row r="1098" spans="13:24">
      <c r="M1098">
        <v>1096</v>
      </c>
      <c r="N1098">
        <v>27244</v>
      </c>
      <c r="O1098" t="s">
        <v>1355</v>
      </c>
      <c r="P1098" t="s">
        <v>138</v>
      </c>
      <c r="Q1098">
        <v>604</v>
      </c>
      <c r="R1098" s="296">
        <v>0</v>
      </c>
      <c r="S1098" s="296">
        <v>0.95489999999999997</v>
      </c>
      <c r="T1098" s="297">
        <v>4944</v>
      </c>
      <c r="U1098" s="340">
        <v>93590</v>
      </c>
      <c r="V1098" s="340">
        <v>308035</v>
      </c>
      <c r="W1098" s="297">
        <v>16697</v>
      </c>
      <c r="X1098" s="296">
        <v>7.0000000000000001E-3</v>
      </c>
    </row>
    <row r="1099" spans="13:24">
      <c r="M1099">
        <v>1097</v>
      </c>
      <c r="N1099">
        <v>33905</v>
      </c>
      <c r="O1099" t="s">
        <v>345</v>
      </c>
      <c r="P1099" t="s">
        <v>127</v>
      </c>
      <c r="Q1099">
        <v>1123</v>
      </c>
      <c r="R1099" s="296">
        <v>0</v>
      </c>
      <c r="S1099" s="296">
        <v>0.95499999999999996</v>
      </c>
      <c r="T1099" s="297">
        <v>15321</v>
      </c>
      <c r="U1099" s="340">
        <v>92958</v>
      </c>
      <c r="V1099" s="340">
        <v>404975</v>
      </c>
      <c r="W1099" s="297">
        <v>41507</v>
      </c>
      <c r="X1099" s="296">
        <v>2.4E-2</v>
      </c>
    </row>
    <row r="1100" spans="13:24">
      <c r="M1100">
        <v>1098</v>
      </c>
      <c r="N1100">
        <v>62664</v>
      </c>
      <c r="O1100" t="s">
        <v>1356</v>
      </c>
      <c r="P1100" t="s">
        <v>131</v>
      </c>
      <c r="Q1100">
        <v>168</v>
      </c>
      <c r="R1100" s="296">
        <v>0</v>
      </c>
      <c r="S1100" s="296">
        <v>0.95499999999999996</v>
      </c>
      <c r="T1100" s="297">
        <v>1100</v>
      </c>
      <c r="U1100" s="340">
        <v>92905</v>
      </c>
      <c r="V1100" s="340">
        <v>121465</v>
      </c>
      <c r="W1100" s="297">
        <v>2479</v>
      </c>
      <c r="X1100" s="296">
        <v>-1.6E-2</v>
      </c>
    </row>
    <row r="1101" spans="13:24">
      <c r="M1101">
        <v>1099</v>
      </c>
      <c r="N1101">
        <v>70726</v>
      </c>
      <c r="O1101" t="s">
        <v>1357</v>
      </c>
      <c r="P1101" t="s">
        <v>147</v>
      </c>
      <c r="Q1101">
        <v>828</v>
      </c>
      <c r="R1101" s="296">
        <v>0</v>
      </c>
      <c r="S1101" s="296">
        <v>0.95499999999999996</v>
      </c>
      <c r="T1101" s="297">
        <v>23593</v>
      </c>
      <c r="U1101" s="340">
        <v>92879</v>
      </c>
      <c r="V1101" s="340">
        <v>279634</v>
      </c>
      <c r="W1101" s="297">
        <v>63570</v>
      </c>
      <c r="X1101" s="296">
        <v>1.4999999999999999E-2</v>
      </c>
    </row>
    <row r="1102" spans="13:24">
      <c r="M1102">
        <v>1100</v>
      </c>
      <c r="N1102">
        <v>68803</v>
      </c>
      <c r="O1102" t="s">
        <v>1358</v>
      </c>
      <c r="P1102" t="s">
        <v>195</v>
      </c>
      <c r="Q1102">
        <v>556</v>
      </c>
      <c r="R1102" s="296">
        <v>0</v>
      </c>
      <c r="S1102" s="296">
        <v>0.95509999999999995</v>
      </c>
      <c r="T1102" s="297">
        <v>10690</v>
      </c>
      <c r="U1102" s="340">
        <v>92653</v>
      </c>
      <c r="V1102" s="340">
        <v>253146</v>
      </c>
      <c r="W1102" s="297">
        <v>26858</v>
      </c>
      <c r="X1102" s="296">
        <v>3.0000000000000001E-3</v>
      </c>
    </row>
    <row r="1103" spans="13:24">
      <c r="M1103">
        <v>1101</v>
      </c>
      <c r="N1103">
        <v>62513</v>
      </c>
      <c r="O1103" t="s">
        <v>1359</v>
      </c>
      <c r="P1103" t="s">
        <v>131</v>
      </c>
      <c r="Q1103">
        <v>182</v>
      </c>
      <c r="R1103" s="296">
        <v>0</v>
      </c>
      <c r="S1103" s="296">
        <v>0.95509999999999995</v>
      </c>
      <c r="T1103">
        <v>664</v>
      </c>
      <c r="U1103" s="340">
        <v>92551</v>
      </c>
      <c r="V1103" s="340">
        <v>140602</v>
      </c>
      <c r="W1103" s="297">
        <v>1632</v>
      </c>
      <c r="X1103" s="296">
        <v>-1.0999999999999999E-2</v>
      </c>
    </row>
    <row r="1104" spans="13:24">
      <c r="M1104">
        <v>1102</v>
      </c>
      <c r="N1104">
        <v>32207</v>
      </c>
      <c r="O1104" t="s">
        <v>331</v>
      </c>
      <c r="P1104" t="s">
        <v>127</v>
      </c>
      <c r="Q1104">
        <v>887</v>
      </c>
      <c r="R1104" s="296">
        <v>0</v>
      </c>
      <c r="S1104" s="296">
        <v>0.95509999999999995</v>
      </c>
      <c r="T1104" s="297">
        <v>17793</v>
      </c>
      <c r="U1104" s="340">
        <v>92179</v>
      </c>
      <c r="V1104" s="340">
        <v>413003</v>
      </c>
      <c r="W1104" s="297">
        <v>40464</v>
      </c>
      <c r="X1104" s="296">
        <v>1.7000000000000001E-2</v>
      </c>
    </row>
    <row r="1105" spans="13:24">
      <c r="M1105">
        <v>1103</v>
      </c>
      <c r="N1105">
        <v>33990</v>
      </c>
      <c r="O1105" t="s">
        <v>817</v>
      </c>
      <c r="P1105" t="s">
        <v>127</v>
      </c>
      <c r="Q1105">
        <v>1122</v>
      </c>
      <c r="R1105" s="296">
        <v>0</v>
      </c>
      <c r="S1105" s="296">
        <v>0.95520000000000005</v>
      </c>
      <c r="T1105" s="297">
        <v>13170</v>
      </c>
      <c r="U1105" s="340">
        <v>91966</v>
      </c>
      <c r="V1105" s="340">
        <v>452947</v>
      </c>
      <c r="W1105" s="297">
        <v>32745</v>
      </c>
      <c r="X1105" s="296">
        <v>8.0000000000000002E-3</v>
      </c>
    </row>
    <row r="1106" spans="13:24">
      <c r="M1106">
        <v>1104</v>
      </c>
      <c r="N1106">
        <v>47112</v>
      </c>
      <c r="O1106" t="s">
        <v>1360</v>
      </c>
      <c r="P1106" t="s">
        <v>144</v>
      </c>
      <c r="Q1106">
        <v>287</v>
      </c>
      <c r="R1106" s="296">
        <v>0</v>
      </c>
      <c r="S1106" s="296">
        <v>0.95520000000000005</v>
      </c>
      <c r="T1106" s="297">
        <v>6892</v>
      </c>
      <c r="U1106" s="340">
        <v>90908</v>
      </c>
      <c r="V1106" s="340">
        <v>271140</v>
      </c>
      <c r="W1106" s="297">
        <v>17358</v>
      </c>
      <c r="X1106" s="296">
        <v>4.0000000000000001E-3</v>
      </c>
    </row>
    <row r="1107" spans="13:24">
      <c r="M1107">
        <v>1105</v>
      </c>
      <c r="N1107">
        <v>46614</v>
      </c>
      <c r="O1107" t="s">
        <v>1212</v>
      </c>
      <c r="P1107" t="s">
        <v>144</v>
      </c>
      <c r="Q1107">
        <v>87</v>
      </c>
      <c r="R1107" s="296">
        <v>0</v>
      </c>
      <c r="S1107" s="296">
        <v>0.95530000000000004</v>
      </c>
      <c r="T1107" s="297">
        <v>12791</v>
      </c>
      <c r="U1107" s="340">
        <v>90853</v>
      </c>
      <c r="V1107" s="340">
        <v>245560</v>
      </c>
      <c r="W1107" s="297">
        <v>30366</v>
      </c>
      <c r="X1107" s="296">
        <v>-1E-3</v>
      </c>
    </row>
    <row r="1108" spans="13:24">
      <c r="M1108">
        <v>1106</v>
      </c>
      <c r="N1108">
        <v>61953</v>
      </c>
      <c r="O1108" t="s">
        <v>1361</v>
      </c>
      <c r="P1108" t="s">
        <v>131</v>
      </c>
      <c r="Q1108">
        <v>164</v>
      </c>
      <c r="R1108" s="296">
        <v>0</v>
      </c>
      <c r="S1108" s="296">
        <v>0.95530000000000004</v>
      </c>
      <c r="T1108" s="297">
        <v>2643</v>
      </c>
      <c r="U1108" s="340">
        <v>90123</v>
      </c>
      <c r="V1108" s="340">
        <v>195137</v>
      </c>
      <c r="W1108" s="297">
        <v>6271</v>
      </c>
      <c r="X1108" s="296">
        <v>-6.0000000000000001E-3</v>
      </c>
    </row>
    <row r="1109" spans="13:24">
      <c r="M1109">
        <v>1107</v>
      </c>
      <c r="N1109">
        <v>33189</v>
      </c>
      <c r="O1109" t="s">
        <v>293</v>
      </c>
      <c r="P1109" t="s">
        <v>127</v>
      </c>
      <c r="Q1109">
        <v>1221</v>
      </c>
      <c r="R1109" s="296">
        <v>0</v>
      </c>
      <c r="S1109" s="296">
        <v>0.95530000000000004</v>
      </c>
      <c r="T1109" s="297">
        <v>9522</v>
      </c>
      <c r="U1109" s="340">
        <v>89414</v>
      </c>
      <c r="V1109" s="340">
        <v>544916</v>
      </c>
      <c r="W1109" s="297">
        <v>26181</v>
      </c>
      <c r="X1109" s="296">
        <v>-0.01</v>
      </c>
    </row>
    <row r="1110" spans="13:24">
      <c r="M1110">
        <v>1108</v>
      </c>
      <c r="N1110">
        <v>46208</v>
      </c>
      <c r="O1110" t="s">
        <v>561</v>
      </c>
      <c r="P1110" t="s">
        <v>144</v>
      </c>
      <c r="Q1110">
        <v>181</v>
      </c>
      <c r="R1110" s="296">
        <v>0</v>
      </c>
      <c r="S1110" s="296">
        <v>0.95540000000000003</v>
      </c>
      <c r="T1110" s="297">
        <v>8491</v>
      </c>
      <c r="U1110" s="340">
        <v>89233</v>
      </c>
      <c r="V1110" s="340">
        <v>292595</v>
      </c>
      <c r="W1110" s="297">
        <v>22959</v>
      </c>
      <c r="X1110" s="296">
        <v>2E-3</v>
      </c>
    </row>
    <row r="1111" spans="13:24">
      <c r="M1111">
        <v>1109</v>
      </c>
      <c r="N1111">
        <v>48444</v>
      </c>
      <c r="O1111" t="s">
        <v>1362</v>
      </c>
      <c r="P1111" t="s">
        <v>140</v>
      </c>
      <c r="Q1111">
        <v>249</v>
      </c>
      <c r="R1111" s="296">
        <v>0</v>
      </c>
      <c r="S1111" s="296">
        <v>0.95540000000000003</v>
      </c>
      <c r="T1111" s="297">
        <v>3684</v>
      </c>
      <c r="U1111" s="340">
        <v>89216</v>
      </c>
      <c r="V1111" s="340">
        <v>252680</v>
      </c>
      <c r="W1111" s="297">
        <v>9474</v>
      </c>
      <c r="X1111" s="296">
        <v>3.0000000000000001E-3</v>
      </c>
    </row>
    <row r="1112" spans="13:24">
      <c r="M1112">
        <v>1110</v>
      </c>
      <c r="N1112">
        <v>37398</v>
      </c>
      <c r="O1112" t="s">
        <v>377</v>
      </c>
      <c r="P1112" t="s">
        <v>146</v>
      </c>
      <c r="Q1112">
        <v>489</v>
      </c>
      <c r="R1112" s="296">
        <v>0</v>
      </c>
      <c r="S1112" s="296">
        <v>0.95540000000000003</v>
      </c>
      <c r="T1112" s="297">
        <v>6750</v>
      </c>
      <c r="U1112" s="340">
        <v>88849</v>
      </c>
      <c r="V1112" s="340">
        <v>384270</v>
      </c>
      <c r="W1112" s="297">
        <v>16520</v>
      </c>
      <c r="X1112" s="296">
        <v>1.4E-2</v>
      </c>
    </row>
    <row r="1113" spans="13:24">
      <c r="M1113">
        <v>1111</v>
      </c>
      <c r="N1113">
        <v>46825</v>
      </c>
      <c r="O1113" t="s">
        <v>1078</v>
      </c>
      <c r="P1113" t="s">
        <v>144</v>
      </c>
      <c r="Q1113">
        <v>154</v>
      </c>
      <c r="R1113" s="296">
        <v>0</v>
      </c>
      <c r="S1113" s="296">
        <v>0.95550000000000002</v>
      </c>
      <c r="T1113" s="297">
        <v>12776</v>
      </c>
      <c r="U1113" s="340">
        <v>88534</v>
      </c>
      <c r="V1113" s="340">
        <v>257502</v>
      </c>
      <c r="W1113" s="297">
        <v>29497</v>
      </c>
      <c r="X1113" s="296">
        <v>5.0000000000000001E-3</v>
      </c>
    </row>
    <row r="1114" spans="13:24">
      <c r="M1114">
        <v>1112</v>
      </c>
      <c r="N1114">
        <v>49519</v>
      </c>
      <c r="O1114" t="s">
        <v>230</v>
      </c>
      <c r="P1114" t="s">
        <v>140</v>
      </c>
      <c r="Q1114">
        <v>117</v>
      </c>
      <c r="R1114" s="296">
        <v>0</v>
      </c>
      <c r="S1114" s="296">
        <v>0.95550000000000002</v>
      </c>
      <c r="T1114" s="297">
        <v>11904</v>
      </c>
      <c r="U1114" s="340">
        <v>88485</v>
      </c>
      <c r="V1114" s="340">
        <v>272543</v>
      </c>
      <c r="W1114" s="297">
        <v>29026</v>
      </c>
      <c r="X1114" s="296">
        <v>2E-3</v>
      </c>
    </row>
    <row r="1115" spans="13:24">
      <c r="M1115">
        <v>1113</v>
      </c>
      <c r="N1115">
        <v>47591</v>
      </c>
      <c r="O1115" t="s">
        <v>1363</v>
      </c>
      <c r="P1115" t="s">
        <v>144</v>
      </c>
      <c r="Q1115">
        <v>240</v>
      </c>
      <c r="R1115" s="296">
        <v>0</v>
      </c>
      <c r="S1115" s="296">
        <v>0.9556</v>
      </c>
      <c r="T1115" s="297">
        <v>10085</v>
      </c>
      <c r="U1115" s="340">
        <v>88454</v>
      </c>
      <c r="V1115" s="340">
        <v>190138</v>
      </c>
      <c r="W1115" s="297">
        <v>24550</v>
      </c>
      <c r="X1115" s="296">
        <v>-3.0000000000000001E-3</v>
      </c>
    </row>
    <row r="1116" spans="13:24">
      <c r="M1116">
        <v>1114</v>
      </c>
      <c r="N1116">
        <v>48195</v>
      </c>
      <c r="O1116" t="s">
        <v>1364</v>
      </c>
      <c r="P1116" t="s">
        <v>140</v>
      </c>
      <c r="Q1116">
        <v>235</v>
      </c>
      <c r="R1116" s="296">
        <v>0</v>
      </c>
      <c r="S1116" s="296">
        <v>0.9556</v>
      </c>
      <c r="T1116" s="297">
        <v>13462</v>
      </c>
      <c r="U1116" s="340">
        <v>88396</v>
      </c>
      <c r="V1116" s="340">
        <v>195913</v>
      </c>
      <c r="W1116" s="297">
        <v>29268</v>
      </c>
      <c r="X1116" s="296">
        <v>-6.0000000000000001E-3</v>
      </c>
    </row>
    <row r="1117" spans="13:24">
      <c r="M1117">
        <v>1115</v>
      </c>
      <c r="N1117">
        <v>54501</v>
      </c>
      <c r="O1117" t="s">
        <v>1365</v>
      </c>
      <c r="P1117" t="s">
        <v>149</v>
      </c>
      <c r="Q1117">
        <v>254</v>
      </c>
      <c r="R1117" s="296">
        <v>0</v>
      </c>
      <c r="S1117" s="296">
        <v>0.9556</v>
      </c>
      <c r="T1117" s="297">
        <v>9465</v>
      </c>
      <c r="U1117" s="340">
        <v>88345</v>
      </c>
      <c r="V1117" s="340">
        <v>290647</v>
      </c>
      <c r="W1117" s="297">
        <v>20709</v>
      </c>
      <c r="X1117" s="296">
        <v>1E-3</v>
      </c>
    </row>
    <row r="1118" spans="13:24">
      <c r="M1118">
        <v>1116</v>
      </c>
      <c r="N1118">
        <v>53094</v>
      </c>
      <c r="O1118" t="s">
        <v>396</v>
      </c>
      <c r="P1118" t="s">
        <v>149</v>
      </c>
      <c r="Q1118">
        <v>84</v>
      </c>
      <c r="R1118" s="296">
        <v>0</v>
      </c>
      <c r="S1118" s="296">
        <v>0.95569999999999999</v>
      </c>
      <c r="T1118" s="297">
        <v>7389</v>
      </c>
      <c r="U1118" s="340">
        <v>88265</v>
      </c>
      <c r="V1118" s="340">
        <v>362624</v>
      </c>
      <c r="W1118" s="297">
        <v>18339</v>
      </c>
      <c r="X1118" s="296">
        <v>-1E-3</v>
      </c>
    </row>
    <row r="1119" spans="13:24">
      <c r="M1119">
        <v>1117</v>
      </c>
      <c r="N1119">
        <v>45231</v>
      </c>
      <c r="O1119" t="s">
        <v>599</v>
      </c>
      <c r="P1119" t="s">
        <v>136</v>
      </c>
      <c r="Q1119">
        <v>263</v>
      </c>
      <c r="R1119" s="296">
        <v>0</v>
      </c>
      <c r="S1119" s="296">
        <v>0.95569999999999999</v>
      </c>
      <c r="T1119" s="297">
        <v>16264</v>
      </c>
      <c r="U1119" s="340">
        <v>87489</v>
      </c>
      <c r="V1119" s="340">
        <v>231856</v>
      </c>
      <c r="W1119" s="297">
        <v>41147</v>
      </c>
      <c r="X1119" s="296">
        <v>-3.0000000000000001E-3</v>
      </c>
    </row>
    <row r="1120" spans="13:24">
      <c r="M1120">
        <v>1118</v>
      </c>
      <c r="N1120">
        <v>49004</v>
      </c>
      <c r="O1120" t="s">
        <v>1156</v>
      </c>
      <c r="P1120" t="s">
        <v>140</v>
      </c>
      <c r="Q1120">
        <v>115</v>
      </c>
      <c r="R1120" s="296">
        <v>0</v>
      </c>
      <c r="S1120" s="296">
        <v>0.95569999999999999</v>
      </c>
      <c r="T1120" s="297">
        <v>6959</v>
      </c>
      <c r="U1120" s="340">
        <v>87148</v>
      </c>
      <c r="V1120" s="340">
        <v>246533</v>
      </c>
      <c r="W1120" s="297">
        <v>16590</v>
      </c>
      <c r="X1120" s="296">
        <v>1E-3</v>
      </c>
    </row>
    <row r="1121" spans="13:24">
      <c r="M1121">
        <v>1119</v>
      </c>
      <c r="N1121">
        <v>64118</v>
      </c>
      <c r="O1121" t="s">
        <v>490</v>
      </c>
      <c r="P1121" t="s">
        <v>186</v>
      </c>
      <c r="Q1121">
        <v>409</v>
      </c>
      <c r="R1121" s="296">
        <v>0</v>
      </c>
      <c r="S1121" s="296">
        <v>0.95579999999999998</v>
      </c>
      <c r="T1121" s="297">
        <v>18656</v>
      </c>
      <c r="U1121" s="340">
        <v>87080</v>
      </c>
      <c r="V1121" s="340">
        <v>280305</v>
      </c>
      <c r="W1121" s="297">
        <v>42472</v>
      </c>
      <c r="X1121" s="296">
        <v>1E-3</v>
      </c>
    </row>
    <row r="1122" spans="13:24">
      <c r="M1122">
        <v>1120</v>
      </c>
      <c r="N1122">
        <v>16403</v>
      </c>
      <c r="O1122" t="s">
        <v>1366</v>
      </c>
      <c r="P1122" t="s">
        <v>133</v>
      </c>
      <c r="Q1122">
        <v>400</v>
      </c>
      <c r="R1122" s="296">
        <v>0</v>
      </c>
      <c r="S1122" s="296">
        <v>0.95579999999999998</v>
      </c>
      <c r="T1122" s="297">
        <v>2212</v>
      </c>
      <c r="U1122" s="340">
        <v>86913</v>
      </c>
      <c r="V1122" s="340">
        <v>245381</v>
      </c>
      <c r="W1122" s="297">
        <v>6388</v>
      </c>
      <c r="X1122" s="296">
        <v>-6.0000000000000001E-3</v>
      </c>
    </row>
    <row r="1123" spans="13:24">
      <c r="M1123">
        <v>1121</v>
      </c>
      <c r="N1123">
        <v>61802</v>
      </c>
      <c r="O1123" t="s">
        <v>974</v>
      </c>
      <c r="P1123" t="s">
        <v>131</v>
      </c>
      <c r="Q1123">
        <v>145</v>
      </c>
      <c r="R1123" s="296">
        <v>0</v>
      </c>
      <c r="S1123" s="296">
        <v>0.95589999999999997</v>
      </c>
      <c r="T1123" s="297">
        <v>8677</v>
      </c>
      <c r="U1123" s="340">
        <v>86627</v>
      </c>
      <c r="V1123" s="340">
        <v>222186</v>
      </c>
      <c r="W1123" s="297">
        <v>19251</v>
      </c>
      <c r="X1123" s="296">
        <v>-1E-3</v>
      </c>
    </row>
    <row r="1124" spans="13:24">
      <c r="M1124">
        <v>1122</v>
      </c>
      <c r="N1124">
        <v>56345</v>
      </c>
      <c r="O1124" t="s">
        <v>1367</v>
      </c>
      <c r="P1124" t="s">
        <v>151</v>
      </c>
      <c r="Q1124">
        <v>420</v>
      </c>
      <c r="R1124" s="296">
        <v>0</v>
      </c>
      <c r="S1124" s="296">
        <v>0.95589999999999997</v>
      </c>
      <c r="T1124" s="297">
        <v>6444</v>
      </c>
      <c r="U1124" s="340">
        <v>86610</v>
      </c>
      <c r="V1124" s="340">
        <v>293972</v>
      </c>
      <c r="W1124" s="297">
        <v>15314</v>
      </c>
      <c r="X1124" s="296">
        <v>1E-3</v>
      </c>
    </row>
    <row r="1125" spans="13:24">
      <c r="M1125">
        <v>1123</v>
      </c>
      <c r="N1125">
        <v>28403</v>
      </c>
      <c r="O1125" t="s">
        <v>311</v>
      </c>
      <c r="P1125" t="s">
        <v>138</v>
      </c>
      <c r="Q1125">
        <v>766</v>
      </c>
      <c r="R1125" s="296">
        <v>0</v>
      </c>
      <c r="S1125" s="296">
        <v>0.95589999999999997</v>
      </c>
      <c r="T1125" s="297">
        <v>17793</v>
      </c>
      <c r="U1125" s="340">
        <v>86555</v>
      </c>
      <c r="V1125" s="340">
        <v>475553</v>
      </c>
      <c r="W1125" s="297">
        <v>39572</v>
      </c>
      <c r="X1125" s="296">
        <v>0.01</v>
      </c>
    </row>
    <row r="1126" spans="13:24">
      <c r="M1126">
        <v>1124</v>
      </c>
      <c r="N1126">
        <v>54868</v>
      </c>
      <c r="O1126" t="s">
        <v>1368</v>
      </c>
      <c r="P1126" t="s">
        <v>149</v>
      </c>
      <c r="Q1126">
        <v>305</v>
      </c>
      <c r="R1126" s="296">
        <v>0</v>
      </c>
      <c r="S1126" s="296">
        <v>0.95599999999999996</v>
      </c>
      <c r="T1126" s="297">
        <v>7027</v>
      </c>
      <c r="U1126" s="340">
        <v>86553</v>
      </c>
      <c r="V1126" s="340">
        <v>284541</v>
      </c>
      <c r="W1126" s="297">
        <v>16140</v>
      </c>
      <c r="X1126" s="296">
        <v>6.0000000000000001E-3</v>
      </c>
    </row>
    <row r="1127" spans="13:24">
      <c r="M1127">
        <v>1125</v>
      </c>
      <c r="N1127">
        <v>84721</v>
      </c>
      <c r="O1127" t="s">
        <v>1369</v>
      </c>
      <c r="P1127" t="s">
        <v>219</v>
      </c>
      <c r="Q1127">
        <v>1367</v>
      </c>
      <c r="R1127" s="296">
        <v>0</v>
      </c>
      <c r="S1127" s="296">
        <v>0.95599999999999996</v>
      </c>
      <c r="T1127" s="297">
        <v>9863</v>
      </c>
      <c r="U1127" s="340">
        <v>86463</v>
      </c>
      <c r="V1127" s="340">
        <v>444704</v>
      </c>
      <c r="W1127" s="297">
        <v>31336</v>
      </c>
      <c r="X1127" s="296">
        <v>3.3000000000000002E-2</v>
      </c>
    </row>
    <row r="1128" spans="13:24">
      <c r="M1128">
        <v>1126</v>
      </c>
      <c r="N1128">
        <v>80521</v>
      </c>
      <c r="O1128" t="s">
        <v>1134</v>
      </c>
      <c r="P1128" t="s">
        <v>142</v>
      </c>
      <c r="Q1128">
        <v>903</v>
      </c>
      <c r="R1128" s="296">
        <v>0</v>
      </c>
      <c r="S1128" s="296">
        <v>0.95599999999999996</v>
      </c>
      <c r="T1128" s="297">
        <v>13331</v>
      </c>
      <c r="U1128" s="340">
        <v>86416</v>
      </c>
      <c r="V1128" s="340">
        <v>660369</v>
      </c>
      <c r="W1128" s="297">
        <v>37464</v>
      </c>
      <c r="X1128" s="296">
        <v>-3.0000000000000001E-3</v>
      </c>
    </row>
    <row r="1129" spans="13:24">
      <c r="M1129">
        <v>1127</v>
      </c>
      <c r="N1129">
        <v>55429</v>
      </c>
      <c r="O1129" t="s">
        <v>576</v>
      </c>
      <c r="P1129" t="s">
        <v>151</v>
      </c>
      <c r="Q1129">
        <v>343</v>
      </c>
      <c r="R1129" s="296">
        <v>0</v>
      </c>
      <c r="S1129" s="296">
        <v>0.95609999999999995</v>
      </c>
      <c r="T1129" s="297">
        <v>10357</v>
      </c>
      <c r="U1129" s="340">
        <v>86284</v>
      </c>
      <c r="V1129" s="340">
        <v>350418</v>
      </c>
      <c r="W1129" s="297">
        <v>28922</v>
      </c>
      <c r="X1129" s="296">
        <v>1E-3</v>
      </c>
    </row>
    <row r="1130" spans="13:24">
      <c r="M1130">
        <v>1128</v>
      </c>
      <c r="N1130">
        <v>85204</v>
      </c>
      <c r="O1130" t="s">
        <v>1085</v>
      </c>
      <c r="P1130" t="s">
        <v>158</v>
      </c>
      <c r="Q1130">
        <v>1437</v>
      </c>
      <c r="R1130" s="296">
        <v>0</v>
      </c>
      <c r="S1130" s="296">
        <v>0.95609999999999995</v>
      </c>
      <c r="T1130" s="297">
        <v>23914</v>
      </c>
      <c r="U1130" s="340">
        <v>85939</v>
      </c>
      <c r="V1130" s="340">
        <v>414226</v>
      </c>
      <c r="W1130" s="297">
        <v>67271</v>
      </c>
      <c r="X1130" s="296">
        <v>2E-3</v>
      </c>
    </row>
    <row r="1131" spans="13:24">
      <c r="M1131">
        <v>1129</v>
      </c>
      <c r="N1131">
        <v>72616</v>
      </c>
      <c r="O1131" t="s">
        <v>1370</v>
      </c>
      <c r="P1131" t="s">
        <v>156</v>
      </c>
      <c r="Q1131">
        <v>505</v>
      </c>
      <c r="R1131" s="296">
        <v>0</v>
      </c>
      <c r="S1131" s="296">
        <v>0.95609999999999995</v>
      </c>
      <c r="T1131" s="297">
        <v>3927</v>
      </c>
      <c r="U1131" s="340">
        <v>85245</v>
      </c>
      <c r="V1131" s="340">
        <v>256131</v>
      </c>
      <c r="W1131" s="297">
        <v>10263</v>
      </c>
      <c r="X1131" s="296">
        <v>-1E-3</v>
      </c>
    </row>
    <row r="1132" spans="13:24">
      <c r="M1132">
        <v>1130</v>
      </c>
      <c r="N1132">
        <v>72764</v>
      </c>
      <c r="O1132" t="s">
        <v>1371</v>
      </c>
      <c r="P1132" t="s">
        <v>156</v>
      </c>
      <c r="Q1132">
        <v>531</v>
      </c>
      <c r="R1132" s="296">
        <v>0</v>
      </c>
      <c r="S1132" s="296">
        <v>0.95620000000000005</v>
      </c>
      <c r="T1132" s="297">
        <v>20537</v>
      </c>
      <c r="U1132" s="340">
        <v>84562</v>
      </c>
      <c r="V1132" s="340">
        <v>340232</v>
      </c>
      <c r="W1132" s="297">
        <v>65396</v>
      </c>
      <c r="X1132" s="296">
        <v>1.9E-2</v>
      </c>
    </row>
    <row r="1133" spans="13:24">
      <c r="M1133">
        <v>1131</v>
      </c>
      <c r="N1133">
        <v>46514</v>
      </c>
      <c r="O1133" t="s">
        <v>791</v>
      </c>
      <c r="P1133" t="s">
        <v>144</v>
      </c>
      <c r="Q1133">
        <v>98</v>
      </c>
      <c r="R1133" s="296">
        <v>0</v>
      </c>
      <c r="S1133" s="296">
        <v>0.95620000000000005</v>
      </c>
      <c r="T1133" s="297">
        <v>17134</v>
      </c>
      <c r="U1133" s="340">
        <v>83742</v>
      </c>
      <c r="V1133" s="340">
        <v>250947</v>
      </c>
      <c r="W1133" s="297">
        <v>42751</v>
      </c>
      <c r="X1133" s="296">
        <v>1E-3</v>
      </c>
    </row>
    <row r="1134" spans="13:24">
      <c r="M1134">
        <v>1132</v>
      </c>
      <c r="N1134">
        <v>82070</v>
      </c>
      <c r="O1134" t="s">
        <v>840</v>
      </c>
      <c r="P1134" t="s">
        <v>229</v>
      </c>
      <c r="Q1134">
        <v>931</v>
      </c>
      <c r="R1134" s="296">
        <v>0</v>
      </c>
      <c r="S1134" s="296">
        <v>0.95630000000000004</v>
      </c>
      <c r="T1134" s="297">
        <v>8528</v>
      </c>
      <c r="U1134" s="340">
        <v>83410</v>
      </c>
      <c r="V1134" s="340">
        <v>379916</v>
      </c>
      <c r="W1134" s="297">
        <v>20937</v>
      </c>
      <c r="X1134" s="296">
        <v>5.0000000000000001E-3</v>
      </c>
    </row>
    <row r="1135" spans="13:24">
      <c r="M1135">
        <v>1133</v>
      </c>
      <c r="N1135">
        <v>92553</v>
      </c>
      <c r="O1135" t="s">
        <v>1372</v>
      </c>
      <c r="P1135" t="s">
        <v>132</v>
      </c>
      <c r="Q1135">
        <v>1691</v>
      </c>
      <c r="R1135" s="296">
        <v>0</v>
      </c>
      <c r="S1135" s="296">
        <v>0.95630000000000004</v>
      </c>
      <c r="T1135" s="297">
        <v>20356</v>
      </c>
      <c r="U1135" s="340">
        <v>83372</v>
      </c>
      <c r="V1135" s="340">
        <v>521947</v>
      </c>
      <c r="W1135" s="297">
        <v>76859</v>
      </c>
      <c r="X1135" s="296">
        <v>3.0000000000000001E-3</v>
      </c>
    </row>
    <row r="1136" spans="13:24">
      <c r="M1136">
        <v>1134</v>
      </c>
      <c r="N1136">
        <v>49441</v>
      </c>
      <c r="O1136" t="s">
        <v>1342</v>
      </c>
      <c r="P1136" t="s">
        <v>140</v>
      </c>
      <c r="Q1136">
        <v>105</v>
      </c>
      <c r="R1136" s="296">
        <v>0</v>
      </c>
      <c r="S1136" s="296">
        <v>0.95630000000000004</v>
      </c>
      <c r="T1136" s="297">
        <v>15494</v>
      </c>
      <c r="U1136" s="340">
        <v>82680</v>
      </c>
      <c r="V1136" s="340">
        <v>243570</v>
      </c>
      <c r="W1136" s="297">
        <v>36014</v>
      </c>
      <c r="X1136" s="296">
        <v>1E-3</v>
      </c>
    </row>
    <row r="1137" spans="13:24">
      <c r="M1137">
        <v>1135</v>
      </c>
      <c r="N1137">
        <v>54728</v>
      </c>
      <c r="O1137" t="s">
        <v>1373</v>
      </c>
      <c r="P1137" t="s">
        <v>149</v>
      </c>
      <c r="Q1137">
        <v>291</v>
      </c>
      <c r="R1137" s="296">
        <v>0</v>
      </c>
      <c r="S1137" s="296">
        <v>0.95640000000000003</v>
      </c>
      <c r="T1137" s="297">
        <v>2773</v>
      </c>
      <c r="U1137" s="340">
        <v>82537</v>
      </c>
      <c r="V1137" s="340">
        <v>279361</v>
      </c>
      <c r="W1137" s="297">
        <v>6383</v>
      </c>
      <c r="X1137" s="296">
        <v>-1E-3</v>
      </c>
    </row>
    <row r="1138" spans="13:24">
      <c r="M1138">
        <v>1136</v>
      </c>
      <c r="N1138">
        <v>52803</v>
      </c>
      <c r="O1138" t="s">
        <v>1023</v>
      </c>
      <c r="P1138" t="s">
        <v>170</v>
      </c>
      <c r="Q1138">
        <v>149</v>
      </c>
      <c r="R1138" s="296">
        <v>0</v>
      </c>
      <c r="S1138" s="296">
        <v>0.95640000000000003</v>
      </c>
      <c r="T1138" s="297">
        <v>9305</v>
      </c>
      <c r="U1138" s="340">
        <v>80923</v>
      </c>
      <c r="V1138" s="340">
        <v>223684</v>
      </c>
      <c r="W1138" s="297">
        <v>23250</v>
      </c>
      <c r="X1138" s="296">
        <v>3.0000000000000001E-3</v>
      </c>
    </row>
    <row r="1139" spans="13:24">
      <c r="M1139">
        <v>1137</v>
      </c>
      <c r="N1139">
        <v>54601</v>
      </c>
      <c r="O1139" t="s">
        <v>1374</v>
      </c>
      <c r="P1139" t="s">
        <v>149</v>
      </c>
      <c r="Q1139">
        <v>205</v>
      </c>
      <c r="R1139" s="296">
        <v>0</v>
      </c>
      <c r="S1139" s="296">
        <v>0.95640000000000003</v>
      </c>
      <c r="T1139" s="297">
        <v>21719</v>
      </c>
      <c r="U1139" s="340">
        <v>80287</v>
      </c>
      <c r="V1139" s="340">
        <v>285471</v>
      </c>
      <c r="W1139" s="297">
        <v>50648</v>
      </c>
      <c r="X1139" s="296">
        <v>-1E-3</v>
      </c>
    </row>
    <row r="1140" spans="13:24">
      <c r="M1140">
        <v>1138</v>
      </c>
      <c r="N1140">
        <v>64109</v>
      </c>
      <c r="O1140" t="s">
        <v>490</v>
      </c>
      <c r="P1140" t="s">
        <v>186</v>
      </c>
      <c r="Q1140">
        <v>414</v>
      </c>
      <c r="R1140" s="296">
        <v>0</v>
      </c>
      <c r="S1140" s="296">
        <v>0.95650000000000002</v>
      </c>
      <c r="T1140" s="297">
        <v>5304</v>
      </c>
      <c r="U1140" s="340">
        <v>79765</v>
      </c>
      <c r="V1140" s="340">
        <v>305167</v>
      </c>
      <c r="W1140" s="297">
        <v>10897</v>
      </c>
      <c r="X1140" s="296">
        <v>1.4E-2</v>
      </c>
    </row>
    <row r="1141" spans="13:24">
      <c r="M1141">
        <v>1139</v>
      </c>
      <c r="N1141">
        <v>50208</v>
      </c>
      <c r="O1141" t="s">
        <v>402</v>
      </c>
      <c r="P1141" t="s">
        <v>170</v>
      </c>
      <c r="Q1141">
        <v>271</v>
      </c>
      <c r="R1141" s="296">
        <v>0</v>
      </c>
      <c r="S1141" s="296">
        <v>0.95650000000000002</v>
      </c>
      <c r="T1141" s="297">
        <v>8358</v>
      </c>
      <c r="U1141" s="340">
        <v>79488</v>
      </c>
      <c r="V1141" s="340">
        <v>207636</v>
      </c>
      <c r="W1141" s="297">
        <v>21140</v>
      </c>
      <c r="X1141" s="296">
        <v>1E-3</v>
      </c>
    </row>
    <row r="1142" spans="13:24">
      <c r="M1142">
        <v>1140</v>
      </c>
      <c r="N1142">
        <v>52806</v>
      </c>
      <c r="O1142" t="s">
        <v>1023</v>
      </c>
      <c r="P1142" t="s">
        <v>170</v>
      </c>
      <c r="Q1142">
        <v>150</v>
      </c>
      <c r="R1142" s="296">
        <v>0</v>
      </c>
      <c r="S1142" s="296">
        <v>0.95660000000000001</v>
      </c>
      <c r="T1142" s="297">
        <v>12137</v>
      </c>
      <c r="U1142" s="340">
        <v>79460</v>
      </c>
      <c r="V1142" s="340">
        <v>219902</v>
      </c>
      <c r="W1142" s="297">
        <v>29261</v>
      </c>
      <c r="X1142" s="296">
        <v>1E-3</v>
      </c>
    </row>
    <row r="1143" spans="13:24">
      <c r="M1143">
        <v>1141</v>
      </c>
      <c r="N1143">
        <v>68134</v>
      </c>
      <c r="O1143" t="s">
        <v>337</v>
      </c>
      <c r="P1143" t="s">
        <v>195</v>
      </c>
      <c r="Q1143">
        <v>430</v>
      </c>
      <c r="R1143" s="296">
        <v>0</v>
      </c>
      <c r="S1143" s="296">
        <v>0.95660000000000001</v>
      </c>
      <c r="T1143" s="297">
        <v>12357</v>
      </c>
      <c r="U1143" s="340">
        <v>79345</v>
      </c>
      <c r="V1143" s="340">
        <v>271041</v>
      </c>
      <c r="W1143" s="297">
        <v>28794</v>
      </c>
      <c r="X1143" s="296">
        <v>2E-3</v>
      </c>
    </row>
    <row r="1144" spans="13:24">
      <c r="M1144">
        <v>1142</v>
      </c>
      <c r="N1144">
        <v>33168</v>
      </c>
      <c r="O1144" t="s">
        <v>293</v>
      </c>
      <c r="P1144" t="s">
        <v>127</v>
      </c>
      <c r="Q1144">
        <v>1203</v>
      </c>
      <c r="R1144" s="296">
        <v>0</v>
      </c>
      <c r="S1144" s="296">
        <v>0.95660000000000001</v>
      </c>
      <c r="T1144" s="297">
        <v>6584</v>
      </c>
      <c r="U1144" s="340">
        <v>79280</v>
      </c>
      <c r="V1144" s="340">
        <v>499045</v>
      </c>
      <c r="W1144" s="297">
        <v>23384</v>
      </c>
      <c r="X1144" s="296">
        <v>-0.01</v>
      </c>
    </row>
    <row r="1145" spans="13:24">
      <c r="M1145">
        <v>1143</v>
      </c>
      <c r="N1145">
        <v>27403</v>
      </c>
      <c r="O1145" t="s">
        <v>1323</v>
      </c>
      <c r="P1145" t="s">
        <v>138</v>
      </c>
      <c r="Q1145">
        <v>599</v>
      </c>
      <c r="R1145" s="296">
        <v>0</v>
      </c>
      <c r="S1145" s="296">
        <v>0.95669999999999999</v>
      </c>
      <c r="T1145" s="297">
        <v>8446</v>
      </c>
      <c r="U1145" s="340">
        <v>79261</v>
      </c>
      <c r="V1145" s="340">
        <v>335484</v>
      </c>
      <c r="W1145" s="297">
        <v>24307</v>
      </c>
      <c r="X1145" s="296">
        <v>-3.0000000000000001E-3</v>
      </c>
    </row>
    <row r="1146" spans="13:24">
      <c r="M1146">
        <v>1144</v>
      </c>
      <c r="N1146">
        <v>46221</v>
      </c>
      <c r="O1146" t="s">
        <v>561</v>
      </c>
      <c r="P1146" t="s">
        <v>144</v>
      </c>
      <c r="Q1146">
        <v>188</v>
      </c>
      <c r="R1146" s="296">
        <v>0</v>
      </c>
      <c r="S1146" s="296">
        <v>0.95669999999999999</v>
      </c>
      <c r="T1146" s="297">
        <v>10370</v>
      </c>
      <c r="U1146" s="340">
        <v>78789</v>
      </c>
      <c r="V1146" s="340">
        <v>206202</v>
      </c>
      <c r="W1146" s="297">
        <v>27948</v>
      </c>
      <c r="X1146" s="296">
        <v>-1E-3</v>
      </c>
    </row>
    <row r="1147" spans="13:24">
      <c r="M1147">
        <v>1145</v>
      </c>
      <c r="N1147">
        <v>43615</v>
      </c>
      <c r="O1147" t="s">
        <v>846</v>
      </c>
      <c r="P1147" t="s">
        <v>136</v>
      </c>
      <c r="Q1147">
        <v>215</v>
      </c>
      <c r="R1147" s="296">
        <v>0</v>
      </c>
      <c r="S1147" s="296">
        <v>0.95669999999999999</v>
      </c>
      <c r="T1147" s="297">
        <v>18912</v>
      </c>
      <c r="U1147" s="340">
        <v>78090</v>
      </c>
      <c r="V1147" s="340">
        <v>214874</v>
      </c>
      <c r="W1147" s="297">
        <v>39850</v>
      </c>
      <c r="X1147" s="296">
        <v>-3.0000000000000001E-3</v>
      </c>
    </row>
    <row r="1148" spans="13:24">
      <c r="M1148">
        <v>1146</v>
      </c>
      <c r="N1148">
        <v>4901</v>
      </c>
      <c r="O1148" t="s">
        <v>1375</v>
      </c>
      <c r="P1148" t="s">
        <v>182</v>
      </c>
      <c r="Q1148">
        <v>926</v>
      </c>
      <c r="R1148" s="296">
        <v>0</v>
      </c>
      <c r="S1148" s="296">
        <v>0.95679999999999998</v>
      </c>
      <c r="T1148" s="297">
        <v>11613</v>
      </c>
      <c r="U1148" s="340">
        <v>78067</v>
      </c>
      <c r="V1148" s="340">
        <v>228641</v>
      </c>
      <c r="W1148" s="297">
        <v>26668</v>
      </c>
      <c r="X1148" s="296">
        <v>3.0000000000000001E-3</v>
      </c>
    </row>
    <row r="1149" spans="13:24">
      <c r="M1149">
        <v>1147</v>
      </c>
      <c r="N1149">
        <v>5735</v>
      </c>
      <c r="O1149" t="s">
        <v>1376</v>
      </c>
      <c r="P1149" t="s">
        <v>222</v>
      </c>
      <c r="Q1149">
        <v>746</v>
      </c>
      <c r="R1149" s="296">
        <v>0</v>
      </c>
      <c r="S1149" s="296">
        <v>0.95679999999999998</v>
      </c>
      <c r="T1149" s="297">
        <v>1347</v>
      </c>
      <c r="U1149" s="340">
        <v>76915</v>
      </c>
      <c r="V1149" s="340">
        <v>289817</v>
      </c>
      <c r="W1149" s="297">
        <v>3920</v>
      </c>
      <c r="X1149" s="296">
        <v>-3.0000000000000001E-3</v>
      </c>
    </row>
    <row r="1150" spans="13:24">
      <c r="M1150">
        <v>1148</v>
      </c>
      <c r="N1150">
        <v>48858</v>
      </c>
      <c r="O1150" t="s">
        <v>1185</v>
      </c>
      <c r="P1150" t="s">
        <v>140</v>
      </c>
      <c r="Q1150">
        <v>182</v>
      </c>
      <c r="R1150" s="296">
        <v>0</v>
      </c>
      <c r="S1150" s="296">
        <v>0.95689999999999997</v>
      </c>
      <c r="T1150" s="297">
        <v>17773</v>
      </c>
      <c r="U1150" s="340">
        <v>76611</v>
      </c>
      <c r="V1150" s="340">
        <v>219273</v>
      </c>
      <c r="W1150" s="297">
        <v>41609</v>
      </c>
      <c r="X1150" s="296">
        <v>-3.0000000000000001E-3</v>
      </c>
    </row>
    <row r="1151" spans="13:24">
      <c r="M1151">
        <v>1149</v>
      </c>
      <c r="N1151">
        <v>29033</v>
      </c>
      <c r="O1151" t="s">
        <v>1377</v>
      </c>
      <c r="P1151" t="s">
        <v>145</v>
      </c>
      <c r="Q1151">
        <v>673</v>
      </c>
      <c r="R1151" s="296">
        <v>0</v>
      </c>
      <c r="S1151" s="296">
        <v>0.95689999999999997</v>
      </c>
      <c r="T1151" s="297">
        <v>5654</v>
      </c>
      <c r="U1151" s="340">
        <v>75983</v>
      </c>
      <c r="V1151" s="340">
        <v>263118</v>
      </c>
      <c r="W1151" s="297">
        <v>12137</v>
      </c>
      <c r="X1151" s="296">
        <v>8.9999999999999993E-3</v>
      </c>
    </row>
    <row r="1152" spans="13:24">
      <c r="M1152">
        <v>1150</v>
      </c>
      <c r="N1152">
        <v>46807</v>
      </c>
      <c r="O1152" t="s">
        <v>1078</v>
      </c>
      <c r="P1152" t="s">
        <v>144</v>
      </c>
      <c r="Q1152">
        <v>156</v>
      </c>
      <c r="R1152" s="296">
        <v>0</v>
      </c>
      <c r="S1152" s="296">
        <v>0.95689999999999997</v>
      </c>
      <c r="T1152" s="297">
        <v>6326</v>
      </c>
      <c r="U1152" s="340">
        <v>75883</v>
      </c>
      <c r="V1152" s="340">
        <v>200777</v>
      </c>
      <c r="W1152" s="297">
        <v>15965</v>
      </c>
      <c r="X1152" s="296">
        <v>-1E-3</v>
      </c>
    </row>
    <row r="1153" spans="13:24">
      <c r="M1153">
        <v>1151</v>
      </c>
      <c r="N1153">
        <v>45211</v>
      </c>
      <c r="O1153" t="s">
        <v>599</v>
      </c>
      <c r="P1153" t="s">
        <v>136</v>
      </c>
      <c r="Q1153">
        <v>266</v>
      </c>
      <c r="R1153" s="296">
        <v>0</v>
      </c>
      <c r="S1153" s="296">
        <v>0.95699999999999996</v>
      </c>
      <c r="T1153" s="297">
        <v>16365</v>
      </c>
      <c r="U1153" s="340">
        <v>74581</v>
      </c>
      <c r="V1153" s="340">
        <v>234720</v>
      </c>
      <c r="W1153" s="297">
        <v>37915</v>
      </c>
      <c r="X1153" s="296">
        <v>-2E-3</v>
      </c>
    </row>
    <row r="1154" spans="13:24">
      <c r="M1154">
        <v>1152</v>
      </c>
      <c r="N1154">
        <v>45701</v>
      </c>
      <c r="O1154" t="s">
        <v>1179</v>
      </c>
      <c r="P1154" t="s">
        <v>136</v>
      </c>
      <c r="Q1154">
        <v>357</v>
      </c>
      <c r="R1154" s="296">
        <v>0</v>
      </c>
      <c r="S1154" s="296">
        <v>0.95699999999999996</v>
      </c>
      <c r="T1154" s="297">
        <v>11813</v>
      </c>
      <c r="U1154" s="340">
        <v>74569</v>
      </c>
      <c r="V1154" s="340">
        <v>280418</v>
      </c>
      <c r="W1154" s="297">
        <v>30856</v>
      </c>
      <c r="X1154" s="296">
        <v>-2.1000000000000001E-2</v>
      </c>
    </row>
    <row r="1155" spans="13:24">
      <c r="M1155">
        <v>1153</v>
      </c>
      <c r="N1155">
        <v>61282</v>
      </c>
      <c r="O1155" t="s">
        <v>1378</v>
      </c>
      <c r="P1155" t="s">
        <v>131</v>
      </c>
      <c r="Q1155">
        <v>142</v>
      </c>
      <c r="R1155" s="296">
        <v>0</v>
      </c>
      <c r="S1155" s="296">
        <v>0.95699999999999996</v>
      </c>
      <c r="T1155" s="297">
        <v>3546</v>
      </c>
      <c r="U1155" s="340">
        <v>74567</v>
      </c>
      <c r="V1155" s="340">
        <v>179640</v>
      </c>
      <c r="W1155" s="297">
        <v>7835</v>
      </c>
      <c r="X1155" s="296">
        <v>-2E-3</v>
      </c>
    </row>
    <row r="1156" spans="13:24">
      <c r="M1156">
        <v>1154</v>
      </c>
      <c r="N1156">
        <v>46227</v>
      </c>
      <c r="O1156" t="s">
        <v>561</v>
      </c>
      <c r="P1156" t="s">
        <v>144</v>
      </c>
      <c r="Q1156">
        <v>191</v>
      </c>
      <c r="R1156" s="296">
        <v>0</v>
      </c>
      <c r="S1156" s="296">
        <v>0.95709999999999995</v>
      </c>
      <c r="T1156" s="297">
        <v>24168</v>
      </c>
      <c r="U1156" s="340">
        <v>74232</v>
      </c>
      <c r="V1156" s="340">
        <v>256887</v>
      </c>
      <c r="W1156" s="297">
        <v>62510</v>
      </c>
      <c r="X1156" s="296">
        <v>0</v>
      </c>
    </row>
    <row r="1157" spans="13:24">
      <c r="M1157">
        <v>1155</v>
      </c>
      <c r="N1157">
        <v>61301</v>
      </c>
      <c r="O1157" t="s">
        <v>1379</v>
      </c>
      <c r="P1157" t="s">
        <v>131</v>
      </c>
      <c r="Q1157">
        <v>85</v>
      </c>
      <c r="R1157" s="296">
        <v>0</v>
      </c>
      <c r="S1157" s="296">
        <v>0.95709999999999995</v>
      </c>
      <c r="T1157" s="297">
        <v>4326</v>
      </c>
      <c r="U1157" s="340">
        <v>74027</v>
      </c>
      <c r="V1157" s="340">
        <v>209204</v>
      </c>
      <c r="W1157" s="297">
        <v>10097</v>
      </c>
      <c r="X1157" s="296">
        <v>-4.0000000000000001E-3</v>
      </c>
    </row>
    <row r="1158" spans="13:24">
      <c r="M1158">
        <v>1156</v>
      </c>
      <c r="N1158">
        <v>46517</v>
      </c>
      <c r="O1158" t="s">
        <v>791</v>
      </c>
      <c r="P1158" t="s">
        <v>144</v>
      </c>
      <c r="Q1158">
        <v>99</v>
      </c>
      <c r="R1158" s="296">
        <v>0</v>
      </c>
      <c r="S1158" s="296">
        <v>0.95720000000000005</v>
      </c>
      <c r="T1158" s="297">
        <v>8603</v>
      </c>
      <c r="U1158" s="340">
        <v>73319</v>
      </c>
      <c r="V1158" s="340">
        <v>261616</v>
      </c>
      <c r="W1158" s="297">
        <v>24140</v>
      </c>
      <c r="X1158" s="296">
        <v>3.0000000000000001E-3</v>
      </c>
    </row>
    <row r="1159" spans="13:24">
      <c r="M1159">
        <v>1157</v>
      </c>
      <c r="N1159">
        <v>89121</v>
      </c>
      <c r="O1159" t="s">
        <v>706</v>
      </c>
      <c r="P1159" t="s">
        <v>148</v>
      </c>
      <c r="Q1159">
        <v>1514</v>
      </c>
      <c r="R1159" s="296">
        <v>0</v>
      </c>
      <c r="S1159" s="296">
        <v>0.95720000000000005</v>
      </c>
      <c r="T1159" s="297">
        <v>26739</v>
      </c>
      <c r="U1159" s="340">
        <v>72989</v>
      </c>
      <c r="V1159" s="340">
        <v>423438</v>
      </c>
      <c r="W1159" s="297">
        <v>68515</v>
      </c>
      <c r="X1159" s="296">
        <v>-1E-3</v>
      </c>
    </row>
    <row r="1160" spans="13:24">
      <c r="M1160">
        <v>1158</v>
      </c>
      <c r="N1160">
        <v>54302</v>
      </c>
      <c r="O1160" t="s">
        <v>1046</v>
      </c>
      <c r="P1160" t="s">
        <v>149</v>
      </c>
      <c r="Q1160">
        <v>163</v>
      </c>
      <c r="R1160" s="296">
        <v>0</v>
      </c>
      <c r="S1160" s="296">
        <v>0.95720000000000005</v>
      </c>
      <c r="T1160" s="297">
        <v>12234</v>
      </c>
      <c r="U1160" s="340">
        <v>72054</v>
      </c>
      <c r="V1160" s="340">
        <v>250691</v>
      </c>
      <c r="W1160" s="297">
        <v>30103</v>
      </c>
      <c r="X1160" s="296">
        <v>1E-3</v>
      </c>
    </row>
    <row r="1161" spans="13:24">
      <c r="M1161">
        <v>1159</v>
      </c>
      <c r="N1161">
        <v>62526</v>
      </c>
      <c r="O1161" t="s">
        <v>829</v>
      </c>
      <c r="P1161" t="s">
        <v>131</v>
      </c>
      <c r="Q1161">
        <v>169</v>
      </c>
      <c r="R1161" s="296">
        <v>0</v>
      </c>
      <c r="S1161" s="296">
        <v>0.95730000000000004</v>
      </c>
      <c r="T1161" s="297">
        <v>14237</v>
      </c>
      <c r="U1161" s="340">
        <v>71475</v>
      </c>
      <c r="V1161" s="340">
        <v>117425</v>
      </c>
      <c r="W1161" s="297">
        <v>30864</v>
      </c>
      <c r="X1161" s="296">
        <v>-8.9999999999999993E-3</v>
      </c>
    </row>
    <row r="1162" spans="13:24">
      <c r="M1162">
        <v>1160</v>
      </c>
      <c r="N1162">
        <v>65613</v>
      </c>
      <c r="O1162" t="s">
        <v>1380</v>
      </c>
      <c r="P1162" t="s">
        <v>186</v>
      </c>
      <c r="Q1162">
        <v>431</v>
      </c>
      <c r="R1162" s="296">
        <v>0</v>
      </c>
      <c r="S1162" s="296">
        <v>0.95730000000000004</v>
      </c>
      <c r="T1162" s="297">
        <v>7140</v>
      </c>
      <c r="U1162" s="340">
        <v>71239</v>
      </c>
      <c r="V1162" s="340">
        <v>246491</v>
      </c>
      <c r="W1162" s="297">
        <v>18688</v>
      </c>
      <c r="X1162" s="296">
        <v>1.0999999999999999E-2</v>
      </c>
    </row>
    <row r="1163" spans="13:24">
      <c r="M1163">
        <v>1161</v>
      </c>
      <c r="N1163">
        <v>62702</v>
      </c>
      <c r="O1163" t="s">
        <v>515</v>
      </c>
      <c r="P1163" t="s">
        <v>131</v>
      </c>
      <c r="Q1163">
        <v>187</v>
      </c>
      <c r="R1163" s="296">
        <v>0</v>
      </c>
      <c r="S1163" s="296">
        <v>0.95730000000000004</v>
      </c>
      <c r="T1163" s="297">
        <v>15038</v>
      </c>
      <c r="U1163" s="340">
        <v>70475</v>
      </c>
      <c r="V1163" s="340">
        <v>134176</v>
      </c>
      <c r="W1163" s="297">
        <v>32709</v>
      </c>
      <c r="X1163" s="296">
        <v>-3.0000000000000001E-3</v>
      </c>
    </row>
    <row r="1164" spans="13:24">
      <c r="M1164">
        <v>1162</v>
      </c>
      <c r="N1164">
        <v>47129</v>
      </c>
      <c r="O1164" t="s">
        <v>1115</v>
      </c>
      <c r="P1164" t="s">
        <v>144</v>
      </c>
      <c r="Q1164">
        <v>286</v>
      </c>
      <c r="R1164" s="296">
        <v>0</v>
      </c>
      <c r="S1164" s="296">
        <v>0.95740000000000003</v>
      </c>
      <c r="T1164" s="297">
        <v>8673</v>
      </c>
      <c r="U1164" s="340">
        <v>70342</v>
      </c>
      <c r="V1164" s="340">
        <v>222446</v>
      </c>
      <c r="W1164" s="297">
        <v>20645</v>
      </c>
      <c r="X1164" s="296">
        <v>0.01</v>
      </c>
    </row>
    <row r="1165" spans="13:24">
      <c r="M1165">
        <v>1163</v>
      </c>
      <c r="N1165">
        <v>49444</v>
      </c>
      <c r="O1165" t="s">
        <v>1342</v>
      </c>
      <c r="P1165" t="s">
        <v>140</v>
      </c>
      <c r="Q1165">
        <v>107</v>
      </c>
      <c r="R1165" s="296">
        <v>0</v>
      </c>
      <c r="S1165" s="296">
        <v>0.95740000000000003</v>
      </c>
      <c r="T1165" s="297">
        <v>11160</v>
      </c>
      <c r="U1165" s="340">
        <v>68818</v>
      </c>
      <c r="V1165" s="340">
        <v>205141</v>
      </c>
      <c r="W1165" s="297">
        <v>27948</v>
      </c>
      <c r="X1165" s="296">
        <v>8.0000000000000002E-3</v>
      </c>
    </row>
    <row r="1166" spans="13:24">
      <c r="M1166">
        <v>1164</v>
      </c>
      <c r="N1166">
        <v>28073</v>
      </c>
      <c r="O1166" t="s">
        <v>1381</v>
      </c>
      <c r="P1166" t="s">
        <v>138</v>
      </c>
      <c r="Q1166">
        <v>588</v>
      </c>
      <c r="R1166" s="296">
        <v>0</v>
      </c>
      <c r="S1166" s="296">
        <v>0.95750000000000002</v>
      </c>
      <c r="T1166" s="297">
        <v>2254</v>
      </c>
      <c r="U1166" s="340">
        <v>68456</v>
      </c>
      <c r="V1166" s="340">
        <v>233814</v>
      </c>
      <c r="W1166" s="297">
        <v>5631</v>
      </c>
      <c r="X1166" s="296">
        <v>1.2999999999999999E-2</v>
      </c>
    </row>
    <row r="1167" spans="13:24">
      <c r="M1167">
        <v>1165</v>
      </c>
      <c r="N1167">
        <v>29678</v>
      </c>
      <c r="O1167" t="s">
        <v>1210</v>
      </c>
      <c r="P1167" t="s">
        <v>145</v>
      </c>
      <c r="Q1167">
        <v>579</v>
      </c>
      <c r="R1167" s="296">
        <v>0</v>
      </c>
      <c r="S1167" s="296">
        <v>0.95750000000000002</v>
      </c>
      <c r="T1167" s="297">
        <v>10381</v>
      </c>
      <c r="U1167" s="340">
        <v>67406</v>
      </c>
      <c r="V1167" s="340">
        <v>270600</v>
      </c>
      <c r="W1167" s="297">
        <v>24474</v>
      </c>
      <c r="X1167" s="296">
        <v>7.0000000000000001E-3</v>
      </c>
    </row>
    <row r="1168" spans="13:24">
      <c r="M1168">
        <v>1166</v>
      </c>
      <c r="N1168">
        <v>46235</v>
      </c>
      <c r="O1168" t="s">
        <v>561</v>
      </c>
      <c r="P1168" t="s">
        <v>144</v>
      </c>
      <c r="Q1168">
        <v>185</v>
      </c>
      <c r="R1168" s="296">
        <v>0</v>
      </c>
      <c r="S1168" s="296">
        <v>0.95750000000000002</v>
      </c>
      <c r="T1168" s="297">
        <v>12869</v>
      </c>
      <c r="U1168" s="340">
        <v>66993</v>
      </c>
      <c r="V1168" s="340">
        <v>214774</v>
      </c>
      <c r="W1168" s="297">
        <v>36132</v>
      </c>
      <c r="X1168" s="296">
        <v>0.01</v>
      </c>
    </row>
    <row r="1169" spans="13:24">
      <c r="M1169">
        <v>1167</v>
      </c>
      <c r="N1169">
        <v>66606</v>
      </c>
      <c r="O1169" t="s">
        <v>1217</v>
      </c>
      <c r="P1169" t="s">
        <v>176</v>
      </c>
      <c r="Q1169">
        <v>467</v>
      </c>
      <c r="R1169" s="296">
        <v>0</v>
      </c>
      <c r="S1169" s="296">
        <v>0.95760000000000001</v>
      </c>
      <c r="T1169" s="297">
        <v>5214</v>
      </c>
      <c r="U1169" s="340">
        <v>66859</v>
      </c>
      <c r="V1169" s="340">
        <v>194270</v>
      </c>
      <c r="W1169" s="297">
        <v>10798</v>
      </c>
      <c r="X1169" s="296">
        <v>-8.9999999999999993E-3</v>
      </c>
    </row>
    <row r="1170" spans="13:24">
      <c r="M1170">
        <v>1168</v>
      </c>
      <c r="N1170">
        <v>49037</v>
      </c>
      <c r="O1170" t="s">
        <v>1098</v>
      </c>
      <c r="P1170" t="s">
        <v>140</v>
      </c>
      <c r="Q1170">
        <v>131</v>
      </c>
      <c r="R1170" s="296">
        <v>0</v>
      </c>
      <c r="S1170" s="296">
        <v>0.95760000000000001</v>
      </c>
      <c r="T1170" s="297">
        <v>9427</v>
      </c>
      <c r="U1170" s="340">
        <v>64934</v>
      </c>
      <c r="V1170" s="340">
        <v>146803</v>
      </c>
      <c r="W1170" s="297">
        <v>22045</v>
      </c>
      <c r="X1170" s="296">
        <v>-1E-3</v>
      </c>
    </row>
    <row r="1171" spans="13:24">
      <c r="M1171">
        <v>1169</v>
      </c>
      <c r="N1171">
        <v>53210</v>
      </c>
      <c r="O1171" t="s">
        <v>463</v>
      </c>
      <c r="P1171" t="s">
        <v>149</v>
      </c>
      <c r="Q1171">
        <v>64</v>
      </c>
      <c r="R1171" s="296">
        <v>0</v>
      </c>
      <c r="S1171" s="296">
        <v>0.95760000000000001</v>
      </c>
      <c r="T1171" s="297">
        <v>9533</v>
      </c>
      <c r="U1171" s="340">
        <v>64722</v>
      </c>
      <c r="V1171" s="340">
        <v>212857</v>
      </c>
      <c r="W1171" s="297">
        <v>24508</v>
      </c>
      <c r="X1171" s="296">
        <v>-6.0000000000000001E-3</v>
      </c>
    </row>
    <row r="1172" spans="13:24">
      <c r="M1172">
        <v>1170</v>
      </c>
      <c r="N1172">
        <v>54303</v>
      </c>
      <c r="O1172" t="s">
        <v>1046</v>
      </c>
      <c r="P1172" t="s">
        <v>149</v>
      </c>
      <c r="Q1172">
        <v>166</v>
      </c>
      <c r="R1172" s="296">
        <v>0</v>
      </c>
      <c r="S1172" s="296">
        <v>0.9577</v>
      </c>
      <c r="T1172" s="297">
        <v>12591</v>
      </c>
      <c r="U1172" s="340">
        <v>62780</v>
      </c>
      <c r="V1172" s="340">
        <v>241073</v>
      </c>
      <c r="W1172" s="297">
        <v>28309</v>
      </c>
      <c r="X1172" s="296">
        <v>8.0000000000000002E-3</v>
      </c>
    </row>
    <row r="1173" spans="13:24">
      <c r="M1173">
        <v>1171</v>
      </c>
      <c r="N1173">
        <v>53404</v>
      </c>
      <c r="O1173" t="s">
        <v>938</v>
      </c>
      <c r="P1173" t="s">
        <v>149</v>
      </c>
      <c r="Q1173">
        <v>41</v>
      </c>
      <c r="R1173" s="296">
        <v>0</v>
      </c>
      <c r="S1173" s="296">
        <v>0.9577</v>
      </c>
      <c r="T1173" s="297">
        <v>5707</v>
      </c>
      <c r="U1173" s="340">
        <v>62536</v>
      </c>
      <c r="V1173" s="340">
        <v>201357</v>
      </c>
      <c r="W1173" s="297">
        <v>15171</v>
      </c>
      <c r="X1173" s="296">
        <v>-3.0000000000000001E-3</v>
      </c>
    </row>
    <row r="1174" spans="13:24">
      <c r="M1174">
        <v>1172</v>
      </c>
      <c r="N1174">
        <v>49022</v>
      </c>
      <c r="O1174" t="s">
        <v>1382</v>
      </c>
      <c r="P1174" t="s">
        <v>140</v>
      </c>
      <c r="Q1174">
        <v>73</v>
      </c>
      <c r="R1174" s="296">
        <v>0</v>
      </c>
      <c r="S1174" s="296">
        <v>0.95779999999999998</v>
      </c>
      <c r="T1174" s="297">
        <v>12262</v>
      </c>
      <c r="U1174" s="340">
        <v>62185</v>
      </c>
      <c r="V1174" s="340">
        <v>253102</v>
      </c>
      <c r="W1174" s="297">
        <v>29596</v>
      </c>
      <c r="X1174" s="296">
        <v>-7.0000000000000001E-3</v>
      </c>
    </row>
    <row r="1175" spans="13:24">
      <c r="M1175">
        <v>1173</v>
      </c>
      <c r="N1175">
        <v>32113</v>
      </c>
      <c r="O1175" t="s">
        <v>1383</v>
      </c>
      <c r="P1175" t="s">
        <v>127</v>
      </c>
      <c r="Q1175">
        <v>937</v>
      </c>
      <c r="R1175" s="296">
        <v>0</v>
      </c>
      <c r="S1175" s="296">
        <v>0.95779999999999998</v>
      </c>
      <c r="T1175" s="297">
        <v>2372</v>
      </c>
      <c r="U1175" s="340">
        <v>60568</v>
      </c>
      <c r="V1175" s="340">
        <v>242790</v>
      </c>
      <c r="W1175" s="297">
        <v>5832</v>
      </c>
      <c r="X1175" s="296">
        <v>1.2E-2</v>
      </c>
    </row>
    <row r="1176" spans="13:24">
      <c r="M1176">
        <v>1174</v>
      </c>
      <c r="N1176">
        <v>46201</v>
      </c>
      <c r="O1176" t="s">
        <v>561</v>
      </c>
      <c r="P1176" t="s">
        <v>144</v>
      </c>
      <c r="Q1176">
        <v>186</v>
      </c>
      <c r="R1176" s="296">
        <v>0</v>
      </c>
      <c r="S1176" s="296">
        <v>0.95779999999999998</v>
      </c>
      <c r="T1176" s="297">
        <v>13148</v>
      </c>
      <c r="U1176" s="340">
        <v>60366</v>
      </c>
      <c r="V1176" s="340">
        <v>189704</v>
      </c>
      <c r="W1176" s="297">
        <v>31713</v>
      </c>
      <c r="X1176" s="296">
        <v>5.0000000000000001E-3</v>
      </c>
    </row>
    <row r="1177" spans="13:24">
      <c r="M1177">
        <v>1175</v>
      </c>
      <c r="N1177">
        <v>65789</v>
      </c>
      <c r="O1177" t="s">
        <v>838</v>
      </c>
      <c r="P1177" t="s">
        <v>186</v>
      </c>
      <c r="Q1177">
        <v>425</v>
      </c>
      <c r="R1177" s="296">
        <v>0</v>
      </c>
      <c r="S1177" s="296">
        <v>0.95789999999999997</v>
      </c>
      <c r="T1177">
        <v>705</v>
      </c>
      <c r="U1177" s="340">
        <v>59981</v>
      </c>
      <c r="V1177" s="340">
        <v>251027</v>
      </c>
      <c r="W1177" s="297">
        <v>1819</v>
      </c>
      <c r="X1177" s="296">
        <v>1E-3</v>
      </c>
    </row>
    <row r="1178" spans="13:24">
      <c r="M1178">
        <v>1176</v>
      </c>
      <c r="N1178">
        <v>33125</v>
      </c>
      <c r="O1178" t="s">
        <v>293</v>
      </c>
      <c r="P1178" t="s">
        <v>127</v>
      </c>
      <c r="Q1178">
        <v>1209</v>
      </c>
      <c r="R1178" s="296">
        <v>0</v>
      </c>
      <c r="S1178" s="296">
        <v>0.95789999999999997</v>
      </c>
      <c r="T1178" s="297">
        <v>20866</v>
      </c>
      <c r="U1178" s="340">
        <v>59597</v>
      </c>
      <c r="V1178" s="340">
        <v>539153</v>
      </c>
      <c r="W1178" s="297">
        <v>54446</v>
      </c>
      <c r="X1178" s="296">
        <v>0</v>
      </c>
    </row>
    <row r="1179" spans="13:24">
      <c r="M1179">
        <v>1177</v>
      </c>
      <c r="N1179">
        <v>78705</v>
      </c>
      <c r="O1179" t="s">
        <v>416</v>
      </c>
      <c r="P1179" t="s">
        <v>134</v>
      </c>
      <c r="Q1179">
        <v>988</v>
      </c>
      <c r="R1179" s="296">
        <v>0</v>
      </c>
      <c r="S1179" s="296">
        <v>0.95789999999999997</v>
      </c>
      <c r="T1179" s="297">
        <v>13662</v>
      </c>
      <c r="U1179" s="340">
        <v>59511</v>
      </c>
      <c r="V1179" s="340">
        <v>719312</v>
      </c>
      <c r="W1179" s="297">
        <v>36420</v>
      </c>
      <c r="X1179" s="296">
        <v>0.01</v>
      </c>
    </row>
    <row r="1180" spans="13:24">
      <c r="M1180">
        <v>1178</v>
      </c>
      <c r="N1180">
        <v>60472</v>
      </c>
      <c r="O1180" t="s">
        <v>1384</v>
      </c>
      <c r="P1180" t="s">
        <v>131</v>
      </c>
      <c r="Q1180">
        <v>35</v>
      </c>
      <c r="R1180" s="296">
        <v>0</v>
      </c>
      <c r="S1180" s="296">
        <v>0.95799999999999996</v>
      </c>
      <c r="T1180" s="297">
        <v>1561</v>
      </c>
      <c r="U1180" s="340">
        <v>58500</v>
      </c>
      <c r="V1180" s="340">
        <v>195426</v>
      </c>
      <c r="W1180" s="297">
        <v>4501</v>
      </c>
      <c r="X1180" s="296">
        <v>-8.0000000000000002E-3</v>
      </c>
    </row>
    <row r="1181" spans="13:24">
      <c r="M1181">
        <v>1179</v>
      </c>
      <c r="N1181">
        <v>47904</v>
      </c>
      <c r="O1181" t="s">
        <v>308</v>
      </c>
      <c r="P1181" t="s">
        <v>144</v>
      </c>
      <c r="Q1181">
        <v>127</v>
      </c>
      <c r="R1181" s="296">
        <v>0</v>
      </c>
      <c r="S1181" s="296">
        <v>0.95799999999999996</v>
      </c>
      <c r="T1181" s="297">
        <v>7022</v>
      </c>
      <c r="U1181" s="340">
        <v>58312</v>
      </c>
      <c r="V1181" s="340">
        <v>183047</v>
      </c>
      <c r="W1181" s="297">
        <v>16556</v>
      </c>
      <c r="X1181" s="296">
        <v>1E-3</v>
      </c>
    </row>
    <row r="1182" spans="13:24">
      <c r="M1182">
        <v>1180</v>
      </c>
      <c r="N1182">
        <v>46406</v>
      </c>
      <c r="O1182" t="s">
        <v>1105</v>
      </c>
      <c r="P1182" t="s">
        <v>144</v>
      </c>
      <c r="Q1182">
        <v>43</v>
      </c>
      <c r="R1182" s="296">
        <v>0</v>
      </c>
      <c r="S1182" s="296">
        <v>0.95809999999999995</v>
      </c>
      <c r="T1182" s="297">
        <v>3494</v>
      </c>
      <c r="U1182" s="340">
        <v>58029</v>
      </c>
      <c r="V1182" s="340">
        <v>137265</v>
      </c>
      <c r="W1182" s="297">
        <v>8929</v>
      </c>
      <c r="X1182" s="296">
        <v>1E-3</v>
      </c>
    </row>
    <row r="1183" spans="13:24">
      <c r="M1183">
        <v>1181</v>
      </c>
      <c r="N1183">
        <v>39669</v>
      </c>
      <c r="O1183" t="s">
        <v>1385</v>
      </c>
      <c r="P1183" t="s">
        <v>188</v>
      </c>
      <c r="Q1183">
        <v>785</v>
      </c>
      <c r="R1183" s="296">
        <v>0</v>
      </c>
      <c r="S1183" s="296">
        <v>0.95809999999999995</v>
      </c>
      <c r="T1183" s="297">
        <v>1953</v>
      </c>
      <c r="U1183" s="340">
        <v>57861</v>
      </c>
      <c r="V1183" s="340">
        <v>132616</v>
      </c>
      <c r="W1183" s="297">
        <v>5191</v>
      </c>
      <c r="X1183" s="296">
        <v>-1.2E-2</v>
      </c>
    </row>
    <row r="1184" spans="13:24">
      <c r="M1184">
        <v>1182</v>
      </c>
      <c r="N1184">
        <v>63115</v>
      </c>
      <c r="O1184" t="s">
        <v>536</v>
      </c>
      <c r="P1184" t="s">
        <v>186</v>
      </c>
      <c r="Q1184">
        <v>272</v>
      </c>
      <c r="R1184" s="296">
        <v>0</v>
      </c>
      <c r="S1184" s="296">
        <v>0.95809999999999995</v>
      </c>
      <c r="T1184" s="297">
        <v>7101</v>
      </c>
      <c r="U1184" s="340">
        <v>50670</v>
      </c>
      <c r="V1184" s="340">
        <v>136080</v>
      </c>
      <c r="W1184" s="297">
        <v>15699</v>
      </c>
      <c r="X1184" s="296">
        <v>-6.0000000000000001E-3</v>
      </c>
    </row>
    <row r="1185" spans="13:24">
      <c r="M1185">
        <v>1183</v>
      </c>
      <c r="N1185">
        <v>53205</v>
      </c>
      <c r="O1185" t="s">
        <v>463</v>
      </c>
      <c r="P1185" t="s">
        <v>149</v>
      </c>
      <c r="Q1185">
        <v>63</v>
      </c>
      <c r="R1185" s="296">
        <v>0</v>
      </c>
      <c r="S1185" s="296">
        <v>0.95820000000000005</v>
      </c>
      <c r="T1185" s="297">
        <v>3934</v>
      </c>
      <c r="U1185" s="340">
        <v>49694</v>
      </c>
      <c r="V1185" s="340">
        <v>178590</v>
      </c>
      <c r="W1185" s="297">
        <v>9893</v>
      </c>
      <c r="X1185" s="296">
        <v>3.0000000000000001E-3</v>
      </c>
    </row>
    <row r="1186" spans="13:24">
      <c r="M1186">
        <v>1184</v>
      </c>
      <c r="N1186">
        <v>38106</v>
      </c>
      <c r="O1186" t="s">
        <v>678</v>
      </c>
      <c r="P1186" t="s">
        <v>146</v>
      </c>
      <c r="Q1186">
        <v>502</v>
      </c>
      <c r="R1186" s="296">
        <v>0</v>
      </c>
      <c r="S1186" s="296">
        <v>0.95820000000000005</v>
      </c>
      <c r="T1186" s="297">
        <v>9158</v>
      </c>
      <c r="U1186" s="340">
        <v>49041</v>
      </c>
      <c r="V1186" s="340">
        <v>224245</v>
      </c>
      <c r="W1186" s="297">
        <v>22140</v>
      </c>
      <c r="X1186" s="296">
        <v>-1E-3</v>
      </c>
    </row>
    <row r="1187" spans="13:24">
      <c r="M1187">
        <v>1185</v>
      </c>
      <c r="N1187">
        <v>63120</v>
      </c>
      <c r="O1187" t="s">
        <v>536</v>
      </c>
      <c r="P1187" t="s">
        <v>186</v>
      </c>
      <c r="Q1187">
        <v>272</v>
      </c>
      <c r="R1187" s="296">
        <v>0</v>
      </c>
      <c r="S1187" s="296">
        <v>0.95820000000000005</v>
      </c>
      <c r="T1187" s="297">
        <v>2908</v>
      </c>
      <c r="U1187" s="340">
        <v>47283</v>
      </c>
      <c r="V1187" s="340">
        <v>161927</v>
      </c>
      <c r="W1187" s="297">
        <v>6975</v>
      </c>
      <c r="X1187" s="296">
        <v>-1.0999999999999999E-2</v>
      </c>
    </row>
    <row r="1188" spans="13:24">
      <c r="M1188">
        <v>1186</v>
      </c>
      <c r="N1188">
        <v>47405</v>
      </c>
      <c r="O1188" t="s">
        <v>570</v>
      </c>
      <c r="P1188" t="s">
        <v>144</v>
      </c>
      <c r="Q1188">
        <v>216</v>
      </c>
      <c r="R1188" s="296">
        <v>0</v>
      </c>
      <c r="S1188" s="296">
        <v>0.95830000000000004</v>
      </c>
      <c r="T1188">
        <v>6</v>
      </c>
      <c r="U1188" s="340">
        <v>43454</v>
      </c>
      <c r="V1188" s="340">
        <v>350000</v>
      </c>
      <c r="W1188" s="297">
        <v>1922</v>
      </c>
      <c r="X1188" s="296">
        <v>-4.0000000000000001E-3</v>
      </c>
    </row>
    <row r="1189" spans="13:24">
      <c r="M1189">
        <v>1187</v>
      </c>
      <c r="N1189">
        <v>46402</v>
      </c>
      <c r="O1189" t="s">
        <v>1105</v>
      </c>
      <c r="P1189" t="s">
        <v>144</v>
      </c>
      <c r="Q1189">
        <v>44</v>
      </c>
      <c r="R1189" s="296">
        <v>0</v>
      </c>
      <c r="S1189" s="296">
        <v>0.95830000000000004</v>
      </c>
      <c r="T1189" s="297">
        <v>2490</v>
      </c>
      <c r="U1189" s="340">
        <v>41920</v>
      </c>
      <c r="V1189" s="340">
        <v>120961</v>
      </c>
      <c r="W1189" s="297">
        <v>5760</v>
      </c>
      <c r="X1189" s="296">
        <v>-2E-3</v>
      </c>
    </row>
    <row r="1190" spans="13:24">
      <c r="M1190">
        <v>1188</v>
      </c>
      <c r="N1190">
        <v>55454</v>
      </c>
      <c r="O1190" t="s">
        <v>576</v>
      </c>
      <c r="P1190" t="s">
        <v>151</v>
      </c>
      <c r="Q1190">
        <v>335</v>
      </c>
      <c r="R1190" s="296">
        <v>0</v>
      </c>
      <c r="S1190" s="296">
        <v>0.95840000000000003</v>
      </c>
      <c r="T1190" s="297">
        <v>3473</v>
      </c>
      <c r="U1190" s="340">
        <v>35008</v>
      </c>
      <c r="V1190" s="340">
        <v>339655</v>
      </c>
      <c r="W1190" s="297">
        <v>7834</v>
      </c>
      <c r="X1190" s="296">
        <v>-1.2E-2</v>
      </c>
    </row>
    <row r="1191" spans="13:24">
      <c r="M1191">
        <v>1189</v>
      </c>
      <c r="N1191">
        <v>44243</v>
      </c>
      <c r="O1191" t="s">
        <v>559</v>
      </c>
      <c r="P1191" t="s">
        <v>136</v>
      </c>
      <c r="Q1191">
        <v>340</v>
      </c>
      <c r="R1191" s="296">
        <v>0</v>
      </c>
      <c r="S1191" s="296">
        <v>0.95840000000000003</v>
      </c>
      <c r="T1191">
        <v>4</v>
      </c>
      <c r="U1191" s="340">
        <v>19026</v>
      </c>
      <c r="V1191" s="340">
        <v>0</v>
      </c>
      <c r="W1191" s="297">
        <v>4973</v>
      </c>
      <c r="X1191" s="296">
        <v>-0.03</v>
      </c>
    </row>
    <row r="1192" spans="13:24">
      <c r="M1192">
        <v>1190</v>
      </c>
      <c r="N1192">
        <v>89025</v>
      </c>
      <c r="Q1192">
        <v>1476</v>
      </c>
      <c r="R1192" s="296">
        <v>0</v>
      </c>
      <c r="S1192" s="296">
        <v>0.95840000000000003</v>
      </c>
      <c r="T1192" t="s">
        <v>307</v>
      </c>
      <c r="U1192" t="s">
        <v>307</v>
      </c>
      <c r="V1192" t="s">
        <v>307</v>
      </c>
      <c r="W1192" t="s">
        <v>307</v>
      </c>
      <c r="X1192" t="s">
        <v>307</v>
      </c>
    </row>
    <row r="1193" spans="13:24">
      <c r="M1193">
        <v>1191</v>
      </c>
      <c r="N1193">
        <v>1776</v>
      </c>
      <c r="O1193" t="s">
        <v>436</v>
      </c>
      <c r="P1193" t="s">
        <v>135</v>
      </c>
      <c r="Q1193">
        <v>836</v>
      </c>
      <c r="R1193" s="296">
        <v>0</v>
      </c>
      <c r="S1193" s="296">
        <v>0.95850000000000002</v>
      </c>
      <c r="T1193" s="297">
        <v>6488</v>
      </c>
      <c r="U1193" s="340">
        <v>304603</v>
      </c>
      <c r="V1193" s="340">
        <v>1081621</v>
      </c>
      <c r="W1193" s="297">
        <v>19174</v>
      </c>
      <c r="X1193" s="296">
        <v>3.0000000000000001E-3</v>
      </c>
    </row>
    <row r="1194" spans="13:24">
      <c r="M1194">
        <v>1192</v>
      </c>
      <c r="N1194">
        <v>2421</v>
      </c>
      <c r="O1194" t="s">
        <v>405</v>
      </c>
      <c r="P1194" t="s">
        <v>135</v>
      </c>
      <c r="Q1194">
        <v>845</v>
      </c>
      <c r="R1194" s="296">
        <v>0</v>
      </c>
      <c r="S1194" s="296">
        <v>0.95850000000000002</v>
      </c>
      <c r="T1194" s="297">
        <v>6775</v>
      </c>
      <c r="U1194" s="340">
        <v>271880</v>
      </c>
      <c r="V1194" s="340">
        <v>1276931</v>
      </c>
      <c r="W1194" s="297">
        <v>19299</v>
      </c>
      <c r="X1194" s="296">
        <v>-1E-3</v>
      </c>
    </row>
    <row r="1195" spans="13:24">
      <c r="M1195">
        <v>1193</v>
      </c>
      <c r="N1195">
        <v>7452</v>
      </c>
      <c r="O1195" t="s">
        <v>1386</v>
      </c>
      <c r="P1195" t="s">
        <v>129</v>
      </c>
      <c r="Q1195">
        <v>710</v>
      </c>
      <c r="R1195" s="296">
        <v>0</v>
      </c>
      <c r="S1195" s="296">
        <v>0.95850000000000002</v>
      </c>
      <c r="T1195" s="297">
        <v>3870</v>
      </c>
      <c r="U1195" s="340">
        <v>271616</v>
      </c>
      <c r="V1195" s="340">
        <v>813046</v>
      </c>
      <c r="W1195" s="297">
        <v>11939</v>
      </c>
      <c r="X1195" s="296">
        <v>-3.0000000000000001E-3</v>
      </c>
    </row>
    <row r="1196" spans="13:24">
      <c r="M1196">
        <v>1194</v>
      </c>
      <c r="N1196">
        <v>7901</v>
      </c>
      <c r="O1196" t="s">
        <v>1387</v>
      </c>
      <c r="P1196" t="s">
        <v>129</v>
      </c>
      <c r="Q1196">
        <v>702</v>
      </c>
      <c r="R1196" s="296">
        <v>0</v>
      </c>
      <c r="S1196" s="296">
        <v>0.95850000000000002</v>
      </c>
      <c r="T1196" s="297">
        <v>8087</v>
      </c>
      <c r="U1196" s="340">
        <v>267009</v>
      </c>
      <c r="V1196" s="340">
        <v>1139906</v>
      </c>
      <c r="W1196" s="297">
        <v>23220</v>
      </c>
      <c r="X1196" s="296">
        <v>-6.0000000000000001E-3</v>
      </c>
    </row>
    <row r="1197" spans="13:24">
      <c r="M1197">
        <v>1195</v>
      </c>
      <c r="N1197">
        <v>33149</v>
      </c>
      <c r="O1197" t="s">
        <v>592</v>
      </c>
      <c r="P1197" t="s">
        <v>127</v>
      </c>
      <c r="Q1197">
        <v>1216</v>
      </c>
      <c r="R1197" s="296">
        <v>0</v>
      </c>
      <c r="S1197" s="296">
        <v>0.95860000000000001</v>
      </c>
      <c r="T1197" s="297">
        <v>5214</v>
      </c>
      <c r="U1197" s="340">
        <v>264255</v>
      </c>
      <c r="V1197" s="340">
        <v>1505887</v>
      </c>
      <c r="W1197" s="297">
        <v>14590</v>
      </c>
      <c r="X1197" s="296">
        <v>-4.0000000000000001E-3</v>
      </c>
    </row>
    <row r="1198" spans="13:24">
      <c r="M1198">
        <v>1196</v>
      </c>
      <c r="N1198">
        <v>21042</v>
      </c>
      <c r="O1198" t="s">
        <v>1388</v>
      </c>
      <c r="P1198" t="s">
        <v>137</v>
      </c>
      <c r="Q1198">
        <v>605</v>
      </c>
      <c r="R1198" s="296">
        <v>0</v>
      </c>
      <c r="S1198" s="296">
        <v>0.95860000000000001</v>
      </c>
      <c r="T1198" s="297">
        <v>15234</v>
      </c>
      <c r="U1198" s="340">
        <v>244552</v>
      </c>
      <c r="V1198" s="340">
        <v>793191</v>
      </c>
      <c r="W1198" s="297">
        <v>44772</v>
      </c>
      <c r="X1198" s="296">
        <v>8.9999999999999993E-3</v>
      </c>
    </row>
    <row r="1199" spans="13:24">
      <c r="M1199">
        <v>1197</v>
      </c>
      <c r="N1199">
        <v>94041</v>
      </c>
      <c r="O1199" t="s">
        <v>1389</v>
      </c>
      <c r="P1199" t="s">
        <v>132</v>
      </c>
      <c r="Q1199">
        <v>1838</v>
      </c>
      <c r="R1199" s="296">
        <v>0</v>
      </c>
      <c r="S1199" s="296">
        <v>0.95860000000000001</v>
      </c>
      <c r="T1199" s="297">
        <v>6950</v>
      </c>
      <c r="U1199" s="340">
        <v>239897</v>
      </c>
      <c r="V1199" s="340">
        <v>1681545</v>
      </c>
      <c r="W1199" s="297">
        <v>16187</v>
      </c>
      <c r="X1199" s="296">
        <v>5.0000000000000001E-3</v>
      </c>
    </row>
    <row r="1200" spans="13:24">
      <c r="M1200">
        <v>1198</v>
      </c>
      <c r="N1200">
        <v>94904</v>
      </c>
      <c r="O1200" t="s">
        <v>1390</v>
      </c>
      <c r="P1200" t="s">
        <v>132</v>
      </c>
      <c r="Q1200">
        <v>1848</v>
      </c>
      <c r="R1200" s="296">
        <v>0</v>
      </c>
      <c r="S1200" s="296">
        <v>0.95860000000000001</v>
      </c>
      <c r="T1200" s="297">
        <v>5278</v>
      </c>
      <c r="U1200" s="340">
        <v>236072</v>
      </c>
      <c r="V1200" s="340">
        <v>1743478</v>
      </c>
      <c r="W1200" s="297">
        <v>12572</v>
      </c>
      <c r="X1200" s="296">
        <v>-5.0000000000000001E-3</v>
      </c>
    </row>
    <row r="1201" spans="13:24">
      <c r="M1201">
        <v>1199</v>
      </c>
      <c r="N1201">
        <v>92127</v>
      </c>
      <c r="O1201" t="s">
        <v>316</v>
      </c>
      <c r="P1201" t="s">
        <v>132</v>
      </c>
      <c r="Q1201">
        <v>1715</v>
      </c>
      <c r="R1201" s="296">
        <v>0</v>
      </c>
      <c r="S1201" s="296">
        <v>0.9587</v>
      </c>
      <c r="T1201" s="297">
        <v>17219</v>
      </c>
      <c r="U1201" s="340">
        <v>234662</v>
      </c>
      <c r="V1201" s="340">
        <v>1292730</v>
      </c>
      <c r="W1201" s="297">
        <v>53077</v>
      </c>
      <c r="X1201" s="296">
        <v>4.0000000000000001E-3</v>
      </c>
    </row>
    <row r="1202" spans="13:24">
      <c r="M1202">
        <v>1200</v>
      </c>
      <c r="N1202">
        <v>85266</v>
      </c>
      <c r="O1202" t="s">
        <v>1159</v>
      </c>
      <c r="P1202" t="s">
        <v>158</v>
      </c>
      <c r="Q1202">
        <v>1430</v>
      </c>
      <c r="R1202" s="296">
        <v>0</v>
      </c>
      <c r="S1202" s="296">
        <v>0.9587</v>
      </c>
      <c r="T1202" s="297">
        <v>5433</v>
      </c>
      <c r="U1202" s="340">
        <v>233035</v>
      </c>
      <c r="V1202" s="340">
        <v>967574</v>
      </c>
      <c r="W1202" s="297">
        <v>12199</v>
      </c>
      <c r="X1202" s="296">
        <v>4.0000000000000001E-3</v>
      </c>
    </row>
    <row r="1203" spans="13:24">
      <c r="M1203">
        <v>1201</v>
      </c>
      <c r="N1203">
        <v>90049</v>
      </c>
      <c r="O1203" t="s">
        <v>309</v>
      </c>
      <c r="P1203" t="s">
        <v>132</v>
      </c>
      <c r="Q1203">
        <v>1748</v>
      </c>
      <c r="R1203" s="296">
        <v>0</v>
      </c>
      <c r="S1203" s="296">
        <v>0.9587</v>
      </c>
      <c r="T1203" s="297">
        <v>16940</v>
      </c>
      <c r="U1203" s="340">
        <v>232217</v>
      </c>
      <c r="V1203" s="340">
        <v>1890382</v>
      </c>
      <c r="W1203" s="297">
        <v>36804</v>
      </c>
      <c r="X1203" s="296">
        <v>-8.0000000000000002E-3</v>
      </c>
    </row>
    <row r="1204" spans="13:24">
      <c r="M1204">
        <v>1202</v>
      </c>
      <c r="N1204">
        <v>48098</v>
      </c>
      <c r="O1204" t="s">
        <v>511</v>
      </c>
      <c r="P1204" t="s">
        <v>140</v>
      </c>
      <c r="Q1204">
        <v>237</v>
      </c>
      <c r="R1204" s="296">
        <v>0</v>
      </c>
      <c r="S1204" s="296">
        <v>0.9587</v>
      </c>
      <c r="T1204" s="297">
        <v>7277</v>
      </c>
      <c r="U1204" s="340">
        <v>231623</v>
      </c>
      <c r="V1204" s="340">
        <v>525372</v>
      </c>
      <c r="W1204" s="297">
        <v>20085</v>
      </c>
      <c r="X1204" s="296">
        <v>-2E-3</v>
      </c>
    </row>
    <row r="1205" spans="13:24">
      <c r="M1205">
        <v>1203</v>
      </c>
      <c r="N1205">
        <v>80108</v>
      </c>
      <c r="O1205" t="s">
        <v>645</v>
      </c>
      <c r="P1205" t="s">
        <v>142</v>
      </c>
      <c r="Q1205">
        <v>910</v>
      </c>
      <c r="R1205" s="296">
        <v>0</v>
      </c>
      <c r="S1205" s="296">
        <v>0.95879999999999999</v>
      </c>
      <c r="T1205" s="297">
        <v>13723</v>
      </c>
      <c r="U1205" s="340">
        <v>230364</v>
      </c>
      <c r="V1205" s="340">
        <v>858006</v>
      </c>
      <c r="W1205" s="297">
        <v>39349</v>
      </c>
      <c r="X1205" s="296">
        <v>4.8000000000000001E-2</v>
      </c>
    </row>
    <row r="1206" spans="13:24">
      <c r="M1206">
        <v>1204</v>
      </c>
      <c r="N1206">
        <v>10065</v>
      </c>
      <c r="O1206" t="s">
        <v>203</v>
      </c>
      <c r="P1206" t="s">
        <v>128</v>
      </c>
      <c r="Q1206">
        <v>721</v>
      </c>
      <c r="R1206" s="296">
        <v>0</v>
      </c>
      <c r="S1206" s="296">
        <v>0.95879999999999999</v>
      </c>
      <c r="T1206" s="297">
        <v>17531</v>
      </c>
      <c r="U1206" s="340">
        <v>230233</v>
      </c>
      <c r="V1206" s="340">
        <v>1526397</v>
      </c>
      <c r="W1206" s="297">
        <v>31046</v>
      </c>
      <c r="X1206" s="296">
        <v>-8.0000000000000002E-3</v>
      </c>
    </row>
    <row r="1207" spans="13:24">
      <c r="M1207">
        <v>1205</v>
      </c>
      <c r="N1207">
        <v>7675</v>
      </c>
      <c r="O1207" t="s">
        <v>440</v>
      </c>
      <c r="P1207" t="s">
        <v>129</v>
      </c>
      <c r="Q1207">
        <v>716</v>
      </c>
      <c r="R1207" s="296">
        <v>0</v>
      </c>
      <c r="S1207" s="296">
        <v>0.95879999999999999</v>
      </c>
      <c r="T1207" s="297">
        <v>10310</v>
      </c>
      <c r="U1207" s="340">
        <v>227966</v>
      </c>
      <c r="V1207" s="340">
        <v>762440</v>
      </c>
      <c r="W1207" s="297">
        <v>27709</v>
      </c>
      <c r="X1207" s="296">
        <v>6.0000000000000001E-3</v>
      </c>
    </row>
    <row r="1208" spans="13:24">
      <c r="M1208">
        <v>1206</v>
      </c>
      <c r="N1208">
        <v>7016</v>
      </c>
      <c r="O1208" t="s">
        <v>1391</v>
      </c>
      <c r="P1208" t="s">
        <v>129</v>
      </c>
      <c r="Q1208">
        <v>706</v>
      </c>
      <c r="R1208" s="296">
        <v>0</v>
      </c>
      <c r="S1208" s="296">
        <v>0.95879999999999999</v>
      </c>
      <c r="T1208" s="297">
        <v>9051</v>
      </c>
      <c r="U1208" s="340">
        <v>224626</v>
      </c>
      <c r="V1208" s="340">
        <v>674164</v>
      </c>
      <c r="W1208" s="297">
        <v>24441</v>
      </c>
      <c r="X1208" s="296">
        <v>4.0000000000000001E-3</v>
      </c>
    </row>
    <row r="1209" spans="13:24">
      <c r="M1209">
        <v>1207</v>
      </c>
      <c r="N1209">
        <v>91377</v>
      </c>
      <c r="O1209" t="s">
        <v>807</v>
      </c>
      <c r="P1209" t="s">
        <v>132</v>
      </c>
      <c r="Q1209">
        <v>1759</v>
      </c>
      <c r="R1209" s="296">
        <v>0</v>
      </c>
      <c r="S1209" s="296">
        <v>0.95889999999999997</v>
      </c>
      <c r="T1209" s="297">
        <v>5081</v>
      </c>
      <c r="U1209" s="340">
        <v>224059</v>
      </c>
      <c r="V1209" s="340">
        <v>1082375</v>
      </c>
      <c r="W1209" s="297">
        <v>13293</v>
      </c>
      <c r="X1209" s="296">
        <v>-0.01</v>
      </c>
    </row>
    <row r="1210" spans="13:24">
      <c r="M1210">
        <v>1208</v>
      </c>
      <c r="N1210">
        <v>33629</v>
      </c>
      <c r="O1210" t="s">
        <v>475</v>
      </c>
      <c r="P1210" t="s">
        <v>127</v>
      </c>
      <c r="Q1210">
        <v>1027</v>
      </c>
      <c r="R1210" s="296">
        <v>0</v>
      </c>
      <c r="S1210" s="296">
        <v>0.95889999999999997</v>
      </c>
      <c r="T1210" s="297">
        <v>10624</v>
      </c>
      <c r="U1210" s="340">
        <v>223116</v>
      </c>
      <c r="V1210" s="340">
        <v>878711</v>
      </c>
      <c r="W1210" s="297">
        <v>26114</v>
      </c>
      <c r="X1210" s="296">
        <v>2E-3</v>
      </c>
    </row>
    <row r="1211" spans="13:24">
      <c r="M1211">
        <v>1209</v>
      </c>
      <c r="N1211">
        <v>20882</v>
      </c>
      <c r="O1211" t="s">
        <v>604</v>
      </c>
      <c r="P1211" t="s">
        <v>137</v>
      </c>
      <c r="Q1211">
        <v>592</v>
      </c>
      <c r="R1211" s="296">
        <v>0</v>
      </c>
      <c r="S1211" s="296">
        <v>0.95889999999999997</v>
      </c>
      <c r="T1211" s="297">
        <v>4598</v>
      </c>
      <c r="U1211" s="340">
        <v>219813</v>
      </c>
      <c r="V1211" s="340">
        <v>801335</v>
      </c>
      <c r="W1211" s="297">
        <v>13995</v>
      </c>
      <c r="X1211" s="296">
        <v>-3.0000000000000001E-3</v>
      </c>
    </row>
    <row r="1212" spans="13:24">
      <c r="M1212">
        <v>1210</v>
      </c>
      <c r="N1212">
        <v>10023</v>
      </c>
      <c r="O1212" t="s">
        <v>203</v>
      </c>
      <c r="P1212" t="s">
        <v>128</v>
      </c>
      <c r="Q1212">
        <v>721</v>
      </c>
      <c r="R1212" s="296">
        <v>0</v>
      </c>
      <c r="S1212" s="296">
        <v>0.95889999999999997</v>
      </c>
      <c r="T1212" s="297">
        <v>36209</v>
      </c>
      <c r="U1212" s="340">
        <v>217791</v>
      </c>
      <c r="V1212" s="340">
        <v>1508221</v>
      </c>
      <c r="W1212" s="297">
        <v>66693</v>
      </c>
      <c r="X1212" s="296">
        <v>-8.0000000000000002E-3</v>
      </c>
    </row>
    <row r="1213" spans="13:24">
      <c r="M1213">
        <v>1211</v>
      </c>
      <c r="N1213">
        <v>7960</v>
      </c>
      <c r="O1213" t="s">
        <v>598</v>
      </c>
      <c r="P1213" t="s">
        <v>129</v>
      </c>
      <c r="Q1213">
        <v>694</v>
      </c>
      <c r="R1213" s="296">
        <v>0</v>
      </c>
      <c r="S1213" s="296">
        <v>0.95899999999999996</v>
      </c>
      <c r="T1213" s="297">
        <v>18579</v>
      </c>
      <c r="U1213" s="340">
        <v>216305</v>
      </c>
      <c r="V1213" s="340">
        <v>821034</v>
      </c>
      <c r="W1213" s="297">
        <v>46302</v>
      </c>
      <c r="X1213" s="296">
        <v>2E-3</v>
      </c>
    </row>
    <row r="1214" spans="13:24">
      <c r="M1214">
        <v>1212</v>
      </c>
      <c r="N1214">
        <v>95125</v>
      </c>
      <c r="O1214" t="s">
        <v>296</v>
      </c>
      <c r="P1214" t="s">
        <v>132</v>
      </c>
      <c r="Q1214">
        <v>1831</v>
      </c>
      <c r="R1214" s="296">
        <v>0</v>
      </c>
      <c r="S1214" s="296">
        <v>0.95899999999999996</v>
      </c>
      <c r="T1214" s="297">
        <v>20450</v>
      </c>
      <c r="U1214" s="340">
        <v>215800</v>
      </c>
      <c r="V1214" s="340">
        <v>1617031</v>
      </c>
      <c r="W1214" s="297">
        <v>52605</v>
      </c>
      <c r="X1214" s="296">
        <v>-7.0000000000000001E-3</v>
      </c>
    </row>
    <row r="1215" spans="13:24">
      <c r="M1215">
        <v>1213</v>
      </c>
      <c r="N1215">
        <v>55347</v>
      </c>
      <c r="O1215" t="s">
        <v>1392</v>
      </c>
      <c r="P1215" t="s">
        <v>151</v>
      </c>
      <c r="Q1215">
        <v>339</v>
      </c>
      <c r="R1215" s="296">
        <v>0</v>
      </c>
      <c r="S1215" s="296">
        <v>0.95899999999999996</v>
      </c>
      <c r="T1215" s="297">
        <v>11714</v>
      </c>
      <c r="U1215" s="340">
        <v>214871</v>
      </c>
      <c r="V1215" s="340">
        <v>608536</v>
      </c>
      <c r="W1215" s="297">
        <v>31848</v>
      </c>
      <c r="X1215" s="296">
        <v>-3.0000000000000001E-3</v>
      </c>
    </row>
    <row r="1216" spans="13:24">
      <c r="M1216">
        <v>1214</v>
      </c>
      <c r="N1216">
        <v>30075</v>
      </c>
      <c r="O1216" t="s">
        <v>527</v>
      </c>
      <c r="P1216" t="s">
        <v>130</v>
      </c>
      <c r="Q1216">
        <v>590</v>
      </c>
      <c r="R1216" s="296">
        <v>0</v>
      </c>
      <c r="S1216" s="296">
        <v>0.95899999999999996</v>
      </c>
      <c r="T1216" s="297">
        <v>20798</v>
      </c>
      <c r="U1216" s="340">
        <v>214817</v>
      </c>
      <c r="V1216" s="340">
        <v>630084</v>
      </c>
      <c r="W1216" s="297">
        <v>55478</v>
      </c>
      <c r="X1216" s="296">
        <v>-3.0000000000000001E-3</v>
      </c>
    </row>
    <row r="1217" spans="13:24">
      <c r="M1217">
        <v>1215</v>
      </c>
      <c r="N1217">
        <v>49301</v>
      </c>
      <c r="O1217" t="s">
        <v>1393</v>
      </c>
      <c r="P1217" t="s">
        <v>140</v>
      </c>
      <c r="Q1217">
        <v>131</v>
      </c>
      <c r="R1217" s="296">
        <v>0</v>
      </c>
      <c r="S1217" s="296">
        <v>0.95909999999999995</v>
      </c>
      <c r="T1217" s="297">
        <v>6754</v>
      </c>
      <c r="U1217" s="340">
        <v>214218</v>
      </c>
      <c r="V1217" s="340">
        <v>542616</v>
      </c>
      <c r="W1217" s="297">
        <v>20222</v>
      </c>
      <c r="X1217" s="296">
        <v>0</v>
      </c>
    </row>
    <row r="1218" spans="13:24">
      <c r="M1218">
        <v>1216</v>
      </c>
      <c r="N1218">
        <v>34242</v>
      </c>
      <c r="O1218" t="s">
        <v>677</v>
      </c>
      <c r="P1218" t="s">
        <v>127</v>
      </c>
      <c r="Q1218">
        <v>1071</v>
      </c>
      <c r="R1218" s="296">
        <v>0</v>
      </c>
      <c r="S1218" s="296">
        <v>0.95909999999999995</v>
      </c>
      <c r="T1218" s="297">
        <v>3878</v>
      </c>
      <c r="U1218" s="340">
        <v>213095</v>
      </c>
      <c r="V1218" s="340">
        <v>1202319</v>
      </c>
      <c r="W1218" s="297">
        <v>7608</v>
      </c>
      <c r="X1218" s="296">
        <v>6.0000000000000001E-3</v>
      </c>
    </row>
    <row r="1219" spans="13:24">
      <c r="M1219">
        <v>1217</v>
      </c>
      <c r="N1219">
        <v>89138</v>
      </c>
      <c r="O1219" t="s">
        <v>706</v>
      </c>
      <c r="P1219" t="s">
        <v>148</v>
      </c>
      <c r="Q1219">
        <v>1526</v>
      </c>
      <c r="R1219" s="296">
        <v>0</v>
      </c>
      <c r="S1219" s="296">
        <v>0.95909999999999995</v>
      </c>
      <c r="T1219" s="297">
        <v>10283</v>
      </c>
      <c r="U1219" s="340">
        <v>210837</v>
      </c>
      <c r="V1219" s="340">
        <v>781153</v>
      </c>
      <c r="W1219" s="297">
        <v>29809</v>
      </c>
      <c r="X1219" s="296">
        <v>0.08</v>
      </c>
    </row>
    <row r="1220" spans="13:24">
      <c r="M1220">
        <v>1218</v>
      </c>
      <c r="N1220">
        <v>8807</v>
      </c>
      <c r="O1220" t="s">
        <v>384</v>
      </c>
      <c r="P1220" t="s">
        <v>129</v>
      </c>
      <c r="Q1220">
        <v>690</v>
      </c>
      <c r="R1220" s="296">
        <v>0</v>
      </c>
      <c r="S1220" s="296">
        <v>0.95909999999999995</v>
      </c>
      <c r="T1220" s="297">
        <v>13740</v>
      </c>
      <c r="U1220" s="340">
        <v>209722</v>
      </c>
      <c r="V1220" s="340">
        <v>640883</v>
      </c>
      <c r="W1220" s="297">
        <v>39150</v>
      </c>
      <c r="X1220" s="296">
        <v>-1E-3</v>
      </c>
    </row>
    <row r="1221" spans="13:24">
      <c r="M1221">
        <v>1219</v>
      </c>
      <c r="N1221">
        <v>98019</v>
      </c>
      <c r="O1221" t="s">
        <v>1394</v>
      </c>
      <c r="P1221" t="s">
        <v>224</v>
      </c>
      <c r="Q1221">
        <v>1699</v>
      </c>
      <c r="R1221" s="296">
        <v>0</v>
      </c>
      <c r="S1221" s="296">
        <v>0.95920000000000005</v>
      </c>
      <c r="T1221" s="297">
        <v>4490</v>
      </c>
      <c r="U1221" s="340">
        <v>209461</v>
      </c>
      <c r="V1221" s="340">
        <v>961789</v>
      </c>
      <c r="W1221" s="297">
        <v>13039</v>
      </c>
      <c r="X1221" s="296">
        <v>1.6E-2</v>
      </c>
    </row>
    <row r="1222" spans="13:24">
      <c r="M1222">
        <v>1220</v>
      </c>
      <c r="N1222">
        <v>33076</v>
      </c>
      <c r="O1222" t="s">
        <v>567</v>
      </c>
      <c r="P1222" t="s">
        <v>127</v>
      </c>
      <c r="Q1222">
        <v>1174</v>
      </c>
      <c r="R1222" s="296">
        <v>0</v>
      </c>
      <c r="S1222" s="296">
        <v>0.95920000000000005</v>
      </c>
      <c r="T1222" s="297">
        <v>14139</v>
      </c>
      <c r="U1222" s="340">
        <v>208793</v>
      </c>
      <c r="V1222" s="340">
        <v>758173</v>
      </c>
      <c r="W1222" s="297">
        <v>44576</v>
      </c>
      <c r="X1222" s="296">
        <v>1.4999999999999999E-2</v>
      </c>
    </row>
    <row r="1223" spans="13:24">
      <c r="M1223">
        <v>1221</v>
      </c>
      <c r="N1223">
        <v>49636</v>
      </c>
      <c r="O1223" t="s">
        <v>1395</v>
      </c>
      <c r="P1223" t="s">
        <v>140</v>
      </c>
      <c r="Q1223">
        <v>209</v>
      </c>
      <c r="R1223" s="296">
        <v>0</v>
      </c>
      <c r="S1223" s="296">
        <v>0.95920000000000005</v>
      </c>
      <c r="T1223">
        <v>182</v>
      </c>
      <c r="U1223" s="340">
        <v>207104</v>
      </c>
      <c r="V1223" s="340">
        <v>1072599</v>
      </c>
      <c r="W1223">
        <v>340</v>
      </c>
      <c r="X1223" s="296">
        <v>-8.9999999999999993E-3</v>
      </c>
    </row>
    <row r="1224" spans="13:24">
      <c r="M1224">
        <v>1222</v>
      </c>
      <c r="N1224">
        <v>20721</v>
      </c>
      <c r="O1224" t="s">
        <v>1396</v>
      </c>
      <c r="P1224" t="s">
        <v>137</v>
      </c>
      <c r="Q1224">
        <v>619</v>
      </c>
      <c r="R1224" s="296">
        <v>0</v>
      </c>
      <c r="S1224" s="296">
        <v>0.95920000000000005</v>
      </c>
      <c r="T1224" s="297">
        <v>10192</v>
      </c>
      <c r="U1224" s="340">
        <v>205695</v>
      </c>
      <c r="V1224" s="340">
        <v>581273</v>
      </c>
      <c r="W1224" s="297">
        <v>30302</v>
      </c>
      <c r="X1224" s="296">
        <v>5.0000000000000001E-3</v>
      </c>
    </row>
    <row r="1225" spans="13:24">
      <c r="M1225">
        <v>1223</v>
      </c>
      <c r="N1225">
        <v>43065</v>
      </c>
      <c r="O1225" t="s">
        <v>1397</v>
      </c>
      <c r="P1225" t="s">
        <v>136</v>
      </c>
      <c r="Q1225">
        <v>279</v>
      </c>
      <c r="R1225" s="296">
        <v>0</v>
      </c>
      <c r="S1225" s="296">
        <v>0.95930000000000004</v>
      </c>
      <c r="T1225" s="297">
        <v>17531</v>
      </c>
      <c r="U1225" s="340">
        <v>204771</v>
      </c>
      <c r="V1225" s="340">
        <v>541952</v>
      </c>
      <c r="W1225" s="297">
        <v>49205</v>
      </c>
      <c r="X1225" s="296">
        <v>2.1999999999999999E-2</v>
      </c>
    </row>
    <row r="1226" spans="13:24">
      <c r="M1226">
        <v>1224</v>
      </c>
      <c r="N1226">
        <v>34228</v>
      </c>
      <c r="O1226" t="s">
        <v>1398</v>
      </c>
      <c r="P1226" t="s">
        <v>127</v>
      </c>
      <c r="Q1226">
        <v>1060</v>
      </c>
      <c r="R1226" s="296">
        <v>0</v>
      </c>
      <c r="S1226" s="296">
        <v>0.95930000000000004</v>
      </c>
      <c r="T1226" s="297">
        <v>4350</v>
      </c>
      <c r="U1226" s="340">
        <v>203841</v>
      </c>
      <c r="V1226" s="340">
        <v>1172538</v>
      </c>
      <c r="W1226" s="297">
        <v>7665</v>
      </c>
      <c r="X1226" s="296">
        <v>5.0000000000000001E-3</v>
      </c>
    </row>
    <row r="1227" spans="13:24">
      <c r="M1227">
        <v>1225</v>
      </c>
      <c r="N1227">
        <v>75035</v>
      </c>
      <c r="O1227" t="s">
        <v>1399</v>
      </c>
      <c r="P1227" t="s">
        <v>134</v>
      </c>
      <c r="Q1227">
        <v>791</v>
      </c>
      <c r="R1227" s="296">
        <v>0</v>
      </c>
      <c r="S1227" s="296">
        <v>0.95930000000000004</v>
      </c>
      <c r="T1227" s="297">
        <v>30797</v>
      </c>
      <c r="U1227" s="340">
        <v>203361</v>
      </c>
      <c r="V1227" s="340">
        <v>624179</v>
      </c>
      <c r="W1227" s="297">
        <v>98550</v>
      </c>
      <c r="X1227" s="296">
        <v>4.3999999999999997E-2</v>
      </c>
    </row>
    <row r="1228" spans="13:24">
      <c r="M1228">
        <v>1226</v>
      </c>
      <c r="N1228">
        <v>94536</v>
      </c>
      <c r="O1228" t="s">
        <v>292</v>
      </c>
      <c r="P1228" t="s">
        <v>132</v>
      </c>
      <c r="Q1228">
        <v>1829</v>
      </c>
      <c r="R1228" s="296">
        <v>0</v>
      </c>
      <c r="S1228" s="296">
        <v>0.95930000000000004</v>
      </c>
      <c r="T1228" s="297">
        <v>24923</v>
      </c>
      <c r="U1228" s="340">
        <v>202936</v>
      </c>
      <c r="V1228" s="340">
        <v>1376027</v>
      </c>
      <c r="W1228" s="297">
        <v>75105</v>
      </c>
      <c r="X1228" s="296">
        <v>3.0000000000000001E-3</v>
      </c>
    </row>
    <row r="1229" spans="13:24">
      <c r="M1229">
        <v>1227</v>
      </c>
      <c r="N1229">
        <v>10003</v>
      </c>
      <c r="O1229" t="s">
        <v>203</v>
      </c>
      <c r="P1229" t="s">
        <v>128</v>
      </c>
      <c r="Q1229">
        <v>721</v>
      </c>
      <c r="R1229" s="296">
        <v>0</v>
      </c>
      <c r="S1229" s="296">
        <v>0.95940000000000003</v>
      </c>
      <c r="T1229" s="297">
        <v>27646</v>
      </c>
      <c r="U1229" s="340">
        <v>202686</v>
      </c>
      <c r="V1229" s="340">
        <v>1281431</v>
      </c>
      <c r="W1229" s="297">
        <v>54697</v>
      </c>
      <c r="X1229" s="296">
        <v>-8.9999999999999993E-3</v>
      </c>
    </row>
    <row r="1230" spans="13:24">
      <c r="M1230">
        <v>1228</v>
      </c>
      <c r="N1230">
        <v>20120</v>
      </c>
      <c r="O1230" t="s">
        <v>1400</v>
      </c>
      <c r="P1230" t="s">
        <v>139</v>
      </c>
      <c r="Q1230">
        <v>587</v>
      </c>
      <c r="R1230" s="296">
        <v>0</v>
      </c>
      <c r="S1230" s="296">
        <v>0.95940000000000003</v>
      </c>
      <c r="T1230" s="297">
        <v>14254</v>
      </c>
      <c r="U1230" s="340">
        <v>202199</v>
      </c>
      <c r="V1230" s="340">
        <v>732675</v>
      </c>
      <c r="W1230" s="297">
        <v>42272</v>
      </c>
      <c r="X1230" s="296">
        <v>-2E-3</v>
      </c>
    </row>
    <row r="1231" spans="13:24">
      <c r="M1231">
        <v>1229</v>
      </c>
      <c r="N1231">
        <v>43054</v>
      </c>
      <c r="O1231" t="s">
        <v>1401</v>
      </c>
      <c r="P1231" t="s">
        <v>136</v>
      </c>
      <c r="Q1231">
        <v>296</v>
      </c>
      <c r="R1231" s="296">
        <v>0</v>
      </c>
      <c r="S1231" s="296">
        <v>0.95940000000000003</v>
      </c>
      <c r="T1231" s="297">
        <v>11568</v>
      </c>
      <c r="U1231" s="340">
        <v>200498</v>
      </c>
      <c r="V1231" s="340">
        <v>532386</v>
      </c>
      <c r="W1231" s="297">
        <v>29079</v>
      </c>
      <c r="X1231" s="296">
        <v>5.0000000000000001E-3</v>
      </c>
    </row>
    <row r="1232" spans="13:24">
      <c r="M1232">
        <v>1230</v>
      </c>
      <c r="N1232">
        <v>27519</v>
      </c>
      <c r="O1232" t="s">
        <v>701</v>
      </c>
      <c r="P1232" t="s">
        <v>138</v>
      </c>
      <c r="Q1232">
        <v>648</v>
      </c>
      <c r="R1232" s="296">
        <v>0</v>
      </c>
      <c r="S1232" s="296">
        <v>0.95940000000000003</v>
      </c>
      <c r="T1232" s="297">
        <v>25029</v>
      </c>
      <c r="U1232" s="340">
        <v>200199</v>
      </c>
      <c r="V1232" s="340">
        <v>684579</v>
      </c>
      <c r="W1232" s="297">
        <v>73010</v>
      </c>
      <c r="X1232" s="296">
        <v>2.4E-2</v>
      </c>
    </row>
    <row r="1233" spans="13:24">
      <c r="M1233">
        <v>1231</v>
      </c>
      <c r="N1233">
        <v>84060</v>
      </c>
      <c r="O1233" t="s">
        <v>1262</v>
      </c>
      <c r="P1233" t="s">
        <v>219</v>
      </c>
      <c r="Q1233">
        <v>1230</v>
      </c>
      <c r="R1233" s="296">
        <v>0</v>
      </c>
      <c r="S1233" s="296">
        <v>0.95950000000000002</v>
      </c>
      <c r="T1233" s="297">
        <v>3715</v>
      </c>
      <c r="U1233" s="340">
        <v>200095</v>
      </c>
      <c r="V1233" s="340">
        <v>1670928</v>
      </c>
      <c r="W1233" s="297">
        <v>9248</v>
      </c>
      <c r="X1233" s="296">
        <v>1.7000000000000001E-2</v>
      </c>
    </row>
    <row r="1234" spans="13:24">
      <c r="M1234">
        <v>1232</v>
      </c>
      <c r="N1234">
        <v>11040</v>
      </c>
      <c r="O1234" t="s">
        <v>1402</v>
      </c>
      <c r="P1234" t="s">
        <v>128</v>
      </c>
      <c r="Q1234">
        <v>736</v>
      </c>
      <c r="R1234" s="296">
        <v>0</v>
      </c>
      <c r="S1234" s="296">
        <v>0.95950000000000002</v>
      </c>
      <c r="T1234" s="297">
        <v>13235</v>
      </c>
      <c r="U1234" s="340">
        <v>198859</v>
      </c>
      <c r="V1234" s="340">
        <v>821899</v>
      </c>
      <c r="W1234" s="297">
        <v>42217</v>
      </c>
      <c r="X1234" s="296">
        <v>-3.0000000000000001E-3</v>
      </c>
    </row>
    <row r="1235" spans="13:24">
      <c r="M1235">
        <v>1233</v>
      </c>
      <c r="N1235">
        <v>85284</v>
      </c>
      <c r="O1235" t="s">
        <v>1104</v>
      </c>
      <c r="P1235" t="s">
        <v>158</v>
      </c>
      <c r="Q1235">
        <v>1446</v>
      </c>
      <c r="R1235" s="296">
        <v>0</v>
      </c>
      <c r="S1235" s="296">
        <v>0.95950000000000002</v>
      </c>
      <c r="T1235" s="297">
        <v>7311</v>
      </c>
      <c r="U1235" s="340">
        <v>198387</v>
      </c>
      <c r="V1235" s="340">
        <v>693099</v>
      </c>
      <c r="W1235" s="297">
        <v>18672</v>
      </c>
      <c r="X1235" s="296">
        <v>0</v>
      </c>
    </row>
    <row r="1236" spans="13:24">
      <c r="M1236">
        <v>1234</v>
      </c>
      <c r="N1236">
        <v>30342</v>
      </c>
      <c r="O1236" t="s">
        <v>507</v>
      </c>
      <c r="P1236" t="s">
        <v>130</v>
      </c>
      <c r="Q1236">
        <v>600</v>
      </c>
      <c r="R1236" s="296">
        <v>0</v>
      </c>
      <c r="S1236" s="296">
        <v>0.95950000000000002</v>
      </c>
      <c r="T1236" s="297">
        <v>14117</v>
      </c>
      <c r="U1236" s="340">
        <v>198264</v>
      </c>
      <c r="V1236" s="340">
        <v>999095</v>
      </c>
      <c r="W1236" s="297">
        <v>32047</v>
      </c>
      <c r="X1236" s="296">
        <v>-1E-3</v>
      </c>
    </row>
    <row r="1237" spans="13:24">
      <c r="M1237">
        <v>1235</v>
      </c>
      <c r="N1237">
        <v>52411</v>
      </c>
      <c r="O1237" t="s">
        <v>969</v>
      </c>
      <c r="P1237" t="s">
        <v>170</v>
      </c>
      <c r="Q1237">
        <v>202</v>
      </c>
      <c r="R1237" s="296">
        <v>0</v>
      </c>
      <c r="S1237" s="296">
        <v>0.95960000000000001</v>
      </c>
      <c r="T1237" s="297">
        <v>3005</v>
      </c>
      <c r="U1237" s="340">
        <v>197132</v>
      </c>
      <c r="V1237" s="340">
        <v>449992</v>
      </c>
      <c r="W1237" s="297">
        <v>8389</v>
      </c>
      <c r="X1237" s="296">
        <v>6.0000000000000001E-3</v>
      </c>
    </row>
    <row r="1238" spans="13:24">
      <c r="M1238">
        <v>1236</v>
      </c>
      <c r="N1238">
        <v>33957</v>
      </c>
      <c r="O1238" t="s">
        <v>1403</v>
      </c>
      <c r="P1238" t="s">
        <v>127</v>
      </c>
      <c r="Q1238">
        <v>1131</v>
      </c>
      <c r="R1238" s="296">
        <v>0</v>
      </c>
      <c r="S1238" s="296">
        <v>0.95960000000000001</v>
      </c>
      <c r="T1238" s="297">
        <v>3387</v>
      </c>
      <c r="U1238" s="340">
        <v>196000</v>
      </c>
      <c r="V1238" s="340">
        <v>996905</v>
      </c>
      <c r="W1238" s="297">
        <v>6459</v>
      </c>
      <c r="X1238" s="296">
        <v>3.0000000000000001E-3</v>
      </c>
    </row>
    <row r="1239" spans="13:24">
      <c r="M1239">
        <v>1237</v>
      </c>
      <c r="N1239">
        <v>98121</v>
      </c>
      <c r="O1239" t="s">
        <v>299</v>
      </c>
      <c r="P1239" t="s">
        <v>224</v>
      </c>
      <c r="Q1239">
        <v>1718</v>
      </c>
      <c r="R1239" s="296">
        <v>0</v>
      </c>
      <c r="S1239" s="296">
        <v>0.95960000000000001</v>
      </c>
      <c r="T1239" s="297">
        <v>15733</v>
      </c>
      <c r="U1239" s="340">
        <v>195644</v>
      </c>
      <c r="V1239" s="340">
        <v>1075251</v>
      </c>
      <c r="W1239" s="297">
        <v>23617</v>
      </c>
      <c r="X1239" s="296">
        <v>2.1000000000000001E-2</v>
      </c>
    </row>
    <row r="1240" spans="13:24">
      <c r="M1240">
        <v>1238</v>
      </c>
      <c r="N1240">
        <v>22310</v>
      </c>
      <c r="O1240" t="s">
        <v>521</v>
      </c>
      <c r="P1240" t="s">
        <v>139</v>
      </c>
      <c r="Q1240">
        <v>606</v>
      </c>
      <c r="R1240" s="296">
        <v>0</v>
      </c>
      <c r="S1240" s="296">
        <v>0.95960000000000001</v>
      </c>
      <c r="T1240" s="297">
        <v>11038</v>
      </c>
      <c r="U1240" s="340">
        <v>193549</v>
      </c>
      <c r="V1240" s="340">
        <v>793056</v>
      </c>
      <c r="W1240" s="297">
        <v>29623</v>
      </c>
      <c r="X1240" s="296">
        <v>0</v>
      </c>
    </row>
    <row r="1241" spans="13:24">
      <c r="M1241">
        <v>1239</v>
      </c>
      <c r="N1241">
        <v>15238</v>
      </c>
      <c r="O1241" t="s">
        <v>569</v>
      </c>
      <c r="P1241" t="s">
        <v>133</v>
      </c>
      <c r="Q1241">
        <v>425</v>
      </c>
      <c r="R1241" s="296">
        <v>0</v>
      </c>
      <c r="S1241" s="296">
        <v>0.9597</v>
      </c>
      <c r="T1241" s="297">
        <v>5603</v>
      </c>
      <c r="U1241" s="340">
        <v>193477</v>
      </c>
      <c r="V1241" s="340">
        <v>555709</v>
      </c>
      <c r="W1241" s="297">
        <v>13305</v>
      </c>
      <c r="X1241" s="296">
        <v>-3.0000000000000001E-3</v>
      </c>
    </row>
    <row r="1242" spans="13:24">
      <c r="M1242">
        <v>1240</v>
      </c>
      <c r="N1242">
        <v>7950</v>
      </c>
      <c r="O1242" t="s">
        <v>1404</v>
      </c>
      <c r="P1242" t="s">
        <v>129</v>
      </c>
      <c r="Q1242">
        <v>694</v>
      </c>
      <c r="R1242" s="296">
        <v>0</v>
      </c>
      <c r="S1242" s="296">
        <v>0.9597</v>
      </c>
      <c r="T1242" s="297">
        <v>8223</v>
      </c>
      <c r="U1242" s="340">
        <v>193015</v>
      </c>
      <c r="V1242" s="340">
        <v>625937</v>
      </c>
      <c r="W1242" s="297">
        <v>21478</v>
      </c>
      <c r="X1242" s="296">
        <v>0.01</v>
      </c>
    </row>
    <row r="1243" spans="13:24">
      <c r="M1243">
        <v>1241</v>
      </c>
      <c r="N1243">
        <v>22203</v>
      </c>
      <c r="O1243" t="s">
        <v>403</v>
      </c>
      <c r="P1243" t="s">
        <v>139</v>
      </c>
      <c r="Q1243">
        <v>604</v>
      </c>
      <c r="R1243" s="296">
        <v>0</v>
      </c>
      <c r="S1243" s="296">
        <v>0.9597</v>
      </c>
      <c r="T1243" s="297">
        <v>14008</v>
      </c>
      <c r="U1243" s="340">
        <v>192474</v>
      </c>
      <c r="V1243" s="340">
        <v>872988</v>
      </c>
      <c r="W1243" s="297">
        <v>29391</v>
      </c>
      <c r="X1243" s="296">
        <v>3.3000000000000002E-2</v>
      </c>
    </row>
    <row r="1244" spans="13:24">
      <c r="M1244">
        <v>1242</v>
      </c>
      <c r="N1244">
        <v>80209</v>
      </c>
      <c r="O1244" t="s">
        <v>330</v>
      </c>
      <c r="P1244" t="s">
        <v>142</v>
      </c>
      <c r="Q1244">
        <v>911</v>
      </c>
      <c r="R1244" s="296">
        <v>0</v>
      </c>
      <c r="S1244" s="296">
        <v>0.9597</v>
      </c>
      <c r="T1244" s="297">
        <v>14671</v>
      </c>
      <c r="U1244" s="340">
        <v>191951</v>
      </c>
      <c r="V1244" s="340">
        <v>1144077</v>
      </c>
      <c r="W1244" s="297">
        <v>27180</v>
      </c>
      <c r="X1244" s="296">
        <v>0</v>
      </c>
    </row>
    <row r="1245" spans="13:24">
      <c r="M1245">
        <v>1243</v>
      </c>
      <c r="N1245">
        <v>45208</v>
      </c>
      <c r="O1245" t="s">
        <v>599</v>
      </c>
      <c r="P1245" t="s">
        <v>136</v>
      </c>
      <c r="Q1245">
        <v>272</v>
      </c>
      <c r="R1245" s="296">
        <v>0</v>
      </c>
      <c r="S1245" s="296">
        <v>0.95979999999999999</v>
      </c>
      <c r="T1245" s="297">
        <v>9213</v>
      </c>
      <c r="U1245" s="340">
        <v>190746</v>
      </c>
      <c r="V1245" s="340">
        <v>566967</v>
      </c>
      <c r="W1245" s="297">
        <v>19659</v>
      </c>
      <c r="X1245" s="296">
        <v>-2E-3</v>
      </c>
    </row>
    <row r="1246" spans="13:24">
      <c r="M1246">
        <v>1244</v>
      </c>
      <c r="N1246">
        <v>28226</v>
      </c>
      <c r="O1246" t="s">
        <v>477</v>
      </c>
      <c r="P1246" t="s">
        <v>138</v>
      </c>
      <c r="Q1246">
        <v>614</v>
      </c>
      <c r="R1246" s="296">
        <v>0</v>
      </c>
      <c r="S1246" s="296">
        <v>0.95979999999999999</v>
      </c>
      <c r="T1246" s="297">
        <v>16268</v>
      </c>
      <c r="U1246" s="340">
        <v>186324</v>
      </c>
      <c r="V1246" s="340">
        <v>638380</v>
      </c>
      <c r="W1246" s="297">
        <v>39281</v>
      </c>
      <c r="X1246" s="296">
        <v>-3.0000000000000001E-3</v>
      </c>
    </row>
    <row r="1247" spans="13:24">
      <c r="M1247">
        <v>1245</v>
      </c>
      <c r="N1247">
        <v>80130</v>
      </c>
      <c r="O1247" t="s">
        <v>320</v>
      </c>
      <c r="P1247" t="s">
        <v>142</v>
      </c>
      <c r="Q1247">
        <v>912</v>
      </c>
      <c r="R1247" s="296">
        <v>0</v>
      </c>
      <c r="S1247" s="296">
        <v>0.95979999999999999</v>
      </c>
      <c r="T1247" s="297">
        <v>9558</v>
      </c>
      <c r="U1247" s="340">
        <v>186062</v>
      </c>
      <c r="V1247" s="340">
        <v>652213</v>
      </c>
      <c r="W1247" s="297">
        <v>26639</v>
      </c>
      <c r="X1247" s="296">
        <v>-4.0000000000000001E-3</v>
      </c>
    </row>
    <row r="1248" spans="13:24">
      <c r="M1248">
        <v>1246</v>
      </c>
      <c r="N1248">
        <v>33140</v>
      </c>
      <c r="O1248" t="s">
        <v>639</v>
      </c>
      <c r="P1248" t="s">
        <v>127</v>
      </c>
      <c r="Q1248">
        <v>1209</v>
      </c>
      <c r="R1248" s="296">
        <v>0</v>
      </c>
      <c r="S1248" s="296">
        <v>0.95979999999999999</v>
      </c>
      <c r="T1248" s="297">
        <v>9468</v>
      </c>
      <c r="U1248" s="340">
        <v>185120</v>
      </c>
      <c r="V1248" s="340">
        <v>1156184</v>
      </c>
      <c r="W1248" s="297">
        <v>20026</v>
      </c>
      <c r="X1248" s="296">
        <v>-2E-3</v>
      </c>
    </row>
    <row r="1249" spans="13:24">
      <c r="M1249">
        <v>1247</v>
      </c>
      <c r="N1249">
        <v>22003</v>
      </c>
      <c r="O1249" t="s">
        <v>294</v>
      </c>
      <c r="P1249" t="s">
        <v>139</v>
      </c>
      <c r="Q1249">
        <v>601</v>
      </c>
      <c r="R1249" s="296">
        <v>0</v>
      </c>
      <c r="S1249" s="296">
        <v>0.95989999999999998</v>
      </c>
      <c r="T1249" s="297">
        <v>18914</v>
      </c>
      <c r="U1249" s="340">
        <v>183916</v>
      </c>
      <c r="V1249" s="340">
        <v>800108</v>
      </c>
      <c r="W1249" s="297">
        <v>59049</v>
      </c>
      <c r="X1249" s="296">
        <v>-1E-3</v>
      </c>
    </row>
    <row r="1250" spans="13:24">
      <c r="M1250">
        <v>1248</v>
      </c>
      <c r="N1250">
        <v>94947</v>
      </c>
      <c r="O1250" t="s">
        <v>1405</v>
      </c>
      <c r="P1250" t="s">
        <v>132</v>
      </c>
      <c r="Q1250">
        <v>1846</v>
      </c>
      <c r="R1250" s="296">
        <v>0</v>
      </c>
      <c r="S1250" s="296">
        <v>0.95989999999999998</v>
      </c>
      <c r="T1250" s="297">
        <v>9292</v>
      </c>
      <c r="U1250" s="340">
        <v>182317</v>
      </c>
      <c r="V1250" s="340">
        <v>1098825</v>
      </c>
      <c r="W1250" s="297">
        <v>24211</v>
      </c>
      <c r="X1250" s="296">
        <v>-6.0000000000000001E-3</v>
      </c>
    </row>
    <row r="1251" spans="13:24">
      <c r="M1251">
        <v>1249</v>
      </c>
      <c r="N1251">
        <v>95050</v>
      </c>
      <c r="O1251" t="s">
        <v>1406</v>
      </c>
      <c r="P1251" t="s">
        <v>132</v>
      </c>
      <c r="Q1251">
        <v>1832</v>
      </c>
      <c r="R1251" s="296">
        <v>0</v>
      </c>
      <c r="S1251" s="296">
        <v>0.95989999999999998</v>
      </c>
      <c r="T1251" s="297">
        <v>15257</v>
      </c>
      <c r="U1251" s="340">
        <v>181369</v>
      </c>
      <c r="V1251" s="340">
        <v>1573332</v>
      </c>
      <c r="W1251" s="297">
        <v>39671</v>
      </c>
      <c r="X1251" s="296">
        <v>-1E-3</v>
      </c>
    </row>
    <row r="1252" spans="13:24">
      <c r="M1252">
        <v>1250</v>
      </c>
      <c r="N1252">
        <v>77494</v>
      </c>
      <c r="O1252" t="s">
        <v>319</v>
      </c>
      <c r="P1252" t="s">
        <v>134</v>
      </c>
      <c r="Q1252">
        <v>967</v>
      </c>
      <c r="R1252" s="296">
        <v>0</v>
      </c>
      <c r="S1252" s="296">
        <v>0.95989999999999998</v>
      </c>
      <c r="T1252" s="297">
        <v>47887</v>
      </c>
      <c r="U1252" s="340">
        <v>181263</v>
      </c>
      <c r="V1252" s="340">
        <v>505381</v>
      </c>
      <c r="W1252" s="297">
        <v>153095</v>
      </c>
      <c r="X1252" s="296">
        <v>3.5000000000000003E-2</v>
      </c>
    </row>
    <row r="1253" spans="13:24">
      <c r="M1253">
        <v>1251</v>
      </c>
      <c r="N1253">
        <v>66226</v>
      </c>
      <c r="O1253" t="s">
        <v>1407</v>
      </c>
      <c r="P1253" t="s">
        <v>176</v>
      </c>
      <c r="Q1253">
        <v>422</v>
      </c>
      <c r="R1253" s="296">
        <v>0</v>
      </c>
      <c r="S1253" s="296">
        <v>0.96</v>
      </c>
      <c r="T1253" s="297">
        <v>4929</v>
      </c>
      <c r="U1253" s="340">
        <v>179099</v>
      </c>
      <c r="V1253" s="340">
        <v>470397</v>
      </c>
      <c r="W1253" s="297">
        <v>15101</v>
      </c>
      <c r="X1253" s="296">
        <v>5.0000000000000001E-3</v>
      </c>
    </row>
    <row r="1254" spans="13:24">
      <c r="M1254">
        <v>1252</v>
      </c>
      <c r="N1254">
        <v>80124</v>
      </c>
      <c r="O1254" t="s">
        <v>1408</v>
      </c>
      <c r="P1254" t="s">
        <v>142</v>
      </c>
      <c r="Q1254">
        <v>913</v>
      </c>
      <c r="R1254" s="296">
        <v>0</v>
      </c>
      <c r="S1254" s="296">
        <v>0.96</v>
      </c>
      <c r="T1254" s="297">
        <v>9956</v>
      </c>
      <c r="U1254" s="340">
        <v>178147</v>
      </c>
      <c r="V1254" s="340">
        <v>809223</v>
      </c>
      <c r="W1254" s="297">
        <v>24115</v>
      </c>
      <c r="X1254" s="296">
        <v>4.0000000000000001E-3</v>
      </c>
    </row>
    <row r="1255" spans="13:24">
      <c r="M1255">
        <v>1253</v>
      </c>
      <c r="N1255">
        <v>32312</v>
      </c>
      <c r="O1255" t="s">
        <v>1409</v>
      </c>
      <c r="P1255" t="s">
        <v>127</v>
      </c>
      <c r="Q1255">
        <v>821</v>
      </c>
      <c r="R1255" s="296">
        <v>0</v>
      </c>
      <c r="S1255" s="296">
        <v>0.96</v>
      </c>
      <c r="T1255" s="297">
        <v>12705</v>
      </c>
      <c r="U1255" s="340">
        <v>176953</v>
      </c>
      <c r="V1255" s="340">
        <v>512809</v>
      </c>
      <c r="W1255" s="297">
        <v>33786</v>
      </c>
      <c r="X1255" s="296">
        <v>3.0000000000000001E-3</v>
      </c>
    </row>
    <row r="1256" spans="13:24">
      <c r="M1256">
        <v>1254</v>
      </c>
      <c r="N1256">
        <v>78628</v>
      </c>
      <c r="O1256" t="s">
        <v>422</v>
      </c>
      <c r="P1256" t="s">
        <v>134</v>
      </c>
      <c r="Q1256">
        <v>967</v>
      </c>
      <c r="R1256" s="296">
        <v>0</v>
      </c>
      <c r="S1256" s="296">
        <v>0.96</v>
      </c>
      <c r="T1256" s="297">
        <v>21669</v>
      </c>
      <c r="U1256" s="340">
        <v>176745</v>
      </c>
      <c r="V1256" s="340">
        <v>663992</v>
      </c>
      <c r="W1256" s="297">
        <v>57382</v>
      </c>
      <c r="X1256" s="296">
        <v>8.2000000000000003E-2</v>
      </c>
    </row>
    <row r="1257" spans="13:24">
      <c r="M1257">
        <v>1255</v>
      </c>
      <c r="N1257">
        <v>92691</v>
      </c>
      <c r="O1257" t="s">
        <v>1410</v>
      </c>
      <c r="P1257" t="s">
        <v>132</v>
      </c>
      <c r="Q1257">
        <v>1722</v>
      </c>
      <c r="R1257" s="296">
        <v>0</v>
      </c>
      <c r="S1257" s="296">
        <v>0.96009999999999995</v>
      </c>
      <c r="T1257" s="297">
        <v>16120</v>
      </c>
      <c r="U1257" s="340">
        <v>176712</v>
      </c>
      <c r="V1257" s="340">
        <v>996746</v>
      </c>
      <c r="W1257" s="297">
        <v>45505</v>
      </c>
      <c r="X1257" s="296">
        <v>-8.9999999999999993E-3</v>
      </c>
    </row>
    <row r="1258" spans="13:24">
      <c r="M1258">
        <v>1256</v>
      </c>
      <c r="N1258">
        <v>34145</v>
      </c>
      <c r="O1258" t="s">
        <v>1411</v>
      </c>
      <c r="P1258" t="s">
        <v>127</v>
      </c>
      <c r="Q1258">
        <v>1172</v>
      </c>
      <c r="R1258" s="296">
        <v>0</v>
      </c>
      <c r="S1258" s="296">
        <v>0.96009999999999995</v>
      </c>
      <c r="T1258" s="297">
        <v>8213</v>
      </c>
      <c r="U1258" s="340">
        <v>176537</v>
      </c>
      <c r="V1258" s="340">
        <v>1180525</v>
      </c>
      <c r="W1258" s="297">
        <v>15980</v>
      </c>
      <c r="X1258" s="296">
        <v>3.0000000000000001E-3</v>
      </c>
    </row>
    <row r="1259" spans="13:24">
      <c r="M1259">
        <v>1257</v>
      </c>
      <c r="N1259">
        <v>20005</v>
      </c>
      <c r="O1259" t="s">
        <v>225</v>
      </c>
      <c r="P1259" t="s">
        <v>150</v>
      </c>
      <c r="Q1259">
        <v>607</v>
      </c>
      <c r="R1259" s="296">
        <v>0</v>
      </c>
      <c r="S1259" s="296">
        <v>0.96009999999999995</v>
      </c>
      <c r="T1259" s="297">
        <v>8161</v>
      </c>
      <c r="U1259" s="340">
        <v>176371</v>
      </c>
      <c r="V1259" s="340">
        <v>817893</v>
      </c>
      <c r="W1259" s="297">
        <v>12741</v>
      </c>
      <c r="X1259" s="296">
        <v>-8.0000000000000002E-3</v>
      </c>
    </row>
    <row r="1260" spans="13:24">
      <c r="M1260">
        <v>1258</v>
      </c>
      <c r="N1260">
        <v>8043</v>
      </c>
      <c r="O1260" t="s">
        <v>1412</v>
      </c>
      <c r="P1260" t="s">
        <v>129</v>
      </c>
      <c r="Q1260">
        <v>687</v>
      </c>
      <c r="R1260" s="296">
        <v>0</v>
      </c>
      <c r="S1260" s="296">
        <v>0.96009999999999995</v>
      </c>
      <c r="T1260" s="297">
        <v>12077</v>
      </c>
      <c r="U1260" s="340">
        <v>175510</v>
      </c>
      <c r="V1260" s="340">
        <v>451067</v>
      </c>
      <c r="W1260" s="297">
        <v>31084</v>
      </c>
      <c r="X1260" s="296">
        <v>0</v>
      </c>
    </row>
    <row r="1261" spans="13:24">
      <c r="M1261">
        <v>1259</v>
      </c>
      <c r="N1261">
        <v>29928</v>
      </c>
      <c r="O1261" t="s">
        <v>391</v>
      </c>
      <c r="P1261" t="s">
        <v>145</v>
      </c>
      <c r="Q1261">
        <v>790</v>
      </c>
      <c r="R1261" s="296">
        <v>0</v>
      </c>
      <c r="S1261" s="296">
        <v>0.96020000000000005</v>
      </c>
      <c r="T1261" s="297">
        <v>8560</v>
      </c>
      <c r="U1261" s="340">
        <v>175072</v>
      </c>
      <c r="V1261" s="340">
        <v>910701</v>
      </c>
      <c r="W1261" s="297">
        <v>17078</v>
      </c>
      <c r="X1261" s="296">
        <v>1.9E-2</v>
      </c>
    </row>
    <row r="1262" spans="13:24">
      <c r="M1262">
        <v>1260</v>
      </c>
      <c r="N1262">
        <v>7066</v>
      </c>
      <c r="O1262" t="s">
        <v>636</v>
      </c>
      <c r="P1262" t="s">
        <v>129</v>
      </c>
      <c r="Q1262">
        <v>706</v>
      </c>
      <c r="R1262" s="296">
        <v>0</v>
      </c>
      <c r="S1262" s="296">
        <v>0.96020000000000005</v>
      </c>
      <c r="T1262" s="297">
        <v>5675</v>
      </c>
      <c r="U1262" s="340">
        <v>175020</v>
      </c>
      <c r="V1262" s="340">
        <v>653428</v>
      </c>
      <c r="W1262" s="297">
        <v>15195</v>
      </c>
      <c r="X1262" s="296">
        <v>-1E-3</v>
      </c>
    </row>
    <row r="1263" spans="13:24">
      <c r="M1263">
        <v>1261</v>
      </c>
      <c r="N1263">
        <v>78717</v>
      </c>
      <c r="O1263" t="s">
        <v>416</v>
      </c>
      <c r="P1263" t="s">
        <v>134</v>
      </c>
      <c r="Q1263">
        <v>975</v>
      </c>
      <c r="R1263" s="296">
        <v>0</v>
      </c>
      <c r="S1263" s="296">
        <v>0.96020000000000005</v>
      </c>
      <c r="T1263" s="297">
        <v>14963</v>
      </c>
      <c r="U1263" s="340">
        <v>174642</v>
      </c>
      <c r="V1263" s="340">
        <v>609624</v>
      </c>
      <c r="W1263" s="297">
        <v>40464</v>
      </c>
      <c r="X1263" s="296">
        <v>2.5000000000000001E-2</v>
      </c>
    </row>
    <row r="1264" spans="13:24">
      <c r="M1264">
        <v>1262</v>
      </c>
      <c r="N1264">
        <v>90212</v>
      </c>
      <c r="O1264" t="s">
        <v>977</v>
      </c>
      <c r="P1264" t="s">
        <v>132</v>
      </c>
      <c r="Q1264">
        <v>1744</v>
      </c>
      <c r="R1264" s="296">
        <v>0</v>
      </c>
      <c r="S1264" s="296">
        <v>0.96020000000000005</v>
      </c>
      <c r="T1264" s="297">
        <v>5442</v>
      </c>
      <c r="U1264" s="340">
        <v>174072</v>
      </c>
      <c r="V1264" s="340">
        <v>1920983</v>
      </c>
      <c r="W1264" s="297">
        <v>10783</v>
      </c>
      <c r="X1264" s="296">
        <v>-1.2E-2</v>
      </c>
    </row>
    <row r="1265" spans="13:24">
      <c r="M1265">
        <v>1263</v>
      </c>
      <c r="N1265">
        <v>91350</v>
      </c>
      <c r="O1265" t="s">
        <v>325</v>
      </c>
      <c r="P1265" t="s">
        <v>132</v>
      </c>
      <c r="Q1265">
        <v>1738</v>
      </c>
      <c r="R1265" s="296">
        <v>0</v>
      </c>
      <c r="S1265" s="296">
        <v>0.96030000000000004</v>
      </c>
      <c r="T1265" s="297">
        <v>13182</v>
      </c>
      <c r="U1265" s="340">
        <v>173368</v>
      </c>
      <c r="V1265" s="340">
        <v>778052</v>
      </c>
      <c r="W1265" s="297">
        <v>41453</v>
      </c>
      <c r="X1265" s="296">
        <v>8.0000000000000002E-3</v>
      </c>
    </row>
    <row r="1266" spans="13:24">
      <c r="M1266">
        <v>1264</v>
      </c>
      <c r="N1266">
        <v>10019</v>
      </c>
      <c r="O1266" t="s">
        <v>203</v>
      </c>
      <c r="P1266" t="s">
        <v>128</v>
      </c>
      <c r="Q1266">
        <v>720</v>
      </c>
      <c r="R1266" s="296">
        <v>0</v>
      </c>
      <c r="S1266" s="296">
        <v>0.96030000000000004</v>
      </c>
      <c r="T1266" s="297">
        <v>28348</v>
      </c>
      <c r="U1266" s="340">
        <v>173018</v>
      </c>
      <c r="V1266" s="340">
        <v>1181453</v>
      </c>
      <c r="W1266" s="297">
        <v>47997</v>
      </c>
      <c r="X1266" s="296">
        <v>-8.9999999999999993E-3</v>
      </c>
    </row>
    <row r="1267" spans="13:24">
      <c r="M1267">
        <v>1265</v>
      </c>
      <c r="N1267">
        <v>33301</v>
      </c>
      <c r="O1267" t="s">
        <v>506</v>
      </c>
      <c r="P1267" t="s">
        <v>127</v>
      </c>
      <c r="Q1267">
        <v>1189</v>
      </c>
      <c r="R1267" s="296">
        <v>0</v>
      </c>
      <c r="S1267" s="296">
        <v>0.96030000000000004</v>
      </c>
      <c r="T1267" s="297">
        <v>13308</v>
      </c>
      <c r="U1267" s="340">
        <v>172368</v>
      </c>
      <c r="V1267" s="340">
        <v>1058105</v>
      </c>
      <c r="W1267" s="297">
        <v>24075</v>
      </c>
      <c r="X1267" s="296">
        <v>5.8999999999999997E-2</v>
      </c>
    </row>
    <row r="1268" spans="13:24">
      <c r="M1268">
        <v>1266</v>
      </c>
      <c r="N1268">
        <v>62684</v>
      </c>
      <c r="O1268" t="s">
        <v>1413</v>
      </c>
      <c r="P1268" t="s">
        <v>131</v>
      </c>
      <c r="Q1268">
        <v>181</v>
      </c>
      <c r="R1268" s="296">
        <v>0</v>
      </c>
      <c r="S1268" s="296">
        <v>0.96030000000000004</v>
      </c>
      <c r="T1268" s="297">
        <v>1929</v>
      </c>
      <c r="U1268" s="340">
        <v>172011</v>
      </c>
      <c r="V1268" s="340">
        <v>348319</v>
      </c>
      <c r="W1268" s="297">
        <v>5112</v>
      </c>
      <c r="X1268" s="296">
        <v>-8.0000000000000002E-3</v>
      </c>
    </row>
    <row r="1269" spans="13:24">
      <c r="M1269">
        <v>1267</v>
      </c>
      <c r="N1269">
        <v>76052</v>
      </c>
      <c r="O1269" t="s">
        <v>1414</v>
      </c>
      <c r="P1269" t="s">
        <v>134</v>
      </c>
      <c r="Q1269">
        <v>822</v>
      </c>
      <c r="R1269" s="296">
        <v>0</v>
      </c>
      <c r="S1269" s="296">
        <v>0.96040000000000003</v>
      </c>
      <c r="T1269" s="297">
        <v>13826</v>
      </c>
      <c r="U1269" s="340">
        <v>171987</v>
      </c>
      <c r="V1269" s="340">
        <v>472535</v>
      </c>
      <c r="W1269" s="297">
        <v>43141</v>
      </c>
      <c r="X1269" s="296">
        <v>0.11600000000000001</v>
      </c>
    </row>
    <row r="1270" spans="13:24">
      <c r="M1270">
        <v>1268</v>
      </c>
      <c r="N1270">
        <v>98010</v>
      </c>
      <c r="O1270" t="s">
        <v>1415</v>
      </c>
      <c r="P1270" t="s">
        <v>224</v>
      </c>
      <c r="Q1270">
        <v>1702</v>
      </c>
      <c r="R1270" s="296">
        <v>0</v>
      </c>
      <c r="S1270" s="296">
        <v>0.96040000000000003</v>
      </c>
      <c r="T1270" s="297">
        <v>2991</v>
      </c>
      <c r="U1270" s="340">
        <v>171981</v>
      </c>
      <c r="V1270" s="340">
        <v>1011013</v>
      </c>
      <c r="W1270" s="297">
        <v>8091</v>
      </c>
      <c r="X1270" s="296">
        <v>8.7999999999999995E-2</v>
      </c>
    </row>
    <row r="1271" spans="13:24">
      <c r="M1271">
        <v>1269</v>
      </c>
      <c r="N1271">
        <v>89135</v>
      </c>
      <c r="O1271" t="s">
        <v>706</v>
      </c>
      <c r="P1271" t="s">
        <v>148</v>
      </c>
      <c r="Q1271">
        <v>1525</v>
      </c>
      <c r="R1271" s="296">
        <v>0</v>
      </c>
      <c r="S1271" s="296">
        <v>0.96040000000000003</v>
      </c>
      <c r="T1271" s="297">
        <v>14599</v>
      </c>
      <c r="U1271" s="340">
        <v>171773</v>
      </c>
      <c r="V1271" s="340">
        <v>830854</v>
      </c>
      <c r="W1271" s="297">
        <v>34362</v>
      </c>
      <c r="X1271" s="296">
        <v>1.9E-2</v>
      </c>
    </row>
    <row r="1272" spans="13:24">
      <c r="M1272">
        <v>1270</v>
      </c>
      <c r="N1272">
        <v>95765</v>
      </c>
      <c r="O1272" t="s">
        <v>1416</v>
      </c>
      <c r="P1272" t="s">
        <v>132</v>
      </c>
      <c r="Q1272">
        <v>1763</v>
      </c>
      <c r="R1272" s="296">
        <v>0</v>
      </c>
      <c r="S1272" s="296">
        <v>0.96040000000000003</v>
      </c>
      <c r="T1272" s="297">
        <v>15248</v>
      </c>
      <c r="U1272" s="340">
        <v>171273</v>
      </c>
      <c r="V1272" s="340">
        <v>783897</v>
      </c>
      <c r="W1272" s="297">
        <v>44784</v>
      </c>
      <c r="X1272" s="296">
        <v>8.0000000000000002E-3</v>
      </c>
    </row>
    <row r="1273" spans="13:24">
      <c r="M1273">
        <v>1271</v>
      </c>
      <c r="N1273">
        <v>85048</v>
      </c>
      <c r="O1273" t="s">
        <v>548</v>
      </c>
      <c r="P1273" t="s">
        <v>158</v>
      </c>
      <c r="Q1273">
        <v>1453</v>
      </c>
      <c r="R1273" s="296">
        <v>0</v>
      </c>
      <c r="S1273" s="296">
        <v>0.96050000000000002</v>
      </c>
      <c r="T1273" s="297">
        <v>13594</v>
      </c>
      <c r="U1273" s="340">
        <v>170979</v>
      </c>
      <c r="V1273" s="340">
        <v>637551</v>
      </c>
      <c r="W1273" s="297">
        <v>35469</v>
      </c>
      <c r="X1273" s="296">
        <v>5.0000000000000001E-3</v>
      </c>
    </row>
    <row r="1274" spans="13:24">
      <c r="M1274">
        <v>1272</v>
      </c>
      <c r="N1274">
        <v>22556</v>
      </c>
      <c r="O1274" t="s">
        <v>1417</v>
      </c>
      <c r="P1274" t="s">
        <v>139</v>
      </c>
      <c r="Q1274">
        <v>598</v>
      </c>
      <c r="R1274" s="296">
        <v>0</v>
      </c>
      <c r="S1274" s="296">
        <v>0.96050000000000002</v>
      </c>
      <c r="T1274" s="297">
        <v>9719</v>
      </c>
      <c r="U1274" s="340">
        <v>170549</v>
      </c>
      <c r="V1274" s="340">
        <v>528095</v>
      </c>
      <c r="W1274" s="297">
        <v>31378</v>
      </c>
      <c r="X1274" s="296">
        <v>7.0000000000000001E-3</v>
      </c>
    </row>
    <row r="1275" spans="13:24">
      <c r="M1275">
        <v>1273</v>
      </c>
      <c r="N1275">
        <v>11222</v>
      </c>
      <c r="O1275" t="s">
        <v>472</v>
      </c>
      <c r="P1275" t="s">
        <v>128</v>
      </c>
      <c r="Q1275">
        <v>723</v>
      </c>
      <c r="R1275" s="296">
        <v>0</v>
      </c>
      <c r="S1275" s="296">
        <v>0.96050000000000002</v>
      </c>
      <c r="T1275" s="297">
        <v>20255</v>
      </c>
      <c r="U1275" s="340">
        <v>170362</v>
      </c>
      <c r="V1275" s="340">
        <v>1412862</v>
      </c>
      <c r="W1275" s="297">
        <v>41832</v>
      </c>
      <c r="X1275" s="296">
        <v>4.0000000000000001E-3</v>
      </c>
    </row>
    <row r="1276" spans="13:24">
      <c r="M1276">
        <v>1274</v>
      </c>
      <c r="N1276">
        <v>80487</v>
      </c>
      <c r="O1276" t="s">
        <v>1418</v>
      </c>
      <c r="P1276" t="s">
        <v>142</v>
      </c>
      <c r="Q1276">
        <v>996</v>
      </c>
      <c r="R1276" s="296">
        <v>0</v>
      </c>
      <c r="S1276" s="296">
        <v>0.96050000000000002</v>
      </c>
      <c r="T1276" s="297">
        <v>7661</v>
      </c>
      <c r="U1276" s="340">
        <v>170010</v>
      </c>
      <c r="V1276" s="340">
        <v>1133147</v>
      </c>
      <c r="W1276" s="297">
        <v>18360</v>
      </c>
      <c r="X1276" s="296">
        <v>5.0000000000000001E-3</v>
      </c>
    </row>
    <row r="1277" spans="13:24">
      <c r="M1277">
        <v>1275</v>
      </c>
      <c r="N1277">
        <v>77433</v>
      </c>
      <c r="O1277" t="s">
        <v>1419</v>
      </c>
      <c r="P1277" t="s">
        <v>134</v>
      </c>
      <c r="Q1277">
        <v>955</v>
      </c>
      <c r="R1277" s="296">
        <v>0</v>
      </c>
      <c r="S1277" s="296">
        <v>0.96060000000000001</v>
      </c>
      <c r="T1277" s="297">
        <v>38850</v>
      </c>
      <c r="U1277" s="340">
        <v>169941</v>
      </c>
      <c r="V1277" s="340">
        <v>430273</v>
      </c>
      <c r="W1277" s="297">
        <v>126900</v>
      </c>
      <c r="X1277" s="296">
        <v>4.3999999999999997E-2</v>
      </c>
    </row>
    <row r="1278" spans="13:24">
      <c r="M1278">
        <v>1276</v>
      </c>
      <c r="N1278">
        <v>48138</v>
      </c>
      <c r="O1278" t="s">
        <v>1420</v>
      </c>
      <c r="P1278" t="s">
        <v>140</v>
      </c>
      <c r="Q1278">
        <v>238</v>
      </c>
      <c r="R1278" s="296">
        <v>0</v>
      </c>
      <c r="S1278" s="296">
        <v>0.96060000000000001</v>
      </c>
      <c r="T1278" s="297">
        <v>4274</v>
      </c>
      <c r="U1278" s="340">
        <v>169886</v>
      </c>
      <c r="V1278" s="340">
        <v>426936</v>
      </c>
      <c r="W1278" s="297">
        <v>10687</v>
      </c>
      <c r="X1278" s="296">
        <v>-2E-3</v>
      </c>
    </row>
    <row r="1279" spans="13:24">
      <c r="M1279">
        <v>1277</v>
      </c>
      <c r="N1279">
        <v>33547</v>
      </c>
      <c r="O1279" t="s">
        <v>1421</v>
      </c>
      <c r="P1279" t="s">
        <v>127</v>
      </c>
      <c r="Q1279">
        <v>1043</v>
      </c>
      <c r="R1279" s="296">
        <v>0</v>
      </c>
      <c r="S1279" s="296">
        <v>0.96060000000000001</v>
      </c>
      <c r="T1279" s="297">
        <v>10252</v>
      </c>
      <c r="U1279" s="340">
        <v>169283</v>
      </c>
      <c r="V1279" s="340">
        <v>568767</v>
      </c>
      <c r="W1279" s="297">
        <v>33434</v>
      </c>
      <c r="X1279" s="296">
        <v>1.7999999999999999E-2</v>
      </c>
    </row>
    <row r="1280" spans="13:24">
      <c r="M1280">
        <v>1278</v>
      </c>
      <c r="N1280">
        <v>22202</v>
      </c>
      <c r="O1280" t="s">
        <v>403</v>
      </c>
      <c r="P1280" t="s">
        <v>139</v>
      </c>
      <c r="Q1280">
        <v>608</v>
      </c>
      <c r="R1280" s="296">
        <v>0</v>
      </c>
      <c r="S1280" s="296">
        <v>0.96060000000000001</v>
      </c>
      <c r="T1280" s="297">
        <v>16894</v>
      </c>
      <c r="U1280" s="340">
        <v>169157</v>
      </c>
      <c r="V1280" s="340">
        <v>998498</v>
      </c>
      <c r="W1280" s="297">
        <v>30326</v>
      </c>
      <c r="X1280" s="296">
        <v>1.4999999999999999E-2</v>
      </c>
    </row>
    <row r="1281" spans="13:24">
      <c r="M1281">
        <v>1279</v>
      </c>
      <c r="N1281">
        <v>55105</v>
      </c>
      <c r="O1281" t="s">
        <v>445</v>
      </c>
      <c r="P1281" t="s">
        <v>151</v>
      </c>
      <c r="Q1281">
        <v>331</v>
      </c>
      <c r="R1281" s="296">
        <v>0</v>
      </c>
      <c r="S1281" s="296">
        <v>0.9607</v>
      </c>
      <c r="T1281" s="297">
        <v>10714</v>
      </c>
      <c r="U1281" s="340">
        <v>167878</v>
      </c>
      <c r="V1281" s="340">
        <v>523387</v>
      </c>
      <c r="W1281" s="297">
        <v>25288</v>
      </c>
      <c r="X1281" s="296">
        <v>-5.0000000000000001E-3</v>
      </c>
    </row>
    <row r="1282" spans="13:24">
      <c r="M1282">
        <v>1280</v>
      </c>
      <c r="N1282">
        <v>94546</v>
      </c>
      <c r="O1282" t="s">
        <v>1422</v>
      </c>
      <c r="P1282" t="s">
        <v>132</v>
      </c>
      <c r="Q1282">
        <v>1830</v>
      </c>
      <c r="R1282" s="296">
        <v>0</v>
      </c>
      <c r="S1282" s="296">
        <v>0.9607</v>
      </c>
      <c r="T1282" s="297">
        <v>15942</v>
      </c>
      <c r="U1282" s="340">
        <v>167392</v>
      </c>
      <c r="V1282" s="340">
        <v>1111081</v>
      </c>
      <c r="W1282" s="297">
        <v>45552</v>
      </c>
      <c r="X1282" s="296">
        <v>-3.0000000000000001E-3</v>
      </c>
    </row>
    <row r="1283" spans="13:24">
      <c r="M1283">
        <v>1281</v>
      </c>
      <c r="N1283">
        <v>83001</v>
      </c>
      <c r="O1283" t="s">
        <v>1140</v>
      </c>
      <c r="P1283" t="s">
        <v>229</v>
      </c>
      <c r="Q1283">
        <v>1163</v>
      </c>
      <c r="R1283" s="296">
        <v>0</v>
      </c>
      <c r="S1283" s="296">
        <v>0.9607</v>
      </c>
      <c r="T1283" s="297">
        <v>7513</v>
      </c>
      <c r="U1283" s="340">
        <v>166262</v>
      </c>
      <c r="V1283" s="340">
        <v>1312367</v>
      </c>
      <c r="W1283" s="297">
        <v>18272</v>
      </c>
      <c r="X1283" s="296">
        <v>3.0000000000000001E-3</v>
      </c>
    </row>
    <row r="1284" spans="13:24">
      <c r="M1284">
        <v>1282</v>
      </c>
      <c r="N1284">
        <v>8648</v>
      </c>
      <c r="O1284" t="s">
        <v>1423</v>
      </c>
      <c r="P1284" t="s">
        <v>129</v>
      </c>
      <c r="Q1284">
        <v>691</v>
      </c>
      <c r="R1284" s="296">
        <v>0</v>
      </c>
      <c r="S1284" s="296">
        <v>0.9607</v>
      </c>
      <c r="T1284" s="297">
        <v>12438</v>
      </c>
      <c r="U1284" s="340">
        <v>165825</v>
      </c>
      <c r="V1284" s="340">
        <v>471503</v>
      </c>
      <c r="W1284" s="297">
        <v>31984</v>
      </c>
      <c r="X1284" s="296">
        <v>-2E-3</v>
      </c>
    </row>
    <row r="1285" spans="13:24">
      <c r="M1285">
        <v>1283</v>
      </c>
      <c r="N1285">
        <v>30064</v>
      </c>
      <c r="O1285" t="s">
        <v>611</v>
      </c>
      <c r="P1285" t="s">
        <v>130</v>
      </c>
      <c r="Q1285">
        <v>593</v>
      </c>
      <c r="R1285" s="296">
        <v>0</v>
      </c>
      <c r="S1285" s="296">
        <v>0.96079999999999999</v>
      </c>
      <c r="T1285" s="297">
        <v>19275</v>
      </c>
      <c r="U1285" s="340">
        <v>164692</v>
      </c>
      <c r="V1285" s="340">
        <v>534344</v>
      </c>
      <c r="W1285" s="297">
        <v>51988</v>
      </c>
      <c r="X1285" s="296">
        <v>6.0000000000000001E-3</v>
      </c>
    </row>
    <row r="1286" spans="13:24">
      <c r="M1286">
        <v>1284</v>
      </c>
      <c r="N1286">
        <v>92881</v>
      </c>
      <c r="O1286" t="s">
        <v>634</v>
      </c>
      <c r="P1286" t="s">
        <v>132</v>
      </c>
      <c r="Q1286">
        <v>1708</v>
      </c>
      <c r="R1286" s="296">
        <v>0</v>
      </c>
      <c r="S1286" s="296">
        <v>0.96079999999999999</v>
      </c>
      <c r="T1286" s="297">
        <v>8986</v>
      </c>
      <c r="U1286" s="340">
        <v>164173</v>
      </c>
      <c r="V1286" s="340">
        <v>742541</v>
      </c>
      <c r="W1286" s="297">
        <v>30849</v>
      </c>
      <c r="X1286" s="296">
        <v>-1E-3</v>
      </c>
    </row>
    <row r="1287" spans="13:24">
      <c r="M1287">
        <v>1285</v>
      </c>
      <c r="N1287">
        <v>79922</v>
      </c>
      <c r="O1287" t="s">
        <v>339</v>
      </c>
      <c r="P1287" t="s">
        <v>134</v>
      </c>
      <c r="Q1287">
        <v>1254</v>
      </c>
      <c r="R1287" s="296">
        <v>0</v>
      </c>
      <c r="S1287" s="296">
        <v>0.96079999999999999</v>
      </c>
      <c r="T1287" s="297">
        <v>2898</v>
      </c>
      <c r="U1287" s="340">
        <v>163651</v>
      </c>
      <c r="V1287" s="340">
        <v>383768</v>
      </c>
      <c r="W1287" s="297">
        <v>7995</v>
      </c>
      <c r="X1287" s="296">
        <v>-4.0000000000000001E-3</v>
      </c>
    </row>
    <row r="1288" spans="13:24">
      <c r="M1288">
        <v>1286</v>
      </c>
      <c r="N1288">
        <v>53183</v>
      </c>
      <c r="O1288" t="s">
        <v>1424</v>
      </c>
      <c r="P1288" t="s">
        <v>149</v>
      </c>
      <c r="Q1288">
        <v>66</v>
      </c>
      <c r="R1288" s="296">
        <v>0</v>
      </c>
      <c r="S1288" s="296">
        <v>0.96079999999999999</v>
      </c>
      <c r="T1288" s="297">
        <v>1152</v>
      </c>
      <c r="U1288" s="340">
        <v>163580</v>
      </c>
      <c r="V1288" s="340">
        <v>552028</v>
      </c>
      <c r="W1288" s="297">
        <v>2878</v>
      </c>
      <c r="X1288" s="296">
        <v>5.0000000000000001E-3</v>
      </c>
    </row>
    <row r="1289" spans="13:24">
      <c r="M1289">
        <v>1287</v>
      </c>
      <c r="N1289">
        <v>90732</v>
      </c>
      <c r="O1289" t="s">
        <v>1137</v>
      </c>
      <c r="P1289" t="s">
        <v>132</v>
      </c>
      <c r="Q1289">
        <v>1750</v>
      </c>
      <c r="R1289" s="296">
        <v>0</v>
      </c>
      <c r="S1289" s="296">
        <v>0.96079999999999999</v>
      </c>
      <c r="T1289" s="297">
        <v>8784</v>
      </c>
      <c r="U1289" s="340">
        <v>163569</v>
      </c>
      <c r="V1289" s="340">
        <v>942334</v>
      </c>
      <c r="W1289" s="297">
        <v>21309</v>
      </c>
      <c r="X1289" s="296">
        <v>-3.0000000000000001E-3</v>
      </c>
    </row>
    <row r="1290" spans="13:24">
      <c r="M1290">
        <v>1288</v>
      </c>
      <c r="N1290">
        <v>98056</v>
      </c>
      <c r="O1290" t="s">
        <v>1425</v>
      </c>
      <c r="P1290" t="s">
        <v>224</v>
      </c>
      <c r="Q1290">
        <v>1711</v>
      </c>
      <c r="R1290" s="296">
        <v>0</v>
      </c>
      <c r="S1290" s="296">
        <v>0.96089999999999998</v>
      </c>
      <c r="T1290" s="297">
        <v>14930</v>
      </c>
      <c r="U1290" s="340">
        <v>162385</v>
      </c>
      <c r="V1290" s="340">
        <v>944220</v>
      </c>
      <c r="W1290" s="297">
        <v>38331</v>
      </c>
      <c r="X1290" s="296">
        <v>3.0000000000000001E-3</v>
      </c>
    </row>
    <row r="1291" spans="13:24">
      <c r="M1291">
        <v>1289</v>
      </c>
      <c r="N1291">
        <v>46259</v>
      </c>
      <c r="O1291" t="s">
        <v>561</v>
      </c>
      <c r="P1291" t="s">
        <v>144</v>
      </c>
      <c r="Q1291">
        <v>195</v>
      </c>
      <c r="R1291" s="296">
        <v>0</v>
      </c>
      <c r="S1291" s="296">
        <v>0.96089999999999998</v>
      </c>
      <c r="T1291" s="297">
        <v>4976</v>
      </c>
      <c r="U1291" s="340">
        <v>162383</v>
      </c>
      <c r="V1291" s="340">
        <v>365680</v>
      </c>
      <c r="W1291" s="297">
        <v>14905</v>
      </c>
      <c r="X1291" s="296">
        <v>2.1000000000000001E-2</v>
      </c>
    </row>
    <row r="1292" spans="13:24">
      <c r="M1292">
        <v>1290</v>
      </c>
      <c r="N1292">
        <v>45458</v>
      </c>
      <c r="O1292" t="s">
        <v>767</v>
      </c>
      <c r="P1292" t="s">
        <v>136</v>
      </c>
      <c r="Q1292">
        <v>258</v>
      </c>
      <c r="R1292" s="296">
        <v>0</v>
      </c>
      <c r="S1292" s="296">
        <v>0.96089999999999998</v>
      </c>
      <c r="T1292" s="297">
        <v>15136</v>
      </c>
      <c r="U1292" s="340">
        <v>161512</v>
      </c>
      <c r="V1292" s="340">
        <v>356030</v>
      </c>
      <c r="W1292" s="297">
        <v>37338</v>
      </c>
      <c r="X1292" s="296">
        <v>6.0000000000000001E-3</v>
      </c>
    </row>
    <row r="1293" spans="13:24">
      <c r="M1293">
        <v>1291</v>
      </c>
      <c r="N1293">
        <v>43023</v>
      </c>
      <c r="O1293" t="s">
        <v>1426</v>
      </c>
      <c r="P1293" t="s">
        <v>136</v>
      </c>
      <c r="Q1293">
        <v>309</v>
      </c>
      <c r="R1293" s="296">
        <v>0</v>
      </c>
      <c r="S1293" s="296">
        <v>0.96089999999999998</v>
      </c>
      <c r="T1293" s="297">
        <v>4898</v>
      </c>
      <c r="U1293" s="340">
        <v>160594</v>
      </c>
      <c r="V1293" s="340">
        <v>499121</v>
      </c>
      <c r="W1293" s="297">
        <v>14950</v>
      </c>
      <c r="X1293" s="296">
        <v>4.0000000000000001E-3</v>
      </c>
    </row>
    <row r="1294" spans="13:24">
      <c r="M1294">
        <v>1292</v>
      </c>
      <c r="N1294">
        <v>80112</v>
      </c>
      <c r="O1294" t="s">
        <v>631</v>
      </c>
      <c r="P1294" t="s">
        <v>142</v>
      </c>
      <c r="Q1294">
        <v>910</v>
      </c>
      <c r="R1294" s="296">
        <v>0</v>
      </c>
      <c r="S1294" s="296">
        <v>0.96099999999999997</v>
      </c>
      <c r="T1294" s="297">
        <v>15620</v>
      </c>
      <c r="U1294" s="340">
        <v>160284</v>
      </c>
      <c r="V1294" s="340">
        <v>694297</v>
      </c>
      <c r="W1294" s="297">
        <v>37269</v>
      </c>
      <c r="X1294" s="296">
        <v>1.2E-2</v>
      </c>
    </row>
    <row r="1295" spans="13:24">
      <c r="M1295">
        <v>1293</v>
      </c>
      <c r="N1295">
        <v>45244</v>
      </c>
      <c r="O1295" t="s">
        <v>599</v>
      </c>
      <c r="P1295" t="s">
        <v>136</v>
      </c>
      <c r="Q1295">
        <v>277</v>
      </c>
      <c r="R1295" s="296">
        <v>0</v>
      </c>
      <c r="S1295" s="296">
        <v>0.96099999999999997</v>
      </c>
      <c r="T1295" s="297">
        <v>10637</v>
      </c>
      <c r="U1295" s="340">
        <v>160119</v>
      </c>
      <c r="V1295" s="340">
        <v>397833</v>
      </c>
      <c r="W1295" s="297">
        <v>28663</v>
      </c>
      <c r="X1295" s="296">
        <v>-2E-3</v>
      </c>
    </row>
    <row r="1296" spans="13:24">
      <c r="M1296">
        <v>1294</v>
      </c>
      <c r="N1296">
        <v>85286</v>
      </c>
      <c r="O1296" t="s">
        <v>735</v>
      </c>
      <c r="P1296" t="s">
        <v>158</v>
      </c>
      <c r="Q1296">
        <v>1444</v>
      </c>
      <c r="R1296" s="296">
        <v>0</v>
      </c>
      <c r="S1296" s="296">
        <v>0.96099999999999997</v>
      </c>
      <c r="T1296" s="297">
        <v>20535</v>
      </c>
      <c r="U1296" s="340">
        <v>160014</v>
      </c>
      <c r="V1296" s="340">
        <v>604711</v>
      </c>
      <c r="W1296" s="297">
        <v>56844</v>
      </c>
      <c r="X1296" s="296">
        <v>2.1000000000000001E-2</v>
      </c>
    </row>
    <row r="1297" spans="13:24">
      <c r="M1297">
        <v>1295</v>
      </c>
      <c r="N1297">
        <v>21403</v>
      </c>
      <c r="O1297" t="s">
        <v>628</v>
      </c>
      <c r="P1297" t="s">
        <v>137</v>
      </c>
      <c r="Q1297">
        <v>632</v>
      </c>
      <c r="R1297" s="296">
        <v>0</v>
      </c>
      <c r="S1297" s="296">
        <v>0.96109999999999995</v>
      </c>
      <c r="T1297" s="297">
        <v>12923</v>
      </c>
      <c r="U1297" s="340">
        <v>159803</v>
      </c>
      <c r="V1297" s="340">
        <v>717538</v>
      </c>
      <c r="W1297" s="297">
        <v>30959</v>
      </c>
      <c r="X1297" s="296">
        <v>2E-3</v>
      </c>
    </row>
    <row r="1298" spans="13:24">
      <c r="M1298">
        <v>1296</v>
      </c>
      <c r="N1298">
        <v>78704</v>
      </c>
      <c r="O1298" t="s">
        <v>416</v>
      </c>
      <c r="P1298" t="s">
        <v>134</v>
      </c>
      <c r="Q1298">
        <v>991</v>
      </c>
      <c r="R1298" s="296">
        <v>0</v>
      </c>
      <c r="S1298" s="296">
        <v>0.96109999999999995</v>
      </c>
      <c r="T1298" s="297">
        <v>26609</v>
      </c>
      <c r="U1298" s="340">
        <v>159425</v>
      </c>
      <c r="V1298" s="340">
        <v>984481</v>
      </c>
      <c r="W1298" s="297">
        <v>48920</v>
      </c>
      <c r="X1298" s="296">
        <v>0</v>
      </c>
    </row>
    <row r="1299" spans="13:24">
      <c r="M1299">
        <v>1297</v>
      </c>
      <c r="N1299">
        <v>61705</v>
      </c>
      <c r="O1299" t="s">
        <v>570</v>
      </c>
      <c r="P1299" t="s">
        <v>131</v>
      </c>
      <c r="Q1299">
        <v>135</v>
      </c>
      <c r="R1299" s="296">
        <v>0</v>
      </c>
      <c r="S1299" s="296">
        <v>0.96109999999999995</v>
      </c>
      <c r="T1299" s="297">
        <v>5521</v>
      </c>
      <c r="U1299" s="340">
        <v>158843</v>
      </c>
      <c r="V1299" s="340">
        <v>324629</v>
      </c>
      <c r="W1299" s="297">
        <v>14943</v>
      </c>
      <c r="X1299" s="296">
        <v>-1E-3</v>
      </c>
    </row>
    <row r="1300" spans="13:24">
      <c r="M1300">
        <v>1298</v>
      </c>
      <c r="N1300">
        <v>3824</v>
      </c>
      <c r="O1300" t="s">
        <v>505</v>
      </c>
      <c r="P1300" t="s">
        <v>197</v>
      </c>
      <c r="Q1300">
        <v>859</v>
      </c>
      <c r="R1300" s="296">
        <v>0</v>
      </c>
      <c r="S1300" s="296">
        <v>0.96109999999999995</v>
      </c>
      <c r="T1300" s="297">
        <v>3399</v>
      </c>
      <c r="U1300" s="340">
        <v>158419</v>
      </c>
      <c r="V1300" s="340">
        <v>568972</v>
      </c>
      <c r="W1300" s="297">
        <v>15182</v>
      </c>
      <c r="X1300" s="296">
        <v>-8.0000000000000002E-3</v>
      </c>
    </row>
    <row r="1301" spans="13:24">
      <c r="M1301">
        <v>1299</v>
      </c>
      <c r="N1301">
        <v>2118</v>
      </c>
      <c r="O1301" t="s">
        <v>368</v>
      </c>
      <c r="P1301" t="s">
        <v>135</v>
      </c>
      <c r="Q1301">
        <v>854</v>
      </c>
      <c r="R1301" s="296">
        <v>0</v>
      </c>
      <c r="S1301" s="296">
        <v>0.96109999999999995</v>
      </c>
      <c r="T1301" s="297">
        <v>14682</v>
      </c>
      <c r="U1301" s="340">
        <v>158245</v>
      </c>
      <c r="V1301" s="340">
        <v>1316846</v>
      </c>
      <c r="W1301" s="297">
        <v>30105</v>
      </c>
      <c r="X1301" s="296">
        <v>1E-3</v>
      </c>
    </row>
    <row r="1302" spans="13:24">
      <c r="M1302">
        <v>1300</v>
      </c>
      <c r="N1302">
        <v>50131</v>
      </c>
      <c r="O1302" t="s">
        <v>427</v>
      </c>
      <c r="P1302" t="s">
        <v>170</v>
      </c>
      <c r="Q1302">
        <v>306</v>
      </c>
      <c r="R1302" s="296">
        <v>0</v>
      </c>
      <c r="S1302" s="296">
        <v>0.96120000000000005</v>
      </c>
      <c r="T1302" s="297">
        <v>10189</v>
      </c>
      <c r="U1302" s="340">
        <v>158134</v>
      </c>
      <c r="V1302" s="340">
        <v>402267</v>
      </c>
      <c r="W1302" s="297">
        <v>26416</v>
      </c>
      <c r="X1302" s="296">
        <v>1.7999999999999999E-2</v>
      </c>
    </row>
    <row r="1303" spans="13:24">
      <c r="M1303">
        <v>1301</v>
      </c>
      <c r="N1303">
        <v>75034</v>
      </c>
      <c r="O1303" t="s">
        <v>1399</v>
      </c>
      <c r="P1303" t="s">
        <v>134</v>
      </c>
      <c r="Q1303">
        <v>796</v>
      </c>
      <c r="R1303" s="296">
        <v>0</v>
      </c>
      <c r="S1303" s="296">
        <v>0.96120000000000005</v>
      </c>
      <c r="T1303" s="297">
        <v>24182</v>
      </c>
      <c r="U1303" s="340">
        <v>157735</v>
      </c>
      <c r="V1303" s="340">
        <v>769867</v>
      </c>
      <c r="W1303" s="297">
        <v>55423</v>
      </c>
      <c r="X1303" s="296">
        <v>3.5999999999999997E-2</v>
      </c>
    </row>
    <row r="1304" spans="13:24">
      <c r="M1304">
        <v>1302</v>
      </c>
      <c r="N1304">
        <v>80104</v>
      </c>
      <c r="O1304" t="s">
        <v>645</v>
      </c>
      <c r="P1304" t="s">
        <v>142</v>
      </c>
      <c r="Q1304">
        <v>912</v>
      </c>
      <c r="R1304" s="296">
        <v>0</v>
      </c>
      <c r="S1304" s="296">
        <v>0.96120000000000005</v>
      </c>
      <c r="T1304" s="297">
        <v>14988</v>
      </c>
      <c r="U1304" s="340">
        <v>156928</v>
      </c>
      <c r="V1304" s="340">
        <v>697703</v>
      </c>
      <c r="W1304" s="297">
        <v>41337</v>
      </c>
      <c r="X1304" s="296">
        <v>4.2000000000000003E-2</v>
      </c>
    </row>
    <row r="1305" spans="13:24">
      <c r="M1305">
        <v>1303</v>
      </c>
      <c r="N1305">
        <v>37179</v>
      </c>
      <c r="O1305" t="s">
        <v>1427</v>
      </c>
      <c r="P1305" t="s">
        <v>146</v>
      </c>
      <c r="Q1305">
        <v>441</v>
      </c>
      <c r="R1305" s="296">
        <v>0</v>
      </c>
      <c r="S1305" s="296">
        <v>0.96120000000000005</v>
      </c>
      <c r="T1305" s="297">
        <v>6834</v>
      </c>
      <c r="U1305" s="340">
        <v>156838</v>
      </c>
      <c r="V1305" s="340">
        <v>740251</v>
      </c>
      <c r="W1305" s="297">
        <v>20125</v>
      </c>
      <c r="X1305" s="296">
        <v>3.6999999999999998E-2</v>
      </c>
    </row>
    <row r="1306" spans="13:24">
      <c r="M1306">
        <v>1304</v>
      </c>
      <c r="N1306">
        <v>35226</v>
      </c>
      <c r="O1306" t="s">
        <v>538</v>
      </c>
      <c r="P1306" t="s">
        <v>154</v>
      </c>
      <c r="Q1306">
        <v>607</v>
      </c>
      <c r="R1306" s="296">
        <v>0</v>
      </c>
      <c r="S1306" s="296">
        <v>0.96130000000000004</v>
      </c>
      <c r="T1306" s="297">
        <v>14407</v>
      </c>
      <c r="U1306" s="340">
        <v>154830</v>
      </c>
      <c r="V1306" s="340">
        <v>436646</v>
      </c>
      <c r="W1306" s="297">
        <v>37989</v>
      </c>
      <c r="X1306" s="296">
        <v>-4.0000000000000001E-3</v>
      </c>
    </row>
    <row r="1307" spans="13:24">
      <c r="M1307">
        <v>1305</v>
      </c>
      <c r="N1307">
        <v>34110</v>
      </c>
      <c r="O1307" t="s">
        <v>322</v>
      </c>
      <c r="P1307" t="s">
        <v>127</v>
      </c>
      <c r="Q1307">
        <v>1148</v>
      </c>
      <c r="R1307" s="296">
        <v>0</v>
      </c>
      <c r="S1307" s="296">
        <v>0.96130000000000004</v>
      </c>
      <c r="T1307" s="297">
        <v>12606</v>
      </c>
      <c r="U1307" s="340">
        <v>153830</v>
      </c>
      <c r="V1307" s="340">
        <v>841929</v>
      </c>
      <c r="W1307" s="297">
        <v>25588</v>
      </c>
      <c r="X1307" s="296">
        <v>1.2999999999999999E-2</v>
      </c>
    </row>
    <row r="1308" spans="13:24">
      <c r="M1308">
        <v>1306</v>
      </c>
      <c r="N1308">
        <v>7631</v>
      </c>
      <c r="O1308" t="s">
        <v>631</v>
      </c>
      <c r="P1308" t="s">
        <v>129</v>
      </c>
      <c r="Q1308">
        <v>719</v>
      </c>
      <c r="R1308" s="296">
        <v>0</v>
      </c>
      <c r="S1308" s="296">
        <v>0.96130000000000004</v>
      </c>
      <c r="T1308" s="297">
        <v>11341</v>
      </c>
      <c r="U1308" s="340">
        <v>153627</v>
      </c>
      <c r="V1308" s="340">
        <v>809557</v>
      </c>
      <c r="W1308" s="297">
        <v>30835</v>
      </c>
      <c r="X1308" s="296">
        <v>1.0999999999999999E-2</v>
      </c>
    </row>
    <row r="1309" spans="13:24">
      <c r="M1309">
        <v>1307</v>
      </c>
      <c r="N1309">
        <v>40207</v>
      </c>
      <c r="O1309" t="s">
        <v>830</v>
      </c>
      <c r="P1309" t="s">
        <v>143</v>
      </c>
      <c r="Q1309">
        <v>291</v>
      </c>
      <c r="R1309" s="296">
        <v>0</v>
      </c>
      <c r="S1309" s="296">
        <v>0.96130000000000004</v>
      </c>
      <c r="T1309" s="297">
        <v>13719</v>
      </c>
      <c r="U1309" s="340">
        <v>153280</v>
      </c>
      <c r="V1309" s="340">
        <v>463002</v>
      </c>
      <c r="W1309" s="297">
        <v>29617</v>
      </c>
      <c r="X1309" s="296">
        <v>-7.0000000000000001E-3</v>
      </c>
    </row>
    <row r="1310" spans="13:24">
      <c r="M1310">
        <v>1308</v>
      </c>
      <c r="N1310">
        <v>8034</v>
      </c>
      <c r="O1310" t="s">
        <v>603</v>
      </c>
      <c r="P1310" t="s">
        <v>129</v>
      </c>
      <c r="Q1310">
        <v>684</v>
      </c>
      <c r="R1310" s="296">
        <v>0</v>
      </c>
      <c r="S1310" s="296">
        <v>0.96140000000000003</v>
      </c>
      <c r="T1310" s="297">
        <v>7412</v>
      </c>
      <c r="U1310" s="340">
        <v>152835</v>
      </c>
      <c r="V1310" s="340">
        <v>361216</v>
      </c>
      <c r="W1310" s="297">
        <v>19007</v>
      </c>
      <c r="X1310" s="296">
        <v>-2E-3</v>
      </c>
    </row>
    <row r="1311" spans="13:24">
      <c r="M1311">
        <v>1309</v>
      </c>
      <c r="N1311">
        <v>55438</v>
      </c>
      <c r="O1311" t="s">
        <v>576</v>
      </c>
      <c r="P1311" t="s">
        <v>151</v>
      </c>
      <c r="Q1311">
        <v>336</v>
      </c>
      <c r="R1311" s="296">
        <v>0</v>
      </c>
      <c r="S1311" s="296">
        <v>0.96140000000000003</v>
      </c>
      <c r="T1311" s="297">
        <v>7453</v>
      </c>
      <c r="U1311" s="340">
        <v>152079</v>
      </c>
      <c r="V1311" s="340">
        <v>532587</v>
      </c>
      <c r="W1311" s="297">
        <v>17223</v>
      </c>
      <c r="X1311" s="296">
        <v>2E-3</v>
      </c>
    </row>
    <row r="1312" spans="13:24">
      <c r="M1312">
        <v>1310</v>
      </c>
      <c r="N1312">
        <v>33305</v>
      </c>
      <c r="O1312" t="s">
        <v>506</v>
      </c>
      <c r="P1312" t="s">
        <v>127</v>
      </c>
      <c r="Q1312">
        <v>1187</v>
      </c>
      <c r="R1312" s="296">
        <v>0</v>
      </c>
      <c r="S1312" s="296">
        <v>0.96140000000000003</v>
      </c>
      <c r="T1312" s="297">
        <v>6836</v>
      </c>
      <c r="U1312" s="340">
        <v>151828</v>
      </c>
      <c r="V1312" s="340">
        <v>817760</v>
      </c>
      <c r="W1312" s="297">
        <v>12261</v>
      </c>
      <c r="X1312" s="296">
        <v>1E-3</v>
      </c>
    </row>
    <row r="1313" spans="13:24">
      <c r="M1313">
        <v>1311</v>
      </c>
      <c r="N1313">
        <v>55449</v>
      </c>
      <c r="O1313" t="s">
        <v>576</v>
      </c>
      <c r="P1313" t="s">
        <v>151</v>
      </c>
      <c r="Q1313">
        <v>342</v>
      </c>
      <c r="R1313" s="296">
        <v>0</v>
      </c>
      <c r="S1313" s="296">
        <v>0.96140000000000003</v>
      </c>
      <c r="T1313" s="297">
        <v>12240</v>
      </c>
      <c r="U1313" s="340">
        <v>151756</v>
      </c>
      <c r="V1313" s="340">
        <v>470840</v>
      </c>
      <c r="W1313" s="297">
        <v>36849</v>
      </c>
      <c r="X1313" s="296">
        <v>2.4E-2</v>
      </c>
    </row>
    <row r="1314" spans="13:24">
      <c r="M1314">
        <v>1312</v>
      </c>
      <c r="N1314">
        <v>55304</v>
      </c>
      <c r="O1314" t="s">
        <v>388</v>
      </c>
      <c r="P1314" t="s">
        <v>151</v>
      </c>
      <c r="Q1314">
        <v>348</v>
      </c>
      <c r="R1314" s="296">
        <v>0</v>
      </c>
      <c r="S1314" s="296">
        <v>0.96150000000000002</v>
      </c>
      <c r="T1314" s="297">
        <v>17012</v>
      </c>
      <c r="U1314" s="340">
        <v>151708</v>
      </c>
      <c r="V1314" s="340">
        <v>464844</v>
      </c>
      <c r="W1314" s="297">
        <v>50341</v>
      </c>
      <c r="X1314" s="296">
        <v>6.0000000000000001E-3</v>
      </c>
    </row>
    <row r="1315" spans="13:24">
      <c r="M1315">
        <v>1313</v>
      </c>
      <c r="N1315">
        <v>48176</v>
      </c>
      <c r="O1315" t="s">
        <v>1428</v>
      </c>
      <c r="P1315" t="s">
        <v>140</v>
      </c>
      <c r="Q1315">
        <v>205</v>
      </c>
      <c r="R1315" s="296">
        <v>0</v>
      </c>
      <c r="S1315" s="296">
        <v>0.96150000000000002</v>
      </c>
      <c r="T1315" s="297">
        <v>8655</v>
      </c>
      <c r="U1315" s="340">
        <v>151361</v>
      </c>
      <c r="V1315" s="340">
        <v>471358</v>
      </c>
      <c r="W1315" s="297">
        <v>22374</v>
      </c>
      <c r="X1315" s="296">
        <v>-2E-3</v>
      </c>
    </row>
    <row r="1316" spans="13:24">
      <c r="M1316">
        <v>1314</v>
      </c>
      <c r="N1316">
        <v>27516</v>
      </c>
      <c r="O1316" t="s">
        <v>1429</v>
      </c>
      <c r="P1316" t="s">
        <v>138</v>
      </c>
      <c r="Q1316">
        <v>632</v>
      </c>
      <c r="R1316" s="296">
        <v>0</v>
      </c>
      <c r="S1316" s="296">
        <v>0.96150000000000002</v>
      </c>
      <c r="T1316" s="297">
        <v>18158</v>
      </c>
      <c r="U1316" s="340">
        <v>151355</v>
      </c>
      <c r="V1316" s="340">
        <v>583996</v>
      </c>
      <c r="W1316" s="297">
        <v>48178</v>
      </c>
      <c r="X1316" s="296">
        <v>7.0000000000000001E-3</v>
      </c>
    </row>
    <row r="1317" spans="13:24">
      <c r="M1317">
        <v>1315</v>
      </c>
      <c r="N1317">
        <v>50263</v>
      </c>
      <c r="O1317" t="s">
        <v>1430</v>
      </c>
      <c r="P1317" t="s">
        <v>170</v>
      </c>
      <c r="Q1317">
        <v>315</v>
      </c>
      <c r="R1317" s="296">
        <v>0</v>
      </c>
      <c r="S1317" s="296">
        <v>0.96150000000000002</v>
      </c>
      <c r="T1317" s="297">
        <v>11994</v>
      </c>
      <c r="U1317" s="340">
        <v>151197</v>
      </c>
      <c r="V1317" s="340">
        <v>413516</v>
      </c>
      <c r="W1317" s="297">
        <v>31782</v>
      </c>
      <c r="X1317" s="296">
        <v>5.5E-2</v>
      </c>
    </row>
    <row r="1318" spans="13:24">
      <c r="M1318">
        <v>1316</v>
      </c>
      <c r="N1318">
        <v>53058</v>
      </c>
      <c r="O1318" t="s">
        <v>1431</v>
      </c>
      <c r="P1318" t="s">
        <v>149</v>
      </c>
      <c r="Q1318">
        <v>74</v>
      </c>
      <c r="R1318" s="296">
        <v>0</v>
      </c>
      <c r="S1318" s="296">
        <v>0.96160000000000001</v>
      </c>
      <c r="T1318" s="297">
        <v>1261</v>
      </c>
      <c r="U1318" s="340">
        <v>150172</v>
      </c>
      <c r="V1318" s="340">
        <v>667788</v>
      </c>
      <c r="W1318" s="297">
        <v>3021</v>
      </c>
      <c r="X1318" s="296">
        <v>2E-3</v>
      </c>
    </row>
    <row r="1319" spans="13:24">
      <c r="M1319">
        <v>1317</v>
      </c>
      <c r="N1319">
        <v>77573</v>
      </c>
      <c r="O1319" t="s">
        <v>1432</v>
      </c>
      <c r="P1319" t="s">
        <v>134</v>
      </c>
      <c r="Q1319">
        <v>963</v>
      </c>
      <c r="R1319" s="296">
        <v>0</v>
      </c>
      <c r="S1319" s="296">
        <v>0.96160000000000001</v>
      </c>
      <c r="T1319" s="297">
        <v>36251</v>
      </c>
      <c r="U1319" s="340">
        <v>150012</v>
      </c>
      <c r="V1319" s="340">
        <v>388021</v>
      </c>
      <c r="W1319" s="297">
        <v>100457</v>
      </c>
      <c r="X1319" s="296">
        <v>1.2999999999999999E-2</v>
      </c>
    </row>
    <row r="1320" spans="13:24">
      <c r="M1320">
        <v>1318</v>
      </c>
      <c r="N1320">
        <v>34119</v>
      </c>
      <c r="O1320" t="s">
        <v>322</v>
      </c>
      <c r="P1320" t="s">
        <v>127</v>
      </c>
      <c r="Q1320">
        <v>1150</v>
      </c>
      <c r="R1320" s="296">
        <v>0</v>
      </c>
      <c r="S1320" s="296">
        <v>0.96160000000000001</v>
      </c>
      <c r="T1320" s="297">
        <v>15846</v>
      </c>
      <c r="U1320" s="340">
        <v>149722</v>
      </c>
      <c r="V1320" s="340">
        <v>787886</v>
      </c>
      <c r="W1320" s="297">
        <v>37553</v>
      </c>
      <c r="X1320" s="296">
        <v>1.4E-2</v>
      </c>
    </row>
    <row r="1321" spans="13:24">
      <c r="M1321">
        <v>1319</v>
      </c>
      <c r="N1321">
        <v>32459</v>
      </c>
      <c r="O1321" t="s">
        <v>1433</v>
      </c>
      <c r="P1321" t="s">
        <v>127</v>
      </c>
      <c r="Q1321">
        <v>820</v>
      </c>
      <c r="R1321" s="296">
        <v>0</v>
      </c>
      <c r="S1321" s="296">
        <v>0.96160000000000001</v>
      </c>
      <c r="T1321" s="297">
        <v>9894</v>
      </c>
      <c r="U1321" s="340">
        <v>149518</v>
      </c>
      <c r="V1321" s="340">
        <v>871100</v>
      </c>
      <c r="W1321" s="297">
        <v>24764</v>
      </c>
      <c r="X1321" s="296">
        <v>4.4999999999999998E-2</v>
      </c>
    </row>
    <row r="1322" spans="13:24">
      <c r="M1322">
        <v>1320</v>
      </c>
      <c r="N1322">
        <v>15101</v>
      </c>
      <c r="O1322" t="s">
        <v>1434</v>
      </c>
      <c r="P1322" t="s">
        <v>133</v>
      </c>
      <c r="Q1322">
        <v>420</v>
      </c>
      <c r="R1322" s="296">
        <v>0</v>
      </c>
      <c r="S1322" s="296">
        <v>0.9617</v>
      </c>
      <c r="T1322" s="297">
        <v>9947</v>
      </c>
      <c r="U1322" s="340">
        <v>149413</v>
      </c>
      <c r="V1322" s="340">
        <v>418153</v>
      </c>
      <c r="W1322" s="297">
        <v>24824</v>
      </c>
      <c r="X1322" s="296">
        <v>-2E-3</v>
      </c>
    </row>
    <row r="1323" spans="13:24">
      <c r="M1323">
        <v>1321</v>
      </c>
      <c r="N1323">
        <v>92253</v>
      </c>
      <c r="O1323" t="s">
        <v>1435</v>
      </c>
      <c r="P1323" t="s">
        <v>132</v>
      </c>
      <c r="Q1323">
        <v>1651</v>
      </c>
      <c r="R1323" s="296">
        <v>0</v>
      </c>
      <c r="S1323" s="296">
        <v>0.9617</v>
      </c>
      <c r="T1323" s="297">
        <v>15865</v>
      </c>
      <c r="U1323" s="340">
        <v>148985</v>
      </c>
      <c r="V1323" s="340">
        <v>788253</v>
      </c>
      <c r="W1323" s="297">
        <v>38438</v>
      </c>
      <c r="X1323" s="296">
        <v>1.0999999999999999E-2</v>
      </c>
    </row>
    <row r="1324" spans="13:24">
      <c r="M1324">
        <v>1322</v>
      </c>
      <c r="N1324">
        <v>21204</v>
      </c>
      <c r="O1324" t="s">
        <v>1436</v>
      </c>
      <c r="P1324" t="s">
        <v>137</v>
      </c>
      <c r="Q1324">
        <v>613</v>
      </c>
      <c r="R1324" s="296">
        <v>0</v>
      </c>
      <c r="S1324" s="296">
        <v>0.9617</v>
      </c>
      <c r="T1324" s="297">
        <v>8230</v>
      </c>
      <c r="U1324" s="340">
        <v>148950</v>
      </c>
      <c r="V1324" s="340">
        <v>646115</v>
      </c>
      <c r="W1324" s="297">
        <v>21642</v>
      </c>
      <c r="X1324" s="296">
        <v>-6.0000000000000001E-3</v>
      </c>
    </row>
    <row r="1325" spans="13:24">
      <c r="M1325">
        <v>1323</v>
      </c>
      <c r="N1325">
        <v>45039</v>
      </c>
      <c r="O1325" t="s">
        <v>1437</v>
      </c>
      <c r="P1325" t="s">
        <v>136</v>
      </c>
      <c r="Q1325">
        <v>270</v>
      </c>
      <c r="R1325" s="296">
        <v>0</v>
      </c>
      <c r="S1325" s="296">
        <v>0.9617</v>
      </c>
      <c r="T1325" s="297">
        <v>11333</v>
      </c>
      <c r="U1325" s="340">
        <v>148873</v>
      </c>
      <c r="V1325" s="340">
        <v>377001</v>
      </c>
      <c r="W1325" s="297">
        <v>29665</v>
      </c>
      <c r="X1325" s="296">
        <v>1.7000000000000001E-2</v>
      </c>
    </row>
    <row r="1326" spans="13:24">
      <c r="M1326">
        <v>1324</v>
      </c>
      <c r="N1326">
        <v>49306</v>
      </c>
      <c r="O1326" t="s">
        <v>287</v>
      </c>
      <c r="P1326" t="s">
        <v>140</v>
      </c>
      <c r="Q1326">
        <v>130</v>
      </c>
      <c r="R1326" s="296">
        <v>0</v>
      </c>
      <c r="S1326" s="296">
        <v>0.96179999999999999</v>
      </c>
      <c r="T1326" s="297">
        <v>4108</v>
      </c>
      <c r="U1326" s="340">
        <v>148770</v>
      </c>
      <c r="V1326" s="340">
        <v>407036</v>
      </c>
      <c r="W1326" s="297">
        <v>11130</v>
      </c>
      <c r="X1326" s="296">
        <v>7.0000000000000001E-3</v>
      </c>
    </row>
    <row r="1327" spans="13:24">
      <c r="M1327">
        <v>1325</v>
      </c>
      <c r="N1327">
        <v>66205</v>
      </c>
      <c r="O1327" t="s">
        <v>1438</v>
      </c>
      <c r="P1327" t="s">
        <v>176</v>
      </c>
      <c r="Q1327">
        <v>418</v>
      </c>
      <c r="R1327" s="296">
        <v>0</v>
      </c>
      <c r="S1327" s="296">
        <v>0.96179999999999999</v>
      </c>
      <c r="T1327" s="297">
        <v>6385</v>
      </c>
      <c r="U1327" s="340">
        <v>148737</v>
      </c>
      <c r="V1327" s="340">
        <v>518368</v>
      </c>
      <c r="W1327" s="297">
        <v>14297</v>
      </c>
      <c r="X1327" s="296">
        <v>3.0000000000000001E-3</v>
      </c>
    </row>
    <row r="1328" spans="13:24">
      <c r="M1328">
        <v>1326</v>
      </c>
      <c r="N1328">
        <v>44012</v>
      </c>
      <c r="O1328" t="s">
        <v>1439</v>
      </c>
      <c r="P1328" t="s">
        <v>136</v>
      </c>
      <c r="Q1328">
        <v>301</v>
      </c>
      <c r="R1328" s="296">
        <v>0</v>
      </c>
      <c r="S1328" s="296">
        <v>0.96179999999999999</v>
      </c>
      <c r="T1328" s="297">
        <v>10616</v>
      </c>
      <c r="U1328" s="340">
        <v>148260</v>
      </c>
      <c r="V1328" s="340">
        <v>406687</v>
      </c>
      <c r="W1328" s="297">
        <v>25582</v>
      </c>
      <c r="X1328" s="296">
        <v>3.0000000000000001E-3</v>
      </c>
    </row>
    <row r="1329" spans="13:24">
      <c r="M1329">
        <v>1327</v>
      </c>
      <c r="N1329">
        <v>54169</v>
      </c>
      <c r="O1329" t="s">
        <v>1440</v>
      </c>
      <c r="P1329" t="s">
        <v>149</v>
      </c>
      <c r="Q1329">
        <v>143</v>
      </c>
      <c r="R1329" s="296">
        <v>0</v>
      </c>
      <c r="S1329" s="296">
        <v>0.96179999999999999</v>
      </c>
      <c r="T1329" s="297">
        <v>1182</v>
      </c>
      <c r="U1329" s="340">
        <v>148249</v>
      </c>
      <c r="V1329" s="340">
        <v>372668</v>
      </c>
      <c r="W1329" s="297">
        <v>3265</v>
      </c>
      <c r="X1329" s="296">
        <v>8.0000000000000002E-3</v>
      </c>
    </row>
    <row r="1330" spans="13:24">
      <c r="M1330">
        <v>1328</v>
      </c>
      <c r="N1330">
        <v>91504</v>
      </c>
      <c r="O1330" t="s">
        <v>676</v>
      </c>
      <c r="P1330" t="s">
        <v>132</v>
      </c>
      <c r="Q1330">
        <v>1736</v>
      </c>
      <c r="R1330" s="296">
        <v>0</v>
      </c>
      <c r="S1330" s="296">
        <v>0.96189999999999998</v>
      </c>
      <c r="T1330" s="297">
        <v>9795</v>
      </c>
      <c r="U1330" s="340">
        <v>147914</v>
      </c>
      <c r="V1330" s="340">
        <v>1089327</v>
      </c>
      <c r="W1330" s="297">
        <v>26102</v>
      </c>
      <c r="X1330" s="296">
        <v>-8.0000000000000002E-3</v>
      </c>
    </row>
    <row r="1331" spans="13:24">
      <c r="M1331">
        <v>1329</v>
      </c>
      <c r="N1331">
        <v>30316</v>
      </c>
      <c r="O1331" t="s">
        <v>507</v>
      </c>
      <c r="P1331" t="s">
        <v>130</v>
      </c>
      <c r="Q1331">
        <v>612</v>
      </c>
      <c r="R1331" s="296">
        <v>0</v>
      </c>
      <c r="S1331" s="296">
        <v>0.96189999999999998</v>
      </c>
      <c r="T1331" s="297">
        <v>16770</v>
      </c>
      <c r="U1331" s="340">
        <v>147365</v>
      </c>
      <c r="V1331" s="340">
        <v>494777</v>
      </c>
      <c r="W1331" s="297">
        <v>36631</v>
      </c>
      <c r="X1331" s="296">
        <v>2.1999999999999999E-2</v>
      </c>
    </row>
    <row r="1332" spans="13:24">
      <c r="M1332">
        <v>1330</v>
      </c>
      <c r="N1332">
        <v>34217</v>
      </c>
      <c r="O1332" t="s">
        <v>1441</v>
      </c>
      <c r="P1332" t="s">
        <v>127</v>
      </c>
      <c r="Q1332">
        <v>1051</v>
      </c>
      <c r="R1332" s="296">
        <v>0</v>
      </c>
      <c r="S1332" s="296">
        <v>0.96189999999999998</v>
      </c>
      <c r="T1332" s="297">
        <v>2198</v>
      </c>
      <c r="U1332" s="340">
        <v>147097</v>
      </c>
      <c r="V1332" s="340">
        <v>863053</v>
      </c>
      <c r="W1332" s="297">
        <v>3992</v>
      </c>
      <c r="X1332" s="296">
        <v>3.0000000000000001E-3</v>
      </c>
    </row>
    <row r="1333" spans="13:24">
      <c r="M1333">
        <v>1331</v>
      </c>
      <c r="N1333">
        <v>55417</v>
      </c>
      <c r="O1333" t="s">
        <v>576</v>
      </c>
      <c r="P1333" t="s">
        <v>151</v>
      </c>
      <c r="Q1333">
        <v>333</v>
      </c>
      <c r="R1333" s="296">
        <v>0</v>
      </c>
      <c r="S1333" s="296">
        <v>0.96189999999999998</v>
      </c>
      <c r="T1333" s="297">
        <v>10689</v>
      </c>
      <c r="U1333" s="340">
        <v>145995</v>
      </c>
      <c r="V1333" s="340">
        <v>443150</v>
      </c>
      <c r="W1333" s="297">
        <v>25345</v>
      </c>
      <c r="X1333" s="296">
        <v>-4.0000000000000001E-3</v>
      </c>
    </row>
    <row r="1334" spans="13:24">
      <c r="M1334">
        <v>1332</v>
      </c>
      <c r="N1334">
        <v>15237</v>
      </c>
      <c r="O1334" t="s">
        <v>569</v>
      </c>
      <c r="P1334" t="s">
        <v>133</v>
      </c>
      <c r="Q1334">
        <v>416</v>
      </c>
      <c r="R1334" s="296">
        <v>0</v>
      </c>
      <c r="S1334" s="296">
        <v>0.96199999999999997</v>
      </c>
      <c r="T1334" s="297">
        <v>18719</v>
      </c>
      <c r="U1334" s="340">
        <v>145625</v>
      </c>
      <c r="V1334" s="340">
        <v>378469</v>
      </c>
      <c r="W1334" s="297">
        <v>44642</v>
      </c>
      <c r="X1334" s="296">
        <v>-1E-3</v>
      </c>
    </row>
    <row r="1335" spans="13:24">
      <c r="M1335">
        <v>1333</v>
      </c>
      <c r="N1335">
        <v>78665</v>
      </c>
      <c r="O1335" t="s">
        <v>496</v>
      </c>
      <c r="P1335" t="s">
        <v>134</v>
      </c>
      <c r="Q1335">
        <v>970</v>
      </c>
      <c r="R1335" s="296">
        <v>0</v>
      </c>
      <c r="S1335" s="296">
        <v>0.96199999999999997</v>
      </c>
      <c r="T1335" s="297">
        <v>24364</v>
      </c>
      <c r="U1335" s="340">
        <v>145159</v>
      </c>
      <c r="V1335" s="340">
        <v>522585</v>
      </c>
      <c r="W1335" s="297">
        <v>69503</v>
      </c>
      <c r="X1335" s="296">
        <v>2.8000000000000001E-2</v>
      </c>
    </row>
    <row r="1336" spans="13:24">
      <c r="M1336">
        <v>1334</v>
      </c>
      <c r="N1336">
        <v>55016</v>
      </c>
      <c r="O1336" t="s">
        <v>673</v>
      </c>
      <c r="P1336" t="s">
        <v>151</v>
      </c>
      <c r="Q1336">
        <v>318</v>
      </c>
      <c r="R1336" s="296">
        <v>0</v>
      </c>
      <c r="S1336" s="296">
        <v>0.96199999999999997</v>
      </c>
      <c r="T1336" s="297">
        <v>14583</v>
      </c>
      <c r="U1336" s="340">
        <v>144515</v>
      </c>
      <c r="V1336" s="340">
        <v>439381</v>
      </c>
      <c r="W1336" s="297">
        <v>43217</v>
      </c>
      <c r="X1336" s="296">
        <v>2.8000000000000001E-2</v>
      </c>
    </row>
    <row r="1337" spans="13:24">
      <c r="M1337">
        <v>1335</v>
      </c>
      <c r="N1337">
        <v>87506</v>
      </c>
      <c r="O1337" t="s">
        <v>1442</v>
      </c>
      <c r="P1337" t="s">
        <v>200</v>
      </c>
      <c r="Q1337">
        <v>1068</v>
      </c>
      <c r="R1337" s="296">
        <v>0</v>
      </c>
      <c r="S1337" s="296">
        <v>0.96199999999999997</v>
      </c>
      <c r="T1337" s="297">
        <v>7530</v>
      </c>
      <c r="U1337" s="340">
        <v>143738</v>
      </c>
      <c r="V1337" s="340">
        <v>818133</v>
      </c>
      <c r="W1337" s="297">
        <v>16052</v>
      </c>
      <c r="X1337" s="296">
        <v>4.0000000000000001E-3</v>
      </c>
    </row>
    <row r="1338" spans="13:24">
      <c r="M1338">
        <v>1336</v>
      </c>
      <c r="N1338">
        <v>36561</v>
      </c>
      <c r="O1338" t="s">
        <v>1443</v>
      </c>
      <c r="P1338" t="s">
        <v>154</v>
      </c>
      <c r="Q1338">
        <v>820</v>
      </c>
      <c r="R1338" s="296">
        <v>0</v>
      </c>
      <c r="S1338" s="296">
        <v>0.96209999999999996</v>
      </c>
      <c r="T1338" s="297">
        <v>4196</v>
      </c>
      <c r="U1338" s="340">
        <v>143192</v>
      </c>
      <c r="V1338" s="340">
        <v>597611</v>
      </c>
      <c r="W1338" s="297">
        <v>9118</v>
      </c>
      <c r="X1338" s="296">
        <v>1.6E-2</v>
      </c>
    </row>
    <row r="1339" spans="13:24">
      <c r="M1339">
        <v>1337</v>
      </c>
      <c r="N1339">
        <v>10710</v>
      </c>
      <c r="O1339" t="s">
        <v>764</v>
      </c>
      <c r="P1339" t="s">
        <v>128</v>
      </c>
      <c r="Q1339">
        <v>725</v>
      </c>
      <c r="R1339" s="296">
        <v>0</v>
      </c>
      <c r="S1339" s="296">
        <v>0.96209999999999996</v>
      </c>
      <c r="T1339" s="297">
        <v>10127</v>
      </c>
      <c r="U1339" s="340">
        <v>142717</v>
      </c>
      <c r="V1339" s="340">
        <v>601070</v>
      </c>
      <c r="W1339" s="297">
        <v>26862</v>
      </c>
      <c r="X1339" s="296">
        <v>4.0000000000000001E-3</v>
      </c>
    </row>
    <row r="1340" spans="13:24">
      <c r="M1340">
        <v>1338</v>
      </c>
      <c r="N1340">
        <v>97124</v>
      </c>
      <c r="O1340" t="s">
        <v>1444</v>
      </c>
      <c r="P1340" t="s">
        <v>207</v>
      </c>
      <c r="Q1340">
        <v>1754</v>
      </c>
      <c r="R1340" s="296">
        <v>0</v>
      </c>
      <c r="S1340" s="296">
        <v>0.96209999999999996</v>
      </c>
      <c r="T1340" s="297">
        <v>21856</v>
      </c>
      <c r="U1340" s="340">
        <v>141967</v>
      </c>
      <c r="V1340" s="340">
        <v>648508</v>
      </c>
      <c r="W1340" s="297">
        <v>54397</v>
      </c>
      <c r="X1340" s="296">
        <v>-1E-3</v>
      </c>
    </row>
    <row r="1341" spans="13:24">
      <c r="M1341">
        <v>1339</v>
      </c>
      <c r="N1341">
        <v>49115</v>
      </c>
      <c r="O1341" t="s">
        <v>1445</v>
      </c>
      <c r="P1341" t="s">
        <v>140</v>
      </c>
      <c r="Q1341">
        <v>62</v>
      </c>
      <c r="R1341" s="296">
        <v>0</v>
      </c>
      <c r="S1341" s="296">
        <v>0.96209999999999996</v>
      </c>
      <c r="T1341">
        <v>110</v>
      </c>
      <c r="U1341" s="340">
        <v>141831</v>
      </c>
      <c r="V1341" s="340">
        <v>418182</v>
      </c>
      <c r="W1341">
        <v>182</v>
      </c>
      <c r="X1341" s="296">
        <v>6.2E-2</v>
      </c>
    </row>
    <row r="1342" spans="13:24">
      <c r="M1342">
        <v>1340</v>
      </c>
      <c r="N1342">
        <v>15217</v>
      </c>
      <c r="O1342" t="s">
        <v>569</v>
      </c>
      <c r="P1342" t="s">
        <v>133</v>
      </c>
      <c r="Q1342">
        <v>425</v>
      </c>
      <c r="R1342" s="296">
        <v>0</v>
      </c>
      <c r="S1342" s="296">
        <v>0.96220000000000006</v>
      </c>
      <c r="T1342" s="297">
        <v>11765</v>
      </c>
      <c r="U1342" s="340">
        <v>141801</v>
      </c>
      <c r="V1342" s="340">
        <v>517703</v>
      </c>
      <c r="W1342" s="297">
        <v>25918</v>
      </c>
      <c r="X1342" s="296">
        <v>-4.0000000000000001E-3</v>
      </c>
    </row>
    <row r="1343" spans="13:24">
      <c r="M1343">
        <v>1341</v>
      </c>
      <c r="N1343">
        <v>90504</v>
      </c>
      <c r="O1343" t="s">
        <v>1280</v>
      </c>
      <c r="P1343" t="s">
        <v>132</v>
      </c>
      <c r="Q1343">
        <v>1747</v>
      </c>
      <c r="R1343" s="296">
        <v>0</v>
      </c>
      <c r="S1343" s="296">
        <v>0.96220000000000006</v>
      </c>
      <c r="T1343" s="297">
        <v>11651</v>
      </c>
      <c r="U1343" s="340">
        <v>141143</v>
      </c>
      <c r="V1343" s="340">
        <v>944914</v>
      </c>
      <c r="W1343" s="297">
        <v>31341</v>
      </c>
      <c r="X1343" s="296">
        <v>-0.01</v>
      </c>
    </row>
    <row r="1344" spans="13:24">
      <c r="M1344">
        <v>1342</v>
      </c>
      <c r="N1344">
        <v>85248</v>
      </c>
      <c r="O1344" t="s">
        <v>735</v>
      </c>
      <c r="P1344" t="s">
        <v>158</v>
      </c>
      <c r="Q1344">
        <v>1446</v>
      </c>
      <c r="R1344" s="296">
        <v>0</v>
      </c>
      <c r="S1344" s="296">
        <v>0.96220000000000006</v>
      </c>
      <c r="T1344" s="297">
        <v>17541</v>
      </c>
      <c r="U1344" s="340">
        <v>140989</v>
      </c>
      <c r="V1344" s="340">
        <v>570497</v>
      </c>
      <c r="W1344" s="297">
        <v>37576</v>
      </c>
      <c r="X1344" s="296">
        <v>0</v>
      </c>
    </row>
    <row r="1345" spans="13:24">
      <c r="M1345">
        <v>1343</v>
      </c>
      <c r="N1345">
        <v>75089</v>
      </c>
      <c r="O1345" t="s">
        <v>1446</v>
      </c>
      <c r="P1345" t="s">
        <v>134</v>
      </c>
      <c r="Q1345">
        <v>797</v>
      </c>
      <c r="R1345" s="296">
        <v>0</v>
      </c>
      <c r="S1345" s="296">
        <v>0.96220000000000006</v>
      </c>
      <c r="T1345" s="297">
        <v>11455</v>
      </c>
      <c r="U1345" s="340">
        <v>140134</v>
      </c>
      <c r="V1345" s="340">
        <v>410937</v>
      </c>
      <c r="W1345" s="297">
        <v>34989</v>
      </c>
      <c r="X1345" s="296">
        <v>7.0000000000000001E-3</v>
      </c>
    </row>
    <row r="1346" spans="13:24">
      <c r="M1346">
        <v>1344</v>
      </c>
      <c r="N1346">
        <v>46075</v>
      </c>
      <c r="O1346" t="s">
        <v>665</v>
      </c>
      <c r="P1346" t="s">
        <v>144</v>
      </c>
      <c r="Q1346">
        <v>166</v>
      </c>
      <c r="R1346" s="296">
        <v>0</v>
      </c>
      <c r="S1346" s="296">
        <v>0.96230000000000004</v>
      </c>
      <c r="T1346" s="297">
        <v>4245</v>
      </c>
      <c r="U1346" s="340">
        <v>139801</v>
      </c>
      <c r="V1346" s="340">
        <v>431333</v>
      </c>
      <c r="W1346" s="297">
        <v>11196</v>
      </c>
      <c r="X1346" s="296">
        <v>0.09</v>
      </c>
    </row>
    <row r="1347" spans="13:24">
      <c r="M1347">
        <v>1345</v>
      </c>
      <c r="N1347">
        <v>30519</v>
      </c>
      <c r="O1347" t="s">
        <v>1447</v>
      </c>
      <c r="P1347" t="s">
        <v>130</v>
      </c>
      <c r="Q1347">
        <v>595</v>
      </c>
      <c r="R1347" s="296">
        <v>0</v>
      </c>
      <c r="S1347" s="296">
        <v>0.96230000000000004</v>
      </c>
      <c r="T1347" s="297">
        <v>19269</v>
      </c>
      <c r="U1347" s="340">
        <v>139467</v>
      </c>
      <c r="V1347" s="340">
        <v>472584</v>
      </c>
      <c r="W1347" s="297">
        <v>59385</v>
      </c>
      <c r="X1347" s="296">
        <v>2.5000000000000001E-2</v>
      </c>
    </row>
    <row r="1348" spans="13:24">
      <c r="M1348">
        <v>1346</v>
      </c>
      <c r="N1348">
        <v>61874</v>
      </c>
      <c r="O1348" t="s">
        <v>1448</v>
      </c>
      <c r="P1348" t="s">
        <v>131</v>
      </c>
      <c r="Q1348">
        <v>147</v>
      </c>
      <c r="R1348" s="296">
        <v>0</v>
      </c>
      <c r="S1348" s="296">
        <v>0.96230000000000004</v>
      </c>
      <c r="T1348" s="297">
        <v>3628</v>
      </c>
      <c r="U1348" s="340">
        <v>139261</v>
      </c>
      <c r="V1348" s="340">
        <v>307849</v>
      </c>
      <c r="W1348" s="297">
        <v>8639</v>
      </c>
      <c r="X1348" s="296">
        <v>-1E-3</v>
      </c>
    </row>
    <row r="1349" spans="13:24">
      <c r="M1349">
        <v>1347</v>
      </c>
      <c r="N1349">
        <v>33446</v>
      </c>
      <c r="O1349" t="s">
        <v>1449</v>
      </c>
      <c r="P1349" t="s">
        <v>127</v>
      </c>
      <c r="Q1349">
        <v>1167</v>
      </c>
      <c r="R1349" s="296">
        <v>0</v>
      </c>
      <c r="S1349" s="296">
        <v>0.96230000000000004</v>
      </c>
      <c r="T1349" s="297">
        <v>16008</v>
      </c>
      <c r="U1349" s="340">
        <v>138975</v>
      </c>
      <c r="V1349" s="340">
        <v>642969</v>
      </c>
      <c r="W1349" s="297">
        <v>31201</v>
      </c>
      <c r="X1349" s="296">
        <v>8.9999999999999993E-3</v>
      </c>
    </row>
    <row r="1350" spans="13:24">
      <c r="M1350">
        <v>1348</v>
      </c>
      <c r="N1350">
        <v>37919</v>
      </c>
      <c r="O1350" t="s">
        <v>690</v>
      </c>
      <c r="P1350" t="s">
        <v>146</v>
      </c>
      <c r="Q1350">
        <v>476</v>
      </c>
      <c r="R1350" s="296">
        <v>0</v>
      </c>
      <c r="S1350" s="296">
        <v>0.96240000000000003</v>
      </c>
      <c r="T1350" s="297">
        <v>14517</v>
      </c>
      <c r="U1350" s="340">
        <v>138891</v>
      </c>
      <c r="V1350" s="340">
        <v>564133</v>
      </c>
      <c r="W1350" s="297">
        <v>31055</v>
      </c>
      <c r="X1350" s="296">
        <v>7.0000000000000001E-3</v>
      </c>
    </row>
    <row r="1351" spans="13:24">
      <c r="M1351">
        <v>1349</v>
      </c>
      <c r="N1351">
        <v>49083</v>
      </c>
      <c r="O1351" t="s">
        <v>635</v>
      </c>
      <c r="P1351" t="s">
        <v>140</v>
      </c>
      <c r="Q1351">
        <v>121</v>
      </c>
      <c r="R1351" s="296">
        <v>0</v>
      </c>
      <c r="S1351" s="296">
        <v>0.96240000000000003</v>
      </c>
      <c r="T1351" s="297">
        <v>3304</v>
      </c>
      <c r="U1351" s="340">
        <v>138070</v>
      </c>
      <c r="V1351" s="340">
        <v>410375</v>
      </c>
      <c r="W1351" s="297">
        <v>8540</v>
      </c>
      <c r="X1351" s="296">
        <v>7.0000000000000001E-3</v>
      </c>
    </row>
    <row r="1352" spans="13:24">
      <c r="M1352">
        <v>1350</v>
      </c>
      <c r="N1352">
        <v>53527</v>
      </c>
      <c r="O1352" t="s">
        <v>673</v>
      </c>
      <c r="P1352" t="s">
        <v>149</v>
      </c>
      <c r="Q1352">
        <v>95</v>
      </c>
      <c r="R1352" s="296">
        <v>0</v>
      </c>
      <c r="S1352" s="296">
        <v>0.96240000000000003</v>
      </c>
      <c r="T1352" s="297">
        <v>4432</v>
      </c>
      <c r="U1352" s="340">
        <v>137838</v>
      </c>
      <c r="V1352" s="340">
        <v>467866</v>
      </c>
      <c r="W1352" s="297">
        <v>11852</v>
      </c>
      <c r="X1352" s="296">
        <v>1.6E-2</v>
      </c>
    </row>
    <row r="1353" spans="13:24">
      <c r="M1353">
        <v>1351</v>
      </c>
      <c r="N1353">
        <v>61853</v>
      </c>
      <c r="O1353" t="s">
        <v>1450</v>
      </c>
      <c r="P1353" t="s">
        <v>131</v>
      </c>
      <c r="Q1353">
        <v>137</v>
      </c>
      <c r="R1353" s="296">
        <v>0</v>
      </c>
      <c r="S1353" s="296">
        <v>0.96240000000000003</v>
      </c>
      <c r="T1353" s="297">
        <v>5568</v>
      </c>
      <c r="U1353" s="340">
        <v>137761</v>
      </c>
      <c r="V1353" s="340">
        <v>321538</v>
      </c>
      <c r="W1353" s="297">
        <v>14957</v>
      </c>
      <c r="X1353" s="296">
        <v>1.0999999999999999E-2</v>
      </c>
    </row>
    <row r="1354" spans="13:24">
      <c r="M1354">
        <v>1352</v>
      </c>
      <c r="N1354">
        <v>78253</v>
      </c>
      <c r="O1354" t="s">
        <v>326</v>
      </c>
      <c r="P1354" t="s">
        <v>134</v>
      </c>
      <c r="Q1354">
        <v>1069</v>
      </c>
      <c r="R1354" s="296">
        <v>0</v>
      </c>
      <c r="S1354" s="296">
        <v>0.96250000000000002</v>
      </c>
      <c r="T1354" s="297">
        <v>27755</v>
      </c>
      <c r="U1354" s="340">
        <v>137432</v>
      </c>
      <c r="V1354" s="340">
        <v>365997</v>
      </c>
      <c r="W1354" s="297">
        <v>85605</v>
      </c>
      <c r="X1354" s="296">
        <v>6.6000000000000003E-2</v>
      </c>
    </row>
    <row r="1355" spans="13:24">
      <c r="M1355">
        <v>1353</v>
      </c>
      <c r="N1355">
        <v>32541</v>
      </c>
      <c r="O1355" t="s">
        <v>1451</v>
      </c>
      <c r="P1355" t="s">
        <v>127</v>
      </c>
      <c r="Q1355">
        <v>815</v>
      </c>
      <c r="R1355" s="296">
        <v>0</v>
      </c>
      <c r="S1355" s="296">
        <v>0.96250000000000002</v>
      </c>
      <c r="T1355" s="297">
        <v>8830</v>
      </c>
      <c r="U1355" s="340">
        <v>136790</v>
      </c>
      <c r="V1355" s="340">
        <v>724806</v>
      </c>
      <c r="W1355" s="297">
        <v>20203</v>
      </c>
      <c r="X1355" s="296">
        <v>2.1999999999999999E-2</v>
      </c>
    </row>
    <row r="1356" spans="13:24">
      <c r="M1356">
        <v>1354</v>
      </c>
      <c r="N1356">
        <v>84010</v>
      </c>
      <c r="O1356" t="s">
        <v>1452</v>
      </c>
      <c r="P1356" t="s">
        <v>219</v>
      </c>
      <c r="Q1356">
        <v>1243</v>
      </c>
      <c r="R1356" s="296">
        <v>0</v>
      </c>
      <c r="S1356" s="296">
        <v>0.96250000000000002</v>
      </c>
      <c r="T1356" s="297">
        <v>16671</v>
      </c>
      <c r="U1356" s="340">
        <v>136549</v>
      </c>
      <c r="V1356" s="340">
        <v>642241</v>
      </c>
      <c r="W1356" s="297">
        <v>48546</v>
      </c>
      <c r="X1356" s="296">
        <v>-1E-3</v>
      </c>
    </row>
    <row r="1357" spans="13:24">
      <c r="M1357">
        <v>1355</v>
      </c>
      <c r="N1357">
        <v>49341</v>
      </c>
      <c r="O1357" t="s">
        <v>998</v>
      </c>
      <c r="P1357" t="s">
        <v>140</v>
      </c>
      <c r="Q1357">
        <v>134</v>
      </c>
      <c r="R1357" s="296">
        <v>0</v>
      </c>
      <c r="S1357" s="296">
        <v>0.96250000000000002</v>
      </c>
      <c r="T1357" s="297">
        <v>14006</v>
      </c>
      <c r="U1357" s="340">
        <v>135787</v>
      </c>
      <c r="V1357" s="340">
        <v>414789</v>
      </c>
      <c r="W1357" s="297">
        <v>38895</v>
      </c>
      <c r="X1357" s="296">
        <v>6.0000000000000001E-3</v>
      </c>
    </row>
    <row r="1358" spans="13:24">
      <c r="M1358">
        <v>1356</v>
      </c>
      <c r="N1358">
        <v>78660</v>
      </c>
      <c r="O1358" t="s">
        <v>683</v>
      </c>
      <c r="P1358" t="s">
        <v>134</v>
      </c>
      <c r="Q1358">
        <v>975</v>
      </c>
      <c r="R1358" s="296">
        <v>0</v>
      </c>
      <c r="S1358" s="296">
        <v>0.96260000000000001</v>
      </c>
      <c r="T1358" s="297">
        <v>45913</v>
      </c>
      <c r="U1358" s="340">
        <v>135551</v>
      </c>
      <c r="V1358" s="340">
        <v>560073</v>
      </c>
      <c r="W1358" s="297">
        <v>130358</v>
      </c>
      <c r="X1358" s="296">
        <v>3.3000000000000002E-2</v>
      </c>
    </row>
    <row r="1359" spans="13:24">
      <c r="M1359">
        <v>1357</v>
      </c>
      <c r="N1359">
        <v>8859</v>
      </c>
      <c r="O1359" t="s">
        <v>1453</v>
      </c>
      <c r="P1359" t="s">
        <v>129</v>
      </c>
      <c r="Q1359">
        <v>709</v>
      </c>
      <c r="R1359" s="296">
        <v>0</v>
      </c>
      <c r="S1359" s="296">
        <v>0.96260000000000001</v>
      </c>
      <c r="T1359" s="297">
        <v>8913</v>
      </c>
      <c r="U1359" s="340">
        <v>135388</v>
      </c>
      <c r="V1359" s="340">
        <v>504699</v>
      </c>
      <c r="W1359" s="297">
        <v>23781</v>
      </c>
      <c r="X1359" s="296">
        <v>3.0000000000000001E-3</v>
      </c>
    </row>
    <row r="1360" spans="13:24">
      <c r="M1360">
        <v>1358</v>
      </c>
      <c r="N1360">
        <v>48044</v>
      </c>
      <c r="O1360" t="s">
        <v>1454</v>
      </c>
      <c r="P1360" t="s">
        <v>140</v>
      </c>
      <c r="Q1360">
        <v>252</v>
      </c>
      <c r="R1360" s="296">
        <v>0</v>
      </c>
      <c r="S1360" s="296">
        <v>0.96260000000000001</v>
      </c>
      <c r="T1360" s="297">
        <v>19964</v>
      </c>
      <c r="U1360" s="340">
        <v>135212</v>
      </c>
      <c r="V1360" s="340">
        <v>327913</v>
      </c>
      <c r="W1360" s="297">
        <v>58003</v>
      </c>
      <c r="X1360" s="296">
        <v>-1E-3</v>
      </c>
    </row>
    <row r="1361" spans="13:24">
      <c r="M1361">
        <v>1359</v>
      </c>
      <c r="N1361">
        <v>54913</v>
      </c>
      <c r="O1361" t="s">
        <v>1055</v>
      </c>
      <c r="P1361" t="s">
        <v>149</v>
      </c>
      <c r="Q1361">
        <v>155</v>
      </c>
      <c r="R1361" s="296">
        <v>0</v>
      </c>
      <c r="S1361" s="296">
        <v>0.96260000000000001</v>
      </c>
      <c r="T1361" s="297">
        <v>10343</v>
      </c>
      <c r="U1361" s="340">
        <v>134984</v>
      </c>
      <c r="V1361" s="340">
        <v>411008</v>
      </c>
      <c r="W1361" s="297">
        <v>25220</v>
      </c>
      <c r="X1361" s="296">
        <v>1.2999999999999999E-2</v>
      </c>
    </row>
    <row r="1362" spans="13:24">
      <c r="M1362">
        <v>1360</v>
      </c>
      <c r="N1362">
        <v>80021</v>
      </c>
      <c r="O1362" t="s">
        <v>321</v>
      </c>
      <c r="P1362" t="s">
        <v>142</v>
      </c>
      <c r="Q1362">
        <v>915</v>
      </c>
      <c r="R1362" s="296">
        <v>0</v>
      </c>
      <c r="S1362" s="296">
        <v>0.9627</v>
      </c>
      <c r="T1362" s="297">
        <v>17288</v>
      </c>
      <c r="U1362" s="340">
        <v>134896</v>
      </c>
      <c r="V1362" s="340">
        <v>638511</v>
      </c>
      <c r="W1362" s="297">
        <v>38099</v>
      </c>
      <c r="X1362" s="296">
        <v>1.2E-2</v>
      </c>
    </row>
    <row r="1363" spans="13:24">
      <c r="M1363">
        <v>1361</v>
      </c>
      <c r="N1363">
        <v>33304</v>
      </c>
      <c r="O1363" t="s">
        <v>506</v>
      </c>
      <c r="P1363" t="s">
        <v>127</v>
      </c>
      <c r="Q1363">
        <v>1189</v>
      </c>
      <c r="R1363" s="296">
        <v>0</v>
      </c>
      <c r="S1363" s="296">
        <v>0.9627</v>
      </c>
      <c r="T1363" s="297">
        <v>11850</v>
      </c>
      <c r="U1363" s="340">
        <v>134809</v>
      </c>
      <c r="V1363" s="340">
        <v>827890</v>
      </c>
      <c r="W1363" s="297">
        <v>20806</v>
      </c>
      <c r="X1363" s="296">
        <v>1.7000000000000001E-2</v>
      </c>
    </row>
    <row r="1364" spans="13:24">
      <c r="M1364">
        <v>1362</v>
      </c>
      <c r="N1364">
        <v>98672</v>
      </c>
      <c r="O1364" t="s">
        <v>1455</v>
      </c>
      <c r="P1364" t="s">
        <v>224</v>
      </c>
      <c r="Q1364">
        <v>1682</v>
      </c>
      <c r="R1364" s="296">
        <v>0</v>
      </c>
      <c r="S1364" s="296">
        <v>0.9627</v>
      </c>
      <c r="T1364" s="297">
        <v>2967</v>
      </c>
      <c r="U1364" s="340">
        <v>134573</v>
      </c>
      <c r="V1364" s="340">
        <v>756107</v>
      </c>
      <c r="W1364" s="297">
        <v>7733</v>
      </c>
      <c r="X1364" s="296">
        <v>7.0000000000000001E-3</v>
      </c>
    </row>
    <row r="1365" spans="13:24">
      <c r="M1365">
        <v>1363</v>
      </c>
      <c r="N1365">
        <v>62025</v>
      </c>
      <c r="O1365" t="s">
        <v>1456</v>
      </c>
      <c r="P1365" t="s">
        <v>131</v>
      </c>
      <c r="Q1365">
        <v>255</v>
      </c>
      <c r="R1365" s="296">
        <v>0</v>
      </c>
      <c r="S1365" s="296">
        <v>0.9627</v>
      </c>
      <c r="T1365" s="297">
        <v>13588</v>
      </c>
      <c r="U1365" s="340">
        <v>134283</v>
      </c>
      <c r="V1365" s="340">
        <v>379738</v>
      </c>
      <c r="W1365" s="297">
        <v>37131</v>
      </c>
      <c r="X1365" s="296">
        <v>3.0000000000000001E-3</v>
      </c>
    </row>
    <row r="1366" spans="13:24">
      <c r="M1366">
        <v>1364</v>
      </c>
      <c r="N1366">
        <v>77493</v>
      </c>
      <c r="O1366" t="s">
        <v>319</v>
      </c>
      <c r="P1366" t="s">
        <v>134</v>
      </c>
      <c r="Q1366">
        <v>959</v>
      </c>
      <c r="R1366" s="296">
        <v>0</v>
      </c>
      <c r="S1366" s="296">
        <v>0.96279999999999999</v>
      </c>
      <c r="T1366" s="297">
        <v>25162</v>
      </c>
      <c r="U1366" s="340">
        <v>133816</v>
      </c>
      <c r="V1366" s="340">
        <v>372498</v>
      </c>
      <c r="W1366" s="297">
        <v>78737</v>
      </c>
      <c r="X1366" s="296">
        <v>0.104</v>
      </c>
    </row>
    <row r="1367" spans="13:24">
      <c r="M1367">
        <v>1365</v>
      </c>
      <c r="N1367">
        <v>40205</v>
      </c>
      <c r="O1367" t="s">
        <v>830</v>
      </c>
      <c r="P1367" t="s">
        <v>143</v>
      </c>
      <c r="Q1367">
        <v>293</v>
      </c>
      <c r="R1367" s="296">
        <v>0</v>
      </c>
      <c r="S1367" s="296">
        <v>0.96279999999999999</v>
      </c>
      <c r="T1367" s="297">
        <v>10390</v>
      </c>
      <c r="U1367" s="340">
        <v>133720</v>
      </c>
      <c r="V1367" s="340">
        <v>419516</v>
      </c>
      <c r="W1367" s="297">
        <v>23340</v>
      </c>
      <c r="X1367" s="296">
        <v>-7.0000000000000001E-3</v>
      </c>
    </row>
    <row r="1368" spans="13:24">
      <c r="M1368">
        <v>1366</v>
      </c>
      <c r="N1368">
        <v>63385</v>
      </c>
      <c r="O1368" t="s">
        <v>1457</v>
      </c>
      <c r="P1368" t="s">
        <v>186</v>
      </c>
      <c r="Q1368">
        <v>282</v>
      </c>
      <c r="R1368" s="296">
        <v>0</v>
      </c>
      <c r="S1368" s="296">
        <v>0.96279999999999999</v>
      </c>
      <c r="T1368" s="297">
        <v>19743</v>
      </c>
      <c r="U1368" s="340">
        <v>133656</v>
      </c>
      <c r="V1368" s="340">
        <v>385035</v>
      </c>
      <c r="W1368" s="297">
        <v>57252</v>
      </c>
      <c r="X1368" s="296">
        <v>1.6E-2</v>
      </c>
    </row>
    <row r="1369" spans="13:24">
      <c r="M1369">
        <v>1367</v>
      </c>
      <c r="N1369">
        <v>80303</v>
      </c>
      <c r="O1369" t="s">
        <v>1111</v>
      </c>
      <c r="P1369" t="s">
        <v>142</v>
      </c>
      <c r="Q1369">
        <v>919</v>
      </c>
      <c r="R1369" s="296">
        <v>0</v>
      </c>
      <c r="S1369" s="296">
        <v>0.96279999999999999</v>
      </c>
      <c r="T1369" s="297">
        <v>11322</v>
      </c>
      <c r="U1369" s="340">
        <v>133605</v>
      </c>
      <c r="V1369" s="340">
        <v>1134097</v>
      </c>
      <c r="W1369" s="297">
        <v>27762</v>
      </c>
      <c r="X1369" s="296">
        <v>-1E-3</v>
      </c>
    </row>
    <row r="1370" spans="13:24">
      <c r="M1370">
        <v>1368</v>
      </c>
      <c r="N1370">
        <v>34639</v>
      </c>
      <c r="O1370" t="s">
        <v>672</v>
      </c>
      <c r="P1370" t="s">
        <v>127</v>
      </c>
      <c r="Q1370">
        <v>1007</v>
      </c>
      <c r="R1370" s="296">
        <v>0</v>
      </c>
      <c r="S1370" s="296">
        <v>0.96289999999999998</v>
      </c>
      <c r="T1370" s="297">
        <v>10581</v>
      </c>
      <c r="U1370" s="340">
        <v>133304</v>
      </c>
      <c r="V1370" s="340">
        <v>442168</v>
      </c>
      <c r="W1370" s="297">
        <v>28801</v>
      </c>
      <c r="X1370" s="296">
        <v>7.0000000000000001E-3</v>
      </c>
    </row>
    <row r="1371" spans="13:24">
      <c r="M1371">
        <v>1369</v>
      </c>
      <c r="N1371">
        <v>29910</v>
      </c>
      <c r="O1371" t="s">
        <v>1458</v>
      </c>
      <c r="P1371" t="s">
        <v>145</v>
      </c>
      <c r="Q1371">
        <v>783</v>
      </c>
      <c r="R1371" s="296">
        <v>0</v>
      </c>
      <c r="S1371" s="296">
        <v>0.96289999999999998</v>
      </c>
      <c r="T1371" s="297">
        <v>20128</v>
      </c>
      <c r="U1371" s="340">
        <v>133180</v>
      </c>
      <c r="V1371" s="340">
        <v>661521</v>
      </c>
      <c r="W1371" s="297">
        <v>52677</v>
      </c>
      <c r="X1371" s="296">
        <v>1.6E-2</v>
      </c>
    </row>
    <row r="1372" spans="13:24">
      <c r="M1372">
        <v>1370</v>
      </c>
      <c r="N1372">
        <v>63126</v>
      </c>
      <c r="O1372" t="s">
        <v>536</v>
      </c>
      <c r="P1372" t="s">
        <v>186</v>
      </c>
      <c r="Q1372">
        <v>284</v>
      </c>
      <c r="R1372" s="296">
        <v>0</v>
      </c>
      <c r="S1372" s="296">
        <v>0.96289999999999998</v>
      </c>
      <c r="T1372" s="297">
        <v>6540</v>
      </c>
      <c r="U1372" s="340">
        <v>133061</v>
      </c>
      <c r="V1372" s="340">
        <v>341762</v>
      </c>
      <c r="W1372" s="297">
        <v>15751</v>
      </c>
      <c r="X1372" s="296">
        <v>-3.0000000000000001E-3</v>
      </c>
    </row>
    <row r="1373" spans="13:24">
      <c r="M1373">
        <v>1371</v>
      </c>
      <c r="N1373">
        <v>38103</v>
      </c>
      <c r="O1373" t="s">
        <v>678</v>
      </c>
      <c r="P1373" t="s">
        <v>146</v>
      </c>
      <c r="Q1373">
        <v>499</v>
      </c>
      <c r="R1373" s="296">
        <v>0</v>
      </c>
      <c r="S1373" s="296">
        <v>0.96289999999999998</v>
      </c>
      <c r="T1373" s="297">
        <v>8826</v>
      </c>
      <c r="U1373" s="340">
        <v>132281</v>
      </c>
      <c r="V1373" s="340">
        <v>442068</v>
      </c>
      <c r="W1373" s="297">
        <v>15044</v>
      </c>
      <c r="X1373" s="296">
        <v>8.0000000000000002E-3</v>
      </c>
    </row>
    <row r="1374" spans="13:24">
      <c r="M1374">
        <v>1372</v>
      </c>
      <c r="N1374">
        <v>55124</v>
      </c>
      <c r="O1374" t="s">
        <v>445</v>
      </c>
      <c r="P1374" t="s">
        <v>151</v>
      </c>
      <c r="Q1374">
        <v>326</v>
      </c>
      <c r="R1374" s="296">
        <v>0</v>
      </c>
      <c r="S1374" s="296">
        <v>0.96299999999999997</v>
      </c>
      <c r="T1374" s="297">
        <v>21739</v>
      </c>
      <c r="U1374" s="340">
        <v>132151</v>
      </c>
      <c r="V1374" s="340">
        <v>425580</v>
      </c>
      <c r="W1374" s="297">
        <v>57145</v>
      </c>
      <c r="X1374" s="296">
        <v>3.0000000000000001E-3</v>
      </c>
    </row>
    <row r="1375" spans="13:24">
      <c r="M1375">
        <v>1373</v>
      </c>
      <c r="N1375">
        <v>55409</v>
      </c>
      <c r="O1375" t="s">
        <v>576</v>
      </c>
      <c r="P1375" t="s">
        <v>151</v>
      </c>
      <c r="Q1375">
        <v>335</v>
      </c>
      <c r="R1375" s="296">
        <v>0</v>
      </c>
      <c r="S1375" s="296">
        <v>0.96299999999999997</v>
      </c>
      <c r="T1375" s="297">
        <v>5221</v>
      </c>
      <c r="U1375" s="340">
        <v>131977</v>
      </c>
      <c r="V1375" s="340">
        <v>490704</v>
      </c>
      <c r="W1375" s="297">
        <v>12285</v>
      </c>
      <c r="X1375" s="296">
        <v>1E-3</v>
      </c>
    </row>
    <row r="1376" spans="13:24">
      <c r="M1376">
        <v>1374</v>
      </c>
      <c r="N1376">
        <v>67052</v>
      </c>
      <c r="O1376" t="s">
        <v>1459</v>
      </c>
      <c r="P1376" t="s">
        <v>176</v>
      </c>
      <c r="Q1376">
        <v>604</v>
      </c>
      <c r="R1376" s="296">
        <v>0</v>
      </c>
      <c r="S1376" s="296">
        <v>0.96299999999999997</v>
      </c>
      <c r="T1376" s="297">
        <v>3150</v>
      </c>
      <c r="U1376" s="340">
        <v>131900</v>
      </c>
      <c r="V1376" s="340">
        <v>345326</v>
      </c>
      <c r="W1376" s="297">
        <v>9336</v>
      </c>
      <c r="X1376" s="296">
        <v>7.0000000000000001E-3</v>
      </c>
    </row>
    <row r="1377" spans="13:24">
      <c r="M1377">
        <v>1375</v>
      </c>
      <c r="N1377">
        <v>49116</v>
      </c>
      <c r="O1377" t="s">
        <v>1297</v>
      </c>
      <c r="P1377" t="s">
        <v>140</v>
      </c>
      <c r="Q1377">
        <v>62</v>
      </c>
      <c r="R1377" s="296">
        <v>0</v>
      </c>
      <c r="S1377" s="296">
        <v>0.96299999999999997</v>
      </c>
      <c r="T1377">
        <v>176</v>
      </c>
      <c r="U1377" s="340">
        <v>131653</v>
      </c>
      <c r="V1377" s="340">
        <v>605469</v>
      </c>
      <c r="W1377">
        <v>310</v>
      </c>
      <c r="X1377" s="296">
        <v>4.3999999999999997E-2</v>
      </c>
    </row>
    <row r="1378" spans="13:24">
      <c r="M1378">
        <v>1376</v>
      </c>
      <c r="N1378">
        <v>33062</v>
      </c>
      <c r="O1378" t="s">
        <v>567</v>
      </c>
      <c r="P1378" t="s">
        <v>127</v>
      </c>
      <c r="Q1378">
        <v>1183</v>
      </c>
      <c r="R1378" s="296">
        <v>0</v>
      </c>
      <c r="S1378" s="296">
        <v>0.96309999999999996</v>
      </c>
      <c r="T1378" s="297">
        <v>14044</v>
      </c>
      <c r="U1378" s="340">
        <v>131563</v>
      </c>
      <c r="V1378" s="340">
        <v>780479</v>
      </c>
      <c r="W1378" s="297">
        <v>24641</v>
      </c>
      <c r="X1378" s="296">
        <v>6.0000000000000001E-3</v>
      </c>
    </row>
    <row r="1379" spans="13:24">
      <c r="M1379">
        <v>1377</v>
      </c>
      <c r="N1379">
        <v>52003</v>
      </c>
      <c r="O1379" t="s">
        <v>1058</v>
      </c>
      <c r="P1379" t="s">
        <v>170</v>
      </c>
      <c r="Q1379">
        <v>149</v>
      </c>
      <c r="R1379" s="296">
        <v>0</v>
      </c>
      <c r="S1379" s="296">
        <v>0.96309999999999996</v>
      </c>
      <c r="T1379" s="297">
        <v>5837</v>
      </c>
      <c r="U1379" s="340">
        <v>131358</v>
      </c>
      <c r="V1379" s="340">
        <v>332693</v>
      </c>
      <c r="W1379" s="297">
        <v>14350</v>
      </c>
      <c r="X1379" s="296">
        <v>2E-3</v>
      </c>
    </row>
    <row r="1380" spans="13:24">
      <c r="M1380">
        <v>1378</v>
      </c>
      <c r="N1380">
        <v>70130</v>
      </c>
      <c r="O1380" t="s">
        <v>574</v>
      </c>
      <c r="P1380" t="s">
        <v>147</v>
      </c>
      <c r="Q1380">
        <v>853</v>
      </c>
      <c r="R1380" s="296">
        <v>0</v>
      </c>
      <c r="S1380" s="296">
        <v>0.96309999999999996</v>
      </c>
      <c r="T1380" s="297">
        <v>8553</v>
      </c>
      <c r="U1380" s="340">
        <v>131234</v>
      </c>
      <c r="V1380" s="340">
        <v>700941</v>
      </c>
      <c r="W1380" s="297">
        <v>14185</v>
      </c>
      <c r="X1380" s="296">
        <v>1E-3</v>
      </c>
    </row>
    <row r="1381" spans="13:24">
      <c r="M1381">
        <v>1379</v>
      </c>
      <c r="N1381">
        <v>61016</v>
      </c>
      <c r="O1381" t="s">
        <v>1460</v>
      </c>
      <c r="P1381" t="s">
        <v>131</v>
      </c>
      <c r="Q1381">
        <v>60</v>
      </c>
      <c r="R1381" s="296">
        <v>0</v>
      </c>
      <c r="S1381" s="296">
        <v>0.96309999999999996</v>
      </c>
      <c r="T1381" s="297">
        <v>2018</v>
      </c>
      <c r="U1381" s="340">
        <v>131195</v>
      </c>
      <c r="V1381" s="340">
        <v>240538</v>
      </c>
      <c r="W1381" s="297">
        <v>4633</v>
      </c>
      <c r="X1381" s="296">
        <v>-3.0000000000000001E-3</v>
      </c>
    </row>
    <row r="1382" spans="13:24">
      <c r="M1382">
        <v>1380</v>
      </c>
      <c r="N1382">
        <v>29072</v>
      </c>
      <c r="O1382" t="s">
        <v>405</v>
      </c>
      <c r="P1382" t="s">
        <v>145</v>
      </c>
      <c r="Q1382">
        <v>664</v>
      </c>
      <c r="R1382" s="296">
        <v>0</v>
      </c>
      <c r="S1382" s="296">
        <v>0.96319999999999995</v>
      </c>
      <c r="T1382" s="297">
        <v>25981</v>
      </c>
      <c r="U1382" s="340">
        <v>131091</v>
      </c>
      <c r="V1382" s="340">
        <v>372492</v>
      </c>
      <c r="W1382" s="297">
        <v>69262</v>
      </c>
      <c r="X1382" s="296">
        <v>1.4E-2</v>
      </c>
    </row>
    <row r="1383" spans="13:24">
      <c r="M1383">
        <v>1381</v>
      </c>
      <c r="N1383">
        <v>46123</v>
      </c>
      <c r="O1383" t="s">
        <v>563</v>
      </c>
      <c r="P1383" t="s">
        <v>144</v>
      </c>
      <c r="Q1383">
        <v>180</v>
      </c>
      <c r="R1383" s="296">
        <v>0</v>
      </c>
      <c r="S1383" s="296">
        <v>0.96319999999999995</v>
      </c>
      <c r="T1383" s="297">
        <v>16005</v>
      </c>
      <c r="U1383" s="340">
        <v>131083</v>
      </c>
      <c r="V1383" s="340">
        <v>315623</v>
      </c>
      <c r="W1383" s="297">
        <v>43199</v>
      </c>
      <c r="X1383" s="296">
        <v>1.4999999999999999E-2</v>
      </c>
    </row>
    <row r="1384" spans="13:24">
      <c r="M1384">
        <v>1382</v>
      </c>
      <c r="N1384">
        <v>3874</v>
      </c>
      <c r="O1384" t="s">
        <v>510</v>
      </c>
      <c r="P1384" t="s">
        <v>197</v>
      </c>
      <c r="Q1384">
        <v>862</v>
      </c>
      <c r="R1384" s="296">
        <v>0</v>
      </c>
      <c r="S1384" s="296">
        <v>0.96319999999999995</v>
      </c>
      <c r="T1384" s="297">
        <v>4060</v>
      </c>
      <c r="U1384" s="340">
        <v>130546</v>
      </c>
      <c r="V1384" s="340">
        <v>589014</v>
      </c>
      <c r="W1384" s="297">
        <v>9282</v>
      </c>
      <c r="X1384" s="296">
        <v>1.9E-2</v>
      </c>
    </row>
    <row r="1385" spans="13:24">
      <c r="M1385">
        <v>1383</v>
      </c>
      <c r="N1385">
        <v>94305</v>
      </c>
      <c r="O1385" t="s">
        <v>1461</v>
      </c>
      <c r="P1385" t="s">
        <v>132</v>
      </c>
      <c r="Q1385">
        <v>1841</v>
      </c>
      <c r="R1385" s="296">
        <v>0</v>
      </c>
      <c r="S1385" s="296">
        <v>0.96319999999999995</v>
      </c>
      <c r="T1385" s="297">
        <v>4366</v>
      </c>
      <c r="U1385" s="340">
        <v>130195</v>
      </c>
      <c r="V1385" s="340">
        <v>2031502</v>
      </c>
      <c r="W1385" s="297">
        <v>20782</v>
      </c>
      <c r="X1385" s="296">
        <v>-4.0000000000000001E-3</v>
      </c>
    </row>
    <row r="1386" spans="13:24">
      <c r="M1386">
        <v>1384</v>
      </c>
      <c r="N1386">
        <v>98375</v>
      </c>
      <c r="O1386" t="s">
        <v>1462</v>
      </c>
      <c r="P1386" t="s">
        <v>224</v>
      </c>
      <c r="Q1386">
        <v>1718</v>
      </c>
      <c r="R1386" s="296">
        <v>0</v>
      </c>
      <c r="S1386" s="296">
        <v>0.96330000000000005</v>
      </c>
      <c r="T1386" s="297">
        <v>10963</v>
      </c>
      <c r="U1386" s="340">
        <v>129733</v>
      </c>
      <c r="V1386" s="340">
        <v>564606</v>
      </c>
      <c r="W1386" s="297">
        <v>34382</v>
      </c>
      <c r="X1386" s="296">
        <v>8.0000000000000002E-3</v>
      </c>
    </row>
    <row r="1387" spans="13:24">
      <c r="M1387">
        <v>1385</v>
      </c>
      <c r="N1387">
        <v>34275</v>
      </c>
      <c r="O1387" t="s">
        <v>1463</v>
      </c>
      <c r="P1387" t="s">
        <v>127</v>
      </c>
      <c r="Q1387">
        <v>1080</v>
      </c>
      <c r="R1387" s="296">
        <v>0</v>
      </c>
      <c r="S1387" s="296">
        <v>0.96330000000000005</v>
      </c>
      <c r="T1387" s="297">
        <v>12170</v>
      </c>
      <c r="U1387" s="340">
        <v>129474</v>
      </c>
      <c r="V1387" s="340">
        <v>590727</v>
      </c>
      <c r="W1387" s="297">
        <v>24408</v>
      </c>
      <c r="X1387" s="296">
        <v>4.2000000000000003E-2</v>
      </c>
    </row>
    <row r="1388" spans="13:24">
      <c r="M1388">
        <v>1386</v>
      </c>
      <c r="N1388">
        <v>54313</v>
      </c>
      <c r="O1388" t="s">
        <v>1046</v>
      </c>
      <c r="P1388" t="s">
        <v>149</v>
      </c>
      <c r="Q1388">
        <v>169</v>
      </c>
      <c r="R1388" s="296">
        <v>0</v>
      </c>
      <c r="S1388" s="296">
        <v>0.96330000000000005</v>
      </c>
      <c r="T1388" s="297">
        <v>15803</v>
      </c>
      <c r="U1388" s="340">
        <v>129429</v>
      </c>
      <c r="V1388" s="340">
        <v>376652</v>
      </c>
      <c r="W1388" s="297">
        <v>40537</v>
      </c>
      <c r="X1388" s="296">
        <v>5.0000000000000001E-3</v>
      </c>
    </row>
    <row r="1389" spans="13:24">
      <c r="M1389">
        <v>1387</v>
      </c>
      <c r="N1389">
        <v>21208</v>
      </c>
      <c r="O1389" t="s">
        <v>1464</v>
      </c>
      <c r="P1389" t="s">
        <v>137</v>
      </c>
      <c r="Q1389">
        <v>609</v>
      </c>
      <c r="R1389" s="296">
        <v>0</v>
      </c>
      <c r="S1389" s="296">
        <v>0.96330000000000005</v>
      </c>
      <c r="T1389" s="297">
        <v>14607</v>
      </c>
      <c r="U1389" s="340">
        <v>128768</v>
      </c>
      <c r="V1389" s="340">
        <v>467623</v>
      </c>
      <c r="W1389" s="297">
        <v>34816</v>
      </c>
      <c r="X1389" s="296">
        <v>-3.0000000000000001E-3</v>
      </c>
    </row>
    <row r="1390" spans="13:24">
      <c r="M1390">
        <v>1388</v>
      </c>
      <c r="N1390">
        <v>6492</v>
      </c>
      <c r="O1390" t="s">
        <v>461</v>
      </c>
      <c r="P1390" t="s">
        <v>141</v>
      </c>
      <c r="Q1390">
        <v>772</v>
      </c>
      <c r="R1390" s="296">
        <v>0</v>
      </c>
      <c r="S1390" s="296">
        <v>0.96340000000000003</v>
      </c>
      <c r="T1390" s="297">
        <v>18095</v>
      </c>
      <c r="U1390" s="340">
        <v>128485</v>
      </c>
      <c r="V1390" s="340">
        <v>397848</v>
      </c>
      <c r="W1390" s="297">
        <v>44242</v>
      </c>
      <c r="X1390" s="296">
        <v>0</v>
      </c>
    </row>
    <row r="1391" spans="13:24">
      <c r="M1391">
        <v>1389</v>
      </c>
      <c r="N1391">
        <v>95403</v>
      </c>
      <c r="O1391" t="s">
        <v>1465</v>
      </c>
      <c r="P1391" t="s">
        <v>132</v>
      </c>
      <c r="Q1391">
        <v>1846</v>
      </c>
      <c r="R1391" s="296">
        <v>0</v>
      </c>
      <c r="S1391" s="296">
        <v>0.96340000000000003</v>
      </c>
      <c r="T1391" s="297">
        <v>16448</v>
      </c>
      <c r="U1391" s="340">
        <v>128435</v>
      </c>
      <c r="V1391" s="340">
        <v>768269</v>
      </c>
      <c r="W1391" s="297">
        <v>45092</v>
      </c>
      <c r="X1391" s="296">
        <v>3.0000000000000001E-3</v>
      </c>
    </row>
    <row r="1392" spans="13:24">
      <c r="M1392">
        <v>1390</v>
      </c>
      <c r="N1392">
        <v>91304</v>
      </c>
      <c r="O1392" t="s">
        <v>1466</v>
      </c>
      <c r="P1392" t="s">
        <v>132</v>
      </c>
      <c r="Q1392">
        <v>1750</v>
      </c>
      <c r="R1392" s="296">
        <v>0</v>
      </c>
      <c r="S1392" s="296">
        <v>0.96340000000000003</v>
      </c>
      <c r="T1392" s="297">
        <v>16816</v>
      </c>
      <c r="U1392" s="340">
        <v>128374</v>
      </c>
      <c r="V1392" s="340">
        <v>864802</v>
      </c>
      <c r="W1392" s="297">
        <v>49292</v>
      </c>
      <c r="X1392" s="296">
        <v>-7.0000000000000001E-3</v>
      </c>
    </row>
    <row r="1393" spans="13:24">
      <c r="M1393">
        <v>1391</v>
      </c>
      <c r="N1393">
        <v>80525</v>
      </c>
      <c r="O1393" t="s">
        <v>1134</v>
      </c>
      <c r="P1393" t="s">
        <v>142</v>
      </c>
      <c r="Q1393">
        <v>901</v>
      </c>
      <c r="R1393" s="296">
        <v>0</v>
      </c>
      <c r="S1393" s="296">
        <v>0.96340000000000003</v>
      </c>
      <c r="T1393" s="297">
        <v>24712</v>
      </c>
      <c r="U1393" s="340">
        <v>128231</v>
      </c>
      <c r="V1393" s="340">
        <v>644625</v>
      </c>
      <c r="W1393" s="297">
        <v>57736</v>
      </c>
      <c r="X1393" s="296">
        <v>1E-3</v>
      </c>
    </row>
    <row r="1394" spans="13:24">
      <c r="M1394">
        <v>1392</v>
      </c>
      <c r="N1394">
        <v>55122</v>
      </c>
      <c r="O1394" t="s">
        <v>445</v>
      </c>
      <c r="P1394" t="s">
        <v>151</v>
      </c>
      <c r="Q1394">
        <v>327</v>
      </c>
      <c r="R1394" s="296">
        <v>0</v>
      </c>
      <c r="S1394" s="296">
        <v>0.96350000000000002</v>
      </c>
      <c r="T1394" s="297">
        <v>13458</v>
      </c>
      <c r="U1394" s="340">
        <v>128142</v>
      </c>
      <c r="V1394" s="340">
        <v>450396</v>
      </c>
      <c r="W1394" s="297">
        <v>32026</v>
      </c>
      <c r="X1394" s="296">
        <v>-1E-3</v>
      </c>
    </row>
    <row r="1395" spans="13:24">
      <c r="M1395">
        <v>1393</v>
      </c>
      <c r="N1395">
        <v>11102</v>
      </c>
      <c r="O1395" t="s">
        <v>1467</v>
      </c>
      <c r="P1395" t="s">
        <v>128</v>
      </c>
      <c r="Q1395">
        <v>723</v>
      </c>
      <c r="R1395" s="296">
        <v>0</v>
      </c>
      <c r="S1395" s="296">
        <v>0.96350000000000002</v>
      </c>
      <c r="T1395" s="297">
        <v>16144</v>
      </c>
      <c r="U1395" s="340">
        <v>127831</v>
      </c>
      <c r="V1395" s="340">
        <v>963430</v>
      </c>
      <c r="W1395" s="297">
        <v>36409</v>
      </c>
      <c r="X1395" s="296">
        <v>-2E-3</v>
      </c>
    </row>
    <row r="1396" spans="13:24">
      <c r="M1396">
        <v>1394</v>
      </c>
      <c r="N1396">
        <v>11218</v>
      </c>
      <c r="O1396" t="s">
        <v>472</v>
      </c>
      <c r="P1396" t="s">
        <v>128</v>
      </c>
      <c r="Q1396">
        <v>723</v>
      </c>
      <c r="R1396" s="296">
        <v>0</v>
      </c>
      <c r="S1396" s="296">
        <v>0.96350000000000002</v>
      </c>
      <c r="T1396" s="297">
        <v>25133</v>
      </c>
      <c r="U1396" s="340">
        <v>127789</v>
      </c>
      <c r="V1396" s="340">
        <v>1119008</v>
      </c>
      <c r="W1396" s="297">
        <v>73476</v>
      </c>
      <c r="X1396" s="296">
        <v>-8.9999999999999993E-3</v>
      </c>
    </row>
    <row r="1397" spans="13:24">
      <c r="M1397">
        <v>1395</v>
      </c>
      <c r="N1397">
        <v>34120</v>
      </c>
      <c r="O1397" t="s">
        <v>322</v>
      </c>
      <c r="P1397" t="s">
        <v>127</v>
      </c>
      <c r="Q1397">
        <v>1148</v>
      </c>
      <c r="R1397" s="296">
        <v>0</v>
      </c>
      <c r="S1397" s="296">
        <v>0.96350000000000002</v>
      </c>
      <c r="T1397" s="297">
        <v>17276</v>
      </c>
      <c r="U1397" s="340">
        <v>127705</v>
      </c>
      <c r="V1397" s="340">
        <v>638801</v>
      </c>
      <c r="W1397" s="297">
        <v>48664</v>
      </c>
      <c r="X1397" s="296">
        <v>4.7E-2</v>
      </c>
    </row>
    <row r="1398" spans="13:24">
      <c r="M1398">
        <v>1396</v>
      </c>
      <c r="N1398">
        <v>63128</v>
      </c>
      <c r="O1398" t="s">
        <v>536</v>
      </c>
      <c r="P1398" t="s">
        <v>186</v>
      </c>
      <c r="Q1398">
        <v>287</v>
      </c>
      <c r="R1398" s="296">
        <v>0</v>
      </c>
      <c r="S1398" s="296">
        <v>0.96360000000000001</v>
      </c>
      <c r="T1398" s="297">
        <v>12626</v>
      </c>
      <c r="U1398" s="340">
        <v>127658</v>
      </c>
      <c r="V1398" s="340">
        <v>400333</v>
      </c>
      <c r="W1398" s="297">
        <v>29449</v>
      </c>
      <c r="X1398" s="296">
        <v>-3.0000000000000001E-3</v>
      </c>
    </row>
    <row r="1399" spans="13:24">
      <c r="M1399">
        <v>1397</v>
      </c>
      <c r="N1399">
        <v>27713</v>
      </c>
      <c r="O1399" t="s">
        <v>505</v>
      </c>
      <c r="P1399" t="s">
        <v>138</v>
      </c>
      <c r="Q1399">
        <v>641</v>
      </c>
      <c r="R1399" s="296">
        <v>0</v>
      </c>
      <c r="S1399" s="296">
        <v>0.96360000000000001</v>
      </c>
      <c r="T1399" s="297">
        <v>26181</v>
      </c>
      <c r="U1399" s="340">
        <v>127583</v>
      </c>
      <c r="V1399" s="340">
        <v>434583</v>
      </c>
      <c r="W1399" s="297">
        <v>58687</v>
      </c>
      <c r="X1399" s="296">
        <v>1.2E-2</v>
      </c>
    </row>
    <row r="1400" spans="13:24">
      <c r="M1400">
        <v>1398</v>
      </c>
      <c r="N1400">
        <v>66049</v>
      </c>
      <c r="O1400" t="s">
        <v>401</v>
      </c>
      <c r="P1400" t="s">
        <v>176</v>
      </c>
      <c r="Q1400">
        <v>450</v>
      </c>
      <c r="R1400" s="296">
        <v>0</v>
      </c>
      <c r="S1400" s="296">
        <v>0.96360000000000001</v>
      </c>
      <c r="T1400" s="297">
        <v>14675</v>
      </c>
      <c r="U1400" s="340">
        <v>127451</v>
      </c>
      <c r="V1400" s="340">
        <v>395460</v>
      </c>
      <c r="W1400" s="297">
        <v>32638</v>
      </c>
      <c r="X1400" s="296">
        <v>3.0000000000000001E-3</v>
      </c>
    </row>
    <row r="1401" spans="13:24">
      <c r="M1401">
        <v>1399</v>
      </c>
      <c r="N1401">
        <v>32708</v>
      </c>
      <c r="O1401" t="s">
        <v>1468</v>
      </c>
      <c r="P1401" t="s">
        <v>127</v>
      </c>
      <c r="Q1401">
        <v>999</v>
      </c>
      <c r="R1401" s="296">
        <v>0</v>
      </c>
      <c r="S1401" s="296">
        <v>0.96360000000000001</v>
      </c>
      <c r="T1401" s="297">
        <v>18907</v>
      </c>
      <c r="U1401" s="340">
        <v>127448</v>
      </c>
      <c r="V1401" s="340">
        <v>478629</v>
      </c>
      <c r="W1401" s="297">
        <v>47527</v>
      </c>
      <c r="X1401" s="296">
        <v>3.0000000000000001E-3</v>
      </c>
    </row>
    <row r="1402" spans="13:24">
      <c r="M1402">
        <v>1400</v>
      </c>
      <c r="N1402">
        <v>49426</v>
      </c>
      <c r="O1402" t="s">
        <v>1469</v>
      </c>
      <c r="P1402" t="s">
        <v>140</v>
      </c>
      <c r="Q1402">
        <v>109</v>
      </c>
      <c r="R1402" s="296">
        <v>0</v>
      </c>
      <c r="S1402" s="296">
        <v>0.9637</v>
      </c>
      <c r="T1402" s="297">
        <v>14562</v>
      </c>
      <c r="U1402" s="340">
        <v>127382</v>
      </c>
      <c r="V1402" s="340">
        <v>379419</v>
      </c>
      <c r="W1402" s="297">
        <v>42780</v>
      </c>
      <c r="X1402" s="296">
        <v>1.0999999999999999E-2</v>
      </c>
    </row>
    <row r="1403" spans="13:24">
      <c r="M1403">
        <v>1401</v>
      </c>
      <c r="N1403">
        <v>77365</v>
      </c>
      <c r="O1403" t="s">
        <v>1470</v>
      </c>
      <c r="P1403" t="s">
        <v>134</v>
      </c>
      <c r="Q1403">
        <v>929</v>
      </c>
      <c r="R1403" s="296">
        <v>0</v>
      </c>
      <c r="S1403" s="296">
        <v>0.9637</v>
      </c>
      <c r="T1403" s="297">
        <v>16696</v>
      </c>
      <c r="U1403" s="340">
        <v>127361</v>
      </c>
      <c r="V1403" s="340">
        <v>335644</v>
      </c>
      <c r="W1403" s="297">
        <v>50271</v>
      </c>
      <c r="X1403" s="296">
        <v>3.7999999999999999E-2</v>
      </c>
    </row>
    <row r="1404" spans="13:24">
      <c r="M1404">
        <v>1402</v>
      </c>
      <c r="N1404">
        <v>11414</v>
      </c>
      <c r="O1404" t="s">
        <v>1471</v>
      </c>
      <c r="P1404" t="s">
        <v>128</v>
      </c>
      <c r="Q1404">
        <v>729</v>
      </c>
      <c r="R1404" s="296">
        <v>0</v>
      </c>
      <c r="S1404" s="296">
        <v>0.9637</v>
      </c>
      <c r="T1404" s="297">
        <v>10590</v>
      </c>
      <c r="U1404" s="340">
        <v>127200</v>
      </c>
      <c r="V1404" s="340">
        <v>695919</v>
      </c>
      <c r="W1404" s="297">
        <v>26557</v>
      </c>
      <c r="X1404" s="296">
        <v>-7.0000000000000001E-3</v>
      </c>
    </row>
    <row r="1405" spans="13:24">
      <c r="M1405">
        <v>1403</v>
      </c>
      <c r="N1405">
        <v>96753</v>
      </c>
      <c r="O1405" t="s">
        <v>1472</v>
      </c>
      <c r="P1405" t="s">
        <v>168</v>
      </c>
      <c r="Q1405">
        <v>4189</v>
      </c>
      <c r="R1405" s="296">
        <v>0</v>
      </c>
      <c r="S1405" s="296">
        <v>0.9637</v>
      </c>
      <c r="T1405" s="297">
        <v>11970</v>
      </c>
      <c r="U1405" s="340">
        <v>127069</v>
      </c>
      <c r="V1405" s="340">
        <v>1099852</v>
      </c>
      <c r="W1405" s="297">
        <v>30453</v>
      </c>
      <c r="X1405" s="296">
        <v>1.9E-2</v>
      </c>
    </row>
    <row r="1406" spans="13:24">
      <c r="M1406">
        <v>1404</v>
      </c>
      <c r="N1406">
        <v>21224</v>
      </c>
      <c r="O1406" t="s">
        <v>643</v>
      </c>
      <c r="P1406" t="s">
        <v>137</v>
      </c>
      <c r="Q1406">
        <v>620</v>
      </c>
      <c r="R1406" s="296">
        <v>0</v>
      </c>
      <c r="S1406" s="296">
        <v>0.96379999999999999</v>
      </c>
      <c r="T1406" s="297">
        <v>22387</v>
      </c>
      <c r="U1406" s="340">
        <v>125625</v>
      </c>
      <c r="V1406" s="340">
        <v>326925</v>
      </c>
      <c r="W1406" s="297">
        <v>54392</v>
      </c>
      <c r="X1406" s="296">
        <v>-1E-3</v>
      </c>
    </row>
    <row r="1407" spans="13:24">
      <c r="M1407">
        <v>1405</v>
      </c>
      <c r="N1407">
        <v>60111</v>
      </c>
      <c r="O1407" t="s">
        <v>1473</v>
      </c>
      <c r="P1407" t="s">
        <v>131</v>
      </c>
      <c r="Q1407">
        <v>55</v>
      </c>
      <c r="R1407" s="296">
        <v>0</v>
      </c>
      <c r="S1407" s="296">
        <v>0.96379999999999999</v>
      </c>
      <c r="T1407">
        <v>94</v>
      </c>
      <c r="U1407" s="340">
        <v>125350</v>
      </c>
      <c r="V1407" s="340">
        <v>324306</v>
      </c>
      <c r="W1407">
        <v>243</v>
      </c>
      <c r="X1407" s="296">
        <v>8.0000000000000002E-3</v>
      </c>
    </row>
    <row r="1408" spans="13:24">
      <c r="M1408">
        <v>1406</v>
      </c>
      <c r="N1408">
        <v>30346</v>
      </c>
      <c r="O1408" t="s">
        <v>507</v>
      </c>
      <c r="P1408" t="s">
        <v>130</v>
      </c>
      <c r="Q1408">
        <v>598</v>
      </c>
      <c r="R1408" s="296">
        <v>0</v>
      </c>
      <c r="S1408" s="296">
        <v>0.96379999999999999</v>
      </c>
      <c r="T1408" s="297">
        <v>3372</v>
      </c>
      <c r="U1408" s="340">
        <v>125144</v>
      </c>
      <c r="V1408" s="340">
        <v>446257</v>
      </c>
      <c r="W1408" s="297">
        <v>5608</v>
      </c>
      <c r="X1408" s="296">
        <v>-2E-3</v>
      </c>
    </row>
    <row r="1409" spans="13:24">
      <c r="M1409">
        <v>1407</v>
      </c>
      <c r="N1409">
        <v>28411</v>
      </c>
      <c r="O1409" t="s">
        <v>311</v>
      </c>
      <c r="P1409" t="s">
        <v>138</v>
      </c>
      <c r="Q1409">
        <v>765</v>
      </c>
      <c r="R1409" s="296">
        <v>0</v>
      </c>
      <c r="S1409" s="296">
        <v>0.96379999999999999</v>
      </c>
      <c r="T1409" s="297">
        <v>16314</v>
      </c>
      <c r="U1409" s="340">
        <v>124987</v>
      </c>
      <c r="V1409" s="340">
        <v>468026</v>
      </c>
      <c r="W1409" s="297">
        <v>39851</v>
      </c>
      <c r="X1409" s="296">
        <v>1.2999999999999999E-2</v>
      </c>
    </row>
    <row r="1410" spans="13:24">
      <c r="M1410">
        <v>1408</v>
      </c>
      <c r="N1410">
        <v>46034</v>
      </c>
      <c r="O1410" t="s">
        <v>884</v>
      </c>
      <c r="P1410" t="s">
        <v>144</v>
      </c>
      <c r="Q1410">
        <v>167</v>
      </c>
      <c r="R1410" s="296">
        <v>0</v>
      </c>
      <c r="S1410" s="296">
        <v>0.96389999999999998</v>
      </c>
      <c r="T1410" s="297">
        <v>3252</v>
      </c>
      <c r="U1410" s="340">
        <v>124905</v>
      </c>
      <c r="V1410" s="340">
        <v>475146</v>
      </c>
      <c r="W1410" s="297">
        <v>8138</v>
      </c>
      <c r="X1410" s="296">
        <v>2.4E-2</v>
      </c>
    </row>
    <row r="1411" spans="13:24">
      <c r="M1411">
        <v>1409</v>
      </c>
      <c r="N1411">
        <v>34771</v>
      </c>
      <c r="O1411" t="s">
        <v>1474</v>
      </c>
      <c r="P1411" t="s">
        <v>127</v>
      </c>
      <c r="Q1411">
        <v>1027</v>
      </c>
      <c r="R1411" s="296">
        <v>0</v>
      </c>
      <c r="S1411" s="296">
        <v>0.96389999999999998</v>
      </c>
      <c r="T1411" s="297">
        <v>13453</v>
      </c>
      <c r="U1411" s="340">
        <v>124811</v>
      </c>
      <c r="V1411" s="340">
        <v>449381</v>
      </c>
      <c r="W1411" s="297">
        <v>41055</v>
      </c>
      <c r="X1411" s="296">
        <v>0.108</v>
      </c>
    </row>
    <row r="1412" spans="13:24">
      <c r="M1412">
        <v>1410</v>
      </c>
      <c r="N1412">
        <v>37206</v>
      </c>
      <c r="O1412" t="s">
        <v>500</v>
      </c>
      <c r="P1412" t="s">
        <v>146</v>
      </c>
      <c r="Q1412">
        <v>416</v>
      </c>
      <c r="R1412" s="296">
        <v>0</v>
      </c>
      <c r="S1412" s="296">
        <v>0.96389999999999998</v>
      </c>
      <c r="T1412" s="297">
        <v>12947</v>
      </c>
      <c r="U1412" s="340">
        <v>124659</v>
      </c>
      <c r="V1412" s="340">
        <v>607315</v>
      </c>
      <c r="W1412" s="297">
        <v>28751</v>
      </c>
      <c r="X1412" s="296">
        <v>8.0000000000000002E-3</v>
      </c>
    </row>
    <row r="1413" spans="13:24">
      <c r="M1413">
        <v>1411</v>
      </c>
      <c r="N1413">
        <v>76131</v>
      </c>
      <c r="O1413" t="s">
        <v>688</v>
      </c>
      <c r="P1413" t="s">
        <v>134</v>
      </c>
      <c r="Q1413">
        <v>827</v>
      </c>
      <c r="R1413" s="296">
        <v>0</v>
      </c>
      <c r="S1413" s="296">
        <v>0.96389999999999998</v>
      </c>
      <c r="T1413" s="297">
        <v>18269</v>
      </c>
      <c r="U1413" s="340">
        <v>124295</v>
      </c>
      <c r="V1413" s="340">
        <v>353273</v>
      </c>
      <c r="W1413" s="297">
        <v>57717</v>
      </c>
      <c r="X1413" s="296">
        <v>4.7E-2</v>
      </c>
    </row>
    <row r="1414" spans="13:24">
      <c r="M1414">
        <v>1412</v>
      </c>
      <c r="N1414">
        <v>17015</v>
      </c>
      <c r="O1414" t="s">
        <v>435</v>
      </c>
      <c r="P1414" t="s">
        <v>133</v>
      </c>
      <c r="Q1414">
        <v>565</v>
      </c>
      <c r="R1414" s="296">
        <v>0</v>
      </c>
      <c r="S1414" s="296">
        <v>0.96399999999999997</v>
      </c>
      <c r="T1414" s="297">
        <v>9627</v>
      </c>
      <c r="U1414" s="340">
        <v>124146</v>
      </c>
      <c r="V1414" s="340">
        <v>409819</v>
      </c>
      <c r="W1414" s="297">
        <v>23491</v>
      </c>
      <c r="X1414" s="296">
        <v>7.0000000000000001E-3</v>
      </c>
    </row>
    <row r="1415" spans="13:24">
      <c r="M1415">
        <v>1413</v>
      </c>
      <c r="N1415">
        <v>63129</v>
      </c>
      <c r="O1415" t="s">
        <v>536</v>
      </c>
      <c r="P1415" t="s">
        <v>186</v>
      </c>
      <c r="Q1415">
        <v>288</v>
      </c>
      <c r="R1415" s="296">
        <v>0</v>
      </c>
      <c r="S1415" s="296">
        <v>0.96399999999999997</v>
      </c>
      <c r="T1415" s="297">
        <v>21843</v>
      </c>
      <c r="U1415" s="340">
        <v>124033</v>
      </c>
      <c r="V1415" s="340">
        <v>340005</v>
      </c>
      <c r="W1415" s="297">
        <v>52431</v>
      </c>
      <c r="X1415" s="296">
        <v>-5.0000000000000001E-3</v>
      </c>
    </row>
    <row r="1416" spans="13:24">
      <c r="M1416">
        <v>1414</v>
      </c>
      <c r="N1416">
        <v>98270</v>
      </c>
      <c r="O1416" t="s">
        <v>1475</v>
      </c>
      <c r="P1416" t="s">
        <v>224</v>
      </c>
      <c r="Q1416">
        <v>1709</v>
      </c>
      <c r="R1416" s="296">
        <v>0</v>
      </c>
      <c r="S1416" s="296">
        <v>0.96399999999999997</v>
      </c>
      <c r="T1416" s="297">
        <v>19012</v>
      </c>
      <c r="U1416" s="340">
        <v>123758</v>
      </c>
      <c r="V1416" s="340">
        <v>685656</v>
      </c>
      <c r="W1416" s="297">
        <v>54968</v>
      </c>
      <c r="X1416" s="296">
        <v>1.2999999999999999E-2</v>
      </c>
    </row>
    <row r="1417" spans="13:24">
      <c r="M1417">
        <v>1415</v>
      </c>
      <c r="N1417">
        <v>59715</v>
      </c>
      <c r="O1417" t="s">
        <v>1476</v>
      </c>
      <c r="P1417" t="s">
        <v>190</v>
      </c>
      <c r="Q1417">
        <v>1178</v>
      </c>
      <c r="R1417" s="296">
        <v>0</v>
      </c>
      <c r="S1417" s="296">
        <v>0.96399999999999997</v>
      </c>
      <c r="T1417" s="297">
        <v>16316</v>
      </c>
      <c r="U1417" s="340">
        <v>123646</v>
      </c>
      <c r="V1417" s="340">
        <v>883334</v>
      </c>
      <c r="W1417" s="297">
        <v>39908</v>
      </c>
      <c r="X1417" s="296">
        <v>2.1000000000000001E-2</v>
      </c>
    </row>
    <row r="1418" spans="13:24">
      <c r="M1418">
        <v>1416</v>
      </c>
      <c r="N1418">
        <v>37405</v>
      </c>
      <c r="O1418" t="s">
        <v>728</v>
      </c>
      <c r="P1418" t="s">
        <v>146</v>
      </c>
      <c r="Q1418">
        <v>502</v>
      </c>
      <c r="R1418" s="296">
        <v>0</v>
      </c>
      <c r="S1418" s="296">
        <v>0.96409999999999996</v>
      </c>
      <c r="T1418" s="297">
        <v>9079</v>
      </c>
      <c r="U1418" s="340">
        <v>122814</v>
      </c>
      <c r="V1418" s="340">
        <v>521845</v>
      </c>
      <c r="W1418" s="297">
        <v>18908</v>
      </c>
      <c r="X1418" s="296">
        <v>8.9999999999999993E-3</v>
      </c>
    </row>
    <row r="1419" spans="13:24">
      <c r="M1419">
        <v>1417</v>
      </c>
      <c r="N1419">
        <v>85308</v>
      </c>
      <c r="O1419" t="s">
        <v>1477</v>
      </c>
      <c r="P1419" t="s">
        <v>158</v>
      </c>
      <c r="Q1419">
        <v>1447</v>
      </c>
      <c r="R1419" s="296">
        <v>0</v>
      </c>
      <c r="S1419" s="296">
        <v>0.96409999999999996</v>
      </c>
      <c r="T1419" s="297">
        <v>26137</v>
      </c>
      <c r="U1419" s="340">
        <v>122213</v>
      </c>
      <c r="V1419" s="340">
        <v>532118</v>
      </c>
      <c r="W1419" s="297">
        <v>67115</v>
      </c>
      <c r="X1419" s="296">
        <v>2E-3</v>
      </c>
    </row>
    <row r="1420" spans="13:24">
      <c r="M1420">
        <v>1418</v>
      </c>
      <c r="N1420">
        <v>61373</v>
      </c>
      <c r="O1420" t="s">
        <v>1049</v>
      </c>
      <c r="P1420" t="s">
        <v>131</v>
      </c>
      <c r="Q1420">
        <v>83</v>
      </c>
      <c r="R1420" s="296">
        <v>0</v>
      </c>
      <c r="S1420" s="296">
        <v>0.96409999999999996</v>
      </c>
      <c r="T1420">
        <v>764</v>
      </c>
      <c r="U1420" s="340">
        <v>122145</v>
      </c>
      <c r="V1420" s="340">
        <v>313206</v>
      </c>
      <c r="W1420" s="297">
        <v>1928</v>
      </c>
      <c r="X1420" s="296">
        <v>-1.0999999999999999E-2</v>
      </c>
    </row>
    <row r="1421" spans="13:24">
      <c r="M1421">
        <v>1419</v>
      </c>
      <c r="N1421">
        <v>45230</v>
      </c>
      <c r="O1421" t="s">
        <v>599</v>
      </c>
      <c r="P1421" t="s">
        <v>136</v>
      </c>
      <c r="Q1421">
        <v>278</v>
      </c>
      <c r="R1421" s="296">
        <v>0</v>
      </c>
      <c r="S1421" s="296">
        <v>0.96409999999999996</v>
      </c>
      <c r="T1421" s="297">
        <v>11942</v>
      </c>
      <c r="U1421" s="340">
        <v>122016</v>
      </c>
      <c r="V1421" s="340">
        <v>344618</v>
      </c>
      <c r="W1421" s="297">
        <v>27874</v>
      </c>
      <c r="X1421" s="296">
        <v>-2E-3</v>
      </c>
    </row>
    <row r="1422" spans="13:24">
      <c r="M1422">
        <v>1420</v>
      </c>
      <c r="N1422">
        <v>48335</v>
      </c>
      <c r="O1422" t="s">
        <v>533</v>
      </c>
      <c r="P1422" t="s">
        <v>140</v>
      </c>
      <c r="Q1422">
        <v>225</v>
      </c>
      <c r="R1422" s="296">
        <v>0</v>
      </c>
      <c r="S1422" s="296">
        <v>0.96419999999999995</v>
      </c>
      <c r="T1422" s="297">
        <v>12550</v>
      </c>
      <c r="U1422" s="340">
        <v>121668</v>
      </c>
      <c r="V1422" s="340">
        <v>380902</v>
      </c>
      <c r="W1422" s="297">
        <v>26864</v>
      </c>
      <c r="X1422" s="296">
        <v>1E-3</v>
      </c>
    </row>
    <row r="1423" spans="13:24">
      <c r="M1423">
        <v>1421</v>
      </c>
      <c r="N1423">
        <v>29803</v>
      </c>
      <c r="O1423" t="s">
        <v>1478</v>
      </c>
      <c r="P1423" t="s">
        <v>145</v>
      </c>
      <c r="Q1423">
        <v>683</v>
      </c>
      <c r="R1423" s="296">
        <v>0</v>
      </c>
      <c r="S1423" s="296">
        <v>0.96419999999999995</v>
      </c>
      <c r="T1423" s="297">
        <v>18304</v>
      </c>
      <c r="U1423" s="340">
        <v>121386</v>
      </c>
      <c r="V1423" s="340">
        <v>356812</v>
      </c>
      <c r="W1423" s="297">
        <v>41255</v>
      </c>
      <c r="X1423" s="296">
        <v>7.0000000000000001E-3</v>
      </c>
    </row>
    <row r="1424" spans="13:24">
      <c r="M1424">
        <v>1422</v>
      </c>
      <c r="N1424">
        <v>86351</v>
      </c>
      <c r="O1424" t="s">
        <v>1479</v>
      </c>
      <c r="P1424" t="s">
        <v>158</v>
      </c>
      <c r="Q1424">
        <v>1389</v>
      </c>
      <c r="R1424" s="296">
        <v>0</v>
      </c>
      <c r="S1424" s="296">
        <v>0.96419999999999995</v>
      </c>
      <c r="T1424" s="297">
        <v>3479</v>
      </c>
      <c r="U1424" s="340">
        <v>121073</v>
      </c>
      <c r="V1424" s="340">
        <v>749368</v>
      </c>
      <c r="W1424" s="297">
        <v>6542</v>
      </c>
      <c r="X1424" s="296">
        <v>5.0000000000000001E-3</v>
      </c>
    </row>
    <row r="1425" spans="13:24">
      <c r="M1425">
        <v>1423</v>
      </c>
      <c r="N1425">
        <v>17545</v>
      </c>
      <c r="O1425" t="s">
        <v>1480</v>
      </c>
      <c r="P1425" t="s">
        <v>133</v>
      </c>
      <c r="Q1425">
        <v>606</v>
      </c>
      <c r="R1425" s="296">
        <v>0</v>
      </c>
      <c r="S1425" s="296">
        <v>0.96419999999999995</v>
      </c>
      <c r="T1425" s="297">
        <v>8640</v>
      </c>
      <c r="U1425" s="340">
        <v>121005</v>
      </c>
      <c r="V1425" s="340">
        <v>366609</v>
      </c>
      <c r="W1425" s="297">
        <v>22602</v>
      </c>
      <c r="X1425" s="296">
        <v>1E-3</v>
      </c>
    </row>
    <row r="1426" spans="13:24">
      <c r="M1426">
        <v>1424</v>
      </c>
      <c r="N1426">
        <v>78133</v>
      </c>
      <c r="O1426" t="s">
        <v>1481</v>
      </c>
      <c r="P1426" t="s">
        <v>134</v>
      </c>
      <c r="Q1426">
        <v>1026</v>
      </c>
      <c r="R1426" s="296">
        <v>0</v>
      </c>
      <c r="S1426" s="296">
        <v>0.96430000000000005</v>
      </c>
      <c r="T1426" s="297">
        <v>9773</v>
      </c>
      <c r="U1426" s="340">
        <v>120995</v>
      </c>
      <c r="V1426" s="340">
        <v>529416</v>
      </c>
      <c r="W1426" s="297">
        <v>22598</v>
      </c>
      <c r="X1426" s="296">
        <v>2.3E-2</v>
      </c>
    </row>
    <row r="1427" spans="13:24">
      <c r="M1427">
        <v>1425</v>
      </c>
      <c r="N1427">
        <v>18708</v>
      </c>
      <c r="O1427" t="s">
        <v>1482</v>
      </c>
      <c r="P1427" t="s">
        <v>133</v>
      </c>
      <c r="Q1427">
        <v>611</v>
      </c>
      <c r="R1427" s="296">
        <v>0</v>
      </c>
      <c r="S1427" s="296">
        <v>0.96430000000000005</v>
      </c>
      <c r="T1427" s="297">
        <v>3758</v>
      </c>
      <c r="U1427" s="340">
        <v>120875</v>
      </c>
      <c r="V1427" s="340">
        <v>326639</v>
      </c>
      <c r="W1427" s="297">
        <v>11070</v>
      </c>
      <c r="X1427" s="296">
        <v>-5.0000000000000001E-3</v>
      </c>
    </row>
    <row r="1428" spans="13:24">
      <c r="M1428">
        <v>1426</v>
      </c>
      <c r="N1428">
        <v>55057</v>
      </c>
      <c r="O1428" t="s">
        <v>1483</v>
      </c>
      <c r="P1428" t="s">
        <v>151</v>
      </c>
      <c r="Q1428">
        <v>315</v>
      </c>
      <c r="R1428" s="296">
        <v>0</v>
      </c>
      <c r="S1428" s="296">
        <v>0.96430000000000005</v>
      </c>
      <c r="T1428" s="297">
        <v>8779</v>
      </c>
      <c r="U1428" s="340">
        <v>120775</v>
      </c>
      <c r="V1428" s="340">
        <v>434470</v>
      </c>
      <c r="W1428" s="297">
        <v>26560</v>
      </c>
      <c r="X1428" s="296">
        <v>5.0000000000000001E-3</v>
      </c>
    </row>
    <row r="1429" spans="13:24">
      <c r="M1429">
        <v>1427</v>
      </c>
      <c r="N1429">
        <v>43528</v>
      </c>
      <c r="O1429" t="s">
        <v>1028</v>
      </c>
      <c r="P1429" t="s">
        <v>136</v>
      </c>
      <c r="Q1429">
        <v>211</v>
      </c>
      <c r="R1429" s="296">
        <v>0</v>
      </c>
      <c r="S1429" s="296">
        <v>0.96430000000000005</v>
      </c>
      <c r="T1429" s="297">
        <v>6489</v>
      </c>
      <c r="U1429" s="340">
        <v>120563</v>
      </c>
      <c r="V1429" s="340">
        <v>283671</v>
      </c>
      <c r="W1429" s="297">
        <v>16181</v>
      </c>
      <c r="X1429" s="296">
        <v>-5.0000000000000001E-3</v>
      </c>
    </row>
    <row r="1430" spans="13:24">
      <c r="M1430">
        <v>1428</v>
      </c>
      <c r="N1430">
        <v>77302</v>
      </c>
      <c r="O1430" t="s">
        <v>1484</v>
      </c>
      <c r="P1430" t="s">
        <v>134</v>
      </c>
      <c r="Q1430">
        <v>925</v>
      </c>
      <c r="R1430" s="296">
        <v>0</v>
      </c>
      <c r="S1430" s="296">
        <v>0.96440000000000003</v>
      </c>
      <c r="T1430" s="297">
        <v>7992</v>
      </c>
      <c r="U1430" s="340">
        <v>120509</v>
      </c>
      <c r="V1430" s="340">
        <v>376398</v>
      </c>
      <c r="W1430" s="297">
        <v>24194</v>
      </c>
      <c r="X1430" s="296">
        <v>5.7000000000000002E-2</v>
      </c>
    </row>
    <row r="1431" spans="13:24">
      <c r="M1431">
        <v>1429</v>
      </c>
      <c r="N1431">
        <v>63376</v>
      </c>
      <c r="O1431" t="s">
        <v>707</v>
      </c>
      <c r="P1431" t="s">
        <v>186</v>
      </c>
      <c r="Q1431">
        <v>276</v>
      </c>
      <c r="R1431" s="296">
        <v>0</v>
      </c>
      <c r="S1431" s="296">
        <v>0.96440000000000003</v>
      </c>
      <c r="T1431" s="297">
        <v>30888</v>
      </c>
      <c r="U1431" s="340">
        <v>120180</v>
      </c>
      <c r="V1431" s="340">
        <v>313074</v>
      </c>
      <c r="W1431" s="297">
        <v>78211</v>
      </c>
      <c r="X1431" s="296">
        <v>4.0000000000000001E-3</v>
      </c>
    </row>
    <row r="1432" spans="13:24">
      <c r="M1432">
        <v>1430</v>
      </c>
      <c r="N1432">
        <v>33411</v>
      </c>
      <c r="O1432" t="s">
        <v>586</v>
      </c>
      <c r="P1432" t="s">
        <v>127</v>
      </c>
      <c r="Q1432">
        <v>1153</v>
      </c>
      <c r="R1432" s="296">
        <v>0</v>
      </c>
      <c r="S1432" s="296">
        <v>0.96440000000000003</v>
      </c>
      <c r="T1432" s="297">
        <v>28395</v>
      </c>
      <c r="U1432" s="340">
        <v>120115</v>
      </c>
      <c r="V1432" s="340">
        <v>499993</v>
      </c>
      <c r="W1432" s="297">
        <v>75543</v>
      </c>
      <c r="X1432" s="296">
        <v>4.0000000000000001E-3</v>
      </c>
    </row>
    <row r="1433" spans="13:24">
      <c r="M1433">
        <v>1431</v>
      </c>
      <c r="N1433">
        <v>37174</v>
      </c>
      <c r="O1433" t="s">
        <v>1485</v>
      </c>
      <c r="P1433" t="s">
        <v>146</v>
      </c>
      <c r="Q1433">
        <v>447</v>
      </c>
      <c r="R1433" s="296">
        <v>0</v>
      </c>
      <c r="S1433" s="296">
        <v>0.96440000000000003</v>
      </c>
      <c r="T1433" s="297">
        <v>20853</v>
      </c>
      <c r="U1433" s="340">
        <v>119732</v>
      </c>
      <c r="V1433" s="340">
        <v>510365</v>
      </c>
      <c r="W1433" s="297">
        <v>58409</v>
      </c>
      <c r="X1433" s="296">
        <v>4.2999999999999997E-2</v>
      </c>
    </row>
    <row r="1434" spans="13:24">
      <c r="M1434">
        <v>1432</v>
      </c>
      <c r="N1434">
        <v>98502</v>
      </c>
      <c r="O1434" t="s">
        <v>1486</v>
      </c>
      <c r="P1434" t="s">
        <v>224</v>
      </c>
      <c r="Q1434">
        <v>1751</v>
      </c>
      <c r="R1434" s="296">
        <v>0</v>
      </c>
      <c r="S1434" s="296">
        <v>0.96450000000000002</v>
      </c>
      <c r="T1434" s="297">
        <v>15493</v>
      </c>
      <c r="U1434" s="340">
        <v>119552</v>
      </c>
      <c r="V1434" s="340">
        <v>679635</v>
      </c>
      <c r="W1434" s="297">
        <v>36141</v>
      </c>
      <c r="X1434" s="296">
        <v>3.0000000000000001E-3</v>
      </c>
    </row>
    <row r="1435" spans="13:24">
      <c r="M1435">
        <v>1433</v>
      </c>
      <c r="N1435">
        <v>47172</v>
      </c>
      <c r="O1435" t="s">
        <v>736</v>
      </c>
      <c r="P1435" t="s">
        <v>144</v>
      </c>
      <c r="Q1435">
        <v>279</v>
      </c>
      <c r="R1435" s="296">
        <v>0</v>
      </c>
      <c r="S1435" s="296">
        <v>0.96450000000000002</v>
      </c>
      <c r="T1435" s="297">
        <v>7952</v>
      </c>
      <c r="U1435" s="340">
        <v>119473</v>
      </c>
      <c r="V1435" s="340">
        <v>294315</v>
      </c>
      <c r="W1435" s="297">
        <v>20822</v>
      </c>
      <c r="X1435" s="296">
        <v>1.0999999999999999E-2</v>
      </c>
    </row>
    <row r="1436" spans="13:24">
      <c r="M1436">
        <v>1434</v>
      </c>
      <c r="N1436">
        <v>87113</v>
      </c>
      <c r="O1436" t="s">
        <v>783</v>
      </c>
      <c r="P1436" t="s">
        <v>200</v>
      </c>
      <c r="Q1436">
        <v>1120</v>
      </c>
      <c r="R1436" s="296">
        <v>0</v>
      </c>
      <c r="S1436" s="296">
        <v>0.96450000000000002</v>
      </c>
      <c r="T1436" s="297">
        <v>6634</v>
      </c>
      <c r="U1436" s="340">
        <v>119426</v>
      </c>
      <c r="V1436" s="340">
        <v>381627</v>
      </c>
      <c r="W1436" s="297">
        <v>16282</v>
      </c>
      <c r="X1436" s="296">
        <v>5.0000000000000001E-3</v>
      </c>
    </row>
    <row r="1437" spans="13:24">
      <c r="M1437">
        <v>1435</v>
      </c>
      <c r="N1437">
        <v>77357</v>
      </c>
      <c r="O1437" t="s">
        <v>1487</v>
      </c>
      <c r="P1437" t="s">
        <v>134</v>
      </c>
      <c r="Q1437">
        <v>925</v>
      </c>
      <c r="R1437" s="296">
        <v>0</v>
      </c>
      <c r="S1437" s="296">
        <v>0.96450000000000002</v>
      </c>
      <c r="T1437" s="297">
        <v>13938</v>
      </c>
      <c r="U1437" s="340">
        <v>119376</v>
      </c>
      <c r="V1437" s="340">
        <v>335690</v>
      </c>
      <c r="W1437" s="297">
        <v>42428</v>
      </c>
      <c r="X1437" s="296">
        <v>0.08</v>
      </c>
    </row>
    <row r="1438" spans="13:24">
      <c r="M1438">
        <v>1436</v>
      </c>
      <c r="N1438">
        <v>46240</v>
      </c>
      <c r="O1438" t="s">
        <v>561</v>
      </c>
      <c r="P1438" t="s">
        <v>144</v>
      </c>
      <c r="Q1438">
        <v>177</v>
      </c>
      <c r="R1438" s="296">
        <v>0</v>
      </c>
      <c r="S1438" s="296">
        <v>0.96460000000000001</v>
      </c>
      <c r="T1438" s="297">
        <v>10273</v>
      </c>
      <c r="U1438" s="340">
        <v>119165</v>
      </c>
      <c r="V1438" s="340">
        <v>404442</v>
      </c>
      <c r="W1438" s="297">
        <v>20232</v>
      </c>
      <c r="X1438" s="296">
        <v>1E-3</v>
      </c>
    </row>
    <row r="1439" spans="13:24">
      <c r="M1439">
        <v>1437</v>
      </c>
      <c r="N1439">
        <v>33166</v>
      </c>
      <c r="O1439" t="s">
        <v>293</v>
      </c>
      <c r="P1439" t="s">
        <v>127</v>
      </c>
      <c r="Q1439">
        <v>1205</v>
      </c>
      <c r="R1439" s="296">
        <v>0</v>
      </c>
      <c r="S1439" s="296">
        <v>0.96460000000000001</v>
      </c>
      <c r="T1439" s="297">
        <v>11529</v>
      </c>
      <c r="U1439" s="340">
        <v>119131</v>
      </c>
      <c r="V1439" s="340">
        <v>565817</v>
      </c>
      <c r="W1439" s="297">
        <v>30935</v>
      </c>
      <c r="X1439" s="296">
        <v>3.4000000000000002E-2</v>
      </c>
    </row>
    <row r="1440" spans="13:24">
      <c r="M1440">
        <v>1438</v>
      </c>
      <c r="N1440">
        <v>40071</v>
      </c>
      <c r="O1440" t="s">
        <v>1488</v>
      </c>
      <c r="P1440" t="s">
        <v>143</v>
      </c>
      <c r="Q1440">
        <v>310</v>
      </c>
      <c r="R1440" s="296">
        <v>0</v>
      </c>
      <c r="S1440" s="296">
        <v>0.96460000000000001</v>
      </c>
      <c r="T1440" s="297">
        <v>6224</v>
      </c>
      <c r="U1440" s="340">
        <v>118918</v>
      </c>
      <c r="V1440" s="340">
        <v>352284</v>
      </c>
      <c r="W1440" s="297">
        <v>17025</v>
      </c>
      <c r="X1440" s="296">
        <v>1.2999999999999999E-2</v>
      </c>
    </row>
    <row r="1441" spans="13:24">
      <c r="M1441">
        <v>1439</v>
      </c>
      <c r="N1441">
        <v>89074</v>
      </c>
      <c r="O1441" t="s">
        <v>1090</v>
      </c>
      <c r="P1441" t="s">
        <v>148</v>
      </c>
      <c r="Q1441">
        <v>1516</v>
      </c>
      <c r="R1441" s="296">
        <v>0</v>
      </c>
      <c r="S1441" s="296">
        <v>0.96460000000000001</v>
      </c>
      <c r="T1441" s="297">
        <v>22151</v>
      </c>
      <c r="U1441" s="340">
        <v>118761</v>
      </c>
      <c r="V1441" s="340">
        <v>503858</v>
      </c>
      <c r="W1441" s="297">
        <v>53500</v>
      </c>
      <c r="X1441" s="296">
        <v>1E-3</v>
      </c>
    </row>
    <row r="1442" spans="13:24">
      <c r="M1442">
        <v>1440</v>
      </c>
      <c r="N1442">
        <v>75409</v>
      </c>
      <c r="O1442" t="s">
        <v>1489</v>
      </c>
      <c r="P1442" t="s">
        <v>134</v>
      </c>
      <c r="Q1442">
        <v>772</v>
      </c>
      <c r="R1442" s="296">
        <v>0</v>
      </c>
      <c r="S1442" s="296">
        <v>0.9647</v>
      </c>
      <c r="T1442" s="297">
        <v>10054</v>
      </c>
      <c r="U1442" s="340">
        <v>117919</v>
      </c>
      <c r="V1442" s="340">
        <v>447055</v>
      </c>
      <c r="W1442" s="297">
        <v>31139</v>
      </c>
      <c r="X1442" s="296">
        <v>9.4E-2</v>
      </c>
    </row>
    <row r="1443" spans="13:24">
      <c r="M1443">
        <v>1441</v>
      </c>
      <c r="N1443">
        <v>61019</v>
      </c>
      <c r="O1443" t="s">
        <v>1490</v>
      </c>
      <c r="P1443" t="s">
        <v>131</v>
      </c>
      <c r="Q1443">
        <v>85</v>
      </c>
      <c r="R1443" s="296">
        <v>0</v>
      </c>
      <c r="S1443" s="296">
        <v>0.9647</v>
      </c>
      <c r="T1443" s="297">
        <v>1449</v>
      </c>
      <c r="U1443" s="340">
        <v>117815</v>
      </c>
      <c r="V1443" s="340">
        <v>254381</v>
      </c>
      <c r="W1443" s="297">
        <v>3407</v>
      </c>
      <c r="X1443" s="296">
        <v>-8.9999999999999993E-3</v>
      </c>
    </row>
    <row r="1444" spans="13:24">
      <c r="M1444">
        <v>1442</v>
      </c>
      <c r="N1444">
        <v>44001</v>
      </c>
      <c r="O1444" t="s">
        <v>470</v>
      </c>
      <c r="P1444" t="s">
        <v>136</v>
      </c>
      <c r="Q1444">
        <v>290</v>
      </c>
      <c r="R1444" s="296">
        <v>0</v>
      </c>
      <c r="S1444" s="296">
        <v>0.9647</v>
      </c>
      <c r="T1444" s="297">
        <v>8757</v>
      </c>
      <c r="U1444" s="340">
        <v>117765</v>
      </c>
      <c r="V1444" s="340">
        <v>266178</v>
      </c>
      <c r="W1444" s="297">
        <v>21042</v>
      </c>
      <c r="X1444" s="296">
        <v>4.0000000000000001E-3</v>
      </c>
    </row>
    <row r="1445" spans="13:24">
      <c r="M1445">
        <v>1443</v>
      </c>
      <c r="N1445">
        <v>81506</v>
      </c>
      <c r="O1445" t="s">
        <v>1491</v>
      </c>
      <c r="P1445" t="s">
        <v>142</v>
      </c>
      <c r="Q1445">
        <v>1103</v>
      </c>
      <c r="R1445" s="296">
        <v>0</v>
      </c>
      <c r="S1445" s="296">
        <v>0.9647</v>
      </c>
      <c r="T1445" s="297">
        <v>5290</v>
      </c>
      <c r="U1445" s="340">
        <v>117711</v>
      </c>
      <c r="V1445" s="340">
        <v>528388</v>
      </c>
      <c r="W1445" s="297">
        <v>11935</v>
      </c>
      <c r="X1445" s="296">
        <v>1.4E-2</v>
      </c>
    </row>
    <row r="1446" spans="13:24">
      <c r="M1446">
        <v>1444</v>
      </c>
      <c r="N1446">
        <v>64079</v>
      </c>
      <c r="O1446" t="s">
        <v>1492</v>
      </c>
      <c r="P1446" t="s">
        <v>186</v>
      </c>
      <c r="Q1446">
        <v>414</v>
      </c>
      <c r="R1446" s="296">
        <v>0</v>
      </c>
      <c r="S1446" s="296">
        <v>0.96479999999999999</v>
      </c>
      <c r="T1446" s="297">
        <v>5664</v>
      </c>
      <c r="U1446" s="340">
        <v>117684</v>
      </c>
      <c r="V1446" s="340">
        <v>378040</v>
      </c>
      <c r="W1446" s="297">
        <v>15212</v>
      </c>
      <c r="X1446" s="296">
        <v>6.0000000000000001E-3</v>
      </c>
    </row>
    <row r="1447" spans="13:24">
      <c r="M1447">
        <v>1445</v>
      </c>
      <c r="N1447">
        <v>85704</v>
      </c>
      <c r="O1447" t="s">
        <v>579</v>
      </c>
      <c r="P1447" t="s">
        <v>158</v>
      </c>
      <c r="Q1447">
        <v>1438</v>
      </c>
      <c r="R1447" s="296">
        <v>0</v>
      </c>
      <c r="S1447" s="296">
        <v>0.96479999999999999</v>
      </c>
      <c r="T1447" s="297">
        <v>16461</v>
      </c>
      <c r="U1447" s="340">
        <v>117476</v>
      </c>
      <c r="V1447" s="340">
        <v>453873</v>
      </c>
      <c r="W1447" s="297">
        <v>35526</v>
      </c>
      <c r="X1447" s="296">
        <v>2E-3</v>
      </c>
    </row>
    <row r="1448" spans="13:24">
      <c r="M1448">
        <v>1446</v>
      </c>
      <c r="N1448">
        <v>92025</v>
      </c>
      <c r="O1448" t="s">
        <v>1493</v>
      </c>
      <c r="P1448" t="s">
        <v>132</v>
      </c>
      <c r="Q1448">
        <v>1709</v>
      </c>
      <c r="R1448" s="296">
        <v>0</v>
      </c>
      <c r="S1448" s="296">
        <v>0.96479999999999999</v>
      </c>
      <c r="T1448" s="297">
        <v>16135</v>
      </c>
      <c r="U1448" s="340">
        <v>117445</v>
      </c>
      <c r="V1448" s="340">
        <v>928493</v>
      </c>
      <c r="W1448" s="297">
        <v>50946</v>
      </c>
      <c r="X1448" s="296">
        <v>0</v>
      </c>
    </row>
    <row r="1449" spans="13:24">
      <c r="M1449">
        <v>1447</v>
      </c>
      <c r="N1449">
        <v>64083</v>
      </c>
      <c r="O1449" t="s">
        <v>1494</v>
      </c>
      <c r="P1449" t="s">
        <v>186</v>
      </c>
      <c r="Q1449">
        <v>419</v>
      </c>
      <c r="R1449" s="296">
        <v>0</v>
      </c>
      <c r="S1449" s="296">
        <v>0.96479999999999999</v>
      </c>
      <c r="T1449" s="297">
        <v>10156</v>
      </c>
      <c r="U1449" s="340">
        <v>117387</v>
      </c>
      <c r="V1449" s="340">
        <v>346324</v>
      </c>
      <c r="W1449" s="297">
        <v>27269</v>
      </c>
      <c r="X1449" s="296">
        <v>2.1999999999999999E-2</v>
      </c>
    </row>
    <row r="1450" spans="13:24">
      <c r="M1450">
        <v>1448</v>
      </c>
      <c r="N1450">
        <v>40299</v>
      </c>
      <c r="O1450" t="s">
        <v>830</v>
      </c>
      <c r="P1450" t="s">
        <v>143</v>
      </c>
      <c r="Q1450">
        <v>299</v>
      </c>
      <c r="R1450" s="296">
        <v>0</v>
      </c>
      <c r="S1450" s="296">
        <v>0.96489999999999998</v>
      </c>
      <c r="T1450" s="297">
        <v>17718</v>
      </c>
      <c r="U1450" s="340">
        <v>117243</v>
      </c>
      <c r="V1450" s="340">
        <v>343897</v>
      </c>
      <c r="W1450" s="297">
        <v>43833</v>
      </c>
      <c r="X1450" s="296">
        <v>5.0000000000000001E-3</v>
      </c>
    </row>
    <row r="1451" spans="13:24">
      <c r="M1451">
        <v>1449</v>
      </c>
      <c r="N1451">
        <v>61873</v>
      </c>
      <c r="O1451" t="s">
        <v>1169</v>
      </c>
      <c r="P1451" t="s">
        <v>131</v>
      </c>
      <c r="Q1451">
        <v>141</v>
      </c>
      <c r="R1451" s="296">
        <v>0</v>
      </c>
      <c r="S1451" s="296">
        <v>0.96489999999999998</v>
      </c>
      <c r="T1451" s="297">
        <v>2257</v>
      </c>
      <c r="U1451" s="340">
        <v>117181</v>
      </c>
      <c r="V1451" s="340">
        <v>280969</v>
      </c>
      <c r="W1451" s="297">
        <v>5823</v>
      </c>
      <c r="X1451" s="296">
        <v>-3.0000000000000001E-3</v>
      </c>
    </row>
    <row r="1452" spans="13:24">
      <c r="M1452">
        <v>1450</v>
      </c>
      <c r="N1452">
        <v>65010</v>
      </c>
      <c r="O1452" t="s">
        <v>474</v>
      </c>
      <c r="P1452" t="s">
        <v>186</v>
      </c>
      <c r="Q1452">
        <v>330</v>
      </c>
      <c r="R1452" s="296">
        <v>0</v>
      </c>
      <c r="S1452" s="296">
        <v>0.96489999999999998</v>
      </c>
      <c r="T1452" s="297">
        <v>2907</v>
      </c>
      <c r="U1452" s="340">
        <v>116941</v>
      </c>
      <c r="V1452" s="340">
        <v>423292</v>
      </c>
      <c r="W1452" s="297">
        <v>7697</v>
      </c>
      <c r="X1452" s="296">
        <v>2.1000000000000001E-2</v>
      </c>
    </row>
    <row r="1453" spans="13:24">
      <c r="M1453">
        <v>1451</v>
      </c>
      <c r="N1453">
        <v>89109</v>
      </c>
      <c r="O1453" t="s">
        <v>706</v>
      </c>
      <c r="P1453" t="s">
        <v>148</v>
      </c>
      <c r="Q1453">
        <v>1518</v>
      </c>
      <c r="R1453" s="296">
        <v>0</v>
      </c>
      <c r="S1453" s="296">
        <v>0.96489999999999998</v>
      </c>
      <c r="T1453" s="297">
        <v>4082</v>
      </c>
      <c r="U1453" s="340">
        <v>116940</v>
      </c>
      <c r="V1453" s="340">
        <v>741574</v>
      </c>
      <c r="W1453" s="297">
        <v>7563</v>
      </c>
      <c r="X1453" s="296">
        <v>2.1999999999999999E-2</v>
      </c>
    </row>
    <row r="1454" spans="13:24">
      <c r="M1454">
        <v>1452</v>
      </c>
      <c r="N1454">
        <v>92509</v>
      </c>
      <c r="O1454" t="s">
        <v>1495</v>
      </c>
      <c r="P1454" t="s">
        <v>132</v>
      </c>
      <c r="Q1454">
        <v>1698</v>
      </c>
      <c r="R1454" s="296">
        <v>0</v>
      </c>
      <c r="S1454" s="296">
        <v>0.96499999999999997</v>
      </c>
      <c r="T1454" s="297">
        <v>21032</v>
      </c>
      <c r="U1454" s="340">
        <v>116913</v>
      </c>
      <c r="V1454" s="340">
        <v>561331</v>
      </c>
      <c r="W1454" s="297">
        <v>79984</v>
      </c>
      <c r="X1454" s="296">
        <v>5.0000000000000001E-3</v>
      </c>
    </row>
    <row r="1455" spans="13:24">
      <c r="M1455">
        <v>1453</v>
      </c>
      <c r="N1455">
        <v>33324</v>
      </c>
      <c r="O1455" t="s">
        <v>506</v>
      </c>
      <c r="P1455" t="s">
        <v>127</v>
      </c>
      <c r="Q1455">
        <v>1186</v>
      </c>
      <c r="R1455" s="296">
        <v>0</v>
      </c>
      <c r="S1455" s="296">
        <v>0.96499999999999997</v>
      </c>
      <c r="T1455" s="297">
        <v>21899</v>
      </c>
      <c r="U1455" s="340">
        <v>116818</v>
      </c>
      <c r="V1455" s="340">
        <v>528473</v>
      </c>
      <c r="W1455" s="297">
        <v>50630</v>
      </c>
      <c r="X1455" s="296">
        <v>1.7999999999999999E-2</v>
      </c>
    </row>
    <row r="1456" spans="13:24">
      <c r="M1456">
        <v>1454</v>
      </c>
      <c r="N1456">
        <v>53139</v>
      </c>
      <c r="O1456" t="s">
        <v>1496</v>
      </c>
      <c r="P1456" t="s">
        <v>149</v>
      </c>
      <c r="Q1456">
        <v>41</v>
      </c>
      <c r="R1456" s="296">
        <v>0</v>
      </c>
      <c r="S1456" s="296">
        <v>0.96499999999999997</v>
      </c>
      <c r="T1456" s="297">
        <v>1140</v>
      </c>
      <c r="U1456" s="340">
        <v>116755</v>
      </c>
      <c r="V1456" s="340">
        <v>451050</v>
      </c>
      <c r="W1456" s="297">
        <v>2847</v>
      </c>
      <c r="X1456" s="296">
        <v>8.9999999999999993E-3</v>
      </c>
    </row>
    <row r="1457" spans="13:24">
      <c r="M1457">
        <v>1455</v>
      </c>
      <c r="N1457">
        <v>80249</v>
      </c>
      <c r="O1457" t="s">
        <v>330</v>
      </c>
      <c r="P1457" t="s">
        <v>142</v>
      </c>
      <c r="Q1457">
        <v>899</v>
      </c>
      <c r="R1457" s="296">
        <v>0</v>
      </c>
      <c r="S1457" s="296">
        <v>0.96499999999999997</v>
      </c>
      <c r="T1457" s="297">
        <v>13389</v>
      </c>
      <c r="U1457" s="340">
        <v>116632</v>
      </c>
      <c r="V1457" s="340">
        <v>531793</v>
      </c>
      <c r="W1457" s="297">
        <v>44161</v>
      </c>
      <c r="X1457" s="296">
        <v>4.2999999999999997E-2</v>
      </c>
    </row>
    <row r="1458" spans="13:24">
      <c r="M1458">
        <v>1456</v>
      </c>
      <c r="N1458">
        <v>90660</v>
      </c>
      <c r="O1458" t="s">
        <v>1497</v>
      </c>
      <c r="P1458" t="s">
        <v>132</v>
      </c>
      <c r="Q1458">
        <v>1731</v>
      </c>
      <c r="R1458" s="296">
        <v>0</v>
      </c>
      <c r="S1458" s="296">
        <v>0.96509999999999996</v>
      </c>
      <c r="T1458" s="297">
        <v>16696</v>
      </c>
      <c r="U1458" s="340">
        <v>116382</v>
      </c>
      <c r="V1458" s="340">
        <v>726654</v>
      </c>
      <c r="W1458" s="297">
        <v>59054</v>
      </c>
      <c r="X1458" s="296">
        <v>-1.0999999999999999E-2</v>
      </c>
    </row>
    <row r="1459" spans="13:24">
      <c r="M1459">
        <v>1457</v>
      </c>
      <c r="N1459">
        <v>92260</v>
      </c>
      <c r="O1459" t="s">
        <v>1498</v>
      </c>
      <c r="P1459" t="s">
        <v>132</v>
      </c>
      <c r="Q1459">
        <v>1654</v>
      </c>
      <c r="R1459" s="296">
        <v>0</v>
      </c>
      <c r="S1459" s="296">
        <v>0.96509999999999996</v>
      </c>
      <c r="T1459" s="297">
        <v>15388</v>
      </c>
      <c r="U1459" s="340">
        <v>116230</v>
      </c>
      <c r="V1459" s="340">
        <v>648256</v>
      </c>
      <c r="W1459" s="297">
        <v>31704</v>
      </c>
      <c r="X1459" s="296">
        <v>0</v>
      </c>
    </row>
    <row r="1460" spans="13:24">
      <c r="M1460">
        <v>1458</v>
      </c>
      <c r="N1460">
        <v>97701</v>
      </c>
      <c r="O1460" t="s">
        <v>1499</v>
      </c>
      <c r="P1460" t="s">
        <v>207</v>
      </c>
      <c r="Q1460">
        <v>1683</v>
      </c>
      <c r="R1460" s="296">
        <v>0</v>
      </c>
      <c r="S1460" s="296">
        <v>0.96509999999999996</v>
      </c>
      <c r="T1460" s="297">
        <v>18829</v>
      </c>
      <c r="U1460" s="340">
        <v>116212</v>
      </c>
      <c r="V1460" s="340">
        <v>726184</v>
      </c>
      <c r="W1460" s="297">
        <v>45966</v>
      </c>
      <c r="X1460" s="296">
        <v>2.1000000000000001E-2</v>
      </c>
    </row>
    <row r="1461" spans="13:24">
      <c r="M1461">
        <v>1459</v>
      </c>
      <c r="N1461">
        <v>53036</v>
      </c>
      <c r="O1461" t="s">
        <v>1500</v>
      </c>
      <c r="P1461" t="s">
        <v>149</v>
      </c>
      <c r="Q1461">
        <v>81</v>
      </c>
      <c r="R1461" s="296">
        <v>0</v>
      </c>
      <c r="S1461" s="296">
        <v>0.96509999999999996</v>
      </c>
      <c r="T1461" s="297">
        <v>1317</v>
      </c>
      <c r="U1461" s="340">
        <v>116161</v>
      </c>
      <c r="V1461" s="340">
        <v>447174</v>
      </c>
      <c r="W1461" s="297">
        <v>3645</v>
      </c>
      <c r="X1461" s="296">
        <v>-1E-3</v>
      </c>
    </row>
    <row r="1462" spans="13:24">
      <c r="M1462">
        <v>1460</v>
      </c>
      <c r="N1462">
        <v>34655</v>
      </c>
      <c r="O1462" t="s">
        <v>760</v>
      </c>
      <c r="P1462" t="s">
        <v>127</v>
      </c>
      <c r="Q1462">
        <v>1005</v>
      </c>
      <c r="R1462" s="296">
        <v>0</v>
      </c>
      <c r="S1462" s="296">
        <v>0.96519999999999995</v>
      </c>
      <c r="T1462" s="297">
        <v>19752</v>
      </c>
      <c r="U1462" s="340">
        <v>115887</v>
      </c>
      <c r="V1462" s="340">
        <v>420801</v>
      </c>
      <c r="W1462" s="297">
        <v>47922</v>
      </c>
      <c r="X1462" s="296">
        <v>1.0999999999999999E-2</v>
      </c>
    </row>
    <row r="1463" spans="13:24">
      <c r="M1463">
        <v>1461</v>
      </c>
      <c r="N1463">
        <v>29680</v>
      </c>
      <c r="O1463" t="s">
        <v>1501</v>
      </c>
      <c r="P1463" t="s">
        <v>145</v>
      </c>
      <c r="Q1463">
        <v>595</v>
      </c>
      <c r="R1463" s="296">
        <v>0</v>
      </c>
      <c r="S1463" s="296">
        <v>0.96519999999999995</v>
      </c>
      <c r="T1463" s="297">
        <v>15072</v>
      </c>
      <c r="U1463" s="340">
        <v>115780</v>
      </c>
      <c r="V1463" s="340">
        <v>340035</v>
      </c>
      <c r="W1463" s="297">
        <v>40294</v>
      </c>
      <c r="X1463" s="296">
        <v>2.5000000000000001E-2</v>
      </c>
    </row>
    <row r="1464" spans="13:24">
      <c r="M1464">
        <v>1462</v>
      </c>
      <c r="N1464">
        <v>4260</v>
      </c>
      <c r="O1464" t="s">
        <v>1502</v>
      </c>
      <c r="P1464" t="s">
        <v>182</v>
      </c>
      <c r="Q1464">
        <v>890</v>
      </c>
      <c r="R1464" s="296">
        <v>0</v>
      </c>
      <c r="S1464" s="296">
        <v>0.96519999999999995</v>
      </c>
      <c r="T1464" s="297">
        <v>2252</v>
      </c>
      <c r="U1464" s="340">
        <v>115744</v>
      </c>
      <c r="V1464" s="340">
        <v>414311</v>
      </c>
      <c r="W1464" s="297">
        <v>5660</v>
      </c>
      <c r="X1464" s="296">
        <v>0</v>
      </c>
    </row>
    <row r="1465" spans="13:24">
      <c r="M1465">
        <v>1463</v>
      </c>
      <c r="N1465">
        <v>63146</v>
      </c>
      <c r="O1465" t="s">
        <v>536</v>
      </c>
      <c r="P1465" t="s">
        <v>186</v>
      </c>
      <c r="Q1465">
        <v>276</v>
      </c>
      <c r="R1465" s="296">
        <v>0</v>
      </c>
      <c r="S1465" s="296">
        <v>0.96519999999999995</v>
      </c>
      <c r="T1465" s="297">
        <v>14672</v>
      </c>
      <c r="U1465" s="340">
        <v>115502</v>
      </c>
      <c r="V1465" s="340">
        <v>322538</v>
      </c>
      <c r="W1465" s="297">
        <v>31467</v>
      </c>
      <c r="X1465" s="296">
        <v>-1E-3</v>
      </c>
    </row>
    <row r="1466" spans="13:24">
      <c r="M1466">
        <v>1464</v>
      </c>
      <c r="N1466">
        <v>17406</v>
      </c>
      <c r="O1466" t="s">
        <v>648</v>
      </c>
      <c r="P1466" t="s">
        <v>133</v>
      </c>
      <c r="Q1466">
        <v>601</v>
      </c>
      <c r="R1466" s="296">
        <v>0</v>
      </c>
      <c r="S1466" s="296">
        <v>0.96530000000000005</v>
      </c>
      <c r="T1466" s="297">
        <v>9588</v>
      </c>
      <c r="U1466" s="340">
        <v>115480</v>
      </c>
      <c r="V1466" s="340">
        <v>302715</v>
      </c>
      <c r="W1466" s="297">
        <v>23637</v>
      </c>
      <c r="X1466" s="296">
        <v>1E-3</v>
      </c>
    </row>
    <row r="1467" spans="13:24">
      <c r="M1467">
        <v>1465</v>
      </c>
      <c r="N1467">
        <v>11419</v>
      </c>
      <c r="O1467" t="s">
        <v>1503</v>
      </c>
      <c r="P1467" t="s">
        <v>128</v>
      </c>
      <c r="Q1467">
        <v>730</v>
      </c>
      <c r="R1467" s="296">
        <v>0</v>
      </c>
      <c r="S1467" s="296">
        <v>0.96530000000000005</v>
      </c>
      <c r="T1467" s="297">
        <v>13208</v>
      </c>
      <c r="U1467" s="340">
        <v>115359</v>
      </c>
      <c r="V1467" s="340">
        <v>767427</v>
      </c>
      <c r="W1467" s="297">
        <v>45398</v>
      </c>
      <c r="X1467" s="296">
        <v>-8.0000000000000002E-3</v>
      </c>
    </row>
    <row r="1468" spans="13:24">
      <c r="M1468">
        <v>1466</v>
      </c>
      <c r="N1468">
        <v>33931</v>
      </c>
      <c r="O1468" t="s">
        <v>750</v>
      </c>
      <c r="P1468" t="s">
        <v>127</v>
      </c>
      <c r="Q1468">
        <v>1134</v>
      </c>
      <c r="R1468" s="296">
        <v>0</v>
      </c>
      <c r="S1468" s="296">
        <v>0.96530000000000005</v>
      </c>
      <c r="T1468" s="297">
        <v>5639</v>
      </c>
      <c r="U1468" s="340">
        <v>114797</v>
      </c>
      <c r="V1468" s="340">
        <v>590401</v>
      </c>
      <c r="W1468" s="297">
        <v>9779</v>
      </c>
      <c r="X1468" s="296">
        <v>-2E-3</v>
      </c>
    </row>
    <row r="1469" spans="13:24">
      <c r="M1469">
        <v>1467</v>
      </c>
      <c r="N1469">
        <v>91942</v>
      </c>
      <c r="O1469" t="s">
        <v>1504</v>
      </c>
      <c r="P1469" t="s">
        <v>132</v>
      </c>
      <c r="Q1469">
        <v>1718</v>
      </c>
      <c r="R1469" s="296">
        <v>0</v>
      </c>
      <c r="S1469" s="296">
        <v>0.96530000000000005</v>
      </c>
      <c r="T1469" s="297">
        <v>17292</v>
      </c>
      <c r="U1469" s="340">
        <v>114455</v>
      </c>
      <c r="V1469" s="340">
        <v>781321</v>
      </c>
      <c r="W1469" s="297">
        <v>40661</v>
      </c>
      <c r="X1469" s="296">
        <v>0</v>
      </c>
    </row>
    <row r="1470" spans="13:24">
      <c r="M1470">
        <v>1468</v>
      </c>
      <c r="N1470">
        <v>57064</v>
      </c>
      <c r="O1470" t="s">
        <v>1505</v>
      </c>
      <c r="P1470" t="s">
        <v>215</v>
      </c>
      <c r="Q1470">
        <v>466</v>
      </c>
      <c r="R1470" s="296">
        <v>0</v>
      </c>
      <c r="S1470" s="296">
        <v>0.96540000000000004</v>
      </c>
      <c r="T1470" s="297">
        <v>2567</v>
      </c>
      <c r="U1470" s="340">
        <v>114190</v>
      </c>
      <c r="V1470" s="340">
        <v>333085</v>
      </c>
      <c r="W1470" s="297">
        <v>7798</v>
      </c>
      <c r="X1470" s="296">
        <v>0.03</v>
      </c>
    </row>
    <row r="1471" spans="13:24">
      <c r="M1471">
        <v>1469</v>
      </c>
      <c r="N1471">
        <v>61878</v>
      </c>
      <c r="O1471" t="s">
        <v>1506</v>
      </c>
      <c r="P1471" t="s">
        <v>131</v>
      </c>
      <c r="Q1471">
        <v>133</v>
      </c>
      <c r="R1471" s="296">
        <v>0</v>
      </c>
      <c r="S1471" s="296">
        <v>0.96540000000000004</v>
      </c>
      <c r="T1471">
        <v>586</v>
      </c>
      <c r="U1471" s="340">
        <v>114041</v>
      </c>
      <c r="V1471" s="340">
        <v>181640</v>
      </c>
      <c r="W1471" s="297">
        <v>1284</v>
      </c>
      <c r="X1471" s="296">
        <v>-7.0000000000000001E-3</v>
      </c>
    </row>
    <row r="1472" spans="13:24">
      <c r="M1472">
        <v>1470</v>
      </c>
      <c r="N1472">
        <v>61254</v>
      </c>
      <c r="O1472" t="s">
        <v>1507</v>
      </c>
      <c r="P1472" t="s">
        <v>131</v>
      </c>
      <c r="Q1472">
        <v>131</v>
      </c>
      <c r="R1472" s="296">
        <v>0</v>
      </c>
      <c r="S1472" s="296">
        <v>0.96540000000000004</v>
      </c>
      <c r="T1472" s="297">
        <v>4721</v>
      </c>
      <c r="U1472" s="340">
        <v>114040</v>
      </c>
      <c r="V1472" s="340">
        <v>242762</v>
      </c>
      <c r="W1472" s="297">
        <v>11280</v>
      </c>
      <c r="X1472" s="296">
        <v>-6.0000000000000001E-3</v>
      </c>
    </row>
    <row r="1473" spans="13:24">
      <c r="M1473">
        <v>1471</v>
      </c>
      <c r="N1473">
        <v>81007</v>
      </c>
      <c r="O1473" t="s">
        <v>809</v>
      </c>
      <c r="P1473" t="s">
        <v>142</v>
      </c>
      <c r="Q1473">
        <v>931</v>
      </c>
      <c r="R1473" s="296">
        <v>0</v>
      </c>
      <c r="S1473" s="296">
        <v>0.96540000000000004</v>
      </c>
      <c r="T1473" s="297">
        <v>13340</v>
      </c>
      <c r="U1473" s="340">
        <v>113976</v>
      </c>
      <c r="V1473" s="340">
        <v>424232</v>
      </c>
      <c r="W1473" s="297">
        <v>35909</v>
      </c>
      <c r="X1473" s="296">
        <v>1.7999999999999999E-2</v>
      </c>
    </row>
    <row r="1474" spans="13:24">
      <c r="M1474">
        <v>1472</v>
      </c>
      <c r="N1474">
        <v>85138</v>
      </c>
      <c r="O1474" t="s">
        <v>1508</v>
      </c>
      <c r="P1474" t="s">
        <v>158</v>
      </c>
      <c r="Q1474">
        <v>1458</v>
      </c>
      <c r="R1474" s="296">
        <v>0</v>
      </c>
      <c r="S1474" s="296">
        <v>0.96550000000000002</v>
      </c>
      <c r="T1474" s="297">
        <v>20101</v>
      </c>
      <c r="U1474" s="340">
        <v>113667</v>
      </c>
      <c r="V1474" s="340">
        <v>412934</v>
      </c>
      <c r="W1474" s="297">
        <v>60552</v>
      </c>
      <c r="X1474" s="296">
        <v>6.2E-2</v>
      </c>
    </row>
    <row r="1475" spans="13:24">
      <c r="M1475">
        <v>1473</v>
      </c>
      <c r="N1475">
        <v>91401</v>
      </c>
      <c r="O1475" t="s">
        <v>1509</v>
      </c>
      <c r="P1475" t="s">
        <v>132</v>
      </c>
      <c r="Q1475">
        <v>1742</v>
      </c>
      <c r="R1475" s="296">
        <v>0</v>
      </c>
      <c r="S1475" s="296">
        <v>0.96550000000000002</v>
      </c>
      <c r="T1475" s="297">
        <v>15725</v>
      </c>
      <c r="U1475" s="340">
        <v>113555</v>
      </c>
      <c r="V1475" s="340">
        <v>1098231</v>
      </c>
      <c r="W1475" s="297">
        <v>40503</v>
      </c>
      <c r="X1475" s="296">
        <v>-5.0000000000000001E-3</v>
      </c>
    </row>
    <row r="1476" spans="13:24">
      <c r="M1476">
        <v>1474</v>
      </c>
      <c r="N1476">
        <v>55448</v>
      </c>
      <c r="O1476" t="s">
        <v>576</v>
      </c>
      <c r="P1476" t="s">
        <v>151</v>
      </c>
      <c r="Q1476">
        <v>346</v>
      </c>
      <c r="R1476" s="296">
        <v>0</v>
      </c>
      <c r="S1476" s="296">
        <v>0.96550000000000002</v>
      </c>
      <c r="T1476" s="297">
        <v>10657</v>
      </c>
      <c r="U1476" s="340">
        <v>113069</v>
      </c>
      <c r="V1476" s="340">
        <v>362079</v>
      </c>
      <c r="W1476" s="297">
        <v>29239</v>
      </c>
      <c r="X1476" s="296">
        <v>1E-3</v>
      </c>
    </row>
    <row r="1477" spans="13:24">
      <c r="M1477">
        <v>1475</v>
      </c>
      <c r="N1477">
        <v>46122</v>
      </c>
      <c r="O1477" t="s">
        <v>304</v>
      </c>
      <c r="P1477" t="s">
        <v>144</v>
      </c>
      <c r="Q1477">
        <v>177</v>
      </c>
      <c r="R1477" s="296">
        <v>0</v>
      </c>
      <c r="S1477" s="296">
        <v>0.96550000000000002</v>
      </c>
      <c r="T1477" s="297">
        <v>6721</v>
      </c>
      <c r="U1477" s="340">
        <v>113015</v>
      </c>
      <c r="V1477" s="340">
        <v>324214</v>
      </c>
      <c r="W1477" s="297">
        <v>17786</v>
      </c>
      <c r="X1477" s="296">
        <v>0.02</v>
      </c>
    </row>
    <row r="1478" spans="13:24">
      <c r="M1478">
        <v>1476</v>
      </c>
      <c r="N1478">
        <v>48150</v>
      </c>
      <c r="O1478" t="s">
        <v>1510</v>
      </c>
      <c r="P1478" t="s">
        <v>140</v>
      </c>
      <c r="Q1478">
        <v>227</v>
      </c>
      <c r="R1478" s="296">
        <v>0</v>
      </c>
      <c r="S1478" s="296">
        <v>0.96560000000000001</v>
      </c>
      <c r="T1478" s="297">
        <v>10880</v>
      </c>
      <c r="U1478" s="340">
        <v>112608</v>
      </c>
      <c r="V1478" s="340">
        <v>233155</v>
      </c>
      <c r="W1478" s="297">
        <v>25589</v>
      </c>
      <c r="X1478" s="296">
        <v>-7.0000000000000001E-3</v>
      </c>
    </row>
    <row r="1479" spans="13:24">
      <c r="M1479">
        <v>1477</v>
      </c>
      <c r="N1479">
        <v>62918</v>
      </c>
      <c r="O1479" t="s">
        <v>1511</v>
      </c>
      <c r="P1479" t="s">
        <v>131</v>
      </c>
      <c r="Q1479">
        <v>309</v>
      </c>
      <c r="R1479" s="296">
        <v>0</v>
      </c>
      <c r="S1479" s="296">
        <v>0.96560000000000001</v>
      </c>
      <c r="T1479" s="297">
        <v>4934</v>
      </c>
      <c r="U1479" s="340">
        <v>112224</v>
      </c>
      <c r="V1479" s="340">
        <v>230957</v>
      </c>
      <c r="W1479" s="297">
        <v>11580</v>
      </c>
      <c r="X1479" s="296">
        <v>-3.0000000000000001E-3</v>
      </c>
    </row>
    <row r="1480" spans="13:24">
      <c r="M1480">
        <v>1478</v>
      </c>
      <c r="N1480">
        <v>97206</v>
      </c>
      <c r="O1480" t="s">
        <v>420</v>
      </c>
      <c r="P1480" t="s">
        <v>207</v>
      </c>
      <c r="Q1480">
        <v>1737</v>
      </c>
      <c r="R1480" s="296">
        <v>0</v>
      </c>
      <c r="S1480" s="296">
        <v>0.96560000000000001</v>
      </c>
      <c r="T1480" s="297">
        <v>20354</v>
      </c>
      <c r="U1480" s="340">
        <v>112076</v>
      </c>
      <c r="V1480" s="340">
        <v>567951</v>
      </c>
      <c r="W1480" s="297">
        <v>50400</v>
      </c>
      <c r="X1480" s="296">
        <v>1E-3</v>
      </c>
    </row>
    <row r="1481" spans="13:24">
      <c r="M1481">
        <v>1479</v>
      </c>
      <c r="N1481">
        <v>49053</v>
      </c>
      <c r="O1481" t="s">
        <v>1121</v>
      </c>
      <c r="P1481" t="s">
        <v>140</v>
      </c>
      <c r="Q1481">
        <v>122</v>
      </c>
      <c r="R1481" s="296">
        <v>0</v>
      </c>
      <c r="S1481" s="296">
        <v>0.96560000000000001</v>
      </c>
      <c r="T1481" s="297">
        <v>2746</v>
      </c>
      <c r="U1481" s="340">
        <v>111768</v>
      </c>
      <c r="V1481" s="340">
        <v>290748</v>
      </c>
      <c r="W1481" s="297">
        <v>7101</v>
      </c>
      <c r="X1481" s="296">
        <v>0</v>
      </c>
    </row>
    <row r="1482" spans="13:24">
      <c r="M1482">
        <v>1480</v>
      </c>
      <c r="N1482">
        <v>83434</v>
      </c>
      <c r="O1482" t="s">
        <v>1512</v>
      </c>
      <c r="P1482" t="s">
        <v>172</v>
      </c>
      <c r="Q1482">
        <v>1224</v>
      </c>
      <c r="R1482" s="296">
        <v>0</v>
      </c>
      <c r="S1482" s="296">
        <v>0.9657</v>
      </c>
      <c r="T1482">
        <v>686</v>
      </c>
      <c r="U1482" s="340">
        <v>111727</v>
      </c>
      <c r="V1482" s="340">
        <v>423379</v>
      </c>
      <c r="W1482" s="297">
        <v>1963</v>
      </c>
      <c r="X1482" s="296">
        <v>3.3000000000000002E-2</v>
      </c>
    </row>
    <row r="1483" spans="13:24">
      <c r="M1483">
        <v>1481</v>
      </c>
      <c r="N1483">
        <v>80634</v>
      </c>
      <c r="O1483" t="s">
        <v>841</v>
      </c>
      <c r="P1483" t="s">
        <v>142</v>
      </c>
      <c r="Q1483">
        <v>888</v>
      </c>
      <c r="R1483" s="296">
        <v>0</v>
      </c>
      <c r="S1483" s="296">
        <v>0.9657</v>
      </c>
      <c r="T1483" s="297">
        <v>27238</v>
      </c>
      <c r="U1483" s="340">
        <v>111477</v>
      </c>
      <c r="V1483" s="340">
        <v>504338</v>
      </c>
      <c r="W1483" s="297">
        <v>73247</v>
      </c>
      <c r="X1483" s="296">
        <v>2.3E-2</v>
      </c>
    </row>
    <row r="1484" spans="13:24">
      <c r="M1484">
        <v>1482</v>
      </c>
      <c r="N1484">
        <v>64151</v>
      </c>
      <c r="O1484" t="s">
        <v>490</v>
      </c>
      <c r="P1484" t="s">
        <v>186</v>
      </c>
      <c r="Q1484">
        <v>412</v>
      </c>
      <c r="R1484" s="296">
        <v>0</v>
      </c>
      <c r="S1484" s="296">
        <v>0.9657</v>
      </c>
      <c r="T1484" s="297">
        <v>13107</v>
      </c>
      <c r="U1484" s="340">
        <v>111425</v>
      </c>
      <c r="V1484" s="340">
        <v>377171</v>
      </c>
      <c r="W1484" s="297">
        <v>30501</v>
      </c>
      <c r="X1484" s="296">
        <v>1.2E-2</v>
      </c>
    </row>
    <row r="1485" spans="13:24">
      <c r="M1485">
        <v>1483</v>
      </c>
      <c r="N1485">
        <v>62232</v>
      </c>
      <c r="O1485" t="s">
        <v>1513</v>
      </c>
      <c r="P1485" t="s">
        <v>131</v>
      </c>
      <c r="Q1485">
        <v>269</v>
      </c>
      <c r="R1485" s="296">
        <v>0</v>
      </c>
      <c r="S1485" s="296">
        <v>0.9657</v>
      </c>
      <c r="T1485" s="297">
        <v>2890</v>
      </c>
      <c r="U1485" s="340">
        <v>111401</v>
      </c>
      <c r="V1485" s="340">
        <v>249255</v>
      </c>
      <c r="W1485" s="297">
        <v>7559</v>
      </c>
      <c r="X1485" s="296">
        <v>2E-3</v>
      </c>
    </row>
    <row r="1486" spans="13:24">
      <c r="M1486">
        <v>1484</v>
      </c>
      <c r="N1486">
        <v>44094</v>
      </c>
      <c r="O1486" t="s">
        <v>1514</v>
      </c>
      <c r="P1486" t="s">
        <v>136</v>
      </c>
      <c r="Q1486">
        <v>330</v>
      </c>
      <c r="R1486" s="296">
        <v>0</v>
      </c>
      <c r="S1486" s="296">
        <v>0.96579999999999999</v>
      </c>
      <c r="T1486" s="297">
        <v>17581</v>
      </c>
      <c r="U1486" s="340">
        <v>110966</v>
      </c>
      <c r="V1486" s="340">
        <v>344343</v>
      </c>
      <c r="W1486" s="297">
        <v>37692</v>
      </c>
      <c r="X1486" s="296">
        <v>1E-3</v>
      </c>
    </row>
    <row r="1487" spans="13:24">
      <c r="M1487">
        <v>1485</v>
      </c>
      <c r="N1487">
        <v>46804</v>
      </c>
      <c r="O1487" t="s">
        <v>1078</v>
      </c>
      <c r="P1487" t="s">
        <v>144</v>
      </c>
      <c r="Q1487">
        <v>151</v>
      </c>
      <c r="R1487" s="296">
        <v>0</v>
      </c>
      <c r="S1487" s="296">
        <v>0.96579999999999999</v>
      </c>
      <c r="T1487" s="297">
        <v>13032</v>
      </c>
      <c r="U1487" s="340">
        <v>110927</v>
      </c>
      <c r="V1487" s="340">
        <v>279726</v>
      </c>
      <c r="W1487" s="297">
        <v>30352</v>
      </c>
      <c r="X1487" s="296">
        <v>6.0000000000000001E-3</v>
      </c>
    </row>
    <row r="1488" spans="13:24">
      <c r="M1488">
        <v>1486</v>
      </c>
      <c r="N1488">
        <v>91803</v>
      </c>
      <c r="O1488" t="s">
        <v>1515</v>
      </c>
      <c r="P1488" t="s">
        <v>132</v>
      </c>
      <c r="Q1488">
        <v>1731</v>
      </c>
      <c r="R1488" s="296">
        <v>0</v>
      </c>
      <c r="S1488" s="296">
        <v>0.96579999999999999</v>
      </c>
      <c r="T1488" s="297">
        <v>9714</v>
      </c>
      <c r="U1488" s="340">
        <v>110678</v>
      </c>
      <c r="V1488" s="340">
        <v>902733</v>
      </c>
      <c r="W1488" s="297">
        <v>27741</v>
      </c>
      <c r="X1488" s="296">
        <v>-7.0000000000000001E-3</v>
      </c>
    </row>
    <row r="1489" spans="13:24">
      <c r="M1489">
        <v>1487</v>
      </c>
      <c r="N1489">
        <v>94589</v>
      </c>
      <c r="O1489" t="s">
        <v>1516</v>
      </c>
      <c r="P1489" t="s">
        <v>132</v>
      </c>
      <c r="Q1489">
        <v>1830</v>
      </c>
      <c r="R1489" s="296">
        <v>0</v>
      </c>
      <c r="S1489" s="296">
        <v>0.96579999999999999</v>
      </c>
      <c r="T1489" s="297">
        <v>9551</v>
      </c>
      <c r="U1489" s="340">
        <v>110203</v>
      </c>
      <c r="V1489" s="340">
        <v>608687</v>
      </c>
      <c r="W1489" s="297">
        <v>32158</v>
      </c>
      <c r="X1489" s="296">
        <v>-3.0000000000000001E-3</v>
      </c>
    </row>
    <row r="1490" spans="13:24">
      <c r="M1490">
        <v>1488</v>
      </c>
      <c r="N1490">
        <v>37774</v>
      </c>
      <c r="O1490" t="s">
        <v>721</v>
      </c>
      <c r="P1490" t="s">
        <v>146</v>
      </c>
      <c r="Q1490">
        <v>480</v>
      </c>
      <c r="R1490" s="296">
        <v>0</v>
      </c>
      <c r="S1490" s="296">
        <v>0.96589999999999998</v>
      </c>
      <c r="T1490" s="297">
        <v>9708</v>
      </c>
      <c r="U1490" s="340">
        <v>109622</v>
      </c>
      <c r="V1490" s="340">
        <v>487698</v>
      </c>
      <c r="W1490" s="297">
        <v>22169</v>
      </c>
      <c r="X1490" s="296">
        <v>1.7999999999999999E-2</v>
      </c>
    </row>
    <row r="1491" spans="13:24">
      <c r="M1491">
        <v>1489</v>
      </c>
      <c r="N1491">
        <v>98662</v>
      </c>
      <c r="O1491" t="s">
        <v>1517</v>
      </c>
      <c r="P1491" t="s">
        <v>224</v>
      </c>
      <c r="Q1491">
        <v>1735</v>
      </c>
      <c r="R1491" s="296">
        <v>0</v>
      </c>
      <c r="S1491" s="296">
        <v>0.96589999999999998</v>
      </c>
      <c r="T1491" s="297">
        <v>14798</v>
      </c>
      <c r="U1491" s="340">
        <v>109606</v>
      </c>
      <c r="V1491" s="340">
        <v>572957</v>
      </c>
      <c r="W1491" s="297">
        <v>40273</v>
      </c>
      <c r="X1491" s="296">
        <v>1.2999999999999999E-2</v>
      </c>
    </row>
    <row r="1492" spans="13:24">
      <c r="M1492">
        <v>1490</v>
      </c>
      <c r="N1492">
        <v>68114</v>
      </c>
      <c r="O1492" t="s">
        <v>337</v>
      </c>
      <c r="P1492" t="s">
        <v>195</v>
      </c>
      <c r="Q1492">
        <v>430</v>
      </c>
      <c r="R1492" s="296">
        <v>0</v>
      </c>
      <c r="S1492" s="296">
        <v>0.96589999999999998</v>
      </c>
      <c r="T1492" s="297">
        <v>8524</v>
      </c>
      <c r="U1492" s="340">
        <v>109547</v>
      </c>
      <c r="V1492" s="340">
        <v>395476</v>
      </c>
      <c r="W1492" s="297">
        <v>18285</v>
      </c>
      <c r="X1492" s="296">
        <v>3.0000000000000001E-3</v>
      </c>
    </row>
    <row r="1493" spans="13:24">
      <c r="M1493">
        <v>1491</v>
      </c>
      <c r="N1493">
        <v>19938</v>
      </c>
      <c r="O1493" t="s">
        <v>315</v>
      </c>
      <c r="P1493" t="s">
        <v>164</v>
      </c>
      <c r="Q1493">
        <v>664</v>
      </c>
      <c r="R1493" s="296">
        <v>0</v>
      </c>
      <c r="S1493" s="296">
        <v>0.96589999999999998</v>
      </c>
      <c r="T1493" s="297">
        <v>4093</v>
      </c>
      <c r="U1493" s="340">
        <v>109506</v>
      </c>
      <c r="V1493" s="340">
        <v>377531</v>
      </c>
      <c r="W1493" s="297">
        <v>11473</v>
      </c>
      <c r="X1493" s="296">
        <v>1.9E-2</v>
      </c>
    </row>
    <row r="1494" spans="13:24">
      <c r="M1494">
        <v>1492</v>
      </c>
      <c r="N1494">
        <v>59317</v>
      </c>
      <c r="O1494" t="s">
        <v>1518</v>
      </c>
      <c r="P1494" t="s">
        <v>190</v>
      </c>
      <c r="Q1494">
        <v>911</v>
      </c>
      <c r="R1494" s="296">
        <v>0</v>
      </c>
      <c r="S1494" s="296">
        <v>0.96599999999999997</v>
      </c>
      <c r="T1494">
        <v>521</v>
      </c>
      <c r="U1494" s="340">
        <v>109446</v>
      </c>
      <c r="V1494" s="340">
        <v>315755</v>
      </c>
      <c r="W1494" s="297">
        <v>1156</v>
      </c>
      <c r="X1494" s="296">
        <v>0.01</v>
      </c>
    </row>
    <row r="1495" spans="13:24">
      <c r="M1495">
        <v>1493</v>
      </c>
      <c r="N1495">
        <v>28803</v>
      </c>
      <c r="O1495" t="s">
        <v>816</v>
      </c>
      <c r="P1495" t="s">
        <v>138</v>
      </c>
      <c r="Q1495">
        <v>537</v>
      </c>
      <c r="R1495" s="296">
        <v>0</v>
      </c>
      <c r="S1495" s="296">
        <v>0.96599999999999997</v>
      </c>
      <c r="T1495" s="297">
        <v>16290</v>
      </c>
      <c r="U1495" s="340">
        <v>109158</v>
      </c>
      <c r="V1495" s="340">
        <v>581586</v>
      </c>
      <c r="W1495" s="297">
        <v>34856</v>
      </c>
      <c r="X1495" s="296">
        <v>1.2999999999999999E-2</v>
      </c>
    </row>
    <row r="1496" spans="13:24">
      <c r="M1496">
        <v>1494</v>
      </c>
      <c r="N1496">
        <v>11385</v>
      </c>
      <c r="O1496" t="s">
        <v>589</v>
      </c>
      <c r="P1496" t="s">
        <v>128</v>
      </c>
      <c r="Q1496">
        <v>726</v>
      </c>
      <c r="R1496" s="296">
        <v>0</v>
      </c>
      <c r="S1496" s="296">
        <v>0.96599999999999997</v>
      </c>
      <c r="T1496" s="297">
        <v>35955</v>
      </c>
      <c r="U1496" s="340">
        <v>109157</v>
      </c>
      <c r="V1496" s="340">
        <v>915255</v>
      </c>
      <c r="W1496" s="297">
        <v>98070</v>
      </c>
      <c r="X1496" s="296">
        <v>-6.0000000000000001E-3</v>
      </c>
    </row>
    <row r="1497" spans="13:24">
      <c r="M1497">
        <v>1495</v>
      </c>
      <c r="N1497">
        <v>7002</v>
      </c>
      <c r="O1497" t="s">
        <v>1519</v>
      </c>
      <c r="P1497" t="s">
        <v>129</v>
      </c>
      <c r="Q1497">
        <v>715</v>
      </c>
      <c r="R1497" s="296">
        <v>0</v>
      </c>
      <c r="S1497" s="296">
        <v>0.96599999999999997</v>
      </c>
      <c r="T1497" s="297">
        <v>30475</v>
      </c>
      <c r="U1497" s="340">
        <v>109088</v>
      </c>
      <c r="V1497" s="340">
        <v>551359</v>
      </c>
      <c r="W1497" s="297">
        <v>77550</v>
      </c>
      <c r="X1497" s="296">
        <v>1.9E-2</v>
      </c>
    </row>
    <row r="1498" spans="13:24">
      <c r="M1498">
        <v>1496</v>
      </c>
      <c r="N1498">
        <v>87505</v>
      </c>
      <c r="O1498" t="s">
        <v>1442</v>
      </c>
      <c r="P1498" t="s">
        <v>200</v>
      </c>
      <c r="Q1498">
        <v>1069</v>
      </c>
      <c r="R1498" s="296">
        <v>0</v>
      </c>
      <c r="S1498" s="296">
        <v>0.96609999999999996</v>
      </c>
      <c r="T1498" s="297">
        <v>15995</v>
      </c>
      <c r="U1498" s="340">
        <v>109080</v>
      </c>
      <c r="V1498" s="340">
        <v>689618</v>
      </c>
      <c r="W1498" s="297">
        <v>31608</v>
      </c>
      <c r="X1498" s="296">
        <v>0</v>
      </c>
    </row>
    <row r="1499" spans="13:24">
      <c r="M1499">
        <v>1497</v>
      </c>
      <c r="N1499">
        <v>55337</v>
      </c>
      <c r="O1499" t="s">
        <v>1520</v>
      </c>
      <c r="P1499" t="s">
        <v>151</v>
      </c>
      <c r="Q1499">
        <v>330</v>
      </c>
      <c r="R1499" s="296">
        <v>0</v>
      </c>
      <c r="S1499" s="296">
        <v>0.96609999999999996</v>
      </c>
      <c r="T1499" s="297">
        <v>19063</v>
      </c>
      <c r="U1499" s="340">
        <v>108774</v>
      </c>
      <c r="V1499" s="340">
        <v>382765</v>
      </c>
      <c r="W1499" s="297">
        <v>48062</v>
      </c>
      <c r="X1499" s="296">
        <v>4.0000000000000001E-3</v>
      </c>
    </row>
    <row r="1500" spans="13:24">
      <c r="M1500">
        <v>1498</v>
      </c>
      <c r="N1500">
        <v>28115</v>
      </c>
      <c r="O1500" t="s">
        <v>637</v>
      </c>
      <c r="P1500" t="s">
        <v>138</v>
      </c>
      <c r="Q1500">
        <v>588</v>
      </c>
      <c r="R1500" s="296">
        <v>0</v>
      </c>
      <c r="S1500" s="296">
        <v>0.96609999999999996</v>
      </c>
      <c r="T1500" s="297">
        <v>17683</v>
      </c>
      <c r="U1500" s="340">
        <v>108706</v>
      </c>
      <c r="V1500" s="340">
        <v>396768</v>
      </c>
      <c r="W1500" s="297">
        <v>47358</v>
      </c>
      <c r="X1500" s="296">
        <v>0.02</v>
      </c>
    </row>
    <row r="1501" spans="13:24">
      <c r="M1501">
        <v>1499</v>
      </c>
      <c r="N1501">
        <v>74133</v>
      </c>
      <c r="O1501" t="s">
        <v>625</v>
      </c>
      <c r="P1501" t="s">
        <v>205</v>
      </c>
      <c r="Q1501">
        <v>605</v>
      </c>
      <c r="R1501" s="296">
        <v>0</v>
      </c>
      <c r="S1501" s="296">
        <v>0.96609999999999996</v>
      </c>
      <c r="T1501" s="297">
        <v>21174</v>
      </c>
      <c r="U1501" s="340">
        <v>108696</v>
      </c>
      <c r="V1501" s="340">
        <v>306638</v>
      </c>
      <c r="W1501" s="297">
        <v>49688</v>
      </c>
      <c r="X1501" s="296">
        <v>7.0000000000000001E-3</v>
      </c>
    </row>
    <row r="1502" spans="13:24">
      <c r="M1502">
        <v>1500</v>
      </c>
      <c r="N1502">
        <v>50047</v>
      </c>
      <c r="O1502" t="s">
        <v>435</v>
      </c>
      <c r="P1502" t="s">
        <v>170</v>
      </c>
      <c r="Q1502">
        <v>297</v>
      </c>
      <c r="R1502" s="296">
        <v>0</v>
      </c>
      <c r="S1502" s="296">
        <v>0.96619999999999995</v>
      </c>
      <c r="T1502" s="297">
        <v>2419</v>
      </c>
      <c r="U1502" s="340">
        <v>108603</v>
      </c>
      <c r="V1502" s="340">
        <v>261009</v>
      </c>
      <c r="W1502" s="297">
        <v>6365</v>
      </c>
      <c r="X1502" s="296">
        <v>1.0999999999999999E-2</v>
      </c>
    </row>
    <row r="1503" spans="13:24">
      <c r="M1503">
        <v>1501</v>
      </c>
      <c r="N1503">
        <v>53019</v>
      </c>
      <c r="O1503" t="s">
        <v>1521</v>
      </c>
      <c r="P1503" t="s">
        <v>149</v>
      </c>
      <c r="Q1503">
        <v>110</v>
      </c>
      <c r="R1503" s="296">
        <v>0</v>
      </c>
      <c r="S1503" s="296">
        <v>0.96619999999999995</v>
      </c>
      <c r="T1503">
        <v>887</v>
      </c>
      <c r="U1503" s="340">
        <v>108533</v>
      </c>
      <c r="V1503" s="340">
        <v>339948</v>
      </c>
      <c r="W1503" s="297">
        <v>2267</v>
      </c>
      <c r="X1503" s="296">
        <v>1.2E-2</v>
      </c>
    </row>
    <row r="1504" spans="13:24">
      <c r="M1504">
        <v>1502</v>
      </c>
      <c r="N1504">
        <v>54449</v>
      </c>
      <c r="O1504" t="s">
        <v>392</v>
      </c>
      <c r="P1504" t="s">
        <v>149</v>
      </c>
      <c r="Q1504">
        <v>211</v>
      </c>
      <c r="R1504" s="296">
        <v>0</v>
      </c>
      <c r="S1504" s="296">
        <v>0.96619999999999995</v>
      </c>
      <c r="T1504" s="297">
        <v>11936</v>
      </c>
      <c r="U1504" s="340">
        <v>108491</v>
      </c>
      <c r="V1504" s="340">
        <v>275290</v>
      </c>
      <c r="W1504" s="297">
        <v>26688</v>
      </c>
      <c r="X1504" s="296">
        <v>1E-3</v>
      </c>
    </row>
    <row r="1505" spans="13:24">
      <c r="M1505">
        <v>1503</v>
      </c>
      <c r="N1505">
        <v>54209</v>
      </c>
      <c r="O1505" t="s">
        <v>1522</v>
      </c>
      <c r="P1505" t="s">
        <v>149</v>
      </c>
      <c r="Q1505">
        <v>200</v>
      </c>
      <c r="R1505" s="296">
        <v>0</v>
      </c>
      <c r="S1505" s="296">
        <v>0.96619999999999995</v>
      </c>
      <c r="T1505">
        <v>705</v>
      </c>
      <c r="U1505" s="340">
        <v>108479</v>
      </c>
      <c r="V1505" s="340">
        <v>579006</v>
      </c>
      <c r="W1505" s="297">
        <v>1506</v>
      </c>
      <c r="X1505" s="296">
        <v>6.0000000000000001E-3</v>
      </c>
    </row>
    <row r="1506" spans="13:24">
      <c r="M1506">
        <v>1504</v>
      </c>
      <c r="N1506">
        <v>14586</v>
      </c>
      <c r="O1506" t="s">
        <v>1523</v>
      </c>
      <c r="P1506" t="s">
        <v>128</v>
      </c>
      <c r="Q1506">
        <v>517</v>
      </c>
      <c r="R1506" s="296">
        <v>0</v>
      </c>
      <c r="S1506" s="296">
        <v>0.96630000000000005</v>
      </c>
      <c r="T1506" s="297">
        <v>5136</v>
      </c>
      <c r="U1506" s="340">
        <v>108453</v>
      </c>
      <c r="V1506" s="340">
        <v>304993</v>
      </c>
      <c r="W1506" s="297">
        <v>13773</v>
      </c>
      <c r="X1506" s="296">
        <v>0.01</v>
      </c>
    </row>
    <row r="1507" spans="13:24">
      <c r="M1507">
        <v>1505</v>
      </c>
      <c r="N1507">
        <v>62097</v>
      </c>
      <c r="O1507" t="s">
        <v>1524</v>
      </c>
      <c r="P1507" t="s">
        <v>131</v>
      </c>
      <c r="Q1507">
        <v>247</v>
      </c>
      <c r="R1507" s="296">
        <v>0</v>
      </c>
      <c r="S1507" s="296">
        <v>0.96630000000000005</v>
      </c>
      <c r="T1507" s="297">
        <v>1092</v>
      </c>
      <c r="U1507" s="340">
        <v>108432</v>
      </c>
      <c r="V1507" s="340">
        <v>309234</v>
      </c>
      <c r="W1507" s="297">
        <v>2796</v>
      </c>
      <c r="X1507" s="296">
        <v>-8.9999999999999993E-3</v>
      </c>
    </row>
    <row r="1508" spans="13:24">
      <c r="M1508">
        <v>1506</v>
      </c>
      <c r="N1508">
        <v>24104</v>
      </c>
      <c r="O1508" t="s">
        <v>1525</v>
      </c>
      <c r="P1508" t="s">
        <v>139</v>
      </c>
      <c r="Q1508">
        <v>561</v>
      </c>
      <c r="R1508" s="296">
        <v>0</v>
      </c>
      <c r="S1508" s="296">
        <v>0.96630000000000005</v>
      </c>
      <c r="T1508" s="297">
        <v>1626</v>
      </c>
      <c r="U1508" s="340">
        <v>108347</v>
      </c>
      <c r="V1508" s="340">
        <v>591335</v>
      </c>
      <c r="W1508" s="297">
        <v>3642</v>
      </c>
      <c r="X1508" s="296">
        <v>6.0000000000000001E-3</v>
      </c>
    </row>
    <row r="1509" spans="13:24">
      <c r="M1509">
        <v>1507</v>
      </c>
      <c r="N1509">
        <v>91702</v>
      </c>
      <c r="O1509" t="s">
        <v>1526</v>
      </c>
      <c r="P1509" t="s">
        <v>132</v>
      </c>
      <c r="Q1509">
        <v>1717</v>
      </c>
      <c r="R1509" s="296">
        <v>0</v>
      </c>
      <c r="S1509" s="296">
        <v>0.96630000000000005</v>
      </c>
      <c r="T1509" s="297">
        <v>17699</v>
      </c>
      <c r="U1509" s="340">
        <v>108246</v>
      </c>
      <c r="V1509" s="340">
        <v>744858</v>
      </c>
      <c r="W1509" s="297">
        <v>61319</v>
      </c>
      <c r="X1509" s="296">
        <v>-4.0000000000000001E-3</v>
      </c>
    </row>
    <row r="1510" spans="13:24">
      <c r="M1510">
        <v>1508</v>
      </c>
      <c r="N1510">
        <v>17731</v>
      </c>
      <c r="O1510" t="s">
        <v>1527</v>
      </c>
      <c r="P1510" t="s">
        <v>133</v>
      </c>
      <c r="Q1510">
        <v>579</v>
      </c>
      <c r="R1510" s="296">
        <v>0</v>
      </c>
      <c r="S1510" s="296">
        <v>0.96640000000000004</v>
      </c>
      <c r="T1510">
        <v>86</v>
      </c>
      <c r="U1510" s="340">
        <v>108086</v>
      </c>
      <c r="V1510" s="340">
        <v>425000</v>
      </c>
      <c r="W1510">
        <v>185</v>
      </c>
      <c r="X1510" s="296">
        <v>5.3999999999999999E-2</v>
      </c>
    </row>
    <row r="1511" spans="13:24">
      <c r="M1511">
        <v>1509</v>
      </c>
      <c r="N1511">
        <v>54669</v>
      </c>
      <c r="O1511" t="s">
        <v>1528</v>
      </c>
      <c r="P1511" t="s">
        <v>149</v>
      </c>
      <c r="Q1511">
        <v>206</v>
      </c>
      <c r="R1511" s="296">
        <v>0</v>
      </c>
      <c r="S1511" s="296">
        <v>0.96640000000000004</v>
      </c>
      <c r="T1511" s="297">
        <v>3264</v>
      </c>
      <c r="U1511" s="340">
        <v>107712</v>
      </c>
      <c r="V1511" s="340">
        <v>338293</v>
      </c>
      <c r="W1511" s="297">
        <v>8275</v>
      </c>
      <c r="X1511" s="296">
        <v>2E-3</v>
      </c>
    </row>
    <row r="1512" spans="13:24">
      <c r="M1512">
        <v>1510</v>
      </c>
      <c r="N1512">
        <v>33445</v>
      </c>
      <c r="O1512" t="s">
        <v>1449</v>
      </c>
      <c r="P1512" t="s">
        <v>127</v>
      </c>
      <c r="Q1512">
        <v>1168</v>
      </c>
      <c r="R1512" s="296">
        <v>0</v>
      </c>
      <c r="S1512" s="296">
        <v>0.96640000000000004</v>
      </c>
      <c r="T1512" s="297">
        <v>15543</v>
      </c>
      <c r="U1512" s="340">
        <v>107580</v>
      </c>
      <c r="V1512" s="340">
        <v>525146</v>
      </c>
      <c r="W1512" s="297">
        <v>32464</v>
      </c>
      <c r="X1512" s="296">
        <v>1E-3</v>
      </c>
    </row>
    <row r="1513" spans="13:24">
      <c r="M1513">
        <v>1511</v>
      </c>
      <c r="N1513">
        <v>37128</v>
      </c>
      <c r="O1513" t="s">
        <v>1529</v>
      </c>
      <c r="P1513" t="s">
        <v>146</v>
      </c>
      <c r="Q1513">
        <v>441</v>
      </c>
      <c r="R1513" s="296">
        <v>0</v>
      </c>
      <c r="S1513" s="296">
        <v>0.96640000000000004</v>
      </c>
      <c r="T1513" s="297">
        <v>30690</v>
      </c>
      <c r="U1513" s="340">
        <v>107565</v>
      </c>
      <c r="V1513" s="340">
        <v>451819</v>
      </c>
      <c r="W1513" s="297">
        <v>83118</v>
      </c>
      <c r="X1513" s="296">
        <v>3.7999999999999999E-2</v>
      </c>
    </row>
    <row r="1514" spans="13:24">
      <c r="M1514">
        <v>1512</v>
      </c>
      <c r="N1514">
        <v>78130</v>
      </c>
      <c r="O1514" t="s">
        <v>629</v>
      </c>
      <c r="P1514" t="s">
        <v>134</v>
      </c>
      <c r="Q1514">
        <v>1032</v>
      </c>
      <c r="R1514" s="296">
        <v>0</v>
      </c>
      <c r="S1514" s="296">
        <v>0.96650000000000003</v>
      </c>
      <c r="T1514" s="297">
        <v>39893</v>
      </c>
      <c r="U1514" s="340">
        <v>107373</v>
      </c>
      <c r="V1514" s="340">
        <v>387548</v>
      </c>
      <c r="W1514" s="297">
        <v>104188</v>
      </c>
      <c r="X1514" s="296">
        <v>0.04</v>
      </c>
    </row>
    <row r="1515" spans="13:24">
      <c r="M1515">
        <v>1513</v>
      </c>
      <c r="N1515">
        <v>52726</v>
      </c>
      <c r="O1515" t="s">
        <v>1530</v>
      </c>
      <c r="P1515" t="s">
        <v>170</v>
      </c>
      <c r="Q1515">
        <v>160</v>
      </c>
      <c r="R1515" s="296">
        <v>0</v>
      </c>
      <c r="S1515" s="296">
        <v>0.96650000000000003</v>
      </c>
      <c r="T1515" s="297">
        <v>1818</v>
      </c>
      <c r="U1515" s="340">
        <v>107280</v>
      </c>
      <c r="V1515" s="340">
        <v>308035</v>
      </c>
      <c r="W1515" s="297">
        <v>4580</v>
      </c>
      <c r="X1515" s="296">
        <v>-4.0000000000000001E-3</v>
      </c>
    </row>
    <row r="1516" spans="13:24">
      <c r="M1516">
        <v>1514</v>
      </c>
      <c r="N1516">
        <v>32533</v>
      </c>
      <c r="O1516" t="s">
        <v>1531</v>
      </c>
      <c r="P1516" t="s">
        <v>127</v>
      </c>
      <c r="Q1516">
        <v>797</v>
      </c>
      <c r="R1516" s="296">
        <v>0</v>
      </c>
      <c r="S1516" s="296">
        <v>0.96650000000000003</v>
      </c>
      <c r="T1516" s="297">
        <v>12290</v>
      </c>
      <c r="U1516" s="340">
        <v>107168</v>
      </c>
      <c r="V1516" s="340">
        <v>356029</v>
      </c>
      <c r="W1516" s="297">
        <v>32034</v>
      </c>
      <c r="X1516" s="296">
        <v>7.0000000000000001E-3</v>
      </c>
    </row>
    <row r="1517" spans="13:24">
      <c r="M1517">
        <v>1515</v>
      </c>
      <c r="N1517">
        <v>33021</v>
      </c>
      <c r="O1517" t="s">
        <v>542</v>
      </c>
      <c r="P1517" t="s">
        <v>127</v>
      </c>
      <c r="Q1517">
        <v>1195</v>
      </c>
      <c r="R1517" s="296">
        <v>0</v>
      </c>
      <c r="S1517" s="296">
        <v>0.96650000000000003</v>
      </c>
      <c r="T1517" s="297">
        <v>21013</v>
      </c>
      <c r="U1517" s="340">
        <v>107129</v>
      </c>
      <c r="V1517" s="340">
        <v>470886</v>
      </c>
      <c r="W1517" s="297">
        <v>51176</v>
      </c>
      <c r="X1517" s="296">
        <v>7.0000000000000001E-3</v>
      </c>
    </row>
    <row r="1518" spans="13:24">
      <c r="M1518">
        <v>1516</v>
      </c>
      <c r="N1518">
        <v>97502</v>
      </c>
      <c r="O1518" t="s">
        <v>1532</v>
      </c>
      <c r="P1518" t="s">
        <v>207</v>
      </c>
      <c r="Q1518">
        <v>1783</v>
      </c>
      <c r="R1518" s="296">
        <v>0</v>
      </c>
      <c r="S1518" s="296">
        <v>0.96660000000000001</v>
      </c>
      <c r="T1518" s="297">
        <v>11784</v>
      </c>
      <c r="U1518" s="340">
        <v>106979</v>
      </c>
      <c r="V1518" s="340">
        <v>494775</v>
      </c>
      <c r="W1518" s="297">
        <v>30955</v>
      </c>
      <c r="X1518" s="296">
        <v>8.9999999999999993E-3</v>
      </c>
    </row>
    <row r="1519" spans="13:24">
      <c r="M1519">
        <v>1517</v>
      </c>
      <c r="N1519">
        <v>75442</v>
      </c>
      <c r="O1519" t="s">
        <v>1533</v>
      </c>
      <c r="P1519" t="s">
        <v>134</v>
      </c>
      <c r="Q1519">
        <v>776</v>
      </c>
      <c r="R1519" s="296">
        <v>0</v>
      </c>
      <c r="S1519" s="296">
        <v>0.96660000000000001</v>
      </c>
      <c r="T1519" s="297">
        <v>4129</v>
      </c>
      <c r="U1519" s="340">
        <v>106740</v>
      </c>
      <c r="V1519" s="340">
        <v>448612</v>
      </c>
      <c r="W1519" s="297">
        <v>11918</v>
      </c>
      <c r="X1519" s="296">
        <v>1.9E-2</v>
      </c>
    </row>
    <row r="1520" spans="13:24">
      <c r="M1520">
        <v>1518</v>
      </c>
      <c r="N1520">
        <v>48017</v>
      </c>
      <c r="O1520" t="s">
        <v>1534</v>
      </c>
      <c r="P1520" t="s">
        <v>140</v>
      </c>
      <c r="Q1520">
        <v>238</v>
      </c>
      <c r="R1520" s="296">
        <v>0</v>
      </c>
      <c r="S1520" s="296">
        <v>0.96660000000000001</v>
      </c>
      <c r="T1520" s="297">
        <v>5658</v>
      </c>
      <c r="U1520" s="340">
        <v>106696</v>
      </c>
      <c r="V1520" s="340">
        <v>295406</v>
      </c>
      <c r="W1520" s="297">
        <v>11452</v>
      </c>
      <c r="X1520" s="296">
        <v>0</v>
      </c>
    </row>
    <row r="1521" spans="13:24">
      <c r="M1521">
        <v>1519</v>
      </c>
      <c r="N1521">
        <v>87114</v>
      </c>
      <c r="O1521" t="s">
        <v>783</v>
      </c>
      <c r="P1521" t="s">
        <v>200</v>
      </c>
      <c r="Q1521">
        <v>1133</v>
      </c>
      <c r="R1521" s="296">
        <v>0</v>
      </c>
      <c r="S1521" s="296">
        <v>0.96660000000000001</v>
      </c>
      <c r="T1521" s="297">
        <v>27101</v>
      </c>
      <c r="U1521" s="340">
        <v>106674</v>
      </c>
      <c r="V1521" s="340">
        <v>350192</v>
      </c>
      <c r="W1521" s="297">
        <v>69505</v>
      </c>
      <c r="X1521" s="296">
        <v>-1E-3</v>
      </c>
    </row>
    <row r="1522" spans="13:24">
      <c r="M1522">
        <v>1520</v>
      </c>
      <c r="N1522">
        <v>55060</v>
      </c>
      <c r="O1522" t="s">
        <v>1535</v>
      </c>
      <c r="P1522" t="s">
        <v>151</v>
      </c>
      <c r="Q1522">
        <v>305</v>
      </c>
      <c r="R1522" s="296">
        <v>0</v>
      </c>
      <c r="S1522" s="296">
        <v>0.9667</v>
      </c>
      <c r="T1522" s="297">
        <v>12034</v>
      </c>
      <c r="U1522" s="340">
        <v>106431</v>
      </c>
      <c r="V1522" s="340">
        <v>289619</v>
      </c>
      <c r="W1522" s="297">
        <v>30106</v>
      </c>
      <c r="X1522" s="296">
        <v>1E-3</v>
      </c>
    </row>
    <row r="1523" spans="13:24">
      <c r="M1523">
        <v>1521</v>
      </c>
      <c r="N1523">
        <v>28110</v>
      </c>
      <c r="O1523" t="s">
        <v>610</v>
      </c>
      <c r="P1523" t="s">
        <v>138</v>
      </c>
      <c r="Q1523">
        <v>629</v>
      </c>
      <c r="R1523" s="296">
        <v>0</v>
      </c>
      <c r="S1523" s="296">
        <v>0.9667</v>
      </c>
      <c r="T1523" s="297">
        <v>20940</v>
      </c>
      <c r="U1523" s="340">
        <v>106247</v>
      </c>
      <c r="V1523" s="340">
        <v>424401</v>
      </c>
      <c r="W1523" s="297">
        <v>59631</v>
      </c>
      <c r="X1523" s="296">
        <v>2.7E-2</v>
      </c>
    </row>
    <row r="1524" spans="13:24">
      <c r="M1524">
        <v>1522</v>
      </c>
      <c r="N1524">
        <v>92805</v>
      </c>
      <c r="O1524" t="s">
        <v>769</v>
      </c>
      <c r="P1524" t="s">
        <v>132</v>
      </c>
      <c r="Q1524">
        <v>1727</v>
      </c>
      <c r="R1524" s="296">
        <v>0</v>
      </c>
      <c r="S1524" s="296">
        <v>0.9667</v>
      </c>
      <c r="T1524" s="297">
        <v>22743</v>
      </c>
      <c r="U1524" s="340">
        <v>106143</v>
      </c>
      <c r="V1524" s="340">
        <v>883774</v>
      </c>
      <c r="W1524" s="297">
        <v>77441</v>
      </c>
      <c r="X1524" s="296">
        <v>8.0000000000000002E-3</v>
      </c>
    </row>
    <row r="1525" spans="13:24">
      <c r="M1525">
        <v>1523</v>
      </c>
      <c r="N1525">
        <v>44070</v>
      </c>
      <c r="O1525" t="s">
        <v>1536</v>
      </c>
      <c r="P1525" t="s">
        <v>136</v>
      </c>
      <c r="Q1525">
        <v>307</v>
      </c>
      <c r="R1525" s="296">
        <v>0</v>
      </c>
      <c r="S1525" s="296">
        <v>0.9667</v>
      </c>
      <c r="T1525" s="297">
        <v>13653</v>
      </c>
      <c r="U1525" s="340">
        <v>106083</v>
      </c>
      <c r="V1525" s="340">
        <v>233056</v>
      </c>
      <c r="W1525" s="297">
        <v>31557</v>
      </c>
      <c r="X1525" s="296">
        <v>-7.0000000000000001E-3</v>
      </c>
    </row>
    <row r="1526" spans="13:24">
      <c r="M1526">
        <v>1524</v>
      </c>
      <c r="N1526">
        <v>58601</v>
      </c>
      <c r="O1526" t="s">
        <v>1537</v>
      </c>
      <c r="P1526" t="s">
        <v>193</v>
      </c>
      <c r="Q1526">
        <v>803</v>
      </c>
      <c r="R1526" s="296">
        <v>0</v>
      </c>
      <c r="S1526" s="296">
        <v>0.96679999999999999</v>
      </c>
      <c r="T1526" s="297">
        <v>12393</v>
      </c>
      <c r="U1526" s="340">
        <v>105885</v>
      </c>
      <c r="V1526" s="340">
        <v>309583</v>
      </c>
      <c r="W1526" s="297">
        <v>30612</v>
      </c>
      <c r="X1526" s="296">
        <v>7.0000000000000001E-3</v>
      </c>
    </row>
    <row r="1527" spans="13:24">
      <c r="M1527">
        <v>1525</v>
      </c>
      <c r="N1527">
        <v>61020</v>
      </c>
      <c r="O1527" t="s">
        <v>1538</v>
      </c>
      <c r="P1527" t="s">
        <v>131</v>
      </c>
      <c r="Q1527">
        <v>67</v>
      </c>
      <c r="R1527" s="296">
        <v>0</v>
      </c>
      <c r="S1527" s="296">
        <v>0.96679999999999999</v>
      </c>
      <c r="T1527" s="297">
        <v>1053</v>
      </c>
      <c r="U1527" s="340">
        <v>105786</v>
      </c>
      <c r="V1527" s="340">
        <v>218368</v>
      </c>
      <c r="W1527" s="297">
        <v>3111</v>
      </c>
      <c r="X1527" s="296">
        <v>-8.0000000000000002E-3</v>
      </c>
    </row>
    <row r="1528" spans="13:24">
      <c r="M1528">
        <v>1526</v>
      </c>
      <c r="N1528">
        <v>53578</v>
      </c>
      <c r="O1528" t="s">
        <v>1539</v>
      </c>
      <c r="P1528" t="s">
        <v>149</v>
      </c>
      <c r="Q1528">
        <v>127</v>
      </c>
      <c r="R1528" s="296">
        <v>0</v>
      </c>
      <c r="S1528" s="296">
        <v>0.96679999999999999</v>
      </c>
      <c r="T1528" s="297">
        <v>2669</v>
      </c>
      <c r="U1528" s="340">
        <v>105745</v>
      </c>
      <c r="V1528" s="340">
        <v>373121</v>
      </c>
      <c r="W1528" s="297">
        <v>6530</v>
      </c>
      <c r="X1528" s="296">
        <v>-4.0000000000000001E-3</v>
      </c>
    </row>
    <row r="1529" spans="13:24">
      <c r="M1529">
        <v>1527</v>
      </c>
      <c r="N1529">
        <v>78410</v>
      </c>
      <c r="O1529" t="s">
        <v>1540</v>
      </c>
      <c r="P1529" t="s">
        <v>134</v>
      </c>
      <c r="Q1529">
        <v>1132</v>
      </c>
      <c r="R1529" s="296">
        <v>0</v>
      </c>
      <c r="S1529" s="296">
        <v>0.96679999999999999</v>
      </c>
      <c r="T1529" s="297">
        <v>10800</v>
      </c>
      <c r="U1529" s="340">
        <v>105661</v>
      </c>
      <c r="V1529" s="340">
        <v>272310</v>
      </c>
      <c r="W1529" s="297">
        <v>29661</v>
      </c>
      <c r="X1529" s="296">
        <v>3.0000000000000001E-3</v>
      </c>
    </row>
    <row r="1530" spans="13:24">
      <c r="M1530">
        <v>1528</v>
      </c>
      <c r="N1530">
        <v>23320</v>
      </c>
      <c r="O1530" t="s">
        <v>541</v>
      </c>
      <c r="P1530" t="s">
        <v>139</v>
      </c>
      <c r="Q1530">
        <v>720</v>
      </c>
      <c r="R1530" s="296">
        <v>0</v>
      </c>
      <c r="S1530" s="296">
        <v>0.96689999999999998</v>
      </c>
      <c r="T1530" s="297">
        <v>25865</v>
      </c>
      <c r="U1530" s="340">
        <v>105656</v>
      </c>
      <c r="V1530" s="340">
        <v>421327</v>
      </c>
      <c r="W1530" s="297">
        <v>61852</v>
      </c>
      <c r="X1530" s="296">
        <v>7.0000000000000001E-3</v>
      </c>
    </row>
    <row r="1531" spans="13:24">
      <c r="M1531">
        <v>1529</v>
      </c>
      <c r="N1531">
        <v>49286</v>
      </c>
      <c r="O1531" t="s">
        <v>811</v>
      </c>
      <c r="P1531" t="s">
        <v>140</v>
      </c>
      <c r="Q1531">
        <v>198</v>
      </c>
      <c r="R1531" s="296">
        <v>0</v>
      </c>
      <c r="S1531" s="296">
        <v>0.96689999999999998</v>
      </c>
      <c r="T1531" s="297">
        <v>6363</v>
      </c>
      <c r="U1531" s="340">
        <v>105646</v>
      </c>
      <c r="V1531" s="340">
        <v>280302</v>
      </c>
      <c r="W1531" s="297">
        <v>15379</v>
      </c>
      <c r="X1531" s="296">
        <v>4.0000000000000001E-3</v>
      </c>
    </row>
    <row r="1532" spans="13:24">
      <c r="M1532">
        <v>1530</v>
      </c>
      <c r="N1532">
        <v>48854</v>
      </c>
      <c r="O1532" t="s">
        <v>1160</v>
      </c>
      <c r="P1532" t="s">
        <v>140</v>
      </c>
      <c r="Q1532">
        <v>173</v>
      </c>
      <c r="R1532" s="296">
        <v>0</v>
      </c>
      <c r="S1532" s="296">
        <v>0.96689999999999998</v>
      </c>
      <c r="T1532" s="297">
        <v>7572</v>
      </c>
      <c r="U1532" s="340">
        <v>105641</v>
      </c>
      <c r="V1532" s="340">
        <v>280506</v>
      </c>
      <c r="W1532" s="297">
        <v>19222</v>
      </c>
      <c r="X1532" s="296">
        <v>-4.0000000000000001E-3</v>
      </c>
    </row>
    <row r="1533" spans="13:24">
      <c r="M1533">
        <v>1531</v>
      </c>
      <c r="N1533">
        <v>75115</v>
      </c>
      <c r="O1533" t="s">
        <v>1541</v>
      </c>
      <c r="P1533" t="s">
        <v>134</v>
      </c>
      <c r="Q1533">
        <v>826</v>
      </c>
      <c r="R1533" s="296">
        <v>0</v>
      </c>
      <c r="S1533" s="296">
        <v>0.96689999999999998</v>
      </c>
      <c r="T1533" s="297">
        <v>21589</v>
      </c>
      <c r="U1533" s="340">
        <v>105560</v>
      </c>
      <c r="V1533" s="340">
        <v>349647</v>
      </c>
      <c r="W1533" s="297">
        <v>59950</v>
      </c>
      <c r="X1533" s="296">
        <v>4.0000000000000001E-3</v>
      </c>
    </row>
    <row r="1534" spans="13:24">
      <c r="M1534">
        <v>1532</v>
      </c>
      <c r="N1534">
        <v>44212</v>
      </c>
      <c r="O1534" t="s">
        <v>571</v>
      </c>
      <c r="P1534" t="s">
        <v>136</v>
      </c>
      <c r="Q1534">
        <v>314</v>
      </c>
      <c r="R1534" s="296">
        <v>0</v>
      </c>
      <c r="S1534" s="296">
        <v>0.96699999999999997</v>
      </c>
      <c r="T1534" s="297">
        <v>18445</v>
      </c>
      <c r="U1534" s="340">
        <v>105388</v>
      </c>
      <c r="V1534" s="340">
        <v>279774</v>
      </c>
      <c r="W1534" s="297">
        <v>46045</v>
      </c>
      <c r="X1534" s="296">
        <v>1E-3</v>
      </c>
    </row>
    <row r="1535" spans="13:24">
      <c r="M1535">
        <v>1533</v>
      </c>
      <c r="N1535">
        <v>7026</v>
      </c>
      <c r="O1535" t="s">
        <v>1542</v>
      </c>
      <c r="P1535" t="s">
        <v>129</v>
      </c>
      <c r="Q1535">
        <v>712</v>
      </c>
      <c r="R1535" s="296">
        <v>0</v>
      </c>
      <c r="S1535" s="296">
        <v>0.96699999999999997</v>
      </c>
      <c r="T1535" s="297">
        <v>11834</v>
      </c>
      <c r="U1535" s="340">
        <v>105387</v>
      </c>
      <c r="V1535" s="340">
        <v>508889</v>
      </c>
      <c r="W1535" s="297">
        <v>32236</v>
      </c>
      <c r="X1535" s="296">
        <v>0</v>
      </c>
    </row>
    <row r="1536" spans="13:24">
      <c r="M1536">
        <v>1534</v>
      </c>
      <c r="N1536">
        <v>23453</v>
      </c>
      <c r="O1536" t="s">
        <v>695</v>
      </c>
      <c r="P1536" t="s">
        <v>139</v>
      </c>
      <c r="Q1536">
        <v>726</v>
      </c>
      <c r="R1536" s="296">
        <v>0</v>
      </c>
      <c r="S1536" s="296">
        <v>0.96699999999999997</v>
      </c>
      <c r="T1536" s="297">
        <v>12798</v>
      </c>
      <c r="U1536" s="340">
        <v>105340</v>
      </c>
      <c r="V1536" s="340">
        <v>397400</v>
      </c>
      <c r="W1536" s="297">
        <v>35653</v>
      </c>
      <c r="X1536" s="296">
        <v>-3.0000000000000001E-3</v>
      </c>
    </row>
    <row r="1537" spans="13:24">
      <c r="M1537">
        <v>1535</v>
      </c>
      <c r="N1537">
        <v>32837</v>
      </c>
      <c r="O1537" t="s">
        <v>539</v>
      </c>
      <c r="P1537" t="s">
        <v>127</v>
      </c>
      <c r="Q1537">
        <v>1015</v>
      </c>
      <c r="R1537" s="296">
        <v>0</v>
      </c>
      <c r="S1537" s="296">
        <v>0.96699999999999997</v>
      </c>
      <c r="T1537" s="297">
        <v>19336</v>
      </c>
      <c r="U1537" s="340">
        <v>105175</v>
      </c>
      <c r="V1537" s="340">
        <v>493821</v>
      </c>
      <c r="W1537" s="297">
        <v>58743</v>
      </c>
      <c r="X1537" s="296">
        <v>8.0000000000000002E-3</v>
      </c>
    </row>
    <row r="1538" spans="13:24">
      <c r="M1538">
        <v>1536</v>
      </c>
      <c r="N1538">
        <v>32812</v>
      </c>
      <c r="O1538" t="s">
        <v>539</v>
      </c>
      <c r="P1538" t="s">
        <v>127</v>
      </c>
      <c r="Q1538">
        <v>1010</v>
      </c>
      <c r="R1538" s="296">
        <v>0</v>
      </c>
      <c r="S1538" s="296">
        <v>0.96709999999999996</v>
      </c>
      <c r="T1538" s="297">
        <v>14235</v>
      </c>
      <c r="U1538" s="340">
        <v>104916</v>
      </c>
      <c r="V1538" s="340">
        <v>467497</v>
      </c>
      <c r="W1538" s="297">
        <v>34914</v>
      </c>
      <c r="X1538" s="296">
        <v>7.0000000000000001E-3</v>
      </c>
    </row>
    <row r="1539" spans="13:24">
      <c r="M1539">
        <v>1537</v>
      </c>
      <c r="N1539">
        <v>54963</v>
      </c>
      <c r="O1539" t="s">
        <v>1543</v>
      </c>
      <c r="P1539" t="s">
        <v>149</v>
      </c>
      <c r="Q1539">
        <v>140</v>
      </c>
      <c r="R1539" s="296">
        <v>0</v>
      </c>
      <c r="S1539" s="296">
        <v>0.96709999999999996</v>
      </c>
      <c r="T1539" s="297">
        <v>3010</v>
      </c>
      <c r="U1539" s="340">
        <v>104835</v>
      </c>
      <c r="V1539" s="340">
        <v>340968</v>
      </c>
      <c r="W1539" s="297">
        <v>7609</v>
      </c>
      <c r="X1539" s="296">
        <v>1E-3</v>
      </c>
    </row>
    <row r="1540" spans="13:24">
      <c r="M1540">
        <v>1538</v>
      </c>
      <c r="N1540">
        <v>10303</v>
      </c>
      <c r="O1540" t="s">
        <v>644</v>
      </c>
      <c r="P1540" t="s">
        <v>128</v>
      </c>
      <c r="Q1540">
        <v>713</v>
      </c>
      <c r="R1540" s="296">
        <v>0</v>
      </c>
      <c r="S1540" s="296">
        <v>0.96709999999999996</v>
      </c>
      <c r="T1540" s="297">
        <v>8749</v>
      </c>
      <c r="U1540" s="340">
        <v>104758</v>
      </c>
      <c r="V1540" s="340">
        <v>546684</v>
      </c>
      <c r="W1540" s="297">
        <v>27960</v>
      </c>
      <c r="X1540" s="296">
        <v>0</v>
      </c>
    </row>
    <row r="1541" spans="13:24">
      <c r="M1541">
        <v>1539</v>
      </c>
      <c r="N1541">
        <v>14502</v>
      </c>
      <c r="O1541" t="s">
        <v>1544</v>
      </c>
      <c r="P1541" t="s">
        <v>128</v>
      </c>
      <c r="Q1541">
        <v>535</v>
      </c>
      <c r="R1541" s="296">
        <v>0</v>
      </c>
      <c r="S1541" s="296">
        <v>0.96709999999999996</v>
      </c>
      <c r="T1541" s="297">
        <v>4489</v>
      </c>
      <c r="U1541" s="340">
        <v>104652</v>
      </c>
      <c r="V1541" s="340">
        <v>241431</v>
      </c>
      <c r="W1541" s="297">
        <v>10947</v>
      </c>
      <c r="X1541" s="296">
        <v>-3.0000000000000001E-3</v>
      </c>
    </row>
    <row r="1542" spans="13:24">
      <c r="M1542">
        <v>1540</v>
      </c>
      <c r="N1542">
        <v>7306</v>
      </c>
      <c r="O1542" t="s">
        <v>492</v>
      </c>
      <c r="P1542" t="s">
        <v>129</v>
      </c>
      <c r="Q1542">
        <v>716</v>
      </c>
      <c r="R1542" s="296">
        <v>0</v>
      </c>
      <c r="S1542" s="296">
        <v>0.96719999999999995</v>
      </c>
      <c r="T1542" s="297">
        <v>25384</v>
      </c>
      <c r="U1542" s="340">
        <v>104426</v>
      </c>
      <c r="V1542" s="340">
        <v>635178</v>
      </c>
      <c r="W1542" s="297">
        <v>63124</v>
      </c>
      <c r="X1542" s="296">
        <v>2.5000000000000001E-2</v>
      </c>
    </row>
    <row r="1543" spans="13:24">
      <c r="M1543">
        <v>1541</v>
      </c>
      <c r="N1543">
        <v>80246</v>
      </c>
      <c r="O1543" t="s">
        <v>330</v>
      </c>
      <c r="P1543" t="s">
        <v>142</v>
      </c>
      <c r="Q1543">
        <v>909</v>
      </c>
      <c r="R1543" s="296">
        <v>0</v>
      </c>
      <c r="S1543" s="296">
        <v>0.96719999999999995</v>
      </c>
      <c r="T1543" s="297">
        <v>7310</v>
      </c>
      <c r="U1543" s="340">
        <v>104169</v>
      </c>
      <c r="V1543" s="340">
        <v>881938</v>
      </c>
      <c r="W1543" s="297">
        <v>13073</v>
      </c>
      <c r="X1543" s="296">
        <v>3.0000000000000001E-3</v>
      </c>
    </row>
    <row r="1544" spans="13:24">
      <c r="M1544">
        <v>1542</v>
      </c>
      <c r="N1544">
        <v>60927</v>
      </c>
      <c r="O1544" t="s">
        <v>790</v>
      </c>
      <c r="P1544" t="s">
        <v>131</v>
      </c>
      <c r="Q1544">
        <v>84</v>
      </c>
      <c r="R1544" s="296">
        <v>0</v>
      </c>
      <c r="S1544" s="296">
        <v>0.96719999999999995</v>
      </c>
      <c r="T1544">
        <v>853</v>
      </c>
      <c r="U1544" s="340">
        <v>104089</v>
      </c>
      <c r="V1544" s="340">
        <v>228976</v>
      </c>
      <c r="W1544" s="297">
        <v>2151</v>
      </c>
      <c r="X1544" s="296">
        <v>-0.01</v>
      </c>
    </row>
    <row r="1545" spans="13:24">
      <c r="M1545">
        <v>1543</v>
      </c>
      <c r="N1545">
        <v>48609</v>
      </c>
      <c r="O1545" t="s">
        <v>1545</v>
      </c>
      <c r="P1545" t="s">
        <v>140</v>
      </c>
      <c r="Q1545">
        <v>206</v>
      </c>
      <c r="R1545" s="296">
        <v>0</v>
      </c>
      <c r="S1545" s="296">
        <v>0.96719999999999995</v>
      </c>
      <c r="T1545" s="297">
        <v>5238</v>
      </c>
      <c r="U1545" s="340">
        <v>103874</v>
      </c>
      <c r="V1545" s="340">
        <v>241705</v>
      </c>
      <c r="W1545" s="297">
        <v>12009</v>
      </c>
      <c r="X1545" s="296">
        <v>-5.0000000000000001E-3</v>
      </c>
    </row>
    <row r="1546" spans="13:24">
      <c r="M1546">
        <v>1544</v>
      </c>
      <c r="N1546">
        <v>89081</v>
      </c>
      <c r="O1546" t="s">
        <v>1347</v>
      </c>
      <c r="P1546" t="s">
        <v>148</v>
      </c>
      <c r="Q1546">
        <v>1511</v>
      </c>
      <c r="R1546" s="296">
        <v>0</v>
      </c>
      <c r="S1546" s="296">
        <v>0.96730000000000005</v>
      </c>
      <c r="T1546" s="297">
        <v>14013</v>
      </c>
      <c r="U1546" s="340">
        <v>103854</v>
      </c>
      <c r="V1546" s="340">
        <v>411725</v>
      </c>
      <c r="W1546" s="297">
        <v>44099</v>
      </c>
      <c r="X1546" s="296">
        <v>1.7999999999999999E-2</v>
      </c>
    </row>
    <row r="1547" spans="13:24">
      <c r="M1547">
        <v>1545</v>
      </c>
      <c r="N1547">
        <v>51055</v>
      </c>
      <c r="O1547" t="s">
        <v>1546</v>
      </c>
      <c r="P1547" t="s">
        <v>170</v>
      </c>
      <c r="Q1547">
        <v>432</v>
      </c>
      <c r="R1547" s="296">
        <v>0</v>
      </c>
      <c r="S1547" s="296">
        <v>0.96730000000000005</v>
      </c>
      <c r="T1547">
        <v>559</v>
      </c>
      <c r="U1547" s="340">
        <v>103840</v>
      </c>
      <c r="V1547" s="340">
        <v>241705</v>
      </c>
      <c r="W1547" s="297">
        <v>1372</v>
      </c>
      <c r="X1547" s="296">
        <v>-1E-3</v>
      </c>
    </row>
    <row r="1548" spans="13:24">
      <c r="M1548">
        <v>1546</v>
      </c>
      <c r="N1548">
        <v>53083</v>
      </c>
      <c r="O1548" t="s">
        <v>831</v>
      </c>
      <c r="P1548" t="s">
        <v>149</v>
      </c>
      <c r="Q1548">
        <v>116</v>
      </c>
      <c r="R1548" s="296">
        <v>0</v>
      </c>
      <c r="S1548" s="296">
        <v>0.96730000000000005</v>
      </c>
      <c r="T1548" s="297">
        <v>8963</v>
      </c>
      <c r="U1548" s="340">
        <v>103748</v>
      </c>
      <c r="V1548" s="340">
        <v>323071</v>
      </c>
      <c r="W1548" s="297">
        <v>21912</v>
      </c>
      <c r="X1548" s="296">
        <v>2E-3</v>
      </c>
    </row>
    <row r="1549" spans="13:24">
      <c r="M1549">
        <v>1547</v>
      </c>
      <c r="N1549">
        <v>7093</v>
      </c>
      <c r="O1549" t="s">
        <v>749</v>
      </c>
      <c r="P1549" t="s">
        <v>129</v>
      </c>
      <c r="Q1549">
        <v>719</v>
      </c>
      <c r="R1549" s="296">
        <v>0</v>
      </c>
      <c r="S1549" s="296">
        <v>0.96730000000000005</v>
      </c>
      <c r="T1549" s="297">
        <v>25388</v>
      </c>
      <c r="U1549" s="340">
        <v>103701</v>
      </c>
      <c r="V1549" s="340">
        <v>591043</v>
      </c>
      <c r="W1549" s="297">
        <v>64603</v>
      </c>
      <c r="X1549" s="296">
        <v>8.0000000000000002E-3</v>
      </c>
    </row>
    <row r="1550" spans="13:24">
      <c r="M1550">
        <v>1548</v>
      </c>
      <c r="N1550">
        <v>92392</v>
      </c>
      <c r="O1550" t="s">
        <v>348</v>
      </c>
      <c r="P1550" t="s">
        <v>132</v>
      </c>
      <c r="Q1550">
        <v>1681</v>
      </c>
      <c r="R1550" s="296">
        <v>0</v>
      </c>
      <c r="S1550" s="296">
        <v>0.96740000000000004</v>
      </c>
      <c r="T1550" s="297">
        <v>17756</v>
      </c>
      <c r="U1550" s="340">
        <v>103466</v>
      </c>
      <c r="V1550" s="340">
        <v>462684</v>
      </c>
      <c r="W1550" s="297">
        <v>64525</v>
      </c>
      <c r="X1550" s="296">
        <v>1.2999999999999999E-2</v>
      </c>
    </row>
    <row r="1551" spans="13:24">
      <c r="M1551">
        <v>1549</v>
      </c>
      <c r="N1551">
        <v>49128</v>
      </c>
      <c r="O1551" t="s">
        <v>1547</v>
      </c>
      <c r="P1551" t="s">
        <v>140</v>
      </c>
      <c r="Q1551">
        <v>64</v>
      </c>
      <c r="R1551" s="296">
        <v>0</v>
      </c>
      <c r="S1551" s="296">
        <v>0.96740000000000004</v>
      </c>
      <c r="T1551" s="297">
        <v>1521</v>
      </c>
      <c r="U1551" s="340">
        <v>103462</v>
      </c>
      <c r="V1551" s="340">
        <v>361933</v>
      </c>
      <c r="W1551" s="297">
        <v>3357</v>
      </c>
      <c r="X1551" s="296">
        <v>-8.9999999999999993E-3</v>
      </c>
    </row>
    <row r="1552" spans="13:24">
      <c r="M1552">
        <v>1550</v>
      </c>
      <c r="N1552">
        <v>15206</v>
      </c>
      <c r="O1552" t="s">
        <v>569</v>
      </c>
      <c r="P1552" t="s">
        <v>133</v>
      </c>
      <c r="Q1552">
        <v>425</v>
      </c>
      <c r="R1552" s="296">
        <v>0</v>
      </c>
      <c r="S1552" s="296">
        <v>0.96740000000000004</v>
      </c>
      <c r="T1552" s="297">
        <v>14606</v>
      </c>
      <c r="U1552" s="340">
        <v>103163</v>
      </c>
      <c r="V1552" s="340">
        <v>384292</v>
      </c>
      <c r="W1552" s="297">
        <v>29326</v>
      </c>
      <c r="X1552" s="296">
        <v>4.0000000000000001E-3</v>
      </c>
    </row>
    <row r="1553" spans="13:24">
      <c r="M1553">
        <v>1551</v>
      </c>
      <c r="N1553">
        <v>54805</v>
      </c>
      <c r="O1553" t="s">
        <v>1548</v>
      </c>
      <c r="P1553" t="s">
        <v>149</v>
      </c>
      <c r="Q1553">
        <v>309</v>
      </c>
      <c r="R1553" s="296">
        <v>0</v>
      </c>
      <c r="S1553" s="296">
        <v>0.96740000000000004</v>
      </c>
      <c r="T1553">
        <v>649</v>
      </c>
      <c r="U1553" s="340">
        <v>103100</v>
      </c>
      <c r="V1553" s="340">
        <v>316533</v>
      </c>
      <c r="W1553" s="297">
        <v>1577</v>
      </c>
      <c r="X1553" s="296">
        <v>-5.0000000000000001E-3</v>
      </c>
    </row>
    <row r="1554" spans="13:24">
      <c r="M1554">
        <v>1552</v>
      </c>
      <c r="N1554">
        <v>55008</v>
      </c>
      <c r="O1554" t="s">
        <v>323</v>
      </c>
      <c r="P1554" t="s">
        <v>151</v>
      </c>
      <c r="Q1554">
        <v>361</v>
      </c>
      <c r="R1554" s="296">
        <v>0</v>
      </c>
      <c r="S1554" s="296">
        <v>0.96750000000000003</v>
      </c>
      <c r="T1554" s="297">
        <v>6819</v>
      </c>
      <c r="U1554" s="340">
        <v>103072</v>
      </c>
      <c r="V1554" s="340">
        <v>354283</v>
      </c>
      <c r="W1554" s="297">
        <v>17461</v>
      </c>
      <c r="X1554" s="296">
        <v>1.2E-2</v>
      </c>
    </row>
    <row r="1555" spans="13:24">
      <c r="M1555">
        <v>1553</v>
      </c>
      <c r="N1555">
        <v>41076</v>
      </c>
      <c r="O1555" t="s">
        <v>346</v>
      </c>
      <c r="P1555" t="s">
        <v>143</v>
      </c>
      <c r="Q1555">
        <v>278</v>
      </c>
      <c r="R1555" s="296">
        <v>0</v>
      </c>
      <c r="S1555" s="296">
        <v>0.96750000000000003</v>
      </c>
      <c r="T1555" s="297">
        <v>7464</v>
      </c>
      <c r="U1555" s="340">
        <v>102737</v>
      </c>
      <c r="V1555" s="340">
        <v>290677</v>
      </c>
      <c r="W1555" s="297">
        <v>17261</v>
      </c>
      <c r="X1555" s="296">
        <v>-6.0000000000000001E-3</v>
      </c>
    </row>
    <row r="1556" spans="13:24">
      <c r="M1556">
        <v>1554</v>
      </c>
      <c r="N1556">
        <v>84404</v>
      </c>
      <c r="O1556" t="s">
        <v>1549</v>
      </c>
      <c r="P1556" t="s">
        <v>219</v>
      </c>
      <c r="Q1556">
        <v>1257</v>
      </c>
      <c r="R1556" s="296">
        <v>0</v>
      </c>
      <c r="S1556" s="296">
        <v>0.96750000000000003</v>
      </c>
      <c r="T1556" s="297">
        <v>23602</v>
      </c>
      <c r="U1556" s="340">
        <v>102679</v>
      </c>
      <c r="V1556" s="340">
        <v>471745</v>
      </c>
      <c r="W1556" s="297">
        <v>69975</v>
      </c>
      <c r="X1556" s="296">
        <v>1.0999999999999999E-2</v>
      </c>
    </row>
    <row r="1557" spans="13:24">
      <c r="M1557">
        <v>1555</v>
      </c>
      <c r="N1557">
        <v>63301</v>
      </c>
      <c r="O1557" t="s">
        <v>911</v>
      </c>
      <c r="P1557" t="s">
        <v>186</v>
      </c>
      <c r="Q1557">
        <v>272</v>
      </c>
      <c r="R1557" s="296">
        <v>0</v>
      </c>
      <c r="S1557" s="296">
        <v>0.96750000000000003</v>
      </c>
      <c r="T1557" s="297">
        <v>22230</v>
      </c>
      <c r="U1557" s="340">
        <v>102641</v>
      </c>
      <c r="V1557" s="340">
        <v>317164</v>
      </c>
      <c r="W1557" s="297">
        <v>52889</v>
      </c>
      <c r="X1557" s="296">
        <v>0.01</v>
      </c>
    </row>
    <row r="1558" spans="13:24">
      <c r="M1558">
        <v>1556</v>
      </c>
      <c r="N1558">
        <v>96786</v>
      </c>
      <c r="O1558" t="s">
        <v>1550</v>
      </c>
      <c r="P1558" t="s">
        <v>168</v>
      </c>
      <c r="Q1558">
        <v>4240</v>
      </c>
      <c r="R1558" s="296">
        <v>0</v>
      </c>
      <c r="S1558" s="296">
        <v>0.96760000000000002</v>
      </c>
      <c r="T1558" s="297">
        <v>11929</v>
      </c>
      <c r="U1558" s="340">
        <v>102181</v>
      </c>
      <c r="V1558" s="340">
        <v>911404</v>
      </c>
      <c r="W1558" s="297">
        <v>42538</v>
      </c>
      <c r="X1558" s="296">
        <v>0</v>
      </c>
    </row>
    <row r="1559" spans="13:24">
      <c r="M1559">
        <v>1557</v>
      </c>
      <c r="N1559">
        <v>49079</v>
      </c>
      <c r="O1559" t="s">
        <v>1551</v>
      </c>
      <c r="P1559" t="s">
        <v>140</v>
      </c>
      <c r="Q1559">
        <v>96</v>
      </c>
      <c r="R1559" s="296">
        <v>0</v>
      </c>
      <c r="S1559" s="296">
        <v>0.96760000000000002</v>
      </c>
      <c r="T1559" s="297">
        <v>5685</v>
      </c>
      <c r="U1559" s="340">
        <v>102074</v>
      </c>
      <c r="V1559" s="340">
        <v>312201</v>
      </c>
      <c r="W1559" s="297">
        <v>13830</v>
      </c>
      <c r="X1559" s="296">
        <v>0</v>
      </c>
    </row>
    <row r="1560" spans="13:24">
      <c r="M1560">
        <v>1558</v>
      </c>
      <c r="N1560">
        <v>45385</v>
      </c>
      <c r="O1560" t="s">
        <v>1552</v>
      </c>
      <c r="P1560" t="s">
        <v>136</v>
      </c>
      <c r="Q1560">
        <v>263</v>
      </c>
      <c r="R1560" s="296">
        <v>0</v>
      </c>
      <c r="S1560" s="296">
        <v>0.96760000000000002</v>
      </c>
      <c r="T1560" s="297">
        <v>16257</v>
      </c>
      <c r="U1560" s="340">
        <v>102055</v>
      </c>
      <c r="V1560" s="340">
        <v>344551</v>
      </c>
      <c r="W1560" s="297">
        <v>41884</v>
      </c>
      <c r="X1560" s="296">
        <v>0</v>
      </c>
    </row>
    <row r="1561" spans="13:24">
      <c r="M1561">
        <v>1559</v>
      </c>
      <c r="N1561">
        <v>63101</v>
      </c>
      <c r="O1561" t="s">
        <v>536</v>
      </c>
      <c r="P1561" t="s">
        <v>186</v>
      </c>
      <c r="Q1561">
        <v>274</v>
      </c>
      <c r="R1561" s="296">
        <v>0</v>
      </c>
      <c r="S1561" s="296">
        <v>0.96760000000000002</v>
      </c>
      <c r="T1561" s="297">
        <v>2915</v>
      </c>
      <c r="U1561" s="340">
        <v>101820</v>
      </c>
      <c r="V1561" s="340">
        <v>361851</v>
      </c>
      <c r="W1561" s="297">
        <v>4052</v>
      </c>
      <c r="X1561" s="296">
        <v>-6.0000000000000001E-3</v>
      </c>
    </row>
    <row r="1562" spans="13:24">
      <c r="M1562">
        <v>1560</v>
      </c>
      <c r="N1562">
        <v>48326</v>
      </c>
      <c r="O1562" t="s">
        <v>757</v>
      </c>
      <c r="P1562" t="s">
        <v>140</v>
      </c>
      <c r="Q1562">
        <v>234</v>
      </c>
      <c r="R1562" s="296">
        <v>0</v>
      </c>
      <c r="S1562" s="296">
        <v>0.9677</v>
      </c>
      <c r="T1562" s="297">
        <v>10850</v>
      </c>
      <c r="U1562" s="340">
        <v>101715</v>
      </c>
      <c r="V1562" s="340">
        <v>306574</v>
      </c>
      <c r="W1562" s="297">
        <v>22519</v>
      </c>
      <c r="X1562" s="296">
        <v>3.0000000000000001E-3</v>
      </c>
    </row>
    <row r="1563" spans="13:24">
      <c r="M1563">
        <v>1561</v>
      </c>
      <c r="N1563">
        <v>64114</v>
      </c>
      <c r="O1563" t="s">
        <v>490</v>
      </c>
      <c r="P1563" t="s">
        <v>186</v>
      </c>
      <c r="Q1563">
        <v>420</v>
      </c>
      <c r="R1563" s="296">
        <v>0</v>
      </c>
      <c r="S1563" s="296">
        <v>0.9677</v>
      </c>
      <c r="T1563" s="297">
        <v>11689</v>
      </c>
      <c r="U1563" s="340">
        <v>101698</v>
      </c>
      <c r="V1563" s="340">
        <v>297415</v>
      </c>
      <c r="W1563" s="297">
        <v>23554</v>
      </c>
      <c r="X1563" s="296">
        <v>4.0000000000000001E-3</v>
      </c>
    </row>
    <row r="1564" spans="13:24">
      <c r="M1564">
        <v>1562</v>
      </c>
      <c r="N1564">
        <v>62225</v>
      </c>
      <c r="O1564" t="s">
        <v>1553</v>
      </c>
      <c r="P1564" t="s">
        <v>131</v>
      </c>
      <c r="Q1564">
        <v>272</v>
      </c>
      <c r="R1564" s="296">
        <v>0</v>
      </c>
      <c r="S1564" s="296">
        <v>0.9677</v>
      </c>
      <c r="T1564" s="297">
        <v>1534</v>
      </c>
      <c r="U1564" s="340">
        <v>101198</v>
      </c>
      <c r="V1564" s="340">
        <v>0</v>
      </c>
      <c r="W1564" s="297">
        <v>5125</v>
      </c>
      <c r="X1564" s="296">
        <v>-0.01</v>
      </c>
    </row>
    <row r="1565" spans="13:24">
      <c r="M1565">
        <v>1563</v>
      </c>
      <c r="N1565">
        <v>32920</v>
      </c>
      <c r="O1565" t="s">
        <v>1554</v>
      </c>
      <c r="P1565" t="s">
        <v>127</v>
      </c>
      <c r="Q1565">
        <v>1032</v>
      </c>
      <c r="R1565" s="296">
        <v>0</v>
      </c>
      <c r="S1565" s="296">
        <v>0.9677</v>
      </c>
      <c r="T1565" s="297">
        <v>5787</v>
      </c>
      <c r="U1565" s="340">
        <v>100882</v>
      </c>
      <c r="V1565" s="340">
        <v>501849</v>
      </c>
      <c r="W1565" s="297">
        <v>9722</v>
      </c>
      <c r="X1565" s="296">
        <v>-2E-3</v>
      </c>
    </row>
    <row r="1566" spans="13:24">
      <c r="M1566">
        <v>1564</v>
      </c>
      <c r="N1566">
        <v>33919</v>
      </c>
      <c r="O1566" t="s">
        <v>345</v>
      </c>
      <c r="P1566" t="s">
        <v>127</v>
      </c>
      <c r="Q1566">
        <v>1128</v>
      </c>
      <c r="R1566" s="296">
        <v>0</v>
      </c>
      <c r="S1566" s="296">
        <v>0.96779999999999999</v>
      </c>
      <c r="T1566" s="297">
        <v>15544</v>
      </c>
      <c r="U1566" s="340">
        <v>100813</v>
      </c>
      <c r="V1566" s="340">
        <v>471094</v>
      </c>
      <c r="W1566" s="297">
        <v>30685</v>
      </c>
      <c r="X1566" s="296">
        <v>5.0000000000000001E-3</v>
      </c>
    </row>
    <row r="1567" spans="13:24">
      <c r="M1567">
        <v>1565</v>
      </c>
      <c r="N1567">
        <v>77449</v>
      </c>
      <c r="O1567" t="s">
        <v>319</v>
      </c>
      <c r="P1567" t="s">
        <v>134</v>
      </c>
      <c r="Q1567">
        <v>959</v>
      </c>
      <c r="R1567" s="296">
        <v>0</v>
      </c>
      <c r="S1567" s="296">
        <v>0.96779999999999999</v>
      </c>
      <c r="T1567" s="297">
        <v>43172</v>
      </c>
      <c r="U1567" s="340">
        <v>100797</v>
      </c>
      <c r="V1567" s="340">
        <v>291410</v>
      </c>
      <c r="W1567" s="297">
        <v>141878</v>
      </c>
      <c r="X1567" s="296">
        <v>2.7E-2</v>
      </c>
    </row>
    <row r="1568" spans="13:24">
      <c r="M1568">
        <v>1566</v>
      </c>
      <c r="N1568">
        <v>55904</v>
      </c>
      <c r="O1568" t="s">
        <v>476</v>
      </c>
      <c r="P1568" t="s">
        <v>151</v>
      </c>
      <c r="Q1568">
        <v>266</v>
      </c>
      <c r="R1568" s="296">
        <v>0</v>
      </c>
      <c r="S1568" s="296">
        <v>0.96779999999999999</v>
      </c>
      <c r="T1568" s="297">
        <v>11909</v>
      </c>
      <c r="U1568" s="340">
        <v>100625</v>
      </c>
      <c r="V1568" s="340">
        <v>327016</v>
      </c>
      <c r="W1568" s="297">
        <v>28749</v>
      </c>
      <c r="X1568" s="296">
        <v>-2E-3</v>
      </c>
    </row>
    <row r="1569" spans="13:24">
      <c r="M1569">
        <v>1567</v>
      </c>
      <c r="N1569">
        <v>61327</v>
      </c>
      <c r="O1569" t="s">
        <v>1555</v>
      </c>
      <c r="P1569" t="s">
        <v>131</v>
      </c>
      <c r="Q1569">
        <v>101</v>
      </c>
      <c r="R1569" s="296">
        <v>0</v>
      </c>
      <c r="S1569" s="296">
        <v>0.96779999999999999</v>
      </c>
      <c r="T1569">
        <v>465</v>
      </c>
      <c r="U1569" s="340">
        <v>100440</v>
      </c>
      <c r="V1569" s="340">
        <v>216860</v>
      </c>
      <c r="W1569" s="297">
        <v>1153</v>
      </c>
      <c r="X1569" s="296">
        <v>-6.0000000000000001E-3</v>
      </c>
    </row>
    <row r="1570" spans="13:24">
      <c r="M1570">
        <v>1568</v>
      </c>
      <c r="N1570">
        <v>33404</v>
      </c>
      <c r="O1570" t="s">
        <v>586</v>
      </c>
      <c r="P1570" t="s">
        <v>127</v>
      </c>
      <c r="Q1570">
        <v>1148</v>
      </c>
      <c r="R1570" s="296">
        <v>0</v>
      </c>
      <c r="S1570" s="296">
        <v>0.96789999999999998</v>
      </c>
      <c r="T1570" s="297">
        <v>13159</v>
      </c>
      <c r="U1570" s="340">
        <v>100380</v>
      </c>
      <c r="V1570" s="340">
        <v>538633</v>
      </c>
      <c r="W1570" s="297">
        <v>33359</v>
      </c>
      <c r="X1570" s="296">
        <v>8.9999999999999993E-3</v>
      </c>
    </row>
    <row r="1571" spans="13:24">
      <c r="M1571">
        <v>1569</v>
      </c>
      <c r="N1571">
        <v>44054</v>
      </c>
      <c r="O1571" t="s">
        <v>1556</v>
      </c>
      <c r="P1571" t="s">
        <v>136</v>
      </c>
      <c r="Q1571">
        <v>297</v>
      </c>
      <c r="R1571" s="296">
        <v>0</v>
      </c>
      <c r="S1571" s="296">
        <v>0.96789999999999998</v>
      </c>
      <c r="T1571" s="297">
        <v>5386</v>
      </c>
      <c r="U1571" s="340">
        <v>100319</v>
      </c>
      <c r="V1571" s="340">
        <v>266825</v>
      </c>
      <c r="W1571" s="297">
        <v>12611</v>
      </c>
      <c r="X1571" s="296">
        <v>0</v>
      </c>
    </row>
    <row r="1572" spans="13:24">
      <c r="M1572">
        <v>1570</v>
      </c>
      <c r="N1572">
        <v>91303</v>
      </c>
      <c r="O1572" t="s">
        <v>1466</v>
      </c>
      <c r="P1572" t="s">
        <v>132</v>
      </c>
      <c r="Q1572">
        <v>1750</v>
      </c>
      <c r="R1572" s="296">
        <v>0</v>
      </c>
      <c r="S1572" s="296">
        <v>0.96789999999999998</v>
      </c>
      <c r="T1572" s="297">
        <v>10832</v>
      </c>
      <c r="U1572" s="340">
        <v>100236</v>
      </c>
      <c r="V1572" s="340">
        <v>878077</v>
      </c>
      <c r="W1572" s="297">
        <v>29918</v>
      </c>
      <c r="X1572" s="296">
        <v>1.0999999999999999E-2</v>
      </c>
    </row>
    <row r="1573" spans="13:24">
      <c r="M1573">
        <v>1571</v>
      </c>
      <c r="N1573">
        <v>51104</v>
      </c>
      <c r="O1573" t="s">
        <v>1557</v>
      </c>
      <c r="P1573" t="s">
        <v>170</v>
      </c>
      <c r="Q1573">
        <v>441</v>
      </c>
      <c r="R1573" s="296">
        <v>0</v>
      </c>
      <c r="S1573" s="296">
        <v>0.96789999999999998</v>
      </c>
      <c r="T1573" s="297">
        <v>8328</v>
      </c>
      <c r="U1573" s="340">
        <v>100060</v>
      </c>
      <c r="V1573" s="340">
        <v>226181</v>
      </c>
      <c r="W1573" s="297">
        <v>22222</v>
      </c>
      <c r="X1573" s="296">
        <v>0</v>
      </c>
    </row>
    <row r="1574" spans="13:24">
      <c r="M1574">
        <v>1572</v>
      </c>
      <c r="N1574">
        <v>49065</v>
      </c>
      <c r="O1574" t="s">
        <v>1558</v>
      </c>
      <c r="P1574" t="s">
        <v>140</v>
      </c>
      <c r="Q1574">
        <v>100</v>
      </c>
      <c r="R1574" s="296">
        <v>0</v>
      </c>
      <c r="S1574" s="296">
        <v>0.96799999999999997</v>
      </c>
      <c r="T1574" s="297">
        <v>2531</v>
      </c>
      <c r="U1574" s="340">
        <v>99854</v>
      </c>
      <c r="V1574" s="340">
        <v>323487</v>
      </c>
      <c r="W1574" s="297">
        <v>6563</v>
      </c>
      <c r="X1574" s="296">
        <v>1E-3</v>
      </c>
    </row>
    <row r="1575" spans="13:24">
      <c r="M1575">
        <v>1573</v>
      </c>
      <c r="N1575">
        <v>34698</v>
      </c>
      <c r="O1575" t="s">
        <v>1559</v>
      </c>
      <c r="P1575" t="s">
        <v>127</v>
      </c>
      <c r="Q1575">
        <v>1015</v>
      </c>
      <c r="R1575" s="296">
        <v>0</v>
      </c>
      <c r="S1575" s="296">
        <v>0.96799999999999997</v>
      </c>
      <c r="T1575" s="297">
        <v>19236</v>
      </c>
      <c r="U1575" s="340">
        <v>99765</v>
      </c>
      <c r="V1575" s="340">
        <v>468560</v>
      </c>
      <c r="W1575" s="297">
        <v>37853</v>
      </c>
      <c r="X1575" s="296">
        <v>-1E-3</v>
      </c>
    </row>
    <row r="1576" spans="13:24">
      <c r="M1576">
        <v>1574</v>
      </c>
      <c r="N1576">
        <v>54568</v>
      </c>
      <c r="O1576" t="s">
        <v>1560</v>
      </c>
      <c r="P1576" t="s">
        <v>149</v>
      </c>
      <c r="Q1576">
        <v>277</v>
      </c>
      <c r="R1576" s="296">
        <v>0</v>
      </c>
      <c r="S1576" s="296">
        <v>0.96799999999999997</v>
      </c>
      <c r="T1576" s="297">
        <v>2654</v>
      </c>
      <c r="U1576" s="340">
        <v>99744</v>
      </c>
      <c r="V1576" s="340">
        <v>354077</v>
      </c>
      <c r="W1576" s="297">
        <v>5270</v>
      </c>
      <c r="X1576" s="296">
        <v>8.9999999999999993E-3</v>
      </c>
    </row>
    <row r="1577" spans="13:24">
      <c r="M1577">
        <v>1575</v>
      </c>
      <c r="N1577">
        <v>55119</v>
      </c>
      <c r="O1577" t="s">
        <v>445</v>
      </c>
      <c r="P1577" t="s">
        <v>151</v>
      </c>
      <c r="Q1577">
        <v>325</v>
      </c>
      <c r="R1577" s="296">
        <v>0</v>
      </c>
      <c r="S1577" s="296">
        <v>0.96799999999999997</v>
      </c>
      <c r="T1577" s="297">
        <v>15496</v>
      </c>
      <c r="U1577" s="340">
        <v>99681</v>
      </c>
      <c r="V1577" s="340">
        <v>337956</v>
      </c>
      <c r="W1577" s="297">
        <v>42933</v>
      </c>
      <c r="X1577" s="296">
        <v>-2E-3</v>
      </c>
    </row>
    <row r="1578" spans="13:24">
      <c r="M1578">
        <v>1576</v>
      </c>
      <c r="N1578">
        <v>37415</v>
      </c>
      <c r="O1578" t="s">
        <v>728</v>
      </c>
      <c r="P1578" t="s">
        <v>146</v>
      </c>
      <c r="Q1578">
        <v>504</v>
      </c>
      <c r="R1578" s="296">
        <v>0</v>
      </c>
      <c r="S1578" s="296">
        <v>0.96809999999999996</v>
      </c>
      <c r="T1578" s="297">
        <v>11217</v>
      </c>
      <c r="U1578" s="340">
        <v>99574</v>
      </c>
      <c r="V1578" s="340">
        <v>389118</v>
      </c>
      <c r="W1578" s="297">
        <v>23803</v>
      </c>
      <c r="X1578" s="296">
        <v>8.0000000000000002E-3</v>
      </c>
    </row>
    <row r="1579" spans="13:24">
      <c r="M1579">
        <v>1577</v>
      </c>
      <c r="N1579">
        <v>46552</v>
      </c>
      <c r="O1579" t="s">
        <v>1561</v>
      </c>
      <c r="P1579" t="s">
        <v>144</v>
      </c>
      <c r="Q1579">
        <v>74</v>
      </c>
      <c r="R1579" s="296">
        <v>0</v>
      </c>
      <c r="S1579" s="296">
        <v>0.96809999999999996</v>
      </c>
      <c r="T1579" s="297">
        <v>2632</v>
      </c>
      <c r="U1579" s="340">
        <v>99428</v>
      </c>
      <c r="V1579" s="340">
        <v>289507</v>
      </c>
      <c r="W1579" s="297">
        <v>6490</v>
      </c>
      <c r="X1579" s="296">
        <v>2E-3</v>
      </c>
    </row>
    <row r="1580" spans="13:24">
      <c r="M1580">
        <v>1578</v>
      </c>
      <c r="N1580">
        <v>60548</v>
      </c>
      <c r="O1580" t="s">
        <v>481</v>
      </c>
      <c r="P1580" t="s">
        <v>131</v>
      </c>
      <c r="Q1580">
        <v>56</v>
      </c>
      <c r="R1580" s="296">
        <v>0</v>
      </c>
      <c r="S1580" s="296">
        <v>0.96809999999999996</v>
      </c>
      <c r="T1580" s="297">
        <v>4752</v>
      </c>
      <c r="U1580" s="340">
        <v>99308</v>
      </c>
      <c r="V1580" s="340">
        <v>250960</v>
      </c>
      <c r="W1580" s="297">
        <v>11830</v>
      </c>
      <c r="X1580" s="296">
        <v>-5.0000000000000001E-3</v>
      </c>
    </row>
    <row r="1581" spans="13:24">
      <c r="M1581">
        <v>1579</v>
      </c>
      <c r="N1581">
        <v>54941</v>
      </c>
      <c r="O1581" t="s">
        <v>1562</v>
      </c>
      <c r="P1581" t="s">
        <v>149</v>
      </c>
      <c r="Q1581">
        <v>132</v>
      </c>
      <c r="R1581" s="296">
        <v>0</v>
      </c>
      <c r="S1581" s="296">
        <v>0.96809999999999996</v>
      </c>
      <c r="T1581" s="297">
        <v>1227</v>
      </c>
      <c r="U1581" s="340">
        <v>98770</v>
      </c>
      <c r="V1581" s="340">
        <v>404562</v>
      </c>
      <c r="W1581" s="297">
        <v>2486</v>
      </c>
      <c r="X1581" s="296">
        <v>-2E-3</v>
      </c>
    </row>
    <row r="1582" spans="13:24">
      <c r="M1582">
        <v>1580</v>
      </c>
      <c r="N1582">
        <v>54484</v>
      </c>
      <c r="O1582" t="s">
        <v>692</v>
      </c>
      <c r="P1582" t="s">
        <v>149</v>
      </c>
      <c r="Q1582">
        <v>216</v>
      </c>
      <c r="R1582" s="296">
        <v>0</v>
      </c>
      <c r="S1582" s="296">
        <v>0.96819999999999995</v>
      </c>
      <c r="T1582" s="297">
        <v>1996</v>
      </c>
      <c r="U1582" s="340">
        <v>98764</v>
      </c>
      <c r="V1582" s="340">
        <v>301737</v>
      </c>
      <c r="W1582" s="297">
        <v>5103</v>
      </c>
      <c r="X1582" s="296">
        <v>8.0000000000000002E-3</v>
      </c>
    </row>
    <row r="1583" spans="13:24">
      <c r="M1583">
        <v>1581</v>
      </c>
      <c r="N1583">
        <v>96815</v>
      </c>
      <c r="O1583" t="s">
        <v>1563</v>
      </c>
      <c r="P1583" t="s">
        <v>168</v>
      </c>
      <c r="Q1583">
        <v>4239</v>
      </c>
      <c r="R1583" s="296">
        <v>0</v>
      </c>
      <c r="S1583" s="296">
        <v>0.96819999999999995</v>
      </c>
      <c r="T1583" s="297">
        <v>15933</v>
      </c>
      <c r="U1583" s="340">
        <v>98735</v>
      </c>
      <c r="V1583" s="340">
        <v>962996</v>
      </c>
      <c r="W1583" s="297">
        <v>30458</v>
      </c>
      <c r="X1583" s="296">
        <v>8.0000000000000002E-3</v>
      </c>
    </row>
    <row r="1584" spans="13:24">
      <c r="M1584">
        <v>1582</v>
      </c>
      <c r="N1584">
        <v>53538</v>
      </c>
      <c r="O1584" t="s">
        <v>1564</v>
      </c>
      <c r="P1584" t="s">
        <v>149</v>
      </c>
      <c r="Q1584">
        <v>76</v>
      </c>
      <c r="R1584" s="296">
        <v>0</v>
      </c>
      <c r="S1584" s="296">
        <v>0.96819999999999995</v>
      </c>
      <c r="T1584" s="297">
        <v>7859</v>
      </c>
      <c r="U1584" s="340">
        <v>98206</v>
      </c>
      <c r="V1584" s="340">
        <v>343851</v>
      </c>
      <c r="W1584" s="297">
        <v>18532</v>
      </c>
      <c r="X1584" s="296">
        <v>-3.0000000000000001E-3</v>
      </c>
    </row>
    <row r="1585" spans="13:24">
      <c r="M1585">
        <v>1583</v>
      </c>
      <c r="N1585">
        <v>6340</v>
      </c>
      <c r="O1585" t="s">
        <v>484</v>
      </c>
      <c r="P1585" t="s">
        <v>141</v>
      </c>
      <c r="Q1585">
        <v>812</v>
      </c>
      <c r="R1585" s="296">
        <v>0</v>
      </c>
      <c r="S1585" s="296">
        <v>0.96819999999999995</v>
      </c>
      <c r="T1585" s="297">
        <v>12536</v>
      </c>
      <c r="U1585" s="340">
        <v>98205</v>
      </c>
      <c r="V1585" s="340">
        <v>427649</v>
      </c>
      <c r="W1585" s="297">
        <v>29365</v>
      </c>
      <c r="X1585" s="296">
        <v>-4.0000000000000001E-3</v>
      </c>
    </row>
    <row r="1586" spans="13:24">
      <c r="M1586">
        <v>1584</v>
      </c>
      <c r="N1586">
        <v>80840</v>
      </c>
      <c r="O1586" t="s">
        <v>1565</v>
      </c>
      <c r="P1586" t="s">
        <v>142</v>
      </c>
      <c r="Q1586">
        <v>920</v>
      </c>
      <c r="R1586" s="296">
        <v>0</v>
      </c>
      <c r="S1586" s="296">
        <v>0.96830000000000005</v>
      </c>
      <c r="T1586">
        <v>653</v>
      </c>
      <c r="U1586" s="340">
        <v>98200</v>
      </c>
      <c r="V1586" s="340">
        <v>839286</v>
      </c>
      <c r="W1586" s="297">
        <v>6491</v>
      </c>
      <c r="X1586" s="296">
        <v>-5.0000000000000001E-3</v>
      </c>
    </row>
    <row r="1587" spans="13:24">
      <c r="M1587">
        <v>1585</v>
      </c>
      <c r="N1587">
        <v>53820</v>
      </c>
      <c r="O1587" t="s">
        <v>1566</v>
      </c>
      <c r="P1587" t="s">
        <v>149</v>
      </c>
      <c r="Q1587">
        <v>153</v>
      </c>
      <c r="R1587" s="296">
        <v>0</v>
      </c>
      <c r="S1587" s="296">
        <v>0.96830000000000005</v>
      </c>
      <c r="T1587" s="297">
        <v>1050</v>
      </c>
      <c r="U1587" s="340">
        <v>97965</v>
      </c>
      <c r="V1587" s="340">
        <v>283035</v>
      </c>
      <c r="W1587" s="297">
        <v>2432</v>
      </c>
      <c r="X1587" s="296">
        <v>1E-3</v>
      </c>
    </row>
    <row r="1588" spans="13:24">
      <c r="M1588">
        <v>1586</v>
      </c>
      <c r="N1588">
        <v>49461</v>
      </c>
      <c r="O1588" t="s">
        <v>1567</v>
      </c>
      <c r="P1588" t="s">
        <v>140</v>
      </c>
      <c r="Q1588">
        <v>113</v>
      </c>
      <c r="R1588" s="296">
        <v>0</v>
      </c>
      <c r="S1588" s="296">
        <v>0.96830000000000005</v>
      </c>
      <c r="T1588" s="297">
        <v>3590</v>
      </c>
      <c r="U1588" s="340">
        <v>97850</v>
      </c>
      <c r="V1588" s="340">
        <v>321569</v>
      </c>
      <c r="W1588" s="297">
        <v>8837</v>
      </c>
      <c r="X1588" s="296">
        <v>2E-3</v>
      </c>
    </row>
    <row r="1589" spans="13:24">
      <c r="M1589">
        <v>1587</v>
      </c>
      <c r="N1589">
        <v>16148</v>
      </c>
      <c r="O1589" t="s">
        <v>778</v>
      </c>
      <c r="P1589" t="s">
        <v>133</v>
      </c>
      <c r="Q1589">
        <v>385</v>
      </c>
      <c r="R1589" s="296">
        <v>0</v>
      </c>
      <c r="S1589" s="296">
        <v>0.96830000000000005</v>
      </c>
      <c r="T1589" s="297">
        <v>7346</v>
      </c>
      <c r="U1589" s="340">
        <v>97694</v>
      </c>
      <c r="V1589" s="340">
        <v>255820</v>
      </c>
      <c r="W1589" s="297">
        <v>16015</v>
      </c>
      <c r="X1589" s="296">
        <v>-6.0000000000000001E-3</v>
      </c>
    </row>
    <row r="1590" spans="13:24">
      <c r="M1590">
        <v>1588</v>
      </c>
      <c r="N1590">
        <v>77562</v>
      </c>
      <c r="O1590" t="s">
        <v>1568</v>
      </c>
      <c r="P1590" t="s">
        <v>134</v>
      </c>
      <c r="Q1590">
        <v>942</v>
      </c>
      <c r="R1590" s="296">
        <v>0</v>
      </c>
      <c r="S1590" s="296">
        <v>0.96840000000000004</v>
      </c>
      <c r="T1590" s="297">
        <v>5656</v>
      </c>
      <c r="U1590" s="340">
        <v>97676</v>
      </c>
      <c r="V1590" s="340">
        <v>303075</v>
      </c>
      <c r="W1590" s="297">
        <v>16448</v>
      </c>
      <c r="X1590" s="296">
        <v>5.8000000000000003E-2</v>
      </c>
    </row>
    <row r="1591" spans="13:24">
      <c r="M1591">
        <v>1589</v>
      </c>
      <c r="N1591">
        <v>46151</v>
      </c>
      <c r="O1591" t="s">
        <v>1569</v>
      </c>
      <c r="P1591" t="s">
        <v>144</v>
      </c>
      <c r="Q1591">
        <v>200</v>
      </c>
      <c r="R1591" s="296">
        <v>0</v>
      </c>
      <c r="S1591" s="296">
        <v>0.96840000000000004</v>
      </c>
      <c r="T1591" s="297">
        <v>12886</v>
      </c>
      <c r="U1591" s="340">
        <v>97540</v>
      </c>
      <c r="V1591" s="340">
        <v>278064</v>
      </c>
      <c r="W1591" s="297">
        <v>32595</v>
      </c>
      <c r="X1591" s="296">
        <v>-1E-3</v>
      </c>
    </row>
    <row r="1592" spans="13:24">
      <c r="M1592">
        <v>1590</v>
      </c>
      <c r="N1592">
        <v>60146</v>
      </c>
      <c r="O1592" t="s">
        <v>630</v>
      </c>
      <c r="P1592" t="s">
        <v>131</v>
      </c>
      <c r="Q1592">
        <v>56</v>
      </c>
      <c r="R1592" s="296">
        <v>0</v>
      </c>
      <c r="S1592" s="296">
        <v>0.96840000000000004</v>
      </c>
      <c r="T1592">
        <v>934</v>
      </c>
      <c r="U1592" s="340">
        <v>97473</v>
      </c>
      <c r="V1592" s="340">
        <v>243039</v>
      </c>
      <c r="W1592" s="297">
        <v>2358</v>
      </c>
      <c r="X1592" s="296">
        <v>-3.0000000000000001E-3</v>
      </c>
    </row>
    <row r="1593" spans="13:24">
      <c r="M1593">
        <v>1591</v>
      </c>
      <c r="N1593">
        <v>89118</v>
      </c>
      <c r="O1593" t="s">
        <v>706</v>
      </c>
      <c r="P1593" t="s">
        <v>148</v>
      </c>
      <c r="Q1593">
        <v>1521</v>
      </c>
      <c r="R1593" s="296">
        <v>0</v>
      </c>
      <c r="S1593" s="296">
        <v>0.96840000000000004</v>
      </c>
      <c r="T1593" s="297">
        <v>12028</v>
      </c>
      <c r="U1593" s="340">
        <v>97174</v>
      </c>
      <c r="V1593" s="340">
        <v>502436</v>
      </c>
      <c r="W1593" s="297">
        <v>28413</v>
      </c>
      <c r="X1593" s="296">
        <v>1.4999999999999999E-2</v>
      </c>
    </row>
    <row r="1594" spans="13:24">
      <c r="M1594">
        <v>1592</v>
      </c>
      <c r="N1594">
        <v>80014</v>
      </c>
      <c r="O1594" t="s">
        <v>334</v>
      </c>
      <c r="P1594" t="s">
        <v>142</v>
      </c>
      <c r="Q1594">
        <v>905</v>
      </c>
      <c r="R1594" s="296">
        <v>0</v>
      </c>
      <c r="S1594" s="296">
        <v>0.96850000000000003</v>
      </c>
      <c r="T1594" s="297">
        <v>19426</v>
      </c>
      <c r="U1594" s="340">
        <v>97156</v>
      </c>
      <c r="V1594" s="340">
        <v>502596</v>
      </c>
      <c r="W1594" s="297">
        <v>42711</v>
      </c>
      <c r="X1594" s="296">
        <v>4.0000000000000001E-3</v>
      </c>
    </row>
    <row r="1595" spans="13:24">
      <c r="M1595">
        <v>1593</v>
      </c>
      <c r="N1595">
        <v>11214</v>
      </c>
      <c r="O1595" t="s">
        <v>472</v>
      </c>
      <c r="P1595" t="s">
        <v>128</v>
      </c>
      <c r="Q1595">
        <v>722</v>
      </c>
      <c r="R1595" s="296">
        <v>0</v>
      </c>
      <c r="S1595" s="296">
        <v>0.96850000000000003</v>
      </c>
      <c r="T1595" s="297">
        <v>32434</v>
      </c>
      <c r="U1595" s="340">
        <v>96975</v>
      </c>
      <c r="V1595" s="340">
        <v>1037415</v>
      </c>
      <c r="W1595" s="297">
        <v>94184</v>
      </c>
      <c r="X1595" s="296">
        <v>-6.0000000000000001E-3</v>
      </c>
    </row>
    <row r="1596" spans="13:24">
      <c r="M1596">
        <v>1594</v>
      </c>
      <c r="N1596">
        <v>23602</v>
      </c>
      <c r="O1596" t="s">
        <v>1570</v>
      </c>
      <c r="P1596" t="s">
        <v>139</v>
      </c>
      <c r="Q1596">
        <v>692</v>
      </c>
      <c r="R1596" s="296">
        <v>0</v>
      </c>
      <c r="S1596" s="296">
        <v>0.96850000000000003</v>
      </c>
      <c r="T1596" s="297">
        <v>17795</v>
      </c>
      <c r="U1596" s="340">
        <v>96922</v>
      </c>
      <c r="V1596" s="340">
        <v>310475</v>
      </c>
      <c r="W1596" s="297">
        <v>41528</v>
      </c>
      <c r="X1596" s="296">
        <v>-3.0000000000000001E-3</v>
      </c>
    </row>
    <row r="1597" spans="13:24">
      <c r="M1597">
        <v>1595</v>
      </c>
      <c r="N1597">
        <v>62572</v>
      </c>
      <c r="O1597" t="s">
        <v>1571</v>
      </c>
      <c r="P1597" t="s">
        <v>131</v>
      </c>
      <c r="Q1597">
        <v>215</v>
      </c>
      <c r="R1597" s="296">
        <v>0</v>
      </c>
      <c r="S1597" s="296">
        <v>0.96850000000000003</v>
      </c>
      <c r="T1597">
        <v>221</v>
      </c>
      <c r="U1597" s="340">
        <v>96896</v>
      </c>
      <c r="V1597" s="340">
        <v>210547</v>
      </c>
      <c r="W1597">
        <v>498</v>
      </c>
      <c r="X1597" s="296">
        <v>-1.4999999999999999E-2</v>
      </c>
    </row>
    <row r="1598" spans="13:24">
      <c r="M1598">
        <v>1596</v>
      </c>
      <c r="N1598">
        <v>40220</v>
      </c>
      <c r="O1598" t="s">
        <v>830</v>
      </c>
      <c r="P1598" t="s">
        <v>143</v>
      </c>
      <c r="Q1598">
        <v>295</v>
      </c>
      <c r="R1598" s="296">
        <v>0</v>
      </c>
      <c r="S1598" s="296">
        <v>0.96860000000000002</v>
      </c>
      <c r="T1598" s="297">
        <v>14952</v>
      </c>
      <c r="U1598" s="340">
        <v>96800</v>
      </c>
      <c r="V1598" s="340">
        <v>276610</v>
      </c>
      <c r="W1598" s="297">
        <v>33751</v>
      </c>
      <c r="X1598" s="296">
        <v>-5.0000000000000001E-3</v>
      </c>
    </row>
    <row r="1599" spans="13:24">
      <c r="M1599">
        <v>1597</v>
      </c>
      <c r="N1599">
        <v>62445</v>
      </c>
      <c r="O1599" t="s">
        <v>822</v>
      </c>
      <c r="P1599" t="s">
        <v>131</v>
      </c>
      <c r="Q1599">
        <v>208</v>
      </c>
      <c r="R1599" s="296">
        <v>0</v>
      </c>
      <c r="S1599" s="296">
        <v>0.96860000000000002</v>
      </c>
      <c r="T1599">
        <v>386</v>
      </c>
      <c r="U1599" s="340">
        <v>96761</v>
      </c>
      <c r="V1599" s="340">
        <v>231305</v>
      </c>
      <c r="W1599" s="297">
        <v>1026</v>
      </c>
      <c r="X1599" s="296">
        <v>-8.9999999999999993E-3</v>
      </c>
    </row>
    <row r="1600" spans="13:24">
      <c r="M1600">
        <v>1598</v>
      </c>
      <c r="N1600">
        <v>61744</v>
      </c>
      <c r="O1600" t="s">
        <v>1572</v>
      </c>
      <c r="P1600" t="s">
        <v>131</v>
      </c>
      <c r="Q1600">
        <v>113</v>
      </c>
      <c r="R1600" s="296">
        <v>0</v>
      </c>
      <c r="S1600" s="296">
        <v>0.96860000000000002</v>
      </c>
      <c r="T1600">
        <v>750</v>
      </c>
      <c r="U1600" s="340">
        <v>96761</v>
      </c>
      <c r="V1600" s="340">
        <v>212298</v>
      </c>
      <c r="W1600" s="297">
        <v>2021</v>
      </c>
      <c r="X1600" s="296">
        <v>-5.0000000000000001E-3</v>
      </c>
    </row>
    <row r="1601" spans="13:24">
      <c r="M1601">
        <v>1599</v>
      </c>
      <c r="N1601">
        <v>57501</v>
      </c>
      <c r="O1601" t="s">
        <v>1573</v>
      </c>
      <c r="P1601" t="s">
        <v>215</v>
      </c>
      <c r="Q1601">
        <v>649</v>
      </c>
      <c r="R1601" s="296">
        <v>0</v>
      </c>
      <c r="S1601" s="296">
        <v>0.96860000000000002</v>
      </c>
      <c r="T1601" s="297">
        <v>7070</v>
      </c>
      <c r="U1601" s="340">
        <v>96616</v>
      </c>
      <c r="V1601" s="340">
        <v>284848</v>
      </c>
      <c r="W1601" s="297">
        <v>17155</v>
      </c>
      <c r="X1601" s="296">
        <v>1E-3</v>
      </c>
    </row>
    <row r="1602" spans="13:24">
      <c r="M1602">
        <v>1600</v>
      </c>
      <c r="N1602">
        <v>61726</v>
      </c>
      <c r="O1602" t="s">
        <v>1574</v>
      </c>
      <c r="P1602" t="s">
        <v>131</v>
      </c>
      <c r="Q1602">
        <v>108</v>
      </c>
      <c r="R1602" s="296">
        <v>0</v>
      </c>
      <c r="S1602" s="296">
        <v>0.96870000000000001</v>
      </c>
      <c r="T1602" s="297">
        <v>1039</v>
      </c>
      <c r="U1602" s="340">
        <v>96571</v>
      </c>
      <c r="V1602" s="340">
        <v>231647</v>
      </c>
      <c r="W1602" s="297">
        <v>2483</v>
      </c>
      <c r="X1602" s="296">
        <v>4.0000000000000001E-3</v>
      </c>
    </row>
    <row r="1603" spans="13:24">
      <c r="M1603">
        <v>1601</v>
      </c>
      <c r="N1603">
        <v>92102</v>
      </c>
      <c r="O1603" t="s">
        <v>316</v>
      </c>
      <c r="P1603" t="s">
        <v>132</v>
      </c>
      <c r="Q1603">
        <v>1726</v>
      </c>
      <c r="R1603" s="296">
        <v>0</v>
      </c>
      <c r="S1603" s="296">
        <v>0.96870000000000001</v>
      </c>
      <c r="T1603" s="297">
        <v>14194</v>
      </c>
      <c r="U1603" s="340">
        <v>96309</v>
      </c>
      <c r="V1603" s="340">
        <v>853387</v>
      </c>
      <c r="W1603" s="297">
        <v>39669</v>
      </c>
      <c r="X1603" s="296">
        <v>-3.0000000000000001E-3</v>
      </c>
    </row>
    <row r="1604" spans="13:24">
      <c r="M1604">
        <v>1602</v>
      </c>
      <c r="N1604">
        <v>46703</v>
      </c>
      <c r="O1604" t="s">
        <v>1575</v>
      </c>
      <c r="P1604" t="s">
        <v>144</v>
      </c>
      <c r="Q1604">
        <v>146</v>
      </c>
      <c r="R1604" s="296">
        <v>0</v>
      </c>
      <c r="S1604" s="296">
        <v>0.96870000000000001</v>
      </c>
      <c r="T1604" s="297">
        <v>7537</v>
      </c>
      <c r="U1604" s="340">
        <v>96261</v>
      </c>
      <c r="V1604" s="340">
        <v>298319</v>
      </c>
      <c r="W1604" s="297">
        <v>19318</v>
      </c>
      <c r="X1604" s="296">
        <v>3.0000000000000001E-3</v>
      </c>
    </row>
    <row r="1605" spans="13:24">
      <c r="M1605">
        <v>1603</v>
      </c>
      <c r="N1605">
        <v>48317</v>
      </c>
      <c r="O1605" t="s">
        <v>1049</v>
      </c>
      <c r="P1605" t="s">
        <v>140</v>
      </c>
      <c r="Q1605">
        <v>244</v>
      </c>
      <c r="R1605" s="296">
        <v>0</v>
      </c>
      <c r="S1605" s="296">
        <v>0.96870000000000001</v>
      </c>
      <c r="T1605" s="297">
        <v>12333</v>
      </c>
      <c r="U1605" s="340">
        <v>96152</v>
      </c>
      <c r="V1605" s="340">
        <v>302615</v>
      </c>
      <c r="W1605" s="297">
        <v>28202</v>
      </c>
      <c r="X1605" s="296">
        <v>2E-3</v>
      </c>
    </row>
    <row r="1606" spans="13:24">
      <c r="M1606">
        <v>1604</v>
      </c>
      <c r="N1606">
        <v>32926</v>
      </c>
      <c r="O1606" t="s">
        <v>1576</v>
      </c>
      <c r="P1606" t="s">
        <v>127</v>
      </c>
      <c r="Q1606">
        <v>1028</v>
      </c>
      <c r="R1606" s="296">
        <v>0</v>
      </c>
      <c r="S1606" s="296">
        <v>0.96879999999999999</v>
      </c>
      <c r="T1606" s="297">
        <v>10032</v>
      </c>
      <c r="U1606" s="340">
        <v>95933</v>
      </c>
      <c r="V1606" s="340">
        <v>398697</v>
      </c>
      <c r="W1606" s="297">
        <v>24372</v>
      </c>
      <c r="X1606" s="296">
        <v>1.9E-2</v>
      </c>
    </row>
    <row r="1607" spans="13:24">
      <c r="M1607">
        <v>1605</v>
      </c>
      <c r="N1607">
        <v>52101</v>
      </c>
      <c r="O1607" t="s">
        <v>342</v>
      </c>
      <c r="P1607" t="s">
        <v>170</v>
      </c>
      <c r="Q1607">
        <v>219</v>
      </c>
      <c r="R1607" s="296">
        <v>0</v>
      </c>
      <c r="S1607" s="296">
        <v>0.96879999999999999</v>
      </c>
      <c r="T1607" s="297">
        <v>5271</v>
      </c>
      <c r="U1607" s="340">
        <v>95742</v>
      </c>
      <c r="V1607" s="340">
        <v>328081</v>
      </c>
      <c r="W1607" s="297">
        <v>13180</v>
      </c>
      <c r="X1607" s="296">
        <v>-2E-3</v>
      </c>
    </row>
    <row r="1608" spans="13:24">
      <c r="M1608">
        <v>1606</v>
      </c>
      <c r="N1608">
        <v>50626</v>
      </c>
      <c r="O1608" t="s">
        <v>1577</v>
      </c>
      <c r="P1608" t="s">
        <v>170</v>
      </c>
      <c r="Q1608">
        <v>226</v>
      </c>
      <c r="R1608" s="296">
        <v>0</v>
      </c>
      <c r="S1608" s="296">
        <v>0.96879999999999999</v>
      </c>
      <c r="T1608">
        <v>654</v>
      </c>
      <c r="U1608" s="340">
        <v>95728</v>
      </c>
      <c r="V1608" s="340">
        <v>245216</v>
      </c>
      <c r="W1608" s="297">
        <v>1617</v>
      </c>
      <c r="X1608" s="296">
        <v>-5.0000000000000001E-3</v>
      </c>
    </row>
    <row r="1609" spans="13:24">
      <c r="M1609">
        <v>1607</v>
      </c>
      <c r="N1609">
        <v>49713</v>
      </c>
      <c r="O1609" t="s">
        <v>1578</v>
      </c>
      <c r="P1609" t="s">
        <v>140</v>
      </c>
      <c r="Q1609">
        <v>256</v>
      </c>
      <c r="R1609" s="296">
        <v>0</v>
      </c>
      <c r="S1609" s="296">
        <v>0.96879999999999999</v>
      </c>
      <c r="T1609">
        <v>859</v>
      </c>
      <c r="U1609" s="340">
        <v>95394</v>
      </c>
      <c r="V1609" s="340">
        <v>325297</v>
      </c>
      <c r="W1609" s="297">
        <v>2153</v>
      </c>
      <c r="X1609" s="296">
        <v>-7.0000000000000001E-3</v>
      </c>
    </row>
    <row r="1610" spans="13:24">
      <c r="M1610">
        <v>1608</v>
      </c>
      <c r="N1610">
        <v>60964</v>
      </c>
      <c r="O1610" t="s">
        <v>1579</v>
      </c>
      <c r="P1610" t="s">
        <v>131</v>
      </c>
      <c r="Q1610">
        <v>77</v>
      </c>
      <c r="R1610" s="296">
        <v>0</v>
      </c>
      <c r="S1610" s="296">
        <v>0.96889999999999998</v>
      </c>
      <c r="T1610" s="297">
        <v>1976</v>
      </c>
      <c r="U1610" s="340">
        <v>95366</v>
      </c>
      <c r="V1610" s="340">
        <v>243159</v>
      </c>
      <c r="W1610" s="297">
        <v>4754</v>
      </c>
      <c r="X1610" s="296">
        <v>-3.0000000000000001E-3</v>
      </c>
    </row>
    <row r="1611" spans="13:24">
      <c r="M1611">
        <v>1609</v>
      </c>
      <c r="N1611">
        <v>66202</v>
      </c>
      <c r="O1611" t="s">
        <v>1438</v>
      </c>
      <c r="P1611" t="s">
        <v>176</v>
      </c>
      <c r="Q1611">
        <v>420</v>
      </c>
      <c r="R1611" s="296">
        <v>0</v>
      </c>
      <c r="S1611" s="296">
        <v>0.96889999999999998</v>
      </c>
      <c r="T1611" s="297">
        <v>8793</v>
      </c>
      <c r="U1611" s="340">
        <v>95319</v>
      </c>
      <c r="V1611" s="340">
        <v>375266</v>
      </c>
      <c r="W1611" s="297">
        <v>17252</v>
      </c>
      <c r="X1611" s="296">
        <v>7.0000000000000001E-3</v>
      </c>
    </row>
    <row r="1612" spans="13:24">
      <c r="M1612">
        <v>1610</v>
      </c>
      <c r="N1612">
        <v>4101</v>
      </c>
      <c r="O1612" t="s">
        <v>420</v>
      </c>
      <c r="P1612" t="s">
        <v>182</v>
      </c>
      <c r="Q1612">
        <v>892</v>
      </c>
      <c r="R1612" s="296">
        <v>0</v>
      </c>
      <c r="S1612" s="296">
        <v>0.96889999999999998</v>
      </c>
      <c r="T1612" s="297">
        <v>10267</v>
      </c>
      <c r="U1612" s="340">
        <v>95295</v>
      </c>
      <c r="V1612" s="340">
        <v>714630</v>
      </c>
      <c r="W1612" s="297">
        <v>18323</v>
      </c>
      <c r="X1612" s="296">
        <v>8.0000000000000002E-3</v>
      </c>
    </row>
    <row r="1613" spans="13:24">
      <c r="M1613">
        <v>1611</v>
      </c>
      <c r="N1613">
        <v>61250</v>
      </c>
      <c r="O1613" t="s">
        <v>742</v>
      </c>
      <c r="P1613" t="s">
        <v>131</v>
      </c>
      <c r="Q1613">
        <v>123</v>
      </c>
      <c r="R1613" s="296">
        <v>0</v>
      </c>
      <c r="S1613" s="296">
        <v>0.96889999999999998</v>
      </c>
      <c r="T1613" s="297">
        <v>1006</v>
      </c>
      <c r="U1613" s="340">
        <v>94884</v>
      </c>
      <c r="V1613" s="340">
        <v>198577</v>
      </c>
      <c r="W1613" s="297">
        <v>2392</v>
      </c>
      <c r="X1613" s="296">
        <v>-8.0000000000000002E-3</v>
      </c>
    </row>
    <row r="1614" spans="13:24">
      <c r="M1614">
        <v>1612</v>
      </c>
      <c r="N1614">
        <v>46637</v>
      </c>
      <c r="O1614" t="s">
        <v>1212</v>
      </c>
      <c r="P1614" t="s">
        <v>144</v>
      </c>
      <c r="Q1614">
        <v>85</v>
      </c>
      <c r="R1614" s="296">
        <v>0</v>
      </c>
      <c r="S1614" s="296">
        <v>0.96899999999999997</v>
      </c>
      <c r="T1614" s="297">
        <v>7375</v>
      </c>
      <c r="U1614" s="340">
        <v>94842</v>
      </c>
      <c r="V1614" s="340">
        <v>252855</v>
      </c>
      <c r="W1614" s="297">
        <v>17837</v>
      </c>
      <c r="X1614" s="296">
        <v>5.0000000000000001E-3</v>
      </c>
    </row>
    <row r="1615" spans="13:24">
      <c r="M1615">
        <v>1613</v>
      </c>
      <c r="N1615">
        <v>54476</v>
      </c>
      <c r="O1615" t="s">
        <v>1580</v>
      </c>
      <c r="P1615" t="s">
        <v>149</v>
      </c>
      <c r="Q1615">
        <v>211</v>
      </c>
      <c r="R1615" s="296">
        <v>0</v>
      </c>
      <c r="S1615" s="296">
        <v>0.96899999999999997</v>
      </c>
      <c r="T1615" s="297">
        <v>8185</v>
      </c>
      <c r="U1615" s="340">
        <v>94738</v>
      </c>
      <c r="V1615" s="340">
        <v>267563</v>
      </c>
      <c r="W1615" s="297">
        <v>19507</v>
      </c>
      <c r="X1615" s="296">
        <v>-1E-3</v>
      </c>
    </row>
    <row r="1616" spans="13:24">
      <c r="M1616">
        <v>1614</v>
      </c>
      <c r="N1616">
        <v>5401</v>
      </c>
      <c r="O1616" t="s">
        <v>349</v>
      </c>
      <c r="P1616" t="s">
        <v>222</v>
      </c>
      <c r="Q1616">
        <v>747</v>
      </c>
      <c r="R1616" s="296">
        <v>0</v>
      </c>
      <c r="S1616" s="296">
        <v>0.96899999999999997</v>
      </c>
      <c r="T1616" s="297">
        <v>13286</v>
      </c>
      <c r="U1616" s="340">
        <v>94718</v>
      </c>
      <c r="V1616" s="340">
        <v>583179</v>
      </c>
      <c r="W1616" s="297">
        <v>29396</v>
      </c>
      <c r="X1616" s="296">
        <v>2E-3</v>
      </c>
    </row>
    <row r="1617" spans="13:24">
      <c r="M1617">
        <v>1615</v>
      </c>
      <c r="N1617">
        <v>64057</v>
      </c>
      <c r="O1617" t="s">
        <v>1581</v>
      </c>
      <c r="P1617" t="s">
        <v>186</v>
      </c>
      <c r="Q1617">
        <v>404</v>
      </c>
      <c r="R1617" s="296">
        <v>0</v>
      </c>
      <c r="S1617" s="296">
        <v>0.96899999999999997</v>
      </c>
      <c r="T1617" s="297">
        <v>6870</v>
      </c>
      <c r="U1617" s="340">
        <v>94573</v>
      </c>
      <c r="V1617" s="340">
        <v>280495</v>
      </c>
      <c r="W1617" s="297">
        <v>16269</v>
      </c>
      <c r="X1617" s="296">
        <v>1.2E-2</v>
      </c>
    </row>
    <row r="1618" spans="13:24">
      <c r="M1618">
        <v>1616</v>
      </c>
      <c r="N1618">
        <v>35040</v>
      </c>
      <c r="O1618" t="s">
        <v>1582</v>
      </c>
      <c r="P1618" t="s">
        <v>154</v>
      </c>
      <c r="Q1618">
        <v>627</v>
      </c>
      <c r="R1618" s="296">
        <v>0</v>
      </c>
      <c r="S1618" s="296">
        <v>0.96909999999999996</v>
      </c>
      <c r="T1618" s="297">
        <v>7809</v>
      </c>
      <c r="U1618" s="340">
        <v>94495</v>
      </c>
      <c r="V1618" s="340">
        <v>247560</v>
      </c>
      <c r="W1618" s="297">
        <v>21051</v>
      </c>
      <c r="X1618" s="296">
        <v>1.2E-2</v>
      </c>
    </row>
    <row r="1619" spans="13:24">
      <c r="M1619">
        <v>1617</v>
      </c>
      <c r="N1619">
        <v>61607</v>
      </c>
      <c r="O1619" t="s">
        <v>1052</v>
      </c>
      <c r="P1619" t="s">
        <v>131</v>
      </c>
      <c r="Q1619">
        <v>144</v>
      </c>
      <c r="R1619" s="296">
        <v>0</v>
      </c>
      <c r="S1619" s="296">
        <v>0.96909999999999996</v>
      </c>
      <c r="T1619" s="297">
        <v>4371</v>
      </c>
      <c r="U1619" s="340">
        <v>94468</v>
      </c>
      <c r="V1619" s="340">
        <v>218669</v>
      </c>
      <c r="W1619" s="297">
        <v>10007</v>
      </c>
      <c r="X1619" s="296">
        <v>-8.0000000000000002E-3</v>
      </c>
    </row>
    <row r="1620" spans="13:24">
      <c r="M1620">
        <v>1618</v>
      </c>
      <c r="N1620">
        <v>1083</v>
      </c>
      <c r="O1620" t="s">
        <v>781</v>
      </c>
      <c r="P1620" t="s">
        <v>135</v>
      </c>
      <c r="Q1620">
        <v>797</v>
      </c>
      <c r="R1620" s="296">
        <v>0</v>
      </c>
      <c r="S1620" s="296">
        <v>0.96909999999999996</v>
      </c>
      <c r="T1620" s="297">
        <v>1088</v>
      </c>
      <c r="U1620" s="340">
        <v>94371</v>
      </c>
      <c r="V1620" s="340">
        <v>377822</v>
      </c>
      <c r="W1620" s="297">
        <v>2583</v>
      </c>
      <c r="X1620" s="296">
        <v>1E-3</v>
      </c>
    </row>
    <row r="1621" spans="13:24">
      <c r="M1621">
        <v>1619</v>
      </c>
      <c r="N1621">
        <v>49544</v>
      </c>
      <c r="O1621" t="s">
        <v>467</v>
      </c>
      <c r="P1621" t="s">
        <v>140</v>
      </c>
      <c r="Q1621">
        <v>121</v>
      </c>
      <c r="R1621" s="296">
        <v>0</v>
      </c>
      <c r="S1621" s="296">
        <v>0.96909999999999996</v>
      </c>
      <c r="T1621" s="297">
        <v>3889</v>
      </c>
      <c r="U1621" s="340">
        <v>94301</v>
      </c>
      <c r="V1621" s="340">
        <v>269297</v>
      </c>
      <c r="W1621" s="297">
        <v>9251</v>
      </c>
      <c r="X1621" s="296">
        <v>-5.0000000000000001E-3</v>
      </c>
    </row>
    <row r="1622" spans="13:24">
      <c r="M1622">
        <v>1620</v>
      </c>
      <c r="N1622">
        <v>47385</v>
      </c>
      <c r="O1622" t="s">
        <v>1583</v>
      </c>
      <c r="P1622" t="s">
        <v>144</v>
      </c>
      <c r="Q1622">
        <v>202</v>
      </c>
      <c r="R1622" s="296">
        <v>0</v>
      </c>
      <c r="S1622" s="296">
        <v>0.96919999999999995</v>
      </c>
      <c r="T1622">
        <v>708</v>
      </c>
      <c r="U1622" s="340">
        <v>94221</v>
      </c>
      <c r="V1622" s="340">
        <v>315391</v>
      </c>
      <c r="W1622" s="297">
        <v>1697</v>
      </c>
      <c r="X1622" s="296">
        <v>-2E-3</v>
      </c>
    </row>
    <row r="1623" spans="13:24">
      <c r="M1623">
        <v>1621</v>
      </c>
      <c r="N1623">
        <v>54005</v>
      </c>
      <c r="O1623" t="s">
        <v>1584</v>
      </c>
      <c r="P1623" t="s">
        <v>149</v>
      </c>
      <c r="Q1623">
        <v>308</v>
      </c>
      <c r="R1623" s="296">
        <v>0</v>
      </c>
      <c r="S1623" s="296">
        <v>0.96919999999999995</v>
      </c>
      <c r="T1623" s="297">
        <v>1255</v>
      </c>
      <c r="U1623" s="340">
        <v>94123</v>
      </c>
      <c r="V1623" s="340">
        <v>289069</v>
      </c>
      <c r="W1623" s="297">
        <v>3086</v>
      </c>
      <c r="X1623" s="296">
        <v>-1E-3</v>
      </c>
    </row>
    <row r="1624" spans="13:24">
      <c r="M1624">
        <v>1622</v>
      </c>
      <c r="N1624">
        <v>93041</v>
      </c>
      <c r="O1624" t="s">
        <v>1585</v>
      </c>
      <c r="P1624" t="s">
        <v>132</v>
      </c>
      <c r="Q1624">
        <v>1781</v>
      </c>
      <c r="R1624" s="296">
        <v>0</v>
      </c>
      <c r="S1624" s="296">
        <v>0.96919999999999995</v>
      </c>
      <c r="T1624" s="297">
        <v>7538</v>
      </c>
      <c r="U1624" s="340">
        <v>94078</v>
      </c>
      <c r="V1624" s="340">
        <v>678023</v>
      </c>
      <c r="W1624" s="297">
        <v>22797</v>
      </c>
      <c r="X1624" s="296">
        <v>-7.0000000000000001E-3</v>
      </c>
    </row>
    <row r="1625" spans="13:24">
      <c r="M1625">
        <v>1623</v>
      </c>
      <c r="N1625">
        <v>33765</v>
      </c>
      <c r="O1625" t="s">
        <v>804</v>
      </c>
      <c r="P1625" t="s">
        <v>127</v>
      </c>
      <c r="Q1625">
        <v>1018</v>
      </c>
      <c r="R1625" s="296">
        <v>0</v>
      </c>
      <c r="S1625" s="296">
        <v>0.96919999999999995</v>
      </c>
      <c r="T1625" s="297">
        <v>5284</v>
      </c>
      <c r="U1625" s="340">
        <v>93846</v>
      </c>
      <c r="V1625" s="340">
        <v>402193</v>
      </c>
      <c r="W1625" s="297">
        <v>12575</v>
      </c>
      <c r="X1625" s="296">
        <v>8.9999999999999993E-3</v>
      </c>
    </row>
    <row r="1626" spans="13:24">
      <c r="M1626">
        <v>1624</v>
      </c>
      <c r="N1626">
        <v>53916</v>
      </c>
      <c r="O1626" t="s">
        <v>1586</v>
      </c>
      <c r="P1626" t="s">
        <v>149</v>
      </c>
      <c r="Q1626">
        <v>106</v>
      </c>
      <c r="R1626" s="296">
        <v>0</v>
      </c>
      <c r="S1626" s="296">
        <v>0.96930000000000005</v>
      </c>
      <c r="T1626" s="297">
        <v>10019</v>
      </c>
      <c r="U1626" s="340">
        <v>93842</v>
      </c>
      <c r="V1626" s="340">
        <v>296705</v>
      </c>
      <c r="W1626" s="297">
        <v>23164</v>
      </c>
      <c r="X1626" s="296">
        <v>1E-3</v>
      </c>
    </row>
    <row r="1627" spans="13:24">
      <c r="M1627">
        <v>1625</v>
      </c>
      <c r="N1627">
        <v>56676</v>
      </c>
      <c r="O1627" t="s">
        <v>1587</v>
      </c>
      <c r="P1627" t="s">
        <v>151</v>
      </c>
      <c r="Q1627">
        <v>519</v>
      </c>
      <c r="R1627" s="296">
        <v>0</v>
      </c>
      <c r="S1627" s="296">
        <v>0.96930000000000005</v>
      </c>
      <c r="T1627">
        <v>767</v>
      </c>
      <c r="U1627" s="340">
        <v>93539</v>
      </c>
      <c r="V1627" s="340">
        <v>299816</v>
      </c>
      <c r="W1627" s="297">
        <v>1760</v>
      </c>
      <c r="X1627" s="296">
        <v>6.0000000000000001E-3</v>
      </c>
    </row>
    <row r="1628" spans="13:24">
      <c r="M1628">
        <v>1626</v>
      </c>
      <c r="N1628">
        <v>56209</v>
      </c>
      <c r="O1628" t="s">
        <v>1588</v>
      </c>
      <c r="P1628" t="s">
        <v>151</v>
      </c>
      <c r="Q1628">
        <v>406</v>
      </c>
      <c r="R1628" s="296">
        <v>0</v>
      </c>
      <c r="S1628" s="296">
        <v>0.96930000000000005</v>
      </c>
      <c r="T1628">
        <v>952</v>
      </c>
      <c r="U1628" s="340">
        <v>93439</v>
      </c>
      <c r="V1628" s="340">
        <v>338314</v>
      </c>
      <c r="W1628" s="297">
        <v>2324</v>
      </c>
      <c r="X1628" s="296">
        <v>-3.0000000000000001E-3</v>
      </c>
    </row>
    <row r="1629" spans="13:24">
      <c r="M1629">
        <v>1627</v>
      </c>
      <c r="N1629">
        <v>54810</v>
      </c>
      <c r="O1629" t="s">
        <v>1589</v>
      </c>
      <c r="P1629" t="s">
        <v>149</v>
      </c>
      <c r="Q1629">
        <v>325</v>
      </c>
      <c r="R1629" s="296">
        <v>0</v>
      </c>
      <c r="S1629" s="296">
        <v>0.96930000000000005</v>
      </c>
      <c r="T1629" s="297">
        <v>1090</v>
      </c>
      <c r="U1629" s="340">
        <v>93341</v>
      </c>
      <c r="V1629" s="340">
        <v>378694</v>
      </c>
      <c r="W1629" s="297">
        <v>2466</v>
      </c>
      <c r="X1629" s="296">
        <v>1.6E-2</v>
      </c>
    </row>
    <row r="1630" spans="13:24">
      <c r="M1630">
        <v>1628</v>
      </c>
      <c r="N1630">
        <v>49103</v>
      </c>
      <c r="O1630" t="s">
        <v>1590</v>
      </c>
      <c r="P1630" t="s">
        <v>140</v>
      </c>
      <c r="Q1630">
        <v>74</v>
      </c>
      <c r="R1630" s="296">
        <v>0</v>
      </c>
      <c r="S1630" s="296">
        <v>0.96940000000000004</v>
      </c>
      <c r="T1630" s="297">
        <v>4309</v>
      </c>
      <c r="U1630" s="340">
        <v>93315</v>
      </c>
      <c r="V1630" s="340">
        <v>283327</v>
      </c>
      <c r="W1630" s="297">
        <v>11518</v>
      </c>
      <c r="X1630" s="296">
        <v>7.0000000000000001E-3</v>
      </c>
    </row>
    <row r="1631" spans="13:24">
      <c r="M1631">
        <v>1629</v>
      </c>
      <c r="N1631">
        <v>53576</v>
      </c>
      <c r="O1631" t="s">
        <v>1591</v>
      </c>
      <c r="P1631" t="s">
        <v>149</v>
      </c>
      <c r="Q1631">
        <v>81</v>
      </c>
      <c r="R1631" s="296">
        <v>0</v>
      </c>
      <c r="S1631" s="296">
        <v>0.96940000000000004</v>
      </c>
      <c r="T1631">
        <v>940</v>
      </c>
      <c r="U1631" s="340">
        <v>93219</v>
      </c>
      <c r="V1631" s="340">
        <v>380570</v>
      </c>
      <c r="W1631" s="297">
        <v>2323</v>
      </c>
      <c r="X1631" s="296">
        <v>4.0000000000000001E-3</v>
      </c>
    </row>
    <row r="1632" spans="13:24">
      <c r="M1632">
        <v>1630</v>
      </c>
      <c r="N1632">
        <v>48327</v>
      </c>
      <c r="O1632" t="s">
        <v>1039</v>
      </c>
      <c r="P1632" t="s">
        <v>140</v>
      </c>
      <c r="Q1632">
        <v>226</v>
      </c>
      <c r="R1632" s="296">
        <v>0</v>
      </c>
      <c r="S1632" s="296">
        <v>0.96940000000000004</v>
      </c>
      <c r="T1632" s="297">
        <v>10203</v>
      </c>
      <c r="U1632" s="340">
        <v>93210</v>
      </c>
      <c r="V1632" s="340">
        <v>330286</v>
      </c>
      <c r="W1632" s="297">
        <v>21766</v>
      </c>
      <c r="X1632" s="296">
        <v>-3.0000000000000001E-3</v>
      </c>
    </row>
    <row r="1633" spans="13:24">
      <c r="M1633">
        <v>1631</v>
      </c>
      <c r="N1633">
        <v>14214</v>
      </c>
      <c r="O1633" t="s">
        <v>789</v>
      </c>
      <c r="P1633" t="s">
        <v>128</v>
      </c>
      <c r="Q1633">
        <v>459</v>
      </c>
      <c r="R1633" s="296">
        <v>0</v>
      </c>
      <c r="S1633" s="296">
        <v>0.96940000000000004</v>
      </c>
      <c r="T1633" s="297">
        <v>9313</v>
      </c>
      <c r="U1633" s="340">
        <v>93089</v>
      </c>
      <c r="V1633" s="340">
        <v>311266</v>
      </c>
      <c r="W1633" s="297">
        <v>22201</v>
      </c>
      <c r="X1633" s="296">
        <v>0</v>
      </c>
    </row>
    <row r="1634" spans="13:24">
      <c r="M1634">
        <v>1632</v>
      </c>
      <c r="N1634">
        <v>62083</v>
      </c>
      <c r="O1634" t="s">
        <v>1592</v>
      </c>
      <c r="P1634" t="s">
        <v>131</v>
      </c>
      <c r="Q1634">
        <v>205</v>
      </c>
      <c r="R1634" s="296">
        <v>0</v>
      </c>
      <c r="S1634" s="296">
        <v>0.96950000000000003</v>
      </c>
      <c r="T1634">
        <v>71</v>
      </c>
      <c r="U1634" s="340">
        <v>92600</v>
      </c>
      <c r="V1634" s="340">
        <v>184091</v>
      </c>
      <c r="W1634">
        <v>179</v>
      </c>
      <c r="X1634" s="296">
        <v>-3.0000000000000001E-3</v>
      </c>
    </row>
    <row r="1635" spans="13:24">
      <c r="M1635">
        <v>1633</v>
      </c>
      <c r="N1635">
        <v>72417</v>
      </c>
      <c r="O1635" t="s">
        <v>1593</v>
      </c>
      <c r="P1635" t="s">
        <v>156</v>
      </c>
      <c r="Q1635">
        <v>456</v>
      </c>
      <c r="R1635" s="296">
        <v>0</v>
      </c>
      <c r="S1635" s="296">
        <v>0.96950000000000003</v>
      </c>
      <c r="T1635" s="297">
        <v>2563</v>
      </c>
      <c r="U1635" s="340">
        <v>92476</v>
      </c>
      <c r="V1635" s="340">
        <v>248393</v>
      </c>
      <c r="W1635" s="297">
        <v>6649</v>
      </c>
      <c r="X1635" s="296">
        <v>3.2000000000000001E-2</v>
      </c>
    </row>
    <row r="1636" spans="13:24">
      <c r="M1636">
        <v>1634</v>
      </c>
      <c r="N1636">
        <v>55604</v>
      </c>
      <c r="O1636" t="s">
        <v>1594</v>
      </c>
      <c r="P1636" t="s">
        <v>151</v>
      </c>
      <c r="Q1636">
        <v>419</v>
      </c>
      <c r="R1636" s="296">
        <v>0</v>
      </c>
      <c r="S1636" s="296">
        <v>0.96950000000000003</v>
      </c>
      <c r="T1636" s="297">
        <v>1834</v>
      </c>
      <c r="U1636" s="340">
        <v>92147</v>
      </c>
      <c r="V1636" s="340">
        <v>428947</v>
      </c>
      <c r="W1636" s="297">
        <v>3736</v>
      </c>
      <c r="X1636" s="296">
        <v>7.0000000000000001E-3</v>
      </c>
    </row>
    <row r="1637" spans="13:24">
      <c r="M1637">
        <v>1635</v>
      </c>
      <c r="N1637">
        <v>42701</v>
      </c>
      <c r="O1637" t="s">
        <v>1595</v>
      </c>
      <c r="P1637" t="s">
        <v>143</v>
      </c>
      <c r="Q1637">
        <v>324</v>
      </c>
      <c r="R1637" s="296">
        <v>0</v>
      </c>
      <c r="S1637" s="296">
        <v>0.96950000000000003</v>
      </c>
      <c r="T1637" s="297">
        <v>22177</v>
      </c>
      <c r="U1637" s="340">
        <v>92127</v>
      </c>
      <c r="V1637" s="340">
        <v>297360</v>
      </c>
      <c r="W1637" s="297">
        <v>54255</v>
      </c>
      <c r="X1637" s="296">
        <v>8.0000000000000002E-3</v>
      </c>
    </row>
    <row r="1638" spans="13:24">
      <c r="M1638">
        <v>1636</v>
      </c>
      <c r="N1638">
        <v>30655</v>
      </c>
      <c r="O1638" t="s">
        <v>610</v>
      </c>
      <c r="P1638" t="s">
        <v>130</v>
      </c>
      <c r="Q1638">
        <v>619</v>
      </c>
      <c r="R1638" s="296">
        <v>0</v>
      </c>
      <c r="S1638" s="296">
        <v>0.96960000000000002</v>
      </c>
      <c r="T1638" s="297">
        <v>11369</v>
      </c>
      <c r="U1638" s="340">
        <v>92040</v>
      </c>
      <c r="V1638" s="340">
        <v>377960</v>
      </c>
      <c r="W1638" s="297">
        <v>30461</v>
      </c>
      <c r="X1638" s="296">
        <v>2.5000000000000001E-2</v>
      </c>
    </row>
    <row r="1639" spans="13:24">
      <c r="M1639">
        <v>1637</v>
      </c>
      <c r="N1639">
        <v>43068</v>
      </c>
      <c r="O1639" t="s">
        <v>1596</v>
      </c>
      <c r="P1639" t="s">
        <v>136</v>
      </c>
      <c r="Q1639">
        <v>302</v>
      </c>
      <c r="R1639" s="296">
        <v>0</v>
      </c>
      <c r="S1639" s="296">
        <v>0.96960000000000002</v>
      </c>
      <c r="T1639" s="297">
        <v>23111</v>
      </c>
      <c r="U1639" s="340">
        <v>91824</v>
      </c>
      <c r="V1639" s="340">
        <v>270543</v>
      </c>
      <c r="W1639" s="297">
        <v>61338</v>
      </c>
      <c r="X1639" s="296">
        <v>6.0000000000000001E-3</v>
      </c>
    </row>
    <row r="1640" spans="13:24">
      <c r="M1640">
        <v>1638</v>
      </c>
      <c r="N1640">
        <v>54722</v>
      </c>
      <c r="O1640" t="s">
        <v>513</v>
      </c>
      <c r="P1640" t="s">
        <v>149</v>
      </c>
      <c r="Q1640">
        <v>243</v>
      </c>
      <c r="R1640" s="296">
        <v>0</v>
      </c>
      <c r="S1640" s="296">
        <v>0.96960000000000002</v>
      </c>
      <c r="T1640" s="297">
        <v>1496</v>
      </c>
      <c r="U1640" s="340">
        <v>91762</v>
      </c>
      <c r="V1640" s="340">
        <v>339145</v>
      </c>
      <c r="W1640" s="297">
        <v>4301</v>
      </c>
      <c r="X1640" s="296">
        <v>4.0000000000000001E-3</v>
      </c>
    </row>
    <row r="1641" spans="13:24">
      <c r="M1641">
        <v>1639</v>
      </c>
      <c r="N1641">
        <v>85741</v>
      </c>
      <c r="O1641" t="s">
        <v>579</v>
      </c>
      <c r="P1641" t="s">
        <v>158</v>
      </c>
      <c r="Q1641">
        <v>1440</v>
      </c>
      <c r="R1641" s="296">
        <v>0</v>
      </c>
      <c r="S1641" s="296">
        <v>0.96960000000000002</v>
      </c>
      <c r="T1641" s="297">
        <v>14055</v>
      </c>
      <c r="U1641" s="340">
        <v>91486</v>
      </c>
      <c r="V1641" s="340">
        <v>333567</v>
      </c>
      <c r="W1641" s="297">
        <v>33617</v>
      </c>
      <c r="X1641" s="296">
        <v>-1E-3</v>
      </c>
    </row>
    <row r="1642" spans="13:24">
      <c r="M1642">
        <v>1640</v>
      </c>
      <c r="N1642">
        <v>54660</v>
      </c>
      <c r="O1642" t="s">
        <v>1597</v>
      </c>
      <c r="P1642" t="s">
        <v>149</v>
      </c>
      <c r="Q1642">
        <v>188</v>
      </c>
      <c r="R1642" s="296">
        <v>0</v>
      </c>
      <c r="S1642" s="296">
        <v>0.96970000000000001</v>
      </c>
      <c r="T1642" s="297">
        <v>6730</v>
      </c>
      <c r="U1642" s="340">
        <v>91472</v>
      </c>
      <c r="V1642" s="340">
        <v>244165</v>
      </c>
      <c r="W1642" s="297">
        <v>16176</v>
      </c>
      <c r="X1642" s="296">
        <v>1E-3</v>
      </c>
    </row>
    <row r="1643" spans="13:24">
      <c r="M1643">
        <v>1641</v>
      </c>
      <c r="N1643">
        <v>54838</v>
      </c>
      <c r="O1643" t="s">
        <v>1598</v>
      </c>
      <c r="P1643" t="s">
        <v>149</v>
      </c>
      <c r="Q1643">
        <v>345</v>
      </c>
      <c r="R1643" s="296">
        <v>0</v>
      </c>
      <c r="S1643" s="296">
        <v>0.96970000000000001</v>
      </c>
      <c r="T1643">
        <v>662</v>
      </c>
      <c r="U1643" s="340">
        <v>91152</v>
      </c>
      <c r="V1643" s="340">
        <v>335476</v>
      </c>
      <c r="W1643" s="297">
        <v>1486</v>
      </c>
      <c r="X1643" s="296">
        <v>2E-3</v>
      </c>
    </row>
    <row r="1644" spans="13:24">
      <c r="M1644">
        <v>1642</v>
      </c>
      <c r="N1644">
        <v>30236</v>
      </c>
      <c r="O1644" t="s">
        <v>1599</v>
      </c>
      <c r="P1644" t="s">
        <v>130</v>
      </c>
      <c r="Q1644">
        <v>625</v>
      </c>
      <c r="R1644" s="296">
        <v>0</v>
      </c>
      <c r="S1644" s="296">
        <v>0.96970000000000001</v>
      </c>
      <c r="T1644" s="297">
        <v>18853</v>
      </c>
      <c r="U1644" s="340">
        <v>91021</v>
      </c>
      <c r="V1644" s="340">
        <v>286901</v>
      </c>
      <c r="W1644" s="297">
        <v>49982</v>
      </c>
      <c r="X1644" s="296">
        <v>1E-3</v>
      </c>
    </row>
    <row r="1645" spans="13:24">
      <c r="M1645">
        <v>1643</v>
      </c>
      <c r="N1645">
        <v>62418</v>
      </c>
      <c r="O1645" t="s">
        <v>1600</v>
      </c>
      <c r="P1645" t="s">
        <v>131</v>
      </c>
      <c r="Q1645">
        <v>227</v>
      </c>
      <c r="R1645" s="296">
        <v>0</v>
      </c>
      <c r="S1645" s="296">
        <v>0.96970000000000001</v>
      </c>
      <c r="T1645">
        <v>947</v>
      </c>
      <c r="U1645" s="340">
        <v>90698</v>
      </c>
      <c r="V1645" s="340">
        <v>221947</v>
      </c>
      <c r="W1645" s="297">
        <v>2342</v>
      </c>
      <c r="X1645" s="296">
        <v>-1.2E-2</v>
      </c>
    </row>
    <row r="1646" spans="13:24">
      <c r="M1646">
        <v>1644</v>
      </c>
      <c r="N1646">
        <v>11691</v>
      </c>
      <c r="O1646" t="s">
        <v>1601</v>
      </c>
      <c r="P1646" t="s">
        <v>128</v>
      </c>
      <c r="Q1646">
        <v>734</v>
      </c>
      <c r="R1646" s="296">
        <v>0</v>
      </c>
      <c r="S1646" s="296">
        <v>0.9698</v>
      </c>
      <c r="T1646" s="297">
        <v>21391</v>
      </c>
      <c r="U1646" s="340">
        <v>90650</v>
      </c>
      <c r="V1646" s="340">
        <v>735264</v>
      </c>
      <c r="W1646" s="297">
        <v>65432</v>
      </c>
      <c r="X1646" s="296">
        <v>-2E-3</v>
      </c>
    </row>
    <row r="1647" spans="13:24">
      <c r="M1647">
        <v>1645</v>
      </c>
      <c r="N1647">
        <v>54961</v>
      </c>
      <c r="O1647" t="s">
        <v>560</v>
      </c>
      <c r="P1647" t="s">
        <v>149</v>
      </c>
      <c r="Q1647">
        <v>163</v>
      </c>
      <c r="R1647" s="296">
        <v>0</v>
      </c>
      <c r="S1647" s="296">
        <v>0.9698</v>
      </c>
      <c r="T1647" s="297">
        <v>5925</v>
      </c>
      <c r="U1647" s="340">
        <v>90614</v>
      </c>
      <c r="V1647" s="340">
        <v>291896</v>
      </c>
      <c r="W1647" s="297">
        <v>14066</v>
      </c>
      <c r="X1647" s="296">
        <v>-2E-3</v>
      </c>
    </row>
    <row r="1648" spans="13:24">
      <c r="M1648">
        <v>1646</v>
      </c>
      <c r="N1648">
        <v>27028</v>
      </c>
      <c r="O1648" t="s">
        <v>1602</v>
      </c>
      <c r="P1648" t="s">
        <v>138</v>
      </c>
      <c r="Q1648">
        <v>580</v>
      </c>
      <c r="R1648" s="296">
        <v>0</v>
      </c>
      <c r="S1648" s="296">
        <v>0.9698</v>
      </c>
      <c r="T1648" s="297">
        <v>10843</v>
      </c>
      <c r="U1648" s="340">
        <v>90427</v>
      </c>
      <c r="V1648" s="340">
        <v>291253</v>
      </c>
      <c r="W1648" s="297">
        <v>27082</v>
      </c>
      <c r="X1648" s="296">
        <v>6.0000000000000001E-3</v>
      </c>
    </row>
    <row r="1649" spans="13:24">
      <c r="M1649">
        <v>1647</v>
      </c>
      <c r="N1649">
        <v>61834</v>
      </c>
      <c r="O1649" t="s">
        <v>304</v>
      </c>
      <c r="P1649" t="s">
        <v>131</v>
      </c>
      <c r="Q1649">
        <v>137</v>
      </c>
      <c r="R1649" s="296">
        <v>0</v>
      </c>
      <c r="S1649" s="296">
        <v>0.9698</v>
      </c>
      <c r="T1649" s="297">
        <v>3082</v>
      </c>
      <c r="U1649" s="340">
        <v>90306</v>
      </c>
      <c r="V1649" s="340">
        <v>166002</v>
      </c>
      <c r="W1649" s="297">
        <v>8821</v>
      </c>
      <c r="X1649" s="296">
        <v>-8.0000000000000002E-3</v>
      </c>
    </row>
    <row r="1650" spans="13:24">
      <c r="M1650">
        <v>1648</v>
      </c>
      <c r="N1650">
        <v>68005</v>
      </c>
      <c r="O1650" t="s">
        <v>1603</v>
      </c>
      <c r="P1650" t="s">
        <v>195</v>
      </c>
      <c r="Q1650">
        <v>425</v>
      </c>
      <c r="R1650" s="296">
        <v>0</v>
      </c>
      <c r="S1650" s="296">
        <v>0.96989999999999998</v>
      </c>
      <c r="T1650" s="297">
        <v>9744</v>
      </c>
      <c r="U1650" s="340">
        <v>90215</v>
      </c>
      <c r="V1650" s="340">
        <v>294020</v>
      </c>
      <c r="W1650" s="297">
        <v>23662</v>
      </c>
      <c r="X1650" s="296">
        <v>3.0000000000000001E-3</v>
      </c>
    </row>
    <row r="1651" spans="13:24">
      <c r="M1651">
        <v>1649</v>
      </c>
      <c r="N1651">
        <v>46767</v>
      </c>
      <c r="O1651" t="s">
        <v>1604</v>
      </c>
      <c r="P1651" t="s">
        <v>144</v>
      </c>
      <c r="Q1651">
        <v>123</v>
      </c>
      <c r="R1651" s="296">
        <v>0</v>
      </c>
      <c r="S1651" s="296">
        <v>0.96989999999999998</v>
      </c>
      <c r="T1651" s="297">
        <v>2779</v>
      </c>
      <c r="U1651" s="340">
        <v>90100</v>
      </c>
      <c r="V1651" s="340">
        <v>278847</v>
      </c>
      <c r="W1651" s="297">
        <v>8683</v>
      </c>
      <c r="X1651" s="296">
        <v>-3.0000000000000001E-3</v>
      </c>
    </row>
    <row r="1652" spans="13:24">
      <c r="M1652">
        <v>1650</v>
      </c>
      <c r="N1652">
        <v>43623</v>
      </c>
      <c r="O1652" t="s">
        <v>846</v>
      </c>
      <c r="P1652" t="s">
        <v>136</v>
      </c>
      <c r="Q1652">
        <v>215</v>
      </c>
      <c r="R1652" s="296">
        <v>0</v>
      </c>
      <c r="S1652" s="296">
        <v>0.96989999999999998</v>
      </c>
      <c r="T1652" s="297">
        <v>8910</v>
      </c>
      <c r="U1652" s="340">
        <v>90048</v>
      </c>
      <c r="V1652" s="340">
        <v>216887</v>
      </c>
      <c r="W1652" s="297">
        <v>19250</v>
      </c>
      <c r="X1652" s="296">
        <v>-6.0000000000000001E-3</v>
      </c>
    </row>
    <row r="1653" spans="13:24">
      <c r="M1653">
        <v>1651</v>
      </c>
      <c r="N1653">
        <v>53014</v>
      </c>
      <c r="O1653" t="s">
        <v>1605</v>
      </c>
      <c r="P1653" t="s">
        <v>149</v>
      </c>
      <c r="Q1653">
        <v>131</v>
      </c>
      <c r="R1653" s="296">
        <v>0</v>
      </c>
      <c r="S1653" s="296">
        <v>0.96989999999999998</v>
      </c>
      <c r="T1653" s="297">
        <v>3457</v>
      </c>
      <c r="U1653" s="340">
        <v>89796</v>
      </c>
      <c r="V1653" s="340">
        <v>324717</v>
      </c>
      <c r="W1653" s="297">
        <v>8149</v>
      </c>
      <c r="X1653" s="296">
        <v>-3.0000000000000001E-3</v>
      </c>
    </row>
    <row r="1654" spans="13:24">
      <c r="M1654">
        <v>1652</v>
      </c>
      <c r="N1654">
        <v>31419</v>
      </c>
      <c r="O1654" t="s">
        <v>483</v>
      </c>
      <c r="P1654" t="s">
        <v>130</v>
      </c>
      <c r="Q1654">
        <v>788</v>
      </c>
      <c r="R1654" s="296">
        <v>0</v>
      </c>
      <c r="S1654" s="296">
        <v>0.97</v>
      </c>
      <c r="T1654" s="297">
        <v>23320</v>
      </c>
      <c r="U1654" s="340">
        <v>89711</v>
      </c>
      <c r="V1654" s="340">
        <v>351252</v>
      </c>
      <c r="W1654" s="297">
        <v>56830</v>
      </c>
      <c r="X1654" s="296">
        <v>3.0000000000000001E-3</v>
      </c>
    </row>
    <row r="1655" spans="13:24">
      <c r="M1655">
        <v>1653</v>
      </c>
      <c r="N1655">
        <v>54751</v>
      </c>
      <c r="O1655" t="s">
        <v>1606</v>
      </c>
      <c r="P1655" t="s">
        <v>149</v>
      </c>
      <c r="Q1655">
        <v>279</v>
      </c>
      <c r="R1655" s="296">
        <v>0</v>
      </c>
      <c r="S1655" s="296">
        <v>0.97</v>
      </c>
      <c r="T1655" s="297">
        <v>10299</v>
      </c>
      <c r="U1655" s="340">
        <v>89576</v>
      </c>
      <c r="V1655" s="340">
        <v>271490</v>
      </c>
      <c r="W1655" s="297">
        <v>26756</v>
      </c>
      <c r="X1655" s="296">
        <v>1E-3</v>
      </c>
    </row>
    <row r="1656" spans="13:24">
      <c r="M1656">
        <v>1654</v>
      </c>
      <c r="N1656">
        <v>33837</v>
      </c>
      <c r="O1656" t="s">
        <v>1023</v>
      </c>
      <c r="P1656" t="s">
        <v>127</v>
      </c>
      <c r="Q1656">
        <v>1025</v>
      </c>
      <c r="R1656" s="296">
        <v>0</v>
      </c>
      <c r="S1656" s="296">
        <v>0.97</v>
      </c>
      <c r="T1656" s="297">
        <v>17951</v>
      </c>
      <c r="U1656" s="340">
        <v>89401</v>
      </c>
      <c r="V1656" s="340">
        <v>346783</v>
      </c>
      <c r="W1656" s="297">
        <v>51087</v>
      </c>
      <c r="X1656" s="296">
        <v>8.5999999999999993E-2</v>
      </c>
    </row>
    <row r="1657" spans="13:24">
      <c r="M1657">
        <v>1655</v>
      </c>
      <c r="N1657">
        <v>32220</v>
      </c>
      <c r="O1657" t="s">
        <v>331</v>
      </c>
      <c r="P1657" t="s">
        <v>127</v>
      </c>
      <c r="Q1657">
        <v>881</v>
      </c>
      <c r="R1657" s="296">
        <v>0</v>
      </c>
      <c r="S1657" s="296">
        <v>0.97</v>
      </c>
      <c r="T1657" s="297">
        <v>5174</v>
      </c>
      <c r="U1657" s="340">
        <v>89160</v>
      </c>
      <c r="V1657" s="340">
        <v>342849</v>
      </c>
      <c r="W1657" s="297">
        <v>13535</v>
      </c>
      <c r="X1657" s="296">
        <v>8.9999999999999993E-3</v>
      </c>
    </row>
    <row r="1658" spans="13:24">
      <c r="M1658">
        <v>1656</v>
      </c>
      <c r="N1658">
        <v>32707</v>
      </c>
      <c r="O1658" t="s">
        <v>799</v>
      </c>
      <c r="P1658" t="s">
        <v>127</v>
      </c>
      <c r="Q1658">
        <v>1000</v>
      </c>
      <c r="R1658" s="296">
        <v>0</v>
      </c>
      <c r="S1658" s="296">
        <v>0.97009999999999996</v>
      </c>
      <c r="T1658" s="297">
        <v>16219</v>
      </c>
      <c r="U1658" s="340">
        <v>89124</v>
      </c>
      <c r="V1658" s="340">
        <v>397369</v>
      </c>
      <c r="W1658" s="297">
        <v>37897</v>
      </c>
      <c r="X1658" s="296">
        <v>5.0000000000000001E-3</v>
      </c>
    </row>
    <row r="1659" spans="13:24">
      <c r="M1659">
        <v>1657</v>
      </c>
      <c r="N1659">
        <v>88012</v>
      </c>
      <c r="O1659" t="s">
        <v>1607</v>
      </c>
      <c r="P1659" t="s">
        <v>200</v>
      </c>
      <c r="Q1659">
        <v>1230</v>
      </c>
      <c r="R1659" s="296">
        <v>0</v>
      </c>
      <c r="S1659" s="296">
        <v>0.97009999999999996</v>
      </c>
      <c r="T1659" s="297">
        <v>12924</v>
      </c>
      <c r="U1659" s="340">
        <v>89010</v>
      </c>
      <c r="V1659" s="340">
        <v>236015</v>
      </c>
      <c r="W1659" s="297">
        <v>35056</v>
      </c>
      <c r="X1659" s="296">
        <v>1.7000000000000001E-2</v>
      </c>
    </row>
    <row r="1660" spans="13:24">
      <c r="M1660">
        <v>1658</v>
      </c>
      <c r="N1660">
        <v>54457</v>
      </c>
      <c r="O1660" t="s">
        <v>1608</v>
      </c>
      <c r="P1660" t="s">
        <v>149</v>
      </c>
      <c r="Q1660">
        <v>181</v>
      </c>
      <c r="R1660" s="296">
        <v>0</v>
      </c>
      <c r="S1660" s="296">
        <v>0.97009999999999996</v>
      </c>
      <c r="T1660" s="297">
        <v>3920</v>
      </c>
      <c r="U1660" s="340">
        <v>88936</v>
      </c>
      <c r="V1660" s="340">
        <v>270154</v>
      </c>
      <c r="W1660" s="297">
        <v>8665</v>
      </c>
      <c r="X1660" s="296">
        <v>2E-3</v>
      </c>
    </row>
    <row r="1661" spans="13:24">
      <c r="M1661">
        <v>1659</v>
      </c>
      <c r="N1661">
        <v>48127</v>
      </c>
      <c r="O1661" t="s">
        <v>1609</v>
      </c>
      <c r="P1661" t="s">
        <v>140</v>
      </c>
      <c r="Q1661">
        <v>231</v>
      </c>
      <c r="R1661" s="296">
        <v>0</v>
      </c>
      <c r="S1661" s="296">
        <v>0.97009999999999996</v>
      </c>
      <c r="T1661" s="297">
        <v>13947</v>
      </c>
      <c r="U1661" s="340">
        <v>88638</v>
      </c>
      <c r="V1661" s="340">
        <v>293902</v>
      </c>
      <c r="W1661" s="297">
        <v>40564</v>
      </c>
      <c r="X1661" s="296">
        <v>-4.0000000000000001E-3</v>
      </c>
    </row>
    <row r="1662" spans="13:24">
      <c r="M1662">
        <v>1660</v>
      </c>
      <c r="N1662">
        <v>54911</v>
      </c>
      <c r="O1662" t="s">
        <v>1055</v>
      </c>
      <c r="P1662" t="s">
        <v>149</v>
      </c>
      <c r="Q1662">
        <v>150</v>
      </c>
      <c r="R1662" s="296">
        <v>0</v>
      </c>
      <c r="S1662" s="296">
        <v>0.97019999999999995</v>
      </c>
      <c r="T1662" s="297">
        <v>11200</v>
      </c>
      <c r="U1662" s="340">
        <v>88559</v>
      </c>
      <c r="V1662" s="340">
        <v>288289</v>
      </c>
      <c r="W1662" s="297">
        <v>26689</v>
      </c>
      <c r="X1662" s="296">
        <v>1E-3</v>
      </c>
    </row>
    <row r="1663" spans="13:24">
      <c r="M1663">
        <v>1661</v>
      </c>
      <c r="N1663">
        <v>75146</v>
      </c>
      <c r="O1663" t="s">
        <v>803</v>
      </c>
      <c r="P1663" t="s">
        <v>134</v>
      </c>
      <c r="Q1663">
        <v>823</v>
      </c>
      <c r="R1663" s="296">
        <v>0</v>
      </c>
      <c r="S1663" s="296">
        <v>0.97019999999999995</v>
      </c>
      <c r="T1663" s="297">
        <v>7636</v>
      </c>
      <c r="U1663" s="340">
        <v>88437</v>
      </c>
      <c r="V1663" s="340">
        <v>301394</v>
      </c>
      <c r="W1663" s="297">
        <v>22837</v>
      </c>
      <c r="X1663" s="296">
        <v>3.0000000000000001E-3</v>
      </c>
    </row>
    <row r="1664" spans="13:24">
      <c r="M1664">
        <v>1662</v>
      </c>
      <c r="N1664">
        <v>26003</v>
      </c>
      <c r="O1664" t="s">
        <v>857</v>
      </c>
      <c r="P1664" t="s">
        <v>227</v>
      </c>
      <c r="Q1664">
        <v>398</v>
      </c>
      <c r="R1664" s="296">
        <v>0</v>
      </c>
      <c r="S1664" s="296">
        <v>0.97019999999999995</v>
      </c>
      <c r="T1664" s="297">
        <v>17559</v>
      </c>
      <c r="U1664" s="340">
        <v>88411</v>
      </c>
      <c r="V1664" s="340">
        <v>219206</v>
      </c>
      <c r="W1664" s="297">
        <v>39672</v>
      </c>
      <c r="X1664" s="296">
        <v>-6.0000000000000001E-3</v>
      </c>
    </row>
    <row r="1665" spans="13:24">
      <c r="M1665">
        <v>1663</v>
      </c>
      <c r="N1665">
        <v>60531</v>
      </c>
      <c r="O1665" t="s">
        <v>1610</v>
      </c>
      <c r="P1665" t="s">
        <v>131</v>
      </c>
      <c r="Q1665">
        <v>63</v>
      </c>
      <c r="R1665" s="296">
        <v>0</v>
      </c>
      <c r="S1665" s="296">
        <v>0.97019999999999995</v>
      </c>
      <c r="T1665">
        <v>720</v>
      </c>
      <c r="U1665" s="340">
        <v>88407</v>
      </c>
      <c r="V1665" s="340">
        <v>252051</v>
      </c>
      <c r="W1665" s="297">
        <v>1865</v>
      </c>
      <c r="X1665" s="296">
        <v>-5.0000000000000001E-3</v>
      </c>
    </row>
    <row r="1666" spans="13:24">
      <c r="M1666">
        <v>1664</v>
      </c>
      <c r="N1666">
        <v>47150</v>
      </c>
      <c r="O1666" t="s">
        <v>1401</v>
      </c>
      <c r="P1666" t="s">
        <v>144</v>
      </c>
      <c r="Q1666">
        <v>285</v>
      </c>
      <c r="R1666" s="296">
        <v>0</v>
      </c>
      <c r="S1666" s="296">
        <v>0.97030000000000005</v>
      </c>
      <c r="T1666" s="297">
        <v>21139</v>
      </c>
      <c r="U1666" s="340">
        <v>88277</v>
      </c>
      <c r="V1666" s="340">
        <v>250700</v>
      </c>
      <c r="W1666" s="297">
        <v>49694</v>
      </c>
      <c r="X1666" s="296">
        <v>2E-3</v>
      </c>
    </row>
    <row r="1667" spans="13:24">
      <c r="M1667">
        <v>1665</v>
      </c>
      <c r="N1667">
        <v>49431</v>
      </c>
      <c r="O1667" t="s">
        <v>1611</v>
      </c>
      <c r="P1667" t="s">
        <v>140</v>
      </c>
      <c r="Q1667">
        <v>145</v>
      </c>
      <c r="R1667" s="296">
        <v>0</v>
      </c>
      <c r="S1667" s="296">
        <v>0.97030000000000005</v>
      </c>
      <c r="T1667" s="297">
        <v>7662</v>
      </c>
      <c r="U1667" s="340">
        <v>88262</v>
      </c>
      <c r="V1667" s="340">
        <v>292150</v>
      </c>
      <c r="W1667" s="297">
        <v>17584</v>
      </c>
      <c r="X1667" s="296">
        <v>4.0000000000000001E-3</v>
      </c>
    </row>
    <row r="1668" spans="13:24">
      <c r="M1668">
        <v>1666</v>
      </c>
      <c r="N1668">
        <v>21207</v>
      </c>
      <c r="O1668" t="s">
        <v>1612</v>
      </c>
      <c r="P1668" t="s">
        <v>137</v>
      </c>
      <c r="Q1668">
        <v>611</v>
      </c>
      <c r="R1668" s="296">
        <v>0</v>
      </c>
      <c r="S1668" s="296">
        <v>0.97030000000000005</v>
      </c>
      <c r="T1668" s="297">
        <v>18132</v>
      </c>
      <c r="U1668" s="340">
        <v>88230</v>
      </c>
      <c r="V1668" s="340">
        <v>325679</v>
      </c>
      <c r="W1668" s="297">
        <v>44731</v>
      </c>
      <c r="X1668" s="296">
        <v>-6.0000000000000001E-3</v>
      </c>
    </row>
    <row r="1669" spans="13:24">
      <c r="M1669">
        <v>1667</v>
      </c>
      <c r="N1669">
        <v>31008</v>
      </c>
      <c r="O1669" t="s">
        <v>1312</v>
      </c>
      <c r="P1669" t="s">
        <v>130</v>
      </c>
      <c r="Q1669">
        <v>694</v>
      </c>
      <c r="R1669" s="296">
        <v>0</v>
      </c>
      <c r="S1669" s="296">
        <v>0.97030000000000005</v>
      </c>
      <c r="T1669" s="297">
        <v>8512</v>
      </c>
      <c r="U1669" s="340">
        <v>88187</v>
      </c>
      <c r="V1669" s="340">
        <v>217699</v>
      </c>
      <c r="W1669" s="297">
        <v>21597</v>
      </c>
      <c r="X1669" s="296">
        <v>0.01</v>
      </c>
    </row>
    <row r="1670" spans="13:24">
      <c r="M1670">
        <v>1668</v>
      </c>
      <c r="N1670">
        <v>55430</v>
      </c>
      <c r="O1670" t="s">
        <v>576</v>
      </c>
      <c r="P1670" t="s">
        <v>151</v>
      </c>
      <c r="Q1670">
        <v>341</v>
      </c>
      <c r="R1670" s="296">
        <v>0</v>
      </c>
      <c r="S1670" s="296">
        <v>0.97040000000000004</v>
      </c>
      <c r="T1670" s="297">
        <v>8228</v>
      </c>
      <c r="U1670" s="340">
        <v>87979</v>
      </c>
      <c r="V1670" s="340">
        <v>372243</v>
      </c>
      <c r="W1670" s="297">
        <v>24265</v>
      </c>
      <c r="X1670" s="296">
        <v>2E-3</v>
      </c>
    </row>
    <row r="1671" spans="13:24">
      <c r="M1671">
        <v>1669</v>
      </c>
      <c r="N1671">
        <v>49093</v>
      </c>
      <c r="O1671" t="s">
        <v>1613</v>
      </c>
      <c r="P1671" t="s">
        <v>140</v>
      </c>
      <c r="Q1671">
        <v>111</v>
      </c>
      <c r="R1671" s="296">
        <v>0</v>
      </c>
      <c r="S1671" s="296">
        <v>0.97040000000000004</v>
      </c>
      <c r="T1671" s="297">
        <v>7310</v>
      </c>
      <c r="U1671" s="340">
        <v>87808</v>
      </c>
      <c r="V1671" s="340">
        <v>226629</v>
      </c>
      <c r="W1671" s="297">
        <v>17912</v>
      </c>
      <c r="X1671" s="296">
        <v>-1E-3</v>
      </c>
    </row>
    <row r="1672" spans="13:24">
      <c r="M1672">
        <v>1670</v>
      </c>
      <c r="N1672">
        <v>76048</v>
      </c>
      <c r="O1672" t="s">
        <v>784</v>
      </c>
      <c r="P1672" t="s">
        <v>134</v>
      </c>
      <c r="Q1672">
        <v>868</v>
      </c>
      <c r="R1672" s="296">
        <v>0</v>
      </c>
      <c r="S1672" s="296">
        <v>0.97040000000000004</v>
      </c>
      <c r="T1672" s="297">
        <v>11775</v>
      </c>
      <c r="U1672" s="340">
        <v>87767</v>
      </c>
      <c r="V1672" s="340">
        <v>421978</v>
      </c>
      <c r="W1672" s="297">
        <v>28398</v>
      </c>
      <c r="X1672" s="296">
        <v>2.3E-2</v>
      </c>
    </row>
    <row r="1673" spans="13:24">
      <c r="M1673">
        <v>1671</v>
      </c>
      <c r="N1673">
        <v>33782</v>
      </c>
      <c r="O1673" t="s">
        <v>812</v>
      </c>
      <c r="P1673" t="s">
        <v>127</v>
      </c>
      <c r="Q1673">
        <v>1027</v>
      </c>
      <c r="R1673" s="296">
        <v>0</v>
      </c>
      <c r="S1673" s="296">
        <v>0.97040000000000004</v>
      </c>
      <c r="T1673" s="297">
        <v>11237</v>
      </c>
      <c r="U1673" s="340">
        <v>87718</v>
      </c>
      <c r="V1673" s="340">
        <v>362074</v>
      </c>
      <c r="W1673" s="297">
        <v>24469</v>
      </c>
      <c r="X1673" s="296">
        <v>1.6E-2</v>
      </c>
    </row>
    <row r="1674" spans="13:24">
      <c r="M1674">
        <v>1672</v>
      </c>
      <c r="N1674">
        <v>49504</v>
      </c>
      <c r="O1674" t="s">
        <v>467</v>
      </c>
      <c r="P1674" t="s">
        <v>140</v>
      </c>
      <c r="Q1674">
        <v>120</v>
      </c>
      <c r="R1674" s="296">
        <v>0</v>
      </c>
      <c r="S1674" s="296">
        <v>0.97050000000000003</v>
      </c>
      <c r="T1674" s="297">
        <v>17358</v>
      </c>
      <c r="U1674" s="340">
        <v>87619</v>
      </c>
      <c r="V1674" s="340">
        <v>271974</v>
      </c>
      <c r="W1674" s="297">
        <v>41567</v>
      </c>
      <c r="X1674" s="296">
        <v>2E-3</v>
      </c>
    </row>
    <row r="1675" spans="13:24">
      <c r="M1675">
        <v>1673</v>
      </c>
      <c r="N1675">
        <v>46511</v>
      </c>
      <c r="O1675" t="s">
        <v>1614</v>
      </c>
      <c r="P1675" t="s">
        <v>144</v>
      </c>
      <c r="Q1675">
        <v>95</v>
      </c>
      <c r="R1675" s="296">
        <v>0</v>
      </c>
      <c r="S1675" s="296">
        <v>0.97050000000000003</v>
      </c>
      <c r="T1675" s="297">
        <v>1763</v>
      </c>
      <c r="U1675" s="340">
        <v>87533</v>
      </c>
      <c r="V1675" s="340">
        <v>348224</v>
      </c>
      <c r="W1675" s="297">
        <v>4140</v>
      </c>
      <c r="X1675" s="296">
        <v>1E-3</v>
      </c>
    </row>
    <row r="1676" spans="13:24">
      <c r="M1676">
        <v>1674</v>
      </c>
      <c r="N1676">
        <v>46563</v>
      </c>
      <c r="O1676" t="s">
        <v>390</v>
      </c>
      <c r="P1676" t="s">
        <v>144</v>
      </c>
      <c r="Q1676">
        <v>94</v>
      </c>
      <c r="R1676" s="296">
        <v>0</v>
      </c>
      <c r="S1676" s="296">
        <v>0.97050000000000003</v>
      </c>
      <c r="T1676" s="297">
        <v>9108</v>
      </c>
      <c r="U1676" s="340">
        <v>87502</v>
      </c>
      <c r="V1676" s="340">
        <v>231227</v>
      </c>
      <c r="W1676" s="297">
        <v>23541</v>
      </c>
      <c r="X1676" s="296">
        <v>0</v>
      </c>
    </row>
    <row r="1677" spans="13:24">
      <c r="M1677">
        <v>1675</v>
      </c>
      <c r="N1677">
        <v>53913</v>
      </c>
      <c r="O1677" t="s">
        <v>1615</v>
      </c>
      <c r="P1677" t="s">
        <v>149</v>
      </c>
      <c r="Q1677">
        <v>135</v>
      </c>
      <c r="R1677" s="296">
        <v>0</v>
      </c>
      <c r="S1677" s="296">
        <v>0.97050000000000003</v>
      </c>
      <c r="T1677" s="297">
        <v>9235</v>
      </c>
      <c r="U1677" s="340">
        <v>87500</v>
      </c>
      <c r="V1677" s="340">
        <v>320634</v>
      </c>
      <c r="W1677" s="297">
        <v>21475</v>
      </c>
      <c r="X1677" s="296">
        <v>3.0000000000000001E-3</v>
      </c>
    </row>
    <row r="1678" spans="13:24">
      <c r="M1678">
        <v>1676</v>
      </c>
      <c r="N1678">
        <v>61025</v>
      </c>
      <c r="O1678" t="s">
        <v>1616</v>
      </c>
      <c r="P1678" t="s">
        <v>131</v>
      </c>
      <c r="Q1678">
        <v>146</v>
      </c>
      <c r="R1678" s="296">
        <v>0</v>
      </c>
      <c r="S1678" s="296">
        <v>0.97060000000000002</v>
      </c>
      <c r="T1678" s="297">
        <v>1943</v>
      </c>
      <c r="U1678" s="340">
        <v>87474</v>
      </c>
      <c r="V1678" s="340">
        <v>251046</v>
      </c>
      <c r="W1678" s="297">
        <v>4399</v>
      </c>
      <c r="X1678" s="296">
        <v>-4.0000000000000001E-3</v>
      </c>
    </row>
    <row r="1679" spans="13:24">
      <c r="M1679">
        <v>1677</v>
      </c>
      <c r="N1679">
        <v>50309</v>
      </c>
      <c r="O1679" t="s">
        <v>820</v>
      </c>
      <c r="P1679" t="s">
        <v>170</v>
      </c>
      <c r="Q1679">
        <v>302</v>
      </c>
      <c r="R1679" s="296">
        <v>0</v>
      </c>
      <c r="S1679" s="296">
        <v>0.97060000000000002</v>
      </c>
      <c r="T1679" s="297">
        <v>6594</v>
      </c>
      <c r="U1679" s="340">
        <v>87445</v>
      </c>
      <c r="V1679" s="340">
        <v>329136</v>
      </c>
      <c r="W1679" s="297">
        <v>10256</v>
      </c>
      <c r="X1679" s="296">
        <v>2.8000000000000001E-2</v>
      </c>
    </row>
    <row r="1680" spans="13:24">
      <c r="M1680">
        <v>1678</v>
      </c>
      <c r="N1680">
        <v>28348</v>
      </c>
      <c r="O1680" t="s">
        <v>1617</v>
      </c>
      <c r="P1680" t="s">
        <v>138</v>
      </c>
      <c r="Q1680">
        <v>691</v>
      </c>
      <c r="R1680" s="296">
        <v>0</v>
      </c>
      <c r="S1680" s="296">
        <v>0.97060000000000002</v>
      </c>
      <c r="T1680" s="297">
        <v>13978</v>
      </c>
      <c r="U1680" s="340">
        <v>87439</v>
      </c>
      <c r="V1680" s="340">
        <v>247370</v>
      </c>
      <c r="W1680" s="297">
        <v>38234</v>
      </c>
      <c r="X1680" s="296">
        <v>4.0000000000000001E-3</v>
      </c>
    </row>
    <row r="1681" spans="13:24">
      <c r="M1681">
        <v>1679</v>
      </c>
      <c r="N1681">
        <v>65018</v>
      </c>
      <c r="O1681" t="s">
        <v>160</v>
      </c>
      <c r="P1681" t="s">
        <v>186</v>
      </c>
      <c r="Q1681">
        <v>349</v>
      </c>
      <c r="R1681" s="296">
        <v>0</v>
      </c>
      <c r="S1681" s="296">
        <v>0.97060000000000002</v>
      </c>
      <c r="T1681" s="297">
        <v>3163</v>
      </c>
      <c r="U1681" s="340">
        <v>87425</v>
      </c>
      <c r="V1681" s="340">
        <v>219805</v>
      </c>
      <c r="W1681" s="297">
        <v>8065</v>
      </c>
      <c r="X1681" s="296">
        <v>-1E-3</v>
      </c>
    </row>
    <row r="1682" spans="13:24">
      <c r="M1682">
        <v>1680</v>
      </c>
      <c r="N1682">
        <v>90804</v>
      </c>
      <c r="O1682" t="s">
        <v>1345</v>
      </c>
      <c r="P1682" t="s">
        <v>132</v>
      </c>
      <c r="Q1682">
        <v>1741</v>
      </c>
      <c r="R1682" s="296">
        <v>0</v>
      </c>
      <c r="S1682" s="296">
        <v>0.97060000000000002</v>
      </c>
      <c r="T1682" s="297">
        <v>15041</v>
      </c>
      <c r="U1682" s="340">
        <v>87276</v>
      </c>
      <c r="V1682" s="340">
        <v>801347</v>
      </c>
      <c r="W1682" s="297">
        <v>38291</v>
      </c>
      <c r="X1682" s="296">
        <v>-1.0999999999999999E-2</v>
      </c>
    </row>
    <row r="1683" spans="13:24">
      <c r="M1683">
        <v>1681</v>
      </c>
      <c r="N1683">
        <v>32796</v>
      </c>
      <c r="O1683" t="s">
        <v>1618</v>
      </c>
      <c r="P1683" t="s">
        <v>127</v>
      </c>
      <c r="Q1683">
        <v>1013</v>
      </c>
      <c r="R1683" s="296">
        <v>0</v>
      </c>
      <c r="S1683" s="296">
        <v>0.97070000000000001</v>
      </c>
      <c r="T1683" s="297">
        <v>8758</v>
      </c>
      <c r="U1683" s="340">
        <v>87250</v>
      </c>
      <c r="V1683" s="340">
        <v>298464</v>
      </c>
      <c r="W1683" s="297">
        <v>21101</v>
      </c>
      <c r="X1683" s="296">
        <v>5.0000000000000001E-3</v>
      </c>
    </row>
    <row r="1684" spans="13:24">
      <c r="M1684">
        <v>1682</v>
      </c>
      <c r="N1684">
        <v>23150</v>
      </c>
      <c r="O1684" t="s">
        <v>1619</v>
      </c>
      <c r="P1684" t="s">
        <v>139</v>
      </c>
      <c r="Q1684">
        <v>644</v>
      </c>
      <c r="R1684" s="296">
        <v>0</v>
      </c>
      <c r="S1684" s="296">
        <v>0.97070000000000001</v>
      </c>
      <c r="T1684" s="297">
        <v>5352</v>
      </c>
      <c r="U1684" s="340">
        <v>86976</v>
      </c>
      <c r="V1684" s="340">
        <v>351534</v>
      </c>
      <c r="W1684" s="297">
        <v>12678</v>
      </c>
      <c r="X1684" s="296">
        <v>-2E-3</v>
      </c>
    </row>
    <row r="1685" spans="13:24">
      <c r="M1685">
        <v>1683</v>
      </c>
      <c r="N1685">
        <v>53235</v>
      </c>
      <c r="O1685" t="s">
        <v>1620</v>
      </c>
      <c r="P1685" t="s">
        <v>149</v>
      </c>
      <c r="Q1685">
        <v>57</v>
      </c>
      <c r="R1685" s="296">
        <v>0</v>
      </c>
      <c r="S1685" s="296">
        <v>0.97070000000000001</v>
      </c>
      <c r="T1685" s="297">
        <v>5069</v>
      </c>
      <c r="U1685" s="340">
        <v>86967</v>
      </c>
      <c r="V1685" s="340">
        <v>287576</v>
      </c>
      <c r="W1685" s="297">
        <v>9537</v>
      </c>
      <c r="X1685" s="296">
        <v>6.0000000000000001E-3</v>
      </c>
    </row>
    <row r="1686" spans="13:24">
      <c r="M1686">
        <v>1684</v>
      </c>
      <c r="N1686">
        <v>46135</v>
      </c>
      <c r="O1686" t="s">
        <v>1621</v>
      </c>
      <c r="P1686" t="s">
        <v>144</v>
      </c>
      <c r="Q1686">
        <v>178</v>
      </c>
      <c r="R1686" s="296">
        <v>0</v>
      </c>
      <c r="S1686" s="296">
        <v>0.9708</v>
      </c>
      <c r="T1686" s="297">
        <v>6755</v>
      </c>
      <c r="U1686" s="340">
        <v>86930</v>
      </c>
      <c r="V1686" s="340">
        <v>247587</v>
      </c>
      <c r="W1686" s="297">
        <v>18073</v>
      </c>
      <c r="X1686" s="296">
        <v>7.0000000000000001E-3</v>
      </c>
    </row>
    <row r="1687" spans="13:24">
      <c r="M1687">
        <v>1685</v>
      </c>
      <c r="N1687">
        <v>13778</v>
      </c>
      <c r="O1687" t="s">
        <v>1622</v>
      </c>
      <c r="P1687" t="s">
        <v>128</v>
      </c>
      <c r="Q1687">
        <v>615</v>
      </c>
      <c r="R1687" s="296">
        <v>0</v>
      </c>
      <c r="S1687" s="296">
        <v>0.9708</v>
      </c>
      <c r="T1687" s="297">
        <v>2263</v>
      </c>
      <c r="U1687" s="340">
        <v>86824</v>
      </c>
      <c r="V1687" s="340">
        <v>214241</v>
      </c>
      <c r="W1687" s="297">
        <v>5058</v>
      </c>
      <c r="X1687" s="296">
        <v>-1.2E-2</v>
      </c>
    </row>
    <row r="1688" spans="13:24">
      <c r="M1688">
        <v>1686</v>
      </c>
      <c r="N1688">
        <v>54656</v>
      </c>
      <c r="O1688" t="s">
        <v>441</v>
      </c>
      <c r="P1688" t="s">
        <v>149</v>
      </c>
      <c r="Q1688">
        <v>197</v>
      </c>
      <c r="R1688" s="296">
        <v>0</v>
      </c>
      <c r="S1688" s="296">
        <v>0.9708</v>
      </c>
      <c r="T1688" s="297">
        <v>7316</v>
      </c>
      <c r="U1688" s="340">
        <v>86770</v>
      </c>
      <c r="V1688" s="340">
        <v>261913</v>
      </c>
      <c r="W1688" s="297">
        <v>18423</v>
      </c>
      <c r="X1688" s="296">
        <v>1E-3</v>
      </c>
    </row>
    <row r="1689" spans="13:24">
      <c r="M1689">
        <v>1687</v>
      </c>
      <c r="N1689">
        <v>85635</v>
      </c>
      <c r="O1689" t="s">
        <v>1623</v>
      </c>
      <c r="P1689" t="s">
        <v>158</v>
      </c>
      <c r="Q1689">
        <v>1436</v>
      </c>
      <c r="R1689" s="296">
        <v>0</v>
      </c>
      <c r="S1689" s="296">
        <v>0.9708</v>
      </c>
      <c r="T1689" s="297">
        <v>15891</v>
      </c>
      <c r="U1689" s="340">
        <v>86426</v>
      </c>
      <c r="V1689" s="340">
        <v>259079</v>
      </c>
      <c r="W1689" s="297">
        <v>35307</v>
      </c>
      <c r="X1689" s="296">
        <v>1E-3</v>
      </c>
    </row>
    <row r="1690" spans="13:24">
      <c r="M1690">
        <v>1688</v>
      </c>
      <c r="N1690">
        <v>48075</v>
      </c>
      <c r="O1690" t="s">
        <v>793</v>
      </c>
      <c r="P1690" t="s">
        <v>140</v>
      </c>
      <c r="Q1690">
        <v>234</v>
      </c>
      <c r="R1690" s="296">
        <v>0</v>
      </c>
      <c r="S1690" s="296">
        <v>0.9708</v>
      </c>
      <c r="T1690" s="297">
        <v>9781</v>
      </c>
      <c r="U1690" s="340">
        <v>86321</v>
      </c>
      <c r="V1690" s="340">
        <v>299988</v>
      </c>
      <c r="W1690" s="297">
        <v>23013</v>
      </c>
      <c r="X1690" s="296">
        <v>-4.0000000000000001E-3</v>
      </c>
    </row>
    <row r="1691" spans="13:24">
      <c r="M1691">
        <v>1689</v>
      </c>
      <c r="N1691">
        <v>49503</v>
      </c>
      <c r="O1691" t="s">
        <v>467</v>
      </c>
      <c r="P1691" t="s">
        <v>140</v>
      </c>
      <c r="Q1691">
        <v>122</v>
      </c>
      <c r="R1691" s="296">
        <v>0</v>
      </c>
      <c r="S1691" s="296">
        <v>0.97089999999999999</v>
      </c>
      <c r="T1691" s="297">
        <v>18222</v>
      </c>
      <c r="U1691" s="340">
        <v>86231</v>
      </c>
      <c r="V1691" s="340">
        <v>319686</v>
      </c>
      <c r="W1691" s="297">
        <v>40490</v>
      </c>
      <c r="X1691" s="296">
        <v>8.0000000000000002E-3</v>
      </c>
    </row>
    <row r="1692" spans="13:24">
      <c r="M1692">
        <v>1690</v>
      </c>
      <c r="N1692">
        <v>38111</v>
      </c>
      <c r="O1692" t="s">
        <v>678</v>
      </c>
      <c r="P1692" t="s">
        <v>146</v>
      </c>
      <c r="Q1692">
        <v>500</v>
      </c>
      <c r="R1692" s="296">
        <v>0</v>
      </c>
      <c r="S1692" s="296">
        <v>0.97089999999999999</v>
      </c>
      <c r="T1692" s="297">
        <v>17547</v>
      </c>
      <c r="U1692" s="340">
        <v>86079</v>
      </c>
      <c r="V1692" s="340">
        <v>318640</v>
      </c>
      <c r="W1692" s="297">
        <v>39559</v>
      </c>
      <c r="X1692" s="296">
        <v>-6.0000000000000001E-3</v>
      </c>
    </row>
    <row r="1693" spans="13:24">
      <c r="M1693">
        <v>1691</v>
      </c>
      <c r="N1693">
        <v>64111</v>
      </c>
      <c r="O1693" t="s">
        <v>490</v>
      </c>
      <c r="P1693" t="s">
        <v>186</v>
      </c>
      <c r="Q1693">
        <v>416</v>
      </c>
      <c r="R1693" s="296">
        <v>0</v>
      </c>
      <c r="S1693" s="296">
        <v>0.97089999999999999</v>
      </c>
      <c r="T1693" s="297">
        <v>11077</v>
      </c>
      <c r="U1693" s="340">
        <v>86064</v>
      </c>
      <c r="V1693" s="340">
        <v>363251</v>
      </c>
      <c r="W1693" s="297">
        <v>18369</v>
      </c>
      <c r="X1693" s="296">
        <v>1.9E-2</v>
      </c>
    </row>
    <row r="1694" spans="13:24">
      <c r="M1694">
        <v>1692</v>
      </c>
      <c r="N1694">
        <v>23666</v>
      </c>
      <c r="O1694" t="s">
        <v>399</v>
      </c>
      <c r="P1694" t="s">
        <v>139</v>
      </c>
      <c r="Q1694">
        <v>700</v>
      </c>
      <c r="R1694" s="296">
        <v>0</v>
      </c>
      <c r="S1694" s="296">
        <v>0.97089999999999999</v>
      </c>
      <c r="T1694" s="297">
        <v>24153</v>
      </c>
      <c r="U1694" s="340">
        <v>85916</v>
      </c>
      <c r="V1694" s="340">
        <v>289455</v>
      </c>
      <c r="W1694" s="297">
        <v>53463</v>
      </c>
      <c r="X1694" s="296">
        <v>2E-3</v>
      </c>
    </row>
    <row r="1695" spans="13:24">
      <c r="M1695">
        <v>1693</v>
      </c>
      <c r="N1695">
        <v>52175</v>
      </c>
      <c r="O1695" t="s">
        <v>1624</v>
      </c>
      <c r="P1695" t="s">
        <v>170</v>
      </c>
      <c r="Q1695">
        <v>213</v>
      </c>
      <c r="R1695" s="296">
        <v>0</v>
      </c>
      <c r="S1695" s="296">
        <v>0.97099999999999997</v>
      </c>
      <c r="T1695" s="297">
        <v>1452</v>
      </c>
      <c r="U1695" s="340">
        <v>85773</v>
      </c>
      <c r="V1695" s="340">
        <v>207962</v>
      </c>
      <c r="W1695" s="297">
        <v>3313</v>
      </c>
      <c r="X1695" s="296">
        <v>-7.0000000000000001E-3</v>
      </c>
    </row>
    <row r="1696" spans="13:24">
      <c r="M1696">
        <v>1694</v>
      </c>
      <c r="N1696">
        <v>77598</v>
      </c>
      <c r="O1696" t="s">
        <v>439</v>
      </c>
      <c r="P1696" t="s">
        <v>134</v>
      </c>
      <c r="Q1696">
        <v>962</v>
      </c>
      <c r="R1696" s="296">
        <v>0</v>
      </c>
      <c r="S1696" s="296">
        <v>0.97099999999999997</v>
      </c>
      <c r="T1696" s="297">
        <v>12523</v>
      </c>
      <c r="U1696" s="340">
        <v>85751</v>
      </c>
      <c r="V1696" s="340">
        <v>298804</v>
      </c>
      <c r="W1696" s="297">
        <v>27460</v>
      </c>
      <c r="X1696" s="296">
        <v>3.0000000000000001E-3</v>
      </c>
    </row>
    <row r="1697" spans="13:24">
      <c r="M1697">
        <v>1695</v>
      </c>
      <c r="N1697">
        <v>49930</v>
      </c>
      <c r="O1697" t="s">
        <v>1625</v>
      </c>
      <c r="P1697" t="s">
        <v>140</v>
      </c>
      <c r="Q1697">
        <v>348</v>
      </c>
      <c r="R1697" s="296">
        <v>0</v>
      </c>
      <c r="S1697" s="296">
        <v>0.97099999999999997</v>
      </c>
      <c r="T1697" s="297">
        <v>2953</v>
      </c>
      <c r="U1697" s="340">
        <v>85356</v>
      </c>
      <c r="V1697" s="340">
        <v>218079</v>
      </c>
      <c r="W1697" s="297">
        <v>7122</v>
      </c>
      <c r="X1697" s="296">
        <v>-4.0000000000000001E-3</v>
      </c>
    </row>
    <row r="1698" spans="13:24">
      <c r="M1698">
        <v>1696</v>
      </c>
      <c r="N1698">
        <v>60954</v>
      </c>
      <c r="O1698" t="s">
        <v>1626</v>
      </c>
      <c r="P1698" t="s">
        <v>131</v>
      </c>
      <c r="Q1698">
        <v>70</v>
      </c>
      <c r="R1698" s="296">
        <v>0</v>
      </c>
      <c r="S1698" s="296">
        <v>0.97099999999999997</v>
      </c>
      <c r="T1698" s="297">
        <v>2301</v>
      </c>
      <c r="U1698" s="340">
        <v>85308</v>
      </c>
      <c r="V1698" s="340">
        <v>223448</v>
      </c>
      <c r="W1698" s="297">
        <v>5729</v>
      </c>
      <c r="X1698" s="296">
        <v>-6.0000000000000001E-3</v>
      </c>
    </row>
    <row r="1699" spans="13:24">
      <c r="M1699">
        <v>1697</v>
      </c>
      <c r="N1699">
        <v>54436</v>
      </c>
      <c r="O1699" t="s">
        <v>1627</v>
      </c>
      <c r="P1699" t="s">
        <v>149</v>
      </c>
      <c r="Q1699">
        <v>212</v>
      </c>
      <c r="R1699" s="296">
        <v>0</v>
      </c>
      <c r="S1699" s="296">
        <v>0.97109999999999996</v>
      </c>
      <c r="T1699">
        <v>758</v>
      </c>
      <c r="U1699" s="340">
        <v>85286</v>
      </c>
      <c r="V1699" s="340">
        <v>308257</v>
      </c>
      <c r="W1699" s="297">
        <v>2142</v>
      </c>
      <c r="X1699" s="296">
        <v>-6.0000000000000001E-3</v>
      </c>
    </row>
    <row r="1700" spans="13:24">
      <c r="M1700">
        <v>1698</v>
      </c>
      <c r="N1700">
        <v>61081</v>
      </c>
      <c r="O1700" t="s">
        <v>532</v>
      </c>
      <c r="P1700" t="s">
        <v>131</v>
      </c>
      <c r="Q1700">
        <v>102</v>
      </c>
      <c r="R1700" s="296">
        <v>0</v>
      </c>
      <c r="S1700" s="296">
        <v>0.97109999999999996</v>
      </c>
      <c r="T1700" s="297">
        <v>8934</v>
      </c>
      <c r="U1700" s="340">
        <v>85122</v>
      </c>
      <c r="V1700" s="340">
        <v>185630</v>
      </c>
      <c r="W1700" s="297">
        <v>20500</v>
      </c>
      <c r="X1700" s="296">
        <v>-8.0000000000000002E-3</v>
      </c>
    </row>
    <row r="1701" spans="13:24">
      <c r="M1701">
        <v>1699</v>
      </c>
      <c r="N1701">
        <v>62656</v>
      </c>
      <c r="O1701" t="s">
        <v>415</v>
      </c>
      <c r="P1701" t="s">
        <v>131</v>
      </c>
      <c r="Q1701">
        <v>161</v>
      </c>
      <c r="R1701" s="296">
        <v>0</v>
      </c>
      <c r="S1701" s="296">
        <v>0.97109999999999996</v>
      </c>
      <c r="T1701" s="297">
        <v>6788</v>
      </c>
      <c r="U1701" s="340">
        <v>84794</v>
      </c>
      <c r="V1701" s="340">
        <v>160289</v>
      </c>
      <c r="W1701" s="297">
        <v>18320</v>
      </c>
      <c r="X1701" s="296">
        <v>-4.0000000000000001E-3</v>
      </c>
    </row>
    <row r="1702" spans="13:24">
      <c r="M1702">
        <v>1700</v>
      </c>
      <c r="N1702">
        <v>68847</v>
      </c>
      <c r="O1702" t="s">
        <v>1628</v>
      </c>
      <c r="P1702" t="s">
        <v>195</v>
      </c>
      <c r="Q1702">
        <v>589</v>
      </c>
      <c r="R1702" s="296">
        <v>0</v>
      </c>
      <c r="S1702" s="296">
        <v>0.97109999999999996</v>
      </c>
      <c r="T1702" s="297">
        <v>7581</v>
      </c>
      <c r="U1702" s="340">
        <v>84723</v>
      </c>
      <c r="V1702" s="340">
        <v>261296</v>
      </c>
      <c r="W1702" s="297">
        <v>18435</v>
      </c>
      <c r="X1702" s="296">
        <v>2E-3</v>
      </c>
    </row>
    <row r="1703" spans="13:24">
      <c r="M1703">
        <v>1701</v>
      </c>
      <c r="N1703">
        <v>32826</v>
      </c>
      <c r="O1703" t="s">
        <v>539</v>
      </c>
      <c r="P1703" t="s">
        <v>127</v>
      </c>
      <c r="Q1703">
        <v>1007</v>
      </c>
      <c r="R1703" s="296">
        <v>0</v>
      </c>
      <c r="S1703" s="296">
        <v>0.97119999999999995</v>
      </c>
      <c r="T1703" s="297">
        <v>9455</v>
      </c>
      <c r="U1703" s="340">
        <v>84707</v>
      </c>
      <c r="V1703" s="340">
        <v>316128</v>
      </c>
      <c r="W1703" s="297">
        <v>36331</v>
      </c>
      <c r="X1703" s="296">
        <v>6.0000000000000001E-3</v>
      </c>
    </row>
    <row r="1704" spans="13:24">
      <c r="M1704">
        <v>1702</v>
      </c>
      <c r="N1704">
        <v>34208</v>
      </c>
      <c r="O1704" t="s">
        <v>531</v>
      </c>
      <c r="P1704" t="s">
        <v>127</v>
      </c>
      <c r="Q1704">
        <v>1057</v>
      </c>
      <c r="R1704" s="296">
        <v>0</v>
      </c>
      <c r="S1704" s="296">
        <v>0.97119999999999995</v>
      </c>
      <c r="T1704" s="297">
        <v>15327</v>
      </c>
      <c r="U1704" s="340">
        <v>84571</v>
      </c>
      <c r="V1704" s="340">
        <v>403656</v>
      </c>
      <c r="W1704" s="297">
        <v>40459</v>
      </c>
      <c r="X1704" s="296">
        <v>1.2E-2</v>
      </c>
    </row>
    <row r="1705" spans="13:24">
      <c r="M1705">
        <v>1703</v>
      </c>
      <c r="N1705">
        <v>33023</v>
      </c>
      <c r="O1705" t="s">
        <v>542</v>
      </c>
      <c r="P1705" t="s">
        <v>127</v>
      </c>
      <c r="Q1705">
        <v>1196</v>
      </c>
      <c r="R1705" s="296">
        <v>0</v>
      </c>
      <c r="S1705" s="296">
        <v>0.97119999999999995</v>
      </c>
      <c r="T1705" s="297">
        <v>20664</v>
      </c>
      <c r="U1705" s="340">
        <v>84563</v>
      </c>
      <c r="V1705" s="340">
        <v>462763</v>
      </c>
      <c r="W1705" s="297">
        <v>66254</v>
      </c>
      <c r="X1705" s="296">
        <v>-2E-3</v>
      </c>
    </row>
    <row r="1706" spans="13:24">
      <c r="M1706">
        <v>1704</v>
      </c>
      <c r="N1706">
        <v>92231</v>
      </c>
      <c r="O1706" t="s">
        <v>1629</v>
      </c>
      <c r="P1706" t="s">
        <v>132</v>
      </c>
      <c r="Q1706">
        <v>1646</v>
      </c>
      <c r="R1706" s="296">
        <v>0</v>
      </c>
      <c r="S1706" s="296">
        <v>0.97119999999999995</v>
      </c>
      <c r="T1706" s="297">
        <v>10430</v>
      </c>
      <c r="U1706" s="340">
        <v>84454</v>
      </c>
      <c r="V1706" s="340">
        <v>367754</v>
      </c>
      <c r="W1706" s="297">
        <v>38011</v>
      </c>
      <c r="X1706" s="296">
        <v>-6.0000000000000001E-3</v>
      </c>
    </row>
    <row r="1707" spans="13:24">
      <c r="M1707">
        <v>1705</v>
      </c>
      <c r="N1707">
        <v>65072</v>
      </c>
      <c r="O1707" t="s">
        <v>1630</v>
      </c>
      <c r="P1707" t="s">
        <v>186</v>
      </c>
      <c r="Q1707">
        <v>372</v>
      </c>
      <c r="R1707" s="296">
        <v>0</v>
      </c>
      <c r="S1707" s="296">
        <v>0.97130000000000005</v>
      </c>
      <c r="T1707">
        <v>803</v>
      </c>
      <c r="U1707" s="340">
        <v>84429</v>
      </c>
      <c r="V1707" s="340">
        <v>310007</v>
      </c>
      <c r="W1707" s="297">
        <v>1720</v>
      </c>
      <c r="X1707" s="296">
        <v>3.0000000000000001E-3</v>
      </c>
    </row>
    <row r="1708" spans="13:24">
      <c r="M1708">
        <v>1706</v>
      </c>
      <c r="N1708">
        <v>48732</v>
      </c>
      <c r="O1708" t="s">
        <v>1631</v>
      </c>
      <c r="P1708" t="s">
        <v>140</v>
      </c>
      <c r="Q1708">
        <v>227</v>
      </c>
      <c r="R1708" s="296">
        <v>0</v>
      </c>
      <c r="S1708" s="296">
        <v>0.97130000000000005</v>
      </c>
      <c r="T1708" s="297">
        <v>4872</v>
      </c>
      <c r="U1708" s="340">
        <v>84358</v>
      </c>
      <c r="V1708" s="340">
        <v>197189</v>
      </c>
      <c r="W1708" s="297">
        <v>10826</v>
      </c>
      <c r="X1708" s="296">
        <v>-5.0000000000000001E-3</v>
      </c>
    </row>
    <row r="1709" spans="13:24">
      <c r="M1709">
        <v>1707</v>
      </c>
      <c r="N1709">
        <v>68502</v>
      </c>
      <c r="O1709" t="s">
        <v>415</v>
      </c>
      <c r="P1709" t="s">
        <v>195</v>
      </c>
      <c r="Q1709">
        <v>470</v>
      </c>
      <c r="R1709" s="296">
        <v>0</v>
      </c>
      <c r="S1709" s="296">
        <v>0.97130000000000005</v>
      </c>
      <c r="T1709" s="297">
        <v>10966</v>
      </c>
      <c r="U1709" s="340">
        <v>84172</v>
      </c>
      <c r="V1709" s="340">
        <v>332246</v>
      </c>
      <c r="W1709" s="297">
        <v>26384</v>
      </c>
      <c r="X1709" s="296">
        <v>-1E-3</v>
      </c>
    </row>
    <row r="1710" spans="13:24">
      <c r="M1710">
        <v>1708</v>
      </c>
      <c r="N1710">
        <v>33025</v>
      </c>
      <c r="O1710" t="s">
        <v>542</v>
      </c>
      <c r="P1710" t="s">
        <v>127</v>
      </c>
      <c r="Q1710">
        <v>1195</v>
      </c>
      <c r="R1710" s="296">
        <v>0</v>
      </c>
      <c r="S1710" s="296">
        <v>0.97130000000000005</v>
      </c>
      <c r="T1710" s="297">
        <v>28940</v>
      </c>
      <c r="U1710" s="340">
        <v>84172</v>
      </c>
      <c r="V1710" s="340">
        <v>414487</v>
      </c>
      <c r="W1710" s="297">
        <v>78883</v>
      </c>
      <c r="X1710" s="296">
        <v>1.0999999999999999E-2</v>
      </c>
    </row>
    <row r="1711" spans="13:24">
      <c r="M1711">
        <v>1709</v>
      </c>
      <c r="N1711">
        <v>85007</v>
      </c>
      <c r="O1711" t="s">
        <v>548</v>
      </c>
      <c r="P1711" t="s">
        <v>158</v>
      </c>
      <c r="Q1711">
        <v>1450</v>
      </c>
      <c r="R1711" s="296">
        <v>0</v>
      </c>
      <c r="S1711" s="296">
        <v>0.97140000000000004</v>
      </c>
      <c r="T1711" s="297">
        <v>5321</v>
      </c>
      <c r="U1711" s="340">
        <v>83982</v>
      </c>
      <c r="V1711" s="340">
        <v>548569</v>
      </c>
      <c r="W1711" s="297">
        <v>14475</v>
      </c>
      <c r="X1711" s="296">
        <v>6.0000000000000001E-3</v>
      </c>
    </row>
    <row r="1712" spans="13:24">
      <c r="M1712">
        <v>1710</v>
      </c>
      <c r="N1712">
        <v>27253</v>
      </c>
      <c r="O1712" t="s">
        <v>1632</v>
      </c>
      <c r="P1712" t="s">
        <v>138</v>
      </c>
      <c r="Q1712">
        <v>617</v>
      </c>
      <c r="R1712" s="296">
        <v>0</v>
      </c>
      <c r="S1712" s="296">
        <v>0.97140000000000004</v>
      </c>
      <c r="T1712" s="297">
        <v>14034</v>
      </c>
      <c r="U1712" s="340">
        <v>83956</v>
      </c>
      <c r="V1712" s="340">
        <v>302725</v>
      </c>
      <c r="W1712" s="297">
        <v>34041</v>
      </c>
      <c r="X1712" s="296">
        <v>1.4999999999999999E-2</v>
      </c>
    </row>
    <row r="1713" spans="13:24">
      <c r="M1713">
        <v>1711</v>
      </c>
      <c r="N1713">
        <v>47909</v>
      </c>
      <c r="O1713" t="s">
        <v>308</v>
      </c>
      <c r="P1713" t="s">
        <v>144</v>
      </c>
      <c r="Q1713">
        <v>134</v>
      </c>
      <c r="R1713" s="296">
        <v>0</v>
      </c>
      <c r="S1713" s="296">
        <v>0.97140000000000004</v>
      </c>
      <c r="T1713" s="297">
        <v>17413</v>
      </c>
      <c r="U1713" s="340">
        <v>83728</v>
      </c>
      <c r="V1713" s="340">
        <v>243329</v>
      </c>
      <c r="W1713" s="297">
        <v>43873</v>
      </c>
      <c r="X1713" s="296">
        <v>6.0000000000000001E-3</v>
      </c>
    </row>
    <row r="1714" spans="13:24">
      <c r="M1714">
        <v>1712</v>
      </c>
      <c r="N1714">
        <v>37862</v>
      </c>
      <c r="O1714" t="s">
        <v>1633</v>
      </c>
      <c r="P1714" t="s">
        <v>146</v>
      </c>
      <c r="Q1714">
        <v>494</v>
      </c>
      <c r="R1714" s="296">
        <v>0</v>
      </c>
      <c r="S1714" s="296">
        <v>0.97140000000000004</v>
      </c>
      <c r="T1714" s="297">
        <v>9980</v>
      </c>
      <c r="U1714" s="340">
        <v>83723</v>
      </c>
      <c r="V1714" s="340">
        <v>456156</v>
      </c>
      <c r="W1714" s="297">
        <v>24414</v>
      </c>
      <c r="X1714" s="296">
        <v>8.9999999999999993E-3</v>
      </c>
    </row>
    <row r="1715" spans="13:24">
      <c r="M1715">
        <v>1713</v>
      </c>
      <c r="N1715">
        <v>60924</v>
      </c>
      <c r="O1715" t="s">
        <v>1634</v>
      </c>
      <c r="P1715" t="s">
        <v>131</v>
      </c>
      <c r="Q1715">
        <v>108</v>
      </c>
      <c r="R1715" s="296">
        <v>0</v>
      </c>
      <c r="S1715" s="296">
        <v>0.97150000000000003</v>
      </c>
      <c r="T1715">
        <v>704</v>
      </c>
      <c r="U1715" s="340">
        <v>83303</v>
      </c>
      <c r="V1715" s="340">
        <v>174433</v>
      </c>
      <c r="W1715" s="297">
        <v>1613</v>
      </c>
      <c r="X1715" s="296">
        <v>-0.01</v>
      </c>
    </row>
    <row r="1716" spans="13:24">
      <c r="M1716">
        <v>1714</v>
      </c>
      <c r="N1716">
        <v>51235</v>
      </c>
      <c r="O1716" t="s">
        <v>1635</v>
      </c>
      <c r="P1716" t="s">
        <v>170</v>
      </c>
      <c r="Q1716">
        <v>434</v>
      </c>
      <c r="R1716" s="296">
        <v>0</v>
      </c>
      <c r="S1716" s="296">
        <v>0.97150000000000003</v>
      </c>
      <c r="T1716">
        <v>398</v>
      </c>
      <c r="U1716" s="340">
        <v>83176</v>
      </c>
      <c r="V1716" s="340">
        <v>333506</v>
      </c>
      <c r="W1716" s="297">
        <v>1096</v>
      </c>
      <c r="X1716" s="296">
        <v>-5.0000000000000001E-3</v>
      </c>
    </row>
    <row r="1717" spans="13:24">
      <c r="M1717">
        <v>1715</v>
      </c>
      <c r="N1717">
        <v>61554</v>
      </c>
      <c r="O1717" t="s">
        <v>1636</v>
      </c>
      <c r="P1717" t="s">
        <v>131</v>
      </c>
      <c r="Q1717">
        <v>146</v>
      </c>
      <c r="R1717" s="296">
        <v>0</v>
      </c>
      <c r="S1717" s="296">
        <v>0.97150000000000003</v>
      </c>
      <c r="T1717" s="297">
        <v>16975</v>
      </c>
      <c r="U1717" s="340">
        <v>82848</v>
      </c>
      <c r="V1717" s="340">
        <v>173235</v>
      </c>
      <c r="W1717" s="297">
        <v>39815</v>
      </c>
      <c r="X1717" s="296">
        <v>-6.0000000000000001E-3</v>
      </c>
    </row>
    <row r="1718" spans="13:24">
      <c r="M1718">
        <v>1716</v>
      </c>
      <c r="N1718">
        <v>91950</v>
      </c>
      <c r="O1718" t="s">
        <v>1637</v>
      </c>
      <c r="P1718" t="s">
        <v>132</v>
      </c>
      <c r="Q1718">
        <v>1725</v>
      </c>
      <c r="R1718" s="296">
        <v>0</v>
      </c>
      <c r="S1718" s="296">
        <v>0.97150000000000003</v>
      </c>
      <c r="T1718" s="297">
        <v>17507</v>
      </c>
      <c r="U1718" s="340">
        <v>82789</v>
      </c>
      <c r="V1718" s="340">
        <v>790948</v>
      </c>
      <c r="W1718" s="297">
        <v>57072</v>
      </c>
      <c r="X1718" s="296">
        <v>-2E-3</v>
      </c>
    </row>
    <row r="1719" spans="13:24">
      <c r="M1719">
        <v>1717</v>
      </c>
      <c r="N1719">
        <v>67474</v>
      </c>
      <c r="O1719" t="s">
        <v>1638</v>
      </c>
      <c r="P1719" t="s">
        <v>176</v>
      </c>
      <c r="Q1719">
        <v>600</v>
      </c>
      <c r="R1719" s="296">
        <v>0</v>
      </c>
      <c r="S1719" s="296">
        <v>0.97160000000000002</v>
      </c>
      <c r="T1719">
        <v>82</v>
      </c>
      <c r="U1719" s="340">
        <v>82613</v>
      </c>
      <c r="V1719" s="340">
        <v>118000</v>
      </c>
      <c r="W1719">
        <v>206</v>
      </c>
      <c r="X1719" s="296">
        <v>4.2999999999999997E-2</v>
      </c>
    </row>
    <row r="1720" spans="13:24">
      <c r="M1720">
        <v>1718</v>
      </c>
      <c r="N1720">
        <v>83202</v>
      </c>
      <c r="O1720" t="s">
        <v>810</v>
      </c>
      <c r="P1720" t="s">
        <v>172</v>
      </c>
      <c r="Q1720">
        <v>1258</v>
      </c>
      <c r="R1720" s="296">
        <v>0</v>
      </c>
      <c r="S1720" s="296">
        <v>0.97160000000000002</v>
      </c>
      <c r="T1720" s="297">
        <v>8668</v>
      </c>
      <c r="U1720" s="340">
        <v>82492</v>
      </c>
      <c r="V1720" s="340">
        <v>386723</v>
      </c>
      <c r="W1720" s="297">
        <v>24569</v>
      </c>
      <c r="X1720" s="296">
        <v>8.0000000000000002E-3</v>
      </c>
    </row>
    <row r="1721" spans="13:24">
      <c r="M1721">
        <v>1719</v>
      </c>
      <c r="N1721">
        <v>48706</v>
      </c>
      <c r="O1721" t="s">
        <v>814</v>
      </c>
      <c r="P1721" t="s">
        <v>140</v>
      </c>
      <c r="Q1721">
        <v>219</v>
      </c>
      <c r="R1721" s="296">
        <v>0</v>
      </c>
      <c r="S1721" s="296">
        <v>0.97160000000000002</v>
      </c>
      <c r="T1721" s="297">
        <v>17266</v>
      </c>
      <c r="U1721" s="340">
        <v>82185</v>
      </c>
      <c r="V1721" s="340">
        <v>206253</v>
      </c>
      <c r="W1721" s="297">
        <v>38687</v>
      </c>
      <c r="X1721" s="296">
        <v>-5.0000000000000001E-3</v>
      </c>
    </row>
    <row r="1722" spans="13:24">
      <c r="M1722">
        <v>1720</v>
      </c>
      <c r="N1722">
        <v>90020</v>
      </c>
      <c r="O1722" t="s">
        <v>309</v>
      </c>
      <c r="P1722" t="s">
        <v>132</v>
      </c>
      <c r="Q1722">
        <v>1739</v>
      </c>
      <c r="R1722" s="296">
        <v>0</v>
      </c>
      <c r="S1722" s="296">
        <v>0.97160000000000002</v>
      </c>
      <c r="T1722" s="297">
        <v>17423</v>
      </c>
      <c r="U1722" s="340">
        <v>82125</v>
      </c>
      <c r="V1722" s="340">
        <v>1198451</v>
      </c>
      <c r="W1722" s="297">
        <v>37384</v>
      </c>
      <c r="X1722" s="296">
        <v>-6.0000000000000001E-3</v>
      </c>
    </row>
    <row r="1723" spans="13:24">
      <c r="M1723">
        <v>1721</v>
      </c>
      <c r="N1723">
        <v>38801</v>
      </c>
      <c r="O1723" t="s">
        <v>1639</v>
      </c>
      <c r="P1723" t="s">
        <v>188</v>
      </c>
      <c r="Q1723">
        <v>548</v>
      </c>
      <c r="R1723" s="296">
        <v>0</v>
      </c>
      <c r="S1723" s="296">
        <v>0.97170000000000001</v>
      </c>
      <c r="T1723" s="297">
        <v>12022</v>
      </c>
      <c r="U1723" s="340">
        <v>82018</v>
      </c>
      <c r="V1723" s="340">
        <v>232532</v>
      </c>
      <c r="W1723" s="297">
        <v>29479</v>
      </c>
      <c r="X1723" s="296">
        <v>-4.0000000000000001E-3</v>
      </c>
    </row>
    <row r="1724" spans="13:24">
      <c r="M1724">
        <v>1722</v>
      </c>
      <c r="N1724">
        <v>64131</v>
      </c>
      <c r="O1724" t="s">
        <v>490</v>
      </c>
      <c r="P1724" t="s">
        <v>186</v>
      </c>
      <c r="Q1724">
        <v>418</v>
      </c>
      <c r="R1724" s="296">
        <v>0</v>
      </c>
      <c r="S1724" s="296">
        <v>0.97170000000000001</v>
      </c>
      <c r="T1724" s="297">
        <v>10611</v>
      </c>
      <c r="U1724" s="340">
        <v>81991</v>
      </c>
      <c r="V1724" s="340">
        <v>263605</v>
      </c>
      <c r="W1724" s="297">
        <v>23077</v>
      </c>
      <c r="X1724" s="296">
        <v>6.0000000000000001E-3</v>
      </c>
    </row>
    <row r="1725" spans="13:24">
      <c r="M1725">
        <v>1723</v>
      </c>
      <c r="N1725">
        <v>24472</v>
      </c>
      <c r="O1725" t="s">
        <v>1640</v>
      </c>
      <c r="P1725" t="s">
        <v>139</v>
      </c>
      <c r="Q1725">
        <v>538</v>
      </c>
      <c r="R1725" s="296">
        <v>0</v>
      </c>
      <c r="S1725" s="296">
        <v>0.97170000000000001</v>
      </c>
      <c r="T1725" s="297">
        <v>1027</v>
      </c>
      <c r="U1725" s="340">
        <v>81931</v>
      </c>
      <c r="V1725" s="340">
        <v>370368</v>
      </c>
      <c r="W1725" s="297">
        <v>2568</v>
      </c>
      <c r="X1725" s="296">
        <v>-2E-3</v>
      </c>
    </row>
    <row r="1726" spans="13:24">
      <c r="M1726">
        <v>1724</v>
      </c>
      <c r="N1726">
        <v>27370</v>
      </c>
      <c r="O1726" t="s">
        <v>1641</v>
      </c>
      <c r="P1726" t="s">
        <v>138</v>
      </c>
      <c r="Q1726">
        <v>605</v>
      </c>
      <c r="R1726" s="296">
        <v>0</v>
      </c>
      <c r="S1726" s="296">
        <v>0.97170000000000001</v>
      </c>
      <c r="T1726" s="297">
        <v>5947</v>
      </c>
      <c r="U1726" s="340">
        <v>81897</v>
      </c>
      <c r="V1726" s="340">
        <v>226226</v>
      </c>
      <c r="W1726" s="297">
        <v>15038</v>
      </c>
      <c r="X1726" s="296">
        <v>0.01</v>
      </c>
    </row>
    <row r="1727" spans="13:24">
      <c r="M1727">
        <v>1725</v>
      </c>
      <c r="N1727">
        <v>64804</v>
      </c>
      <c r="O1727" t="s">
        <v>1642</v>
      </c>
      <c r="P1727" t="s">
        <v>186</v>
      </c>
      <c r="Q1727">
        <v>502</v>
      </c>
      <c r="R1727" s="296">
        <v>0</v>
      </c>
      <c r="S1727" s="296">
        <v>0.9718</v>
      </c>
      <c r="T1727" s="297">
        <v>15992</v>
      </c>
      <c r="U1727" s="340">
        <v>81857</v>
      </c>
      <c r="V1727" s="340">
        <v>238921</v>
      </c>
      <c r="W1727" s="297">
        <v>38883</v>
      </c>
      <c r="X1727" s="296">
        <v>5.0000000000000001E-3</v>
      </c>
    </row>
    <row r="1728" spans="13:24">
      <c r="M1728">
        <v>1726</v>
      </c>
      <c r="N1728">
        <v>33755</v>
      </c>
      <c r="O1728" t="s">
        <v>804</v>
      </c>
      <c r="P1728" t="s">
        <v>127</v>
      </c>
      <c r="Q1728">
        <v>1019</v>
      </c>
      <c r="R1728" s="296">
        <v>0</v>
      </c>
      <c r="S1728" s="296">
        <v>0.9718</v>
      </c>
      <c r="T1728" s="297">
        <v>10266</v>
      </c>
      <c r="U1728" s="340">
        <v>81706</v>
      </c>
      <c r="V1728" s="340">
        <v>501747</v>
      </c>
      <c r="W1728" s="297">
        <v>27196</v>
      </c>
      <c r="X1728" s="296">
        <v>-1E-3</v>
      </c>
    </row>
    <row r="1729" spans="13:24">
      <c r="M1729">
        <v>1727</v>
      </c>
      <c r="N1729">
        <v>55987</v>
      </c>
      <c r="O1729" t="s">
        <v>1643</v>
      </c>
      <c r="P1729" t="s">
        <v>151</v>
      </c>
      <c r="Q1729">
        <v>236</v>
      </c>
      <c r="R1729" s="296">
        <v>0</v>
      </c>
      <c r="S1729" s="296">
        <v>0.9718</v>
      </c>
      <c r="T1729" s="297">
        <v>14200</v>
      </c>
      <c r="U1729" s="340">
        <v>81662</v>
      </c>
      <c r="V1729" s="340">
        <v>303467</v>
      </c>
      <c r="W1729" s="297">
        <v>33915</v>
      </c>
      <c r="X1729" s="296">
        <v>0</v>
      </c>
    </row>
    <row r="1730" spans="13:24">
      <c r="M1730">
        <v>1728</v>
      </c>
      <c r="N1730">
        <v>73401</v>
      </c>
      <c r="O1730" t="s">
        <v>1644</v>
      </c>
      <c r="P1730" t="s">
        <v>205</v>
      </c>
      <c r="Q1730">
        <v>751</v>
      </c>
      <c r="R1730" s="296">
        <v>0</v>
      </c>
      <c r="S1730" s="296">
        <v>0.9718</v>
      </c>
      <c r="T1730" s="297">
        <v>14806</v>
      </c>
      <c r="U1730" s="340">
        <v>81548</v>
      </c>
      <c r="V1730" s="340">
        <v>238661</v>
      </c>
      <c r="W1730" s="297">
        <v>36962</v>
      </c>
      <c r="X1730" s="296">
        <v>2E-3</v>
      </c>
    </row>
    <row r="1731" spans="13:24">
      <c r="M1731">
        <v>1729</v>
      </c>
      <c r="N1731">
        <v>37210</v>
      </c>
      <c r="O1731" t="s">
        <v>500</v>
      </c>
      <c r="P1731" t="s">
        <v>146</v>
      </c>
      <c r="Q1731">
        <v>419</v>
      </c>
      <c r="R1731" s="296">
        <v>0</v>
      </c>
      <c r="S1731" s="296">
        <v>0.97189999999999999</v>
      </c>
      <c r="T1731" s="297">
        <v>7704</v>
      </c>
      <c r="U1731" s="340">
        <v>81420</v>
      </c>
      <c r="V1731" s="340">
        <v>472273</v>
      </c>
      <c r="W1731" s="297">
        <v>17711</v>
      </c>
      <c r="X1731" s="296">
        <v>0.01</v>
      </c>
    </row>
    <row r="1732" spans="13:24">
      <c r="M1732">
        <v>1730</v>
      </c>
      <c r="N1732">
        <v>73018</v>
      </c>
      <c r="O1732" t="s">
        <v>1645</v>
      </c>
      <c r="P1732" t="s">
        <v>205</v>
      </c>
      <c r="Q1732">
        <v>736</v>
      </c>
      <c r="R1732" s="296">
        <v>0</v>
      </c>
      <c r="S1732" s="296">
        <v>0.97189999999999999</v>
      </c>
      <c r="T1732" s="297">
        <v>7763</v>
      </c>
      <c r="U1732" s="340">
        <v>81177</v>
      </c>
      <c r="V1732" s="340">
        <v>186206</v>
      </c>
      <c r="W1732" s="297">
        <v>20485</v>
      </c>
      <c r="X1732" s="296">
        <v>6.0000000000000001E-3</v>
      </c>
    </row>
    <row r="1733" spans="13:24">
      <c r="M1733">
        <v>1731</v>
      </c>
      <c r="N1733">
        <v>53818</v>
      </c>
      <c r="O1733" t="s">
        <v>1646</v>
      </c>
      <c r="P1733" t="s">
        <v>149</v>
      </c>
      <c r="Q1733">
        <v>143</v>
      </c>
      <c r="R1733" s="296">
        <v>0</v>
      </c>
      <c r="S1733" s="296">
        <v>0.97189999999999999</v>
      </c>
      <c r="T1733" s="297">
        <v>5481</v>
      </c>
      <c r="U1733" s="340">
        <v>81138</v>
      </c>
      <c r="V1733" s="340">
        <v>276378</v>
      </c>
      <c r="W1733" s="297">
        <v>15307</v>
      </c>
      <c r="X1733" s="296">
        <v>-6.0000000000000001E-3</v>
      </c>
    </row>
    <row r="1734" spans="13:24">
      <c r="M1734">
        <v>1732</v>
      </c>
      <c r="N1734">
        <v>15223</v>
      </c>
      <c r="O1734" t="s">
        <v>569</v>
      </c>
      <c r="P1734" t="s">
        <v>133</v>
      </c>
      <c r="Q1734">
        <v>422</v>
      </c>
      <c r="R1734" s="296">
        <v>0</v>
      </c>
      <c r="S1734" s="296">
        <v>0.97189999999999999</v>
      </c>
      <c r="T1734" s="297">
        <v>3424</v>
      </c>
      <c r="U1734" s="340">
        <v>80935</v>
      </c>
      <c r="V1734" s="340">
        <v>248179</v>
      </c>
      <c r="W1734" s="297">
        <v>7144</v>
      </c>
      <c r="X1734" s="296">
        <v>-4.0000000000000001E-3</v>
      </c>
    </row>
    <row r="1735" spans="13:24">
      <c r="M1735">
        <v>1733</v>
      </c>
      <c r="N1735">
        <v>66067</v>
      </c>
      <c r="O1735" t="s">
        <v>1083</v>
      </c>
      <c r="P1735" t="s">
        <v>176</v>
      </c>
      <c r="Q1735">
        <v>463</v>
      </c>
      <c r="R1735" s="296">
        <v>0</v>
      </c>
      <c r="S1735" s="296">
        <v>0.97199999999999998</v>
      </c>
      <c r="T1735" s="297">
        <v>6481</v>
      </c>
      <c r="U1735" s="340">
        <v>80901</v>
      </c>
      <c r="V1735" s="340">
        <v>227719</v>
      </c>
      <c r="W1735" s="297">
        <v>15992</v>
      </c>
      <c r="X1735" s="296">
        <v>-1E-3</v>
      </c>
    </row>
    <row r="1736" spans="13:24">
      <c r="M1736">
        <v>1734</v>
      </c>
      <c r="N1736">
        <v>73521</v>
      </c>
      <c r="O1736" t="s">
        <v>1647</v>
      </c>
      <c r="P1736" t="s">
        <v>205</v>
      </c>
      <c r="Q1736">
        <v>810</v>
      </c>
      <c r="R1736" s="296">
        <v>0</v>
      </c>
      <c r="S1736" s="296">
        <v>0.97199999999999998</v>
      </c>
      <c r="T1736" s="297">
        <v>8085</v>
      </c>
      <c r="U1736" s="340">
        <v>80858</v>
      </c>
      <c r="V1736" s="340">
        <v>178243</v>
      </c>
      <c r="W1736" s="297">
        <v>20003</v>
      </c>
      <c r="X1736" s="296">
        <v>-3.0000000000000001E-3</v>
      </c>
    </row>
    <row r="1737" spans="13:24">
      <c r="M1737">
        <v>1735</v>
      </c>
      <c r="N1737">
        <v>61723</v>
      </c>
      <c r="O1737" t="s">
        <v>507</v>
      </c>
      <c r="P1737" t="s">
        <v>131</v>
      </c>
      <c r="Q1737">
        <v>152</v>
      </c>
      <c r="R1737" s="296">
        <v>0</v>
      </c>
      <c r="S1737" s="296">
        <v>0.97199999999999998</v>
      </c>
      <c r="T1737">
        <v>998</v>
      </c>
      <c r="U1737" s="340">
        <v>80816</v>
      </c>
      <c r="V1737" s="340">
        <v>171702</v>
      </c>
      <c r="W1737" s="297">
        <v>2326</v>
      </c>
      <c r="X1737" s="296">
        <v>1E-3</v>
      </c>
    </row>
    <row r="1738" spans="13:24">
      <c r="M1738">
        <v>1736</v>
      </c>
      <c r="N1738">
        <v>34759</v>
      </c>
      <c r="O1738" t="s">
        <v>516</v>
      </c>
      <c r="P1738" t="s">
        <v>127</v>
      </c>
      <c r="Q1738">
        <v>1035</v>
      </c>
      <c r="R1738" s="296">
        <v>0</v>
      </c>
      <c r="S1738" s="296">
        <v>0.97199999999999998</v>
      </c>
      <c r="T1738" s="297">
        <v>16548</v>
      </c>
      <c r="U1738" s="340">
        <v>80815</v>
      </c>
      <c r="V1738" s="340">
        <v>342048</v>
      </c>
      <c r="W1738" s="297">
        <v>48894</v>
      </c>
      <c r="X1738" s="296">
        <v>0.04</v>
      </c>
    </row>
    <row r="1739" spans="13:24">
      <c r="M1739">
        <v>1737</v>
      </c>
      <c r="N1739">
        <v>61030</v>
      </c>
      <c r="O1739" t="s">
        <v>1648</v>
      </c>
      <c r="P1739" t="s">
        <v>131</v>
      </c>
      <c r="Q1739">
        <v>92</v>
      </c>
      <c r="R1739" s="296">
        <v>0</v>
      </c>
      <c r="S1739" s="296">
        <v>0.97209999999999996</v>
      </c>
      <c r="T1739">
        <v>903</v>
      </c>
      <c r="U1739" s="340">
        <v>80504</v>
      </c>
      <c r="V1739" s="340">
        <v>224075</v>
      </c>
      <c r="W1739" s="297">
        <v>2112</v>
      </c>
      <c r="X1739" s="296">
        <v>-4.0000000000000001E-3</v>
      </c>
    </row>
    <row r="1740" spans="13:24">
      <c r="M1740">
        <v>1738</v>
      </c>
      <c r="N1740">
        <v>70119</v>
      </c>
      <c r="O1740" t="s">
        <v>574</v>
      </c>
      <c r="P1740" t="s">
        <v>147</v>
      </c>
      <c r="Q1740">
        <v>851</v>
      </c>
      <c r="R1740" s="296">
        <v>0</v>
      </c>
      <c r="S1740" s="296">
        <v>0.97209999999999996</v>
      </c>
      <c r="T1740" s="297">
        <v>18251</v>
      </c>
      <c r="U1740" s="340">
        <v>80251</v>
      </c>
      <c r="V1740" s="340">
        <v>446541</v>
      </c>
      <c r="W1740" s="297">
        <v>37266</v>
      </c>
      <c r="X1740" s="296">
        <v>-2E-3</v>
      </c>
    </row>
    <row r="1741" spans="13:24">
      <c r="M1741">
        <v>1739</v>
      </c>
      <c r="N1741">
        <v>27704</v>
      </c>
      <c r="O1741" t="s">
        <v>505</v>
      </c>
      <c r="P1741" t="s">
        <v>138</v>
      </c>
      <c r="Q1741">
        <v>639</v>
      </c>
      <c r="R1741" s="296">
        <v>0</v>
      </c>
      <c r="S1741" s="296">
        <v>0.97209999999999996</v>
      </c>
      <c r="T1741" s="297">
        <v>15645</v>
      </c>
      <c r="U1741" s="340">
        <v>80167</v>
      </c>
      <c r="V1741" s="340">
        <v>332929</v>
      </c>
      <c r="W1741" s="297">
        <v>41237</v>
      </c>
      <c r="X1741" s="296">
        <v>8.0000000000000002E-3</v>
      </c>
    </row>
    <row r="1742" spans="13:24">
      <c r="M1742">
        <v>1740</v>
      </c>
      <c r="N1742">
        <v>54143</v>
      </c>
      <c r="O1742" t="s">
        <v>1649</v>
      </c>
      <c r="P1742" t="s">
        <v>149</v>
      </c>
      <c r="Q1742">
        <v>203</v>
      </c>
      <c r="R1742" s="296">
        <v>0</v>
      </c>
      <c r="S1742" s="296">
        <v>0.97209999999999996</v>
      </c>
      <c r="T1742" s="297">
        <v>6726</v>
      </c>
      <c r="U1742" s="340">
        <v>80104</v>
      </c>
      <c r="V1742" s="340">
        <v>192295</v>
      </c>
      <c r="W1742" s="297">
        <v>15135</v>
      </c>
      <c r="X1742" s="296">
        <v>-1E-3</v>
      </c>
    </row>
    <row r="1743" spans="13:24">
      <c r="M1743">
        <v>1741</v>
      </c>
      <c r="N1743">
        <v>33321</v>
      </c>
      <c r="O1743" t="s">
        <v>506</v>
      </c>
      <c r="P1743" t="s">
        <v>127</v>
      </c>
      <c r="Q1743">
        <v>1181</v>
      </c>
      <c r="R1743" s="296">
        <v>0</v>
      </c>
      <c r="S1743" s="296">
        <v>0.97219999999999995</v>
      </c>
      <c r="T1743" s="297">
        <v>22941</v>
      </c>
      <c r="U1743" s="340">
        <v>79577</v>
      </c>
      <c r="V1743" s="340">
        <v>349092</v>
      </c>
      <c r="W1743" s="297">
        <v>52736</v>
      </c>
      <c r="X1743" s="296">
        <v>8.0000000000000002E-3</v>
      </c>
    </row>
    <row r="1744" spans="13:24">
      <c r="M1744">
        <v>1742</v>
      </c>
      <c r="N1744">
        <v>62864</v>
      </c>
      <c r="O1744" t="s">
        <v>660</v>
      </c>
      <c r="P1744" t="s">
        <v>131</v>
      </c>
      <c r="Q1744">
        <v>271</v>
      </c>
      <c r="R1744" s="296">
        <v>0</v>
      </c>
      <c r="S1744" s="296">
        <v>0.97219999999999995</v>
      </c>
      <c r="T1744" s="297">
        <v>9734</v>
      </c>
      <c r="U1744" s="340">
        <v>79567</v>
      </c>
      <c r="V1744" s="340">
        <v>159832</v>
      </c>
      <c r="W1744" s="297">
        <v>22719</v>
      </c>
      <c r="X1744" s="296">
        <v>-6.0000000000000001E-3</v>
      </c>
    </row>
    <row r="1745" spans="13:24">
      <c r="M1745">
        <v>1743</v>
      </c>
      <c r="N1745">
        <v>28040</v>
      </c>
      <c r="O1745" t="s">
        <v>1650</v>
      </c>
      <c r="P1745" t="s">
        <v>138</v>
      </c>
      <c r="Q1745">
        <v>571</v>
      </c>
      <c r="R1745" s="296">
        <v>0</v>
      </c>
      <c r="S1745" s="296">
        <v>0.97219999999999995</v>
      </c>
      <c r="T1745" s="297">
        <v>3056</v>
      </c>
      <c r="U1745" s="340">
        <v>79557</v>
      </c>
      <c r="V1745" s="340">
        <v>238527</v>
      </c>
      <c r="W1745" s="297">
        <v>7495</v>
      </c>
      <c r="X1745" s="296">
        <v>-5.0000000000000001E-3</v>
      </c>
    </row>
    <row r="1746" spans="13:24">
      <c r="M1746">
        <v>1744</v>
      </c>
      <c r="N1746">
        <v>49958</v>
      </c>
      <c r="O1746" t="s">
        <v>1651</v>
      </c>
      <c r="P1746" t="s">
        <v>140</v>
      </c>
      <c r="Q1746">
        <v>320</v>
      </c>
      <c r="R1746" s="296">
        <v>0</v>
      </c>
      <c r="S1746" s="296">
        <v>0.97219999999999995</v>
      </c>
      <c r="T1746">
        <v>578</v>
      </c>
      <c r="U1746" s="340">
        <v>79304</v>
      </c>
      <c r="V1746" s="340">
        <v>228912</v>
      </c>
      <c r="W1746" s="297">
        <v>1253</v>
      </c>
      <c r="X1746" s="296">
        <v>4.0000000000000001E-3</v>
      </c>
    </row>
    <row r="1747" spans="13:24">
      <c r="M1747">
        <v>1745</v>
      </c>
      <c r="N1747">
        <v>33056</v>
      </c>
      <c r="O1747" t="s">
        <v>837</v>
      </c>
      <c r="P1747" t="s">
        <v>127</v>
      </c>
      <c r="Q1747">
        <v>1198</v>
      </c>
      <c r="R1747" s="296">
        <v>0</v>
      </c>
      <c r="S1747" s="296">
        <v>0.97230000000000005</v>
      </c>
      <c r="T1747" s="297">
        <v>11664</v>
      </c>
      <c r="U1747" s="340">
        <v>79012</v>
      </c>
      <c r="V1747" s="340">
        <v>503925</v>
      </c>
      <c r="W1747" s="297">
        <v>38191</v>
      </c>
      <c r="X1747" s="296">
        <v>1.4999999999999999E-2</v>
      </c>
    </row>
    <row r="1748" spans="13:24">
      <c r="M1748">
        <v>1746</v>
      </c>
      <c r="N1748">
        <v>79925</v>
      </c>
      <c r="O1748" t="s">
        <v>339</v>
      </c>
      <c r="P1748" t="s">
        <v>134</v>
      </c>
      <c r="Q1748">
        <v>1246</v>
      </c>
      <c r="R1748" s="296">
        <v>0</v>
      </c>
      <c r="S1748" s="296">
        <v>0.97230000000000005</v>
      </c>
      <c r="T1748" s="297">
        <v>15449</v>
      </c>
      <c r="U1748" s="340">
        <v>78960</v>
      </c>
      <c r="V1748" s="340">
        <v>234543</v>
      </c>
      <c r="W1748" s="297">
        <v>37842</v>
      </c>
      <c r="X1748" s="296">
        <v>-2E-3</v>
      </c>
    </row>
    <row r="1749" spans="13:24">
      <c r="M1749">
        <v>1747</v>
      </c>
      <c r="N1749">
        <v>65401</v>
      </c>
      <c r="O1749" t="s">
        <v>1652</v>
      </c>
      <c r="P1749" t="s">
        <v>186</v>
      </c>
      <c r="Q1749">
        <v>358</v>
      </c>
      <c r="R1749" s="296">
        <v>0</v>
      </c>
      <c r="S1749" s="296">
        <v>0.97230000000000005</v>
      </c>
      <c r="T1749" s="297">
        <v>13305</v>
      </c>
      <c r="U1749" s="340">
        <v>78723</v>
      </c>
      <c r="V1749" s="340">
        <v>270830</v>
      </c>
      <c r="W1749" s="297">
        <v>32759</v>
      </c>
      <c r="X1749" s="296">
        <v>1E-3</v>
      </c>
    </row>
    <row r="1750" spans="13:24">
      <c r="M1750">
        <v>1748</v>
      </c>
      <c r="N1750">
        <v>48180</v>
      </c>
      <c r="O1750" t="s">
        <v>1653</v>
      </c>
      <c r="P1750" t="s">
        <v>140</v>
      </c>
      <c r="Q1750">
        <v>232</v>
      </c>
      <c r="R1750" s="296">
        <v>0</v>
      </c>
      <c r="S1750" s="296">
        <v>0.97230000000000005</v>
      </c>
      <c r="T1750" s="297">
        <v>25414</v>
      </c>
      <c r="U1750" s="340">
        <v>78613</v>
      </c>
      <c r="V1750" s="340">
        <v>191898</v>
      </c>
      <c r="W1750" s="297">
        <v>62111</v>
      </c>
      <c r="X1750" s="296">
        <v>-4.0000000000000001E-3</v>
      </c>
    </row>
    <row r="1751" spans="13:24">
      <c r="M1751">
        <v>1749</v>
      </c>
      <c r="N1751">
        <v>54970</v>
      </c>
      <c r="O1751" t="s">
        <v>1654</v>
      </c>
      <c r="P1751" t="s">
        <v>149</v>
      </c>
      <c r="Q1751">
        <v>147</v>
      </c>
      <c r="R1751" s="296">
        <v>0</v>
      </c>
      <c r="S1751" s="296">
        <v>0.97240000000000004</v>
      </c>
      <c r="T1751" s="297">
        <v>1282</v>
      </c>
      <c r="U1751" s="340">
        <v>78590</v>
      </c>
      <c r="V1751" s="340">
        <v>256406</v>
      </c>
      <c r="W1751" s="297">
        <v>3819</v>
      </c>
      <c r="X1751" s="296">
        <v>-6.0000000000000001E-3</v>
      </c>
    </row>
    <row r="1752" spans="13:24">
      <c r="M1752">
        <v>1750</v>
      </c>
      <c r="N1752">
        <v>53032</v>
      </c>
      <c r="O1752" t="s">
        <v>1655</v>
      </c>
      <c r="P1752" t="s">
        <v>149</v>
      </c>
      <c r="Q1752">
        <v>99</v>
      </c>
      <c r="R1752" s="296">
        <v>0</v>
      </c>
      <c r="S1752" s="296">
        <v>0.97240000000000004</v>
      </c>
      <c r="T1752" s="297">
        <v>2137</v>
      </c>
      <c r="U1752" s="340">
        <v>78415</v>
      </c>
      <c r="V1752" s="340">
        <v>336242</v>
      </c>
      <c r="W1752" s="297">
        <v>4909</v>
      </c>
      <c r="X1752" s="296">
        <v>5.0000000000000001E-3</v>
      </c>
    </row>
    <row r="1753" spans="13:24">
      <c r="M1753">
        <v>1751</v>
      </c>
      <c r="N1753">
        <v>47803</v>
      </c>
      <c r="O1753" t="s">
        <v>1656</v>
      </c>
      <c r="P1753" t="s">
        <v>144</v>
      </c>
      <c r="Q1753">
        <v>187</v>
      </c>
      <c r="R1753" s="296">
        <v>0</v>
      </c>
      <c r="S1753" s="296">
        <v>0.97240000000000004</v>
      </c>
      <c r="T1753" s="297">
        <v>9285</v>
      </c>
      <c r="U1753" s="340">
        <v>78409</v>
      </c>
      <c r="V1753" s="340">
        <v>215101</v>
      </c>
      <c r="W1753" s="297">
        <v>21741</v>
      </c>
      <c r="X1753" s="296">
        <v>-1E-3</v>
      </c>
    </row>
    <row r="1754" spans="13:24">
      <c r="M1754">
        <v>1752</v>
      </c>
      <c r="N1754">
        <v>64133</v>
      </c>
      <c r="O1754" t="s">
        <v>490</v>
      </c>
      <c r="P1754" t="s">
        <v>186</v>
      </c>
      <c r="Q1754">
        <v>411</v>
      </c>
      <c r="R1754" s="296">
        <v>0</v>
      </c>
      <c r="S1754" s="296">
        <v>0.97240000000000004</v>
      </c>
      <c r="T1754" s="297">
        <v>14362</v>
      </c>
      <c r="U1754" s="340">
        <v>78399</v>
      </c>
      <c r="V1754" s="340">
        <v>226914</v>
      </c>
      <c r="W1754" s="297">
        <v>34323</v>
      </c>
      <c r="X1754" s="296">
        <v>-4.0000000000000001E-3</v>
      </c>
    </row>
    <row r="1755" spans="13:24">
      <c r="M1755">
        <v>1753</v>
      </c>
      <c r="N1755">
        <v>32129</v>
      </c>
      <c r="O1755" t="s">
        <v>1657</v>
      </c>
      <c r="P1755" t="s">
        <v>127</v>
      </c>
      <c r="Q1755">
        <v>975</v>
      </c>
      <c r="R1755" s="296">
        <v>0</v>
      </c>
      <c r="S1755" s="296">
        <v>0.97250000000000003</v>
      </c>
      <c r="T1755" s="297">
        <v>10902</v>
      </c>
      <c r="U1755" s="340">
        <v>78202</v>
      </c>
      <c r="V1755" s="340">
        <v>277849</v>
      </c>
      <c r="W1755" s="297">
        <v>22990</v>
      </c>
      <c r="X1755" s="296">
        <v>1.0999999999999999E-2</v>
      </c>
    </row>
    <row r="1756" spans="13:24">
      <c r="M1756">
        <v>1754</v>
      </c>
      <c r="N1756">
        <v>42003</v>
      </c>
      <c r="O1756" t="s">
        <v>1658</v>
      </c>
      <c r="P1756" t="s">
        <v>143</v>
      </c>
      <c r="Q1756">
        <v>356</v>
      </c>
      <c r="R1756" s="296">
        <v>0</v>
      </c>
      <c r="S1756" s="296">
        <v>0.97250000000000003</v>
      </c>
      <c r="T1756" s="297">
        <v>12351</v>
      </c>
      <c r="U1756" s="340">
        <v>78197</v>
      </c>
      <c r="V1756" s="340">
        <v>230009</v>
      </c>
      <c r="W1756" s="297">
        <v>28424</v>
      </c>
      <c r="X1756" s="296">
        <v>-2E-3</v>
      </c>
    </row>
    <row r="1757" spans="13:24">
      <c r="M1757">
        <v>1755</v>
      </c>
      <c r="N1757">
        <v>54902</v>
      </c>
      <c r="O1757" t="s">
        <v>1102</v>
      </c>
      <c r="P1757" t="s">
        <v>149</v>
      </c>
      <c r="Q1757">
        <v>133</v>
      </c>
      <c r="R1757" s="296">
        <v>0</v>
      </c>
      <c r="S1757" s="296">
        <v>0.97250000000000003</v>
      </c>
      <c r="T1757" s="297">
        <v>10327</v>
      </c>
      <c r="U1757" s="340">
        <v>78110</v>
      </c>
      <c r="V1757" s="340">
        <v>233484</v>
      </c>
      <c r="W1757" s="297">
        <v>22111</v>
      </c>
      <c r="X1757" s="296">
        <v>-2E-3</v>
      </c>
    </row>
    <row r="1758" spans="13:24">
      <c r="M1758">
        <v>1756</v>
      </c>
      <c r="N1758">
        <v>28752</v>
      </c>
      <c r="O1758" t="s">
        <v>529</v>
      </c>
      <c r="P1758" t="s">
        <v>138</v>
      </c>
      <c r="Q1758">
        <v>544</v>
      </c>
      <c r="R1758" s="296">
        <v>0</v>
      </c>
      <c r="S1758" s="296">
        <v>0.97250000000000003</v>
      </c>
      <c r="T1758" s="297">
        <v>12175</v>
      </c>
      <c r="U1758" s="340">
        <v>78008</v>
      </c>
      <c r="V1758" s="340">
        <v>291058</v>
      </c>
      <c r="W1758" s="297">
        <v>29761</v>
      </c>
      <c r="X1758" s="296">
        <v>1E-3</v>
      </c>
    </row>
    <row r="1759" spans="13:24">
      <c r="M1759">
        <v>1757</v>
      </c>
      <c r="N1759">
        <v>33169</v>
      </c>
      <c r="O1759" t="s">
        <v>293</v>
      </c>
      <c r="P1759" t="s">
        <v>127</v>
      </c>
      <c r="Q1759">
        <v>1199</v>
      </c>
      <c r="R1759" s="296">
        <v>0</v>
      </c>
      <c r="S1759" s="296">
        <v>0.97260000000000002</v>
      </c>
      <c r="T1759" s="297">
        <v>14226</v>
      </c>
      <c r="U1759" s="340">
        <v>77825</v>
      </c>
      <c r="V1759" s="340">
        <v>509054</v>
      </c>
      <c r="W1759" s="297">
        <v>42720</v>
      </c>
      <c r="X1759" s="296">
        <v>4.0000000000000001E-3</v>
      </c>
    </row>
    <row r="1760" spans="13:24">
      <c r="M1760">
        <v>1758</v>
      </c>
      <c r="N1760">
        <v>49221</v>
      </c>
      <c r="O1760" t="s">
        <v>1659</v>
      </c>
      <c r="P1760" t="s">
        <v>140</v>
      </c>
      <c r="Q1760">
        <v>192</v>
      </c>
      <c r="R1760" s="296">
        <v>0</v>
      </c>
      <c r="S1760" s="296">
        <v>0.97260000000000002</v>
      </c>
      <c r="T1760" s="297">
        <v>14764</v>
      </c>
      <c r="U1760" s="340">
        <v>77740</v>
      </c>
      <c r="V1760" s="340">
        <v>219541</v>
      </c>
      <c r="W1760" s="297">
        <v>40197</v>
      </c>
      <c r="X1760" s="296">
        <v>-3.0000000000000001E-3</v>
      </c>
    </row>
    <row r="1761" spans="13:24">
      <c r="M1761">
        <v>1759</v>
      </c>
      <c r="N1761">
        <v>42134</v>
      </c>
      <c r="O1761" t="s">
        <v>411</v>
      </c>
      <c r="P1761" t="s">
        <v>143</v>
      </c>
      <c r="Q1761">
        <v>380</v>
      </c>
      <c r="R1761" s="296">
        <v>0</v>
      </c>
      <c r="S1761" s="296">
        <v>0.97260000000000002</v>
      </c>
      <c r="T1761" s="297">
        <v>7738</v>
      </c>
      <c r="U1761" s="340">
        <v>77655</v>
      </c>
      <c r="V1761" s="340">
        <v>262175</v>
      </c>
      <c r="W1761" s="297">
        <v>19798</v>
      </c>
      <c r="X1761" s="296">
        <v>0.01</v>
      </c>
    </row>
    <row r="1762" spans="13:24">
      <c r="M1762">
        <v>1760</v>
      </c>
      <c r="N1762">
        <v>85008</v>
      </c>
      <c r="O1762" t="s">
        <v>548</v>
      </c>
      <c r="P1762" t="s">
        <v>158</v>
      </c>
      <c r="Q1762">
        <v>1445</v>
      </c>
      <c r="R1762" s="296">
        <v>0</v>
      </c>
      <c r="S1762" s="296">
        <v>0.97260000000000002</v>
      </c>
      <c r="T1762" s="297">
        <v>22797</v>
      </c>
      <c r="U1762" s="340">
        <v>77622</v>
      </c>
      <c r="V1762" s="340">
        <v>457941</v>
      </c>
      <c r="W1762" s="297">
        <v>59975</v>
      </c>
      <c r="X1762" s="296">
        <v>6.0000000000000001E-3</v>
      </c>
    </row>
    <row r="1763" spans="13:24">
      <c r="M1763">
        <v>1761</v>
      </c>
      <c r="N1763">
        <v>62850</v>
      </c>
      <c r="O1763" t="s">
        <v>1660</v>
      </c>
      <c r="P1763" t="s">
        <v>131</v>
      </c>
      <c r="Q1763">
        <v>254</v>
      </c>
      <c r="R1763" s="296">
        <v>0</v>
      </c>
      <c r="S1763" s="296">
        <v>0.97270000000000001</v>
      </c>
      <c r="T1763">
        <v>409</v>
      </c>
      <c r="U1763" s="340">
        <v>77455</v>
      </c>
      <c r="V1763" s="340">
        <v>411126</v>
      </c>
      <c r="W1763" s="297">
        <v>1159</v>
      </c>
      <c r="X1763" s="296">
        <v>-1.7999999999999999E-2</v>
      </c>
    </row>
    <row r="1764" spans="13:24">
      <c r="M1764">
        <v>1762</v>
      </c>
      <c r="N1764">
        <v>44221</v>
      </c>
      <c r="O1764" t="s">
        <v>1661</v>
      </c>
      <c r="P1764" t="s">
        <v>136</v>
      </c>
      <c r="Q1764">
        <v>333</v>
      </c>
      <c r="R1764" s="296">
        <v>0</v>
      </c>
      <c r="S1764" s="296">
        <v>0.97270000000000001</v>
      </c>
      <c r="T1764" s="297">
        <v>13846</v>
      </c>
      <c r="U1764" s="340">
        <v>77443</v>
      </c>
      <c r="V1764" s="340">
        <v>181015</v>
      </c>
      <c r="W1764" s="297">
        <v>29168</v>
      </c>
      <c r="X1764" s="296">
        <v>-1E-3</v>
      </c>
    </row>
    <row r="1765" spans="13:24">
      <c r="M1765">
        <v>1763</v>
      </c>
      <c r="N1765">
        <v>53949</v>
      </c>
      <c r="O1765" t="s">
        <v>1662</v>
      </c>
      <c r="P1765" t="s">
        <v>149</v>
      </c>
      <c r="Q1765">
        <v>137</v>
      </c>
      <c r="R1765" s="296">
        <v>0</v>
      </c>
      <c r="S1765" s="296">
        <v>0.97270000000000001</v>
      </c>
      <c r="T1765" s="297">
        <v>2918</v>
      </c>
      <c r="U1765" s="340">
        <v>77383</v>
      </c>
      <c r="V1765" s="340">
        <v>287604</v>
      </c>
      <c r="W1765" s="297">
        <v>6455</v>
      </c>
      <c r="X1765" s="296">
        <v>7.0000000000000001E-3</v>
      </c>
    </row>
    <row r="1766" spans="13:24">
      <c r="M1766">
        <v>1764</v>
      </c>
      <c r="N1766">
        <v>61920</v>
      </c>
      <c r="O1766" t="s">
        <v>431</v>
      </c>
      <c r="P1766" t="s">
        <v>131</v>
      </c>
      <c r="Q1766">
        <v>185</v>
      </c>
      <c r="R1766" s="296">
        <v>0</v>
      </c>
      <c r="S1766" s="296">
        <v>0.97270000000000001</v>
      </c>
      <c r="T1766" s="297">
        <v>8407</v>
      </c>
      <c r="U1766" s="340">
        <v>77136</v>
      </c>
      <c r="V1766" s="340">
        <v>192973</v>
      </c>
      <c r="W1766" s="297">
        <v>20111</v>
      </c>
      <c r="X1766" s="296">
        <v>-8.0000000000000002E-3</v>
      </c>
    </row>
    <row r="1767" spans="13:24">
      <c r="M1767">
        <v>1765</v>
      </c>
      <c r="N1767">
        <v>54481</v>
      </c>
      <c r="O1767" t="s">
        <v>1663</v>
      </c>
      <c r="P1767" t="s">
        <v>149</v>
      </c>
      <c r="Q1767">
        <v>188</v>
      </c>
      <c r="R1767" s="296">
        <v>0</v>
      </c>
      <c r="S1767" s="296">
        <v>0.9728</v>
      </c>
      <c r="T1767" s="297">
        <v>11922</v>
      </c>
      <c r="U1767" s="340">
        <v>77054</v>
      </c>
      <c r="V1767" s="340">
        <v>268041</v>
      </c>
      <c r="W1767" s="297">
        <v>27787</v>
      </c>
      <c r="X1767" s="296">
        <v>-1E-3</v>
      </c>
    </row>
    <row r="1768" spans="13:24">
      <c r="M1768">
        <v>1766</v>
      </c>
      <c r="N1768">
        <v>30344</v>
      </c>
      <c r="O1768" t="s">
        <v>507</v>
      </c>
      <c r="P1768" t="s">
        <v>130</v>
      </c>
      <c r="Q1768">
        <v>612</v>
      </c>
      <c r="R1768" s="296">
        <v>0</v>
      </c>
      <c r="S1768" s="296">
        <v>0.9728</v>
      </c>
      <c r="T1768" s="297">
        <v>15349</v>
      </c>
      <c r="U1768" s="340">
        <v>77041</v>
      </c>
      <c r="V1768" s="340">
        <v>314468</v>
      </c>
      <c r="W1768" s="297">
        <v>34894</v>
      </c>
      <c r="X1768" s="296">
        <v>-3.0000000000000001E-3</v>
      </c>
    </row>
    <row r="1769" spans="13:24">
      <c r="M1769">
        <v>1767</v>
      </c>
      <c r="N1769">
        <v>34952</v>
      </c>
      <c r="O1769" t="s">
        <v>771</v>
      </c>
      <c r="P1769" t="s">
        <v>127</v>
      </c>
      <c r="Q1769">
        <v>1110</v>
      </c>
      <c r="R1769" s="296">
        <v>0</v>
      </c>
      <c r="S1769" s="296">
        <v>0.9728</v>
      </c>
      <c r="T1769" s="297">
        <v>19855</v>
      </c>
      <c r="U1769" s="340">
        <v>76850</v>
      </c>
      <c r="V1769" s="340">
        <v>336620</v>
      </c>
      <c r="W1769" s="297">
        <v>44672</v>
      </c>
      <c r="X1769" s="296">
        <v>1.0999999999999999E-2</v>
      </c>
    </row>
    <row r="1770" spans="13:24">
      <c r="M1770">
        <v>1768</v>
      </c>
      <c r="N1770">
        <v>57701</v>
      </c>
      <c r="O1770" t="s">
        <v>834</v>
      </c>
      <c r="P1770" t="s">
        <v>215</v>
      </c>
      <c r="Q1770">
        <v>788</v>
      </c>
      <c r="R1770" s="296">
        <v>0</v>
      </c>
      <c r="S1770" s="296">
        <v>0.9728</v>
      </c>
      <c r="T1770" s="297">
        <v>20817</v>
      </c>
      <c r="U1770" s="340">
        <v>76356</v>
      </c>
      <c r="V1770" s="340">
        <v>311732</v>
      </c>
      <c r="W1770" s="297">
        <v>49282</v>
      </c>
      <c r="X1770" s="296">
        <v>0.01</v>
      </c>
    </row>
    <row r="1771" spans="13:24">
      <c r="M1771">
        <v>1769</v>
      </c>
      <c r="N1771">
        <v>85710</v>
      </c>
      <c r="O1771" t="s">
        <v>579</v>
      </c>
      <c r="P1771" t="s">
        <v>158</v>
      </c>
      <c r="Q1771">
        <v>1435</v>
      </c>
      <c r="R1771" s="296">
        <v>0</v>
      </c>
      <c r="S1771" s="296">
        <v>0.97289999999999999</v>
      </c>
      <c r="T1771" s="297">
        <v>26276</v>
      </c>
      <c r="U1771" s="340">
        <v>76355</v>
      </c>
      <c r="V1771" s="340">
        <v>295543</v>
      </c>
      <c r="W1771" s="297">
        <v>56687</v>
      </c>
      <c r="X1771" s="296">
        <v>-1E-3</v>
      </c>
    </row>
    <row r="1772" spans="13:24">
      <c r="M1772">
        <v>1770</v>
      </c>
      <c r="N1772">
        <v>48185</v>
      </c>
      <c r="O1772" t="s">
        <v>1664</v>
      </c>
      <c r="P1772" t="s">
        <v>140</v>
      </c>
      <c r="Q1772">
        <v>226</v>
      </c>
      <c r="R1772" s="296">
        <v>0</v>
      </c>
      <c r="S1772" s="296">
        <v>0.97289999999999999</v>
      </c>
      <c r="T1772" s="297">
        <v>23197</v>
      </c>
      <c r="U1772" s="340">
        <v>76122</v>
      </c>
      <c r="V1772" s="340">
        <v>210564</v>
      </c>
      <c r="W1772" s="297">
        <v>48696</v>
      </c>
      <c r="X1772" s="296">
        <v>-5.0000000000000001E-3</v>
      </c>
    </row>
    <row r="1773" spans="13:24">
      <c r="M1773">
        <v>1771</v>
      </c>
      <c r="N1773">
        <v>97501</v>
      </c>
      <c r="O1773" t="s">
        <v>350</v>
      </c>
      <c r="P1773" t="s">
        <v>207</v>
      </c>
      <c r="Q1773">
        <v>1784</v>
      </c>
      <c r="R1773" s="296">
        <v>0</v>
      </c>
      <c r="S1773" s="296">
        <v>0.97289999999999999</v>
      </c>
      <c r="T1773" s="297">
        <v>18308</v>
      </c>
      <c r="U1773" s="340">
        <v>76046</v>
      </c>
      <c r="V1773" s="340">
        <v>409000</v>
      </c>
      <c r="W1773" s="297">
        <v>47574</v>
      </c>
      <c r="X1773" s="296">
        <v>1E-3</v>
      </c>
    </row>
    <row r="1774" spans="13:24">
      <c r="M1774">
        <v>1772</v>
      </c>
      <c r="N1774">
        <v>52804</v>
      </c>
      <c r="O1774" t="s">
        <v>1023</v>
      </c>
      <c r="P1774" t="s">
        <v>170</v>
      </c>
      <c r="Q1774">
        <v>155</v>
      </c>
      <c r="R1774" s="296">
        <v>0</v>
      </c>
      <c r="S1774" s="296">
        <v>0.97289999999999999</v>
      </c>
      <c r="T1774" s="297">
        <v>10542</v>
      </c>
      <c r="U1774" s="340">
        <v>75929</v>
      </c>
      <c r="V1774" s="340">
        <v>193641</v>
      </c>
      <c r="W1774" s="297">
        <v>24823</v>
      </c>
      <c r="X1774" s="296">
        <v>-2E-3</v>
      </c>
    </row>
    <row r="1775" spans="13:24">
      <c r="M1775">
        <v>1773</v>
      </c>
      <c r="N1775">
        <v>16402</v>
      </c>
      <c r="O1775" t="s">
        <v>1665</v>
      </c>
      <c r="P1775" t="s">
        <v>133</v>
      </c>
      <c r="Q1775">
        <v>427</v>
      </c>
      <c r="R1775" s="296">
        <v>0</v>
      </c>
      <c r="S1775" s="296">
        <v>0.97299999999999998</v>
      </c>
      <c r="T1775">
        <v>285</v>
      </c>
      <c r="U1775" s="340">
        <v>75873</v>
      </c>
      <c r="V1775" s="340">
        <v>175980</v>
      </c>
      <c r="W1775">
        <v>696</v>
      </c>
      <c r="X1775" s="296">
        <v>-2E-3</v>
      </c>
    </row>
    <row r="1776" spans="13:24">
      <c r="M1776">
        <v>1774</v>
      </c>
      <c r="N1776">
        <v>44870</v>
      </c>
      <c r="O1776" t="s">
        <v>1666</v>
      </c>
      <c r="P1776" t="s">
        <v>136</v>
      </c>
      <c r="Q1776">
        <v>266</v>
      </c>
      <c r="R1776" s="296">
        <v>0</v>
      </c>
      <c r="S1776" s="296">
        <v>0.97299999999999998</v>
      </c>
      <c r="T1776" s="297">
        <v>17227</v>
      </c>
      <c r="U1776" s="340">
        <v>75711</v>
      </c>
      <c r="V1776" s="340">
        <v>197762</v>
      </c>
      <c r="W1776" s="297">
        <v>39609</v>
      </c>
      <c r="X1776" s="296">
        <v>-4.0000000000000001E-3</v>
      </c>
    </row>
    <row r="1777" spans="13:24">
      <c r="M1777">
        <v>1775</v>
      </c>
      <c r="N1777">
        <v>37921</v>
      </c>
      <c r="O1777" t="s">
        <v>690</v>
      </c>
      <c r="P1777" t="s">
        <v>146</v>
      </c>
      <c r="Q1777">
        <v>472</v>
      </c>
      <c r="R1777" s="296">
        <v>0</v>
      </c>
      <c r="S1777" s="296">
        <v>0.97299999999999998</v>
      </c>
      <c r="T1777" s="297">
        <v>12203</v>
      </c>
      <c r="U1777" s="340">
        <v>75629</v>
      </c>
      <c r="V1777" s="340">
        <v>319853</v>
      </c>
      <c r="W1777" s="297">
        <v>30714</v>
      </c>
      <c r="X1777" s="296">
        <v>8.9999999999999993E-3</v>
      </c>
    </row>
    <row r="1778" spans="13:24">
      <c r="M1778">
        <v>1776</v>
      </c>
      <c r="N1778">
        <v>49307</v>
      </c>
      <c r="O1778" t="s">
        <v>1667</v>
      </c>
      <c r="P1778" t="s">
        <v>140</v>
      </c>
      <c r="Q1778">
        <v>158</v>
      </c>
      <c r="R1778" s="296">
        <v>0</v>
      </c>
      <c r="S1778" s="296">
        <v>0.97299999999999998</v>
      </c>
      <c r="T1778" s="297">
        <v>6749</v>
      </c>
      <c r="U1778" s="340">
        <v>75483</v>
      </c>
      <c r="V1778" s="340">
        <v>210700</v>
      </c>
      <c r="W1778" s="297">
        <v>16389</v>
      </c>
      <c r="X1778" s="296">
        <v>-2E-3</v>
      </c>
    </row>
    <row r="1779" spans="13:24">
      <c r="M1779">
        <v>1777</v>
      </c>
      <c r="N1779">
        <v>46214</v>
      </c>
      <c r="O1779" t="s">
        <v>561</v>
      </c>
      <c r="P1779" t="s">
        <v>144</v>
      </c>
      <c r="Q1779">
        <v>181</v>
      </c>
      <c r="R1779" s="296">
        <v>0</v>
      </c>
      <c r="S1779" s="296">
        <v>0.97309999999999997</v>
      </c>
      <c r="T1779" s="297">
        <v>11306</v>
      </c>
      <c r="U1779" s="340">
        <v>75433</v>
      </c>
      <c r="V1779" s="340">
        <v>239088</v>
      </c>
      <c r="W1779" s="297">
        <v>25930</v>
      </c>
      <c r="X1779" s="296">
        <v>-2E-3</v>
      </c>
    </row>
    <row r="1780" spans="13:24">
      <c r="M1780">
        <v>1778</v>
      </c>
      <c r="N1780">
        <v>27263</v>
      </c>
      <c r="O1780" t="s">
        <v>768</v>
      </c>
      <c r="P1780" t="s">
        <v>138</v>
      </c>
      <c r="Q1780">
        <v>601</v>
      </c>
      <c r="R1780" s="296">
        <v>0</v>
      </c>
      <c r="S1780" s="296">
        <v>0.97309999999999997</v>
      </c>
      <c r="T1780" s="297">
        <v>9006</v>
      </c>
      <c r="U1780" s="340">
        <v>75080</v>
      </c>
      <c r="V1780" s="340">
        <v>255358</v>
      </c>
      <c r="W1780" s="297">
        <v>21772</v>
      </c>
      <c r="X1780" s="296">
        <v>1E-3</v>
      </c>
    </row>
    <row r="1781" spans="13:24">
      <c r="M1781">
        <v>1779</v>
      </c>
      <c r="N1781">
        <v>95521</v>
      </c>
      <c r="O1781" t="s">
        <v>1668</v>
      </c>
      <c r="P1781" t="s">
        <v>132</v>
      </c>
      <c r="Q1781">
        <v>1865</v>
      </c>
      <c r="R1781" s="296">
        <v>0</v>
      </c>
      <c r="S1781" s="296">
        <v>0.97309999999999997</v>
      </c>
      <c r="T1781" s="297">
        <v>9240</v>
      </c>
      <c r="U1781" s="340">
        <v>75058</v>
      </c>
      <c r="V1781" s="340">
        <v>541134</v>
      </c>
      <c r="W1781" s="297">
        <v>21623</v>
      </c>
      <c r="X1781" s="296">
        <v>-3.0000000000000001E-3</v>
      </c>
    </row>
    <row r="1782" spans="13:24">
      <c r="M1782">
        <v>1780</v>
      </c>
      <c r="N1782">
        <v>46970</v>
      </c>
      <c r="O1782" t="s">
        <v>1236</v>
      </c>
      <c r="P1782" t="s">
        <v>144</v>
      </c>
      <c r="Q1782">
        <v>131</v>
      </c>
      <c r="R1782" s="296">
        <v>0</v>
      </c>
      <c r="S1782" s="296">
        <v>0.97309999999999997</v>
      </c>
      <c r="T1782" s="297">
        <v>9649</v>
      </c>
      <c r="U1782" s="340">
        <v>74988</v>
      </c>
      <c r="V1782" s="340">
        <v>182267</v>
      </c>
      <c r="W1782" s="297">
        <v>23345</v>
      </c>
      <c r="X1782" s="296">
        <v>-2E-3</v>
      </c>
    </row>
    <row r="1783" spans="13:24">
      <c r="M1783">
        <v>1781</v>
      </c>
      <c r="N1783">
        <v>33020</v>
      </c>
      <c r="O1783" t="s">
        <v>542</v>
      </c>
      <c r="P1783" t="s">
        <v>127</v>
      </c>
      <c r="Q1783">
        <v>1196</v>
      </c>
      <c r="R1783" s="296">
        <v>0</v>
      </c>
      <c r="S1783" s="296">
        <v>0.97319999999999995</v>
      </c>
      <c r="T1783" s="297">
        <v>20351</v>
      </c>
      <c r="U1783" s="340">
        <v>74879</v>
      </c>
      <c r="V1783" s="340">
        <v>461126</v>
      </c>
      <c r="W1783" s="297">
        <v>46164</v>
      </c>
      <c r="X1783" s="296">
        <v>7.0000000000000001E-3</v>
      </c>
    </row>
    <row r="1784" spans="13:24">
      <c r="M1784">
        <v>1782</v>
      </c>
      <c r="N1784">
        <v>62002</v>
      </c>
      <c r="O1784" t="s">
        <v>509</v>
      </c>
      <c r="P1784" t="s">
        <v>131</v>
      </c>
      <c r="Q1784">
        <v>253</v>
      </c>
      <c r="R1784" s="296">
        <v>0</v>
      </c>
      <c r="S1784" s="296">
        <v>0.97319999999999995</v>
      </c>
      <c r="T1784" s="297">
        <v>13060</v>
      </c>
      <c r="U1784" s="340">
        <v>74743</v>
      </c>
      <c r="V1784" s="340">
        <v>201532</v>
      </c>
      <c r="W1784" s="297">
        <v>29367</v>
      </c>
      <c r="X1784" s="296">
        <v>-7.0000000000000001E-3</v>
      </c>
    </row>
    <row r="1785" spans="13:24">
      <c r="M1785">
        <v>1783</v>
      </c>
      <c r="N1785">
        <v>46534</v>
      </c>
      <c r="O1785" t="s">
        <v>1669</v>
      </c>
      <c r="P1785" t="s">
        <v>144</v>
      </c>
      <c r="Q1785">
        <v>85</v>
      </c>
      <c r="R1785" s="296">
        <v>0</v>
      </c>
      <c r="S1785" s="296">
        <v>0.97319999999999995</v>
      </c>
      <c r="T1785" s="297">
        <v>4463</v>
      </c>
      <c r="U1785" s="340">
        <v>74182</v>
      </c>
      <c r="V1785" s="340">
        <v>236506</v>
      </c>
      <c r="W1785" s="297">
        <v>11106</v>
      </c>
      <c r="X1785" s="296">
        <v>0</v>
      </c>
    </row>
    <row r="1786" spans="13:24">
      <c r="M1786">
        <v>1784</v>
      </c>
      <c r="N1786">
        <v>76117</v>
      </c>
      <c r="O1786" t="s">
        <v>1670</v>
      </c>
      <c r="P1786" t="s">
        <v>134</v>
      </c>
      <c r="Q1786">
        <v>827</v>
      </c>
      <c r="R1786" s="296">
        <v>0</v>
      </c>
      <c r="S1786" s="296">
        <v>0.97319999999999995</v>
      </c>
      <c r="T1786" s="297">
        <v>12495</v>
      </c>
      <c r="U1786" s="340">
        <v>74157</v>
      </c>
      <c r="V1786" s="340">
        <v>277230</v>
      </c>
      <c r="W1786" s="297">
        <v>34474</v>
      </c>
      <c r="X1786" s="296">
        <v>-2E-3</v>
      </c>
    </row>
    <row r="1787" spans="13:24">
      <c r="M1787">
        <v>1785</v>
      </c>
      <c r="N1787">
        <v>49548</v>
      </c>
      <c r="O1787" t="s">
        <v>467</v>
      </c>
      <c r="P1787" t="s">
        <v>140</v>
      </c>
      <c r="Q1787">
        <v>119</v>
      </c>
      <c r="R1787" s="296">
        <v>0</v>
      </c>
      <c r="S1787" s="296">
        <v>0.97330000000000005</v>
      </c>
      <c r="T1787" s="297">
        <v>13215</v>
      </c>
      <c r="U1787" s="340">
        <v>73789</v>
      </c>
      <c r="V1787" s="340">
        <v>249784</v>
      </c>
      <c r="W1787" s="297">
        <v>35754</v>
      </c>
      <c r="X1787" s="296">
        <v>7.0000000000000001E-3</v>
      </c>
    </row>
    <row r="1788" spans="13:24">
      <c r="M1788">
        <v>1786</v>
      </c>
      <c r="N1788">
        <v>70607</v>
      </c>
      <c r="O1788" t="s">
        <v>1671</v>
      </c>
      <c r="P1788" t="s">
        <v>147</v>
      </c>
      <c r="Q1788">
        <v>888</v>
      </c>
      <c r="R1788" s="296">
        <v>0</v>
      </c>
      <c r="S1788" s="296">
        <v>0.97330000000000005</v>
      </c>
      <c r="T1788" s="297">
        <v>12550</v>
      </c>
      <c r="U1788" s="340">
        <v>73757</v>
      </c>
      <c r="V1788" s="340">
        <v>242882</v>
      </c>
      <c r="W1788" s="297">
        <v>31441</v>
      </c>
      <c r="X1788" s="296">
        <v>0.01</v>
      </c>
    </row>
    <row r="1789" spans="13:24">
      <c r="M1789">
        <v>1787</v>
      </c>
      <c r="N1789">
        <v>49203</v>
      </c>
      <c r="O1789" t="s">
        <v>1140</v>
      </c>
      <c r="P1789" t="s">
        <v>140</v>
      </c>
      <c r="Q1789">
        <v>174</v>
      </c>
      <c r="R1789" s="296">
        <v>0</v>
      </c>
      <c r="S1789" s="296">
        <v>0.97330000000000005</v>
      </c>
      <c r="T1789" s="297">
        <v>15307</v>
      </c>
      <c r="U1789" s="340">
        <v>73742</v>
      </c>
      <c r="V1789" s="340">
        <v>225120</v>
      </c>
      <c r="W1789" s="297">
        <v>36670</v>
      </c>
      <c r="X1789" s="296">
        <v>-4.0000000000000001E-3</v>
      </c>
    </row>
    <row r="1790" spans="13:24">
      <c r="M1790">
        <v>1788</v>
      </c>
      <c r="N1790">
        <v>68107</v>
      </c>
      <c r="O1790" t="s">
        <v>337</v>
      </c>
      <c r="P1790" t="s">
        <v>195</v>
      </c>
      <c r="Q1790">
        <v>426</v>
      </c>
      <c r="R1790" s="296">
        <v>0</v>
      </c>
      <c r="S1790" s="296">
        <v>0.97330000000000005</v>
      </c>
      <c r="T1790" s="297">
        <v>9774</v>
      </c>
      <c r="U1790" s="340">
        <v>73664</v>
      </c>
      <c r="V1790" s="340">
        <v>242478</v>
      </c>
      <c r="W1790" s="297">
        <v>31349</v>
      </c>
      <c r="X1790" s="296">
        <v>-2E-3</v>
      </c>
    </row>
    <row r="1791" spans="13:24">
      <c r="M1791">
        <v>1789</v>
      </c>
      <c r="N1791">
        <v>65233</v>
      </c>
      <c r="O1791" t="s">
        <v>1672</v>
      </c>
      <c r="P1791" t="s">
        <v>186</v>
      </c>
      <c r="Q1791">
        <v>342</v>
      </c>
      <c r="R1791" s="296">
        <v>0</v>
      </c>
      <c r="S1791" s="296">
        <v>0.97340000000000004</v>
      </c>
      <c r="T1791" s="297">
        <v>4346</v>
      </c>
      <c r="U1791" s="340">
        <v>73131</v>
      </c>
      <c r="V1791" s="340">
        <v>201388</v>
      </c>
      <c r="W1791" s="297">
        <v>10979</v>
      </c>
      <c r="X1791" s="296">
        <v>-8.0000000000000002E-3</v>
      </c>
    </row>
    <row r="1792" spans="13:24">
      <c r="M1792">
        <v>1790</v>
      </c>
      <c r="N1792">
        <v>48126</v>
      </c>
      <c r="O1792" t="s">
        <v>1673</v>
      </c>
      <c r="P1792" t="s">
        <v>140</v>
      </c>
      <c r="Q1792">
        <v>236</v>
      </c>
      <c r="R1792" s="296">
        <v>0</v>
      </c>
      <c r="S1792" s="296">
        <v>0.97340000000000004</v>
      </c>
      <c r="T1792" s="297">
        <v>16087</v>
      </c>
      <c r="U1792" s="340">
        <v>73122</v>
      </c>
      <c r="V1792" s="340">
        <v>266554</v>
      </c>
      <c r="W1792" s="297">
        <v>54355</v>
      </c>
      <c r="X1792" s="296">
        <v>-7.0000000000000001E-3</v>
      </c>
    </row>
    <row r="1793" spans="13:24">
      <c r="M1793">
        <v>1791</v>
      </c>
      <c r="N1793">
        <v>93215</v>
      </c>
      <c r="O1793" t="s">
        <v>1674</v>
      </c>
      <c r="P1793" t="s">
        <v>132</v>
      </c>
      <c r="Q1793">
        <v>1736</v>
      </c>
      <c r="R1793" s="296">
        <v>0</v>
      </c>
      <c r="S1793" s="296">
        <v>0.97340000000000004</v>
      </c>
      <c r="T1793" s="297">
        <v>12602</v>
      </c>
      <c r="U1793" s="340">
        <v>73014</v>
      </c>
      <c r="V1793" s="340">
        <v>414866</v>
      </c>
      <c r="W1793" s="297">
        <v>55574</v>
      </c>
      <c r="X1793" s="296">
        <v>-2E-3</v>
      </c>
    </row>
    <row r="1794" spans="13:24">
      <c r="M1794">
        <v>1792</v>
      </c>
      <c r="N1794">
        <v>22835</v>
      </c>
      <c r="O1794" t="s">
        <v>1675</v>
      </c>
      <c r="P1794" t="s">
        <v>139</v>
      </c>
      <c r="Q1794">
        <v>547</v>
      </c>
      <c r="R1794" s="296">
        <v>0</v>
      </c>
      <c r="S1794" s="296">
        <v>0.97340000000000004</v>
      </c>
      <c r="T1794" s="297">
        <v>4908</v>
      </c>
      <c r="U1794" s="340">
        <v>72908</v>
      </c>
      <c r="V1794" s="340">
        <v>313625</v>
      </c>
      <c r="W1794" s="297">
        <v>11695</v>
      </c>
      <c r="X1794" s="296">
        <v>5.0000000000000001E-3</v>
      </c>
    </row>
    <row r="1795" spans="13:24">
      <c r="M1795">
        <v>1793</v>
      </c>
      <c r="N1795">
        <v>62040</v>
      </c>
      <c r="O1795" t="s">
        <v>1676</v>
      </c>
      <c r="P1795" t="s">
        <v>131</v>
      </c>
      <c r="Q1795">
        <v>266</v>
      </c>
      <c r="R1795" s="296">
        <v>0</v>
      </c>
      <c r="S1795" s="296">
        <v>0.97350000000000003</v>
      </c>
      <c r="T1795" s="297">
        <v>16942</v>
      </c>
      <c r="U1795" s="340">
        <v>72849</v>
      </c>
      <c r="V1795" s="340">
        <v>162167</v>
      </c>
      <c r="W1795" s="297">
        <v>39990</v>
      </c>
      <c r="X1795" s="296">
        <v>-5.0000000000000001E-3</v>
      </c>
    </row>
    <row r="1796" spans="13:24">
      <c r="M1796">
        <v>1794</v>
      </c>
      <c r="N1796">
        <v>64730</v>
      </c>
      <c r="O1796" t="s">
        <v>1235</v>
      </c>
      <c r="P1796" t="s">
        <v>186</v>
      </c>
      <c r="Q1796">
        <v>436</v>
      </c>
      <c r="R1796" s="296">
        <v>0</v>
      </c>
      <c r="S1796" s="296">
        <v>0.97350000000000003</v>
      </c>
      <c r="T1796" s="297">
        <v>3319</v>
      </c>
      <c r="U1796" s="340">
        <v>72834</v>
      </c>
      <c r="V1796" s="340">
        <v>222917</v>
      </c>
      <c r="W1796" s="297">
        <v>8217</v>
      </c>
      <c r="X1796" s="296">
        <v>-1E-3</v>
      </c>
    </row>
    <row r="1797" spans="13:24">
      <c r="M1797">
        <v>1795</v>
      </c>
      <c r="N1797">
        <v>55130</v>
      </c>
      <c r="O1797" t="s">
        <v>445</v>
      </c>
      <c r="P1797" t="s">
        <v>151</v>
      </c>
      <c r="Q1797">
        <v>329</v>
      </c>
      <c r="R1797" s="296">
        <v>0</v>
      </c>
      <c r="S1797" s="296">
        <v>0.97350000000000003</v>
      </c>
      <c r="T1797" s="297">
        <v>5609</v>
      </c>
      <c r="U1797" s="340">
        <v>72260</v>
      </c>
      <c r="V1797" s="340">
        <v>407703</v>
      </c>
      <c r="W1797" s="297">
        <v>18147</v>
      </c>
      <c r="X1797" s="296">
        <v>-3.0000000000000001E-3</v>
      </c>
    </row>
    <row r="1798" spans="13:24">
      <c r="M1798">
        <v>1796</v>
      </c>
      <c r="N1798">
        <v>62522</v>
      </c>
      <c r="O1798" t="s">
        <v>829</v>
      </c>
      <c r="P1798" t="s">
        <v>131</v>
      </c>
      <c r="Q1798">
        <v>174</v>
      </c>
      <c r="R1798" s="296">
        <v>0</v>
      </c>
      <c r="S1798" s="296">
        <v>0.97350000000000003</v>
      </c>
      <c r="T1798" s="297">
        <v>5914</v>
      </c>
      <c r="U1798" s="340">
        <v>71880</v>
      </c>
      <c r="V1798" s="340">
        <v>133623</v>
      </c>
      <c r="W1798" s="297">
        <v>14446</v>
      </c>
      <c r="X1798" s="296">
        <v>-7.0000000000000001E-3</v>
      </c>
    </row>
    <row r="1799" spans="13:24">
      <c r="M1799">
        <v>1797</v>
      </c>
      <c r="N1799">
        <v>41046</v>
      </c>
      <c r="O1799" t="s">
        <v>849</v>
      </c>
      <c r="P1799" t="s">
        <v>143</v>
      </c>
      <c r="Q1799">
        <v>285</v>
      </c>
      <c r="R1799" s="296">
        <v>0</v>
      </c>
      <c r="S1799" s="296">
        <v>0.97360000000000002</v>
      </c>
      <c r="T1799">
        <v>495</v>
      </c>
      <c r="U1799" s="340">
        <v>71853</v>
      </c>
      <c r="V1799" s="340">
        <v>258543</v>
      </c>
      <c r="W1799" s="297">
        <v>1386</v>
      </c>
      <c r="X1799" s="296">
        <v>1.0999999999999999E-2</v>
      </c>
    </row>
    <row r="1800" spans="13:24">
      <c r="M1800">
        <v>1798</v>
      </c>
      <c r="N1800">
        <v>44111</v>
      </c>
      <c r="O1800" t="s">
        <v>1251</v>
      </c>
      <c r="P1800" t="s">
        <v>136</v>
      </c>
      <c r="Q1800">
        <v>313</v>
      </c>
      <c r="R1800" s="296">
        <v>0</v>
      </c>
      <c r="S1800" s="296">
        <v>0.97360000000000002</v>
      </c>
      <c r="T1800" s="297">
        <v>17336</v>
      </c>
      <c r="U1800" s="340">
        <v>71848</v>
      </c>
      <c r="V1800" s="340">
        <v>208664</v>
      </c>
      <c r="W1800" s="297">
        <v>39790</v>
      </c>
      <c r="X1800" s="296">
        <v>-7.0000000000000001E-3</v>
      </c>
    </row>
    <row r="1801" spans="13:24">
      <c r="M1801">
        <v>1799</v>
      </c>
      <c r="N1801">
        <v>48532</v>
      </c>
      <c r="O1801" t="s">
        <v>808</v>
      </c>
      <c r="P1801" t="s">
        <v>140</v>
      </c>
      <c r="Q1801">
        <v>211</v>
      </c>
      <c r="R1801" s="296">
        <v>0</v>
      </c>
      <c r="S1801" s="296">
        <v>0.97360000000000002</v>
      </c>
      <c r="T1801" s="297">
        <v>8346</v>
      </c>
      <c r="U1801" s="340">
        <v>71812</v>
      </c>
      <c r="V1801" s="340">
        <v>196022</v>
      </c>
      <c r="W1801" s="297">
        <v>18838</v>
      </c>
      <c r="X1801" s="296">
        <v>-5.0000000000000001E-3</v>
      </c>
    </row>
    <row r="1802" spans="13:24">
      <c r="M1802">
        <v>1800</v>
      </c>
      <c r="N1802">
        <v>44906</v>
      </c>
      <c r="O1802" t="s">
        <v>456</v>
      </c>
      <c r="P1802" t="s">
        <v>136</v>
      </c>
      <c r="Q1802">
        <v>287</v>
      </c>
      <c r="R1802" s="296">
        <v>0</v>
      </c>
      <c r="S1802" s="296">
        <v>0.97360000000000002</v>
      </c>
      <c r="T1802" s="297">
        <v>7752</v>
      </c>
      <c r="U1802" s="340">
        <v>71530</v>
      </c>
      <c r="V1802" s="340">
        <v>191439</v>
      </c>
      <c r="W1802" s="297">
        <v>17478</v>
      </c>
      <c r="X1802" s="296">
        <v>2E-3</v>
      </c>
    </row>
    <row r="1803" spans="13:24">
      <c r="M1803">
        <v>1801</v>
      </c>
      <c r="N1803">
        <v>64030</v>
      </c>
      <c r="O1803" t="s">
        <v>1677</v>
      </c>
      <c r="P1803" t="s">
        <v>186</v>
      </c>
      <c r="Q1803">
        <v>419</v>
      </c>
      <c r="R1803" s="296">
        <v>0</v>
      </c>
      <c r="S1803" s="296">
        <v>0.97370000000000001</v>
      </c>
      <c r="T1803" s="297">
        <v>10764</v>
      </c>
      <c r="U1803" s="340">
        <v>70923</v>
      </c>
      <c r="V1803" s="340">
        <v>226000</v>
      </c>
      <c r="W1803" s="297">
        <v>26311</v>
      </c>
      <c r="X1803" s="296">
        <v>1E-3</v>
      </c>
    </row>
    <row r="1804" spans="13:24">
      <c r="M1804">
        <v>1802</v>
      </c>
      <c r="N1804">
        <v>37110</v>
      </c>
      <c r="O1804" t="s">
        <v>1678</v>
      </c>
      <c r="P1804" t="s">
        <v>146</v>
      </c>
      <c r="Q1804">
        <v>461</v>
      </c>
      <c r="R1804" s="296">
        <v>0</v>
      </c>
      <c r="S1804" s="296">
        <v>0.97370000000000001</v>
      </c>
      <c r="T1804" s="297">
        <v>13818</v>
      </c>
      <c r="U1804" s="340">
        <v>70648</v>
      </c>
      <c r="V1804" s="340">
        <v>261048</v>
      </c>
      <c r="W1804" s="297">
        <v>34029</v>
      </c>
      <c r="X1804" s="296">
        <v>8.0000000000000002E-3</v>
      </c>
    </row>
    <row r="1805" spans="13:24">
      <c r="M1805">
        <v>1803</v>
      </c>
      <c r="N1805">
        <v>73503</v>
      </c>
      <c r="O1805" t="s">
        <v>1679</v>
      </c>
      <c r="P1805" t="s">
        <v>205</v>
      </c>
      <c r="Q1805">
        <v>772</v>
      </c>
      <c r="R1805" s="296">
        <v>0</v>
      </c>
      <c r="S1805" s="296">
        <v>0.97370000000000001</v>
      </c>
      <c r="T1805" s="297">
        <v>1808</v>
      </c>
      <c r="U1805" s="340">
        <v>70396</v>
      </c>
      <c r="V1805" s="340">
        <v>205357</v>
      </c>
      <c r="W1805" s="297">
        <v>11631</v>
      </c>
      <c r="X1805" s="296">
        <v>3.0000000000000001E-3</v>
      </c>
    </row>
    <row r="1806" spans="13:24">
      <c r="M1806">
        <v>1804</v>
      </c>
      <c r="N1806">
        <v>78238</v>
      </c>
      <c r="O1806" t="s">
        <v>326</v>
      </c>
      <c r="P1806" t="s">
        <v>134</v>
      </c>
      <c r="Q1806">
        <v>1063</v>
      </c>
      <c r="R1806" s="296">
        <v>0</v>
      </c>
      <c r="S1806" s="296">
        <v>0.97370000000000001</v>
      </c>
      <c r="T1806" s="297">
        <v>10512</v>
      </c>
      <c r="U1806" s="340">
        <v>70187</v>
      </c>
      <c r="V1806" s="340">
        <v>265151</v>
      </c>
      <c r="W1806" s="297">
        <v>26084</v>
      </c>
      <c r="X1806" s="296">
        <v>-2E-3</v>
      </c>
    </row>
    <row r="1807" spans="13:24">
      <c r="M1807">
        <v>1805</v>
      </c>
      <c r="N1807">
        <v>46619</v>
      </c>
      <c r="O1807" t="s">
        <v>1212</v>
      </c>
      <c r="P1807" t="s">
        <v>144</v>
      </c>
      <c r="Q1807">
        <v>81</v>
      </c>
      <c r="R1807" s="296">
        <v>0</v>
      </c>
      <c r="S1807" s="296">
        <v>0.9738</v>
      </c>
      <c r="T1807" s="297">
        <v>7488</v>
      </c>
      <c r="U1807" s="340">
        <v>69804</v>
      </c>
      <c r="V1807" s="340">
        <v>169905</v>
      </c>
      <c r="W1807" s="297">
        <v>20370</v>
      </c>
      <c r="X1807" s="296">
        <v>-3.0000000000000001E-3</v>
      </c>
    </row>
    <row r="1808" spans="13:24">
      <c r="M1808">
        <v>1806</v>
      </c>
      <c r="N1808">
        <v>32440</v>
      </c>
      <c r="O1808" t="s">
        <v>1680</v>
      </c>
      <c r="P1808" t="s">
        <v>127</v>
      </c>
      <c r="Q1808">
        <v>786</v>
      </c>
      <c r="R1808" s="296">
        <v>0</v>
      </c>
      <c r="S1808" s="296">
        <v>0.9738</v>
      </c>
      <c r="T1808" s="297">
        <v>2192</v>
      </c>
      <c r="U1808" s="340">
        <v>69736</v>
      </c>
      <c r="V1808" s="340">
        <v>184076</v>
      </c>
      <c r="W1808" s="297">
        <v>7437</v>
      </c>
      <c r="X1808" s="296">
        <v>-1E-3</v>
      </c>
    </row>
    <row r="1809" spans="13:24">
      <c r="M1809">
        <v>1807</v>
      </c>
      <c r="N1809">
        <v>46901</v>
      </c>
      <c r="O1809" t="s">
        <v>1681</v>
      </c>
      <c r="P1809" t="s">
        <v>144</v>
      </c>
      <c r="Q1809">
        <v>142</v>
      </c>
      <c r="R1809" s="296">
        <v>0</v>
      </c>
      <c r="S1809" s="296">
        <v>0.9738</v>
      </c>
      <c r="T1809" s="297">
        <v>16067</v>
      </c>
      <c r="U1809" s="340">
        <v>69505</v>
      </c>
      <c r="V1809" s="340">
        <v>180677</v>
      </c>
      <c r="W1809" s="297">
        <v>37918</v>
      </c>
      <c r="X1809" s="296">
        <v>2E-3</v>
      </c>
    </row>
    <row r="1810" spans="13:24">
      <c r="M1810">
        <v>1808</v>
      </c>
      <c r="N1810">
        <v>49224</v>
      </c>
      <c r="O1810" t="s">
        <v>1682</v>
      </c>
      <c r="P1810" t="s">
        <v>140</v>
      </c>
      <c r="Q1810">
        <v>155</v>
      </c>
      <c r="R1810" s="296">
        <v>0</v>
      </c>
      <c r="S1810" s="296">
        <v>0.9738</v>
      </c>
      <c r="T1810" s="297">
        <v>4804</v>
      </c>
      <c r="U1810" s="340">
        <v>69162</v>
      </c>
      <c r="V1810" s="340">
        <v>206114</v>
      </c>
      <c r="W1810" s="297">
        <v>12784</v>
      </c>
      <c r="X1810" s="296">
        <v>-2E-3</v>
      </c>
    </row>
    <row r="1811" spans="13:24">
      <c r="M1811">
        <v>1809</v>
      </c>
      <c r="N1811">
        <v>63135</v>
      </c>
      <c r="O1811" t="s">
        <v>536</v>
      </c>
      <c r="P1811" t="s">
        <v>186</v>
      </c>
      <c r="Q1811">
        <v>269</v>
      </c>
      <c r="R1811" s="296">
        <v>0</v>
      </c>
      <c r="S1811" s="296">
        <v>0.97389999999999999</v>
      </c>
      <c r="T1811" s="297">
        <v>7681</v>
      </c>
      <c r="U1811" s="340">
        <v>69119</v>
      </c>
      <c r="V1811" s="340">
        <v>208322</v>
      </c>
      <c r="W1811" s="297">
        <v>19075</v>
      </c>
      <c r="X1811" s="296">
        <v>-5.0000000000000001E-3</v>
      </c>
    </row>
    <row r="1812" spans="13:24">
      <c r="M1812">
        <v>1810</v>
      </c>
      <c r="N1812">
        <v>38080</v>
      </c>
      <c r="O1812" t="s">
        <v>1683</v>
      </c>
      <c r="P1812" t="s">
        <v>146</v>
      </c>
      <c r="Q1812">
        <v>417</v>
      </c>
      <c r="R1812" s="296">
        <v>0</v>
      </c>
      <c r="S1812" s="296">
        <v>0.97389999999999999</v>
      </c>
      <c r="T1812" s="297">
        <v>1049</v>
      </c>
      <c r="U1812" s="340">
        <v>68945</v>
      </c>
      <c r="V1812" s="340">
        <v>193040</v>
      </c>
      <c r="W1812" s="297">
        <v>2473</v>
      </c>
      <c r="X1812" s="296">
        <v>-2E-3</v>
      </c>
    </row>
    <row r="1813" spans="13:24">
      <c r="M1813">
        <v>1811</v>
      </c>
      <c r="N1813">
        <v>43406</v>
      </c>
      <c r="O1813" t="s">
        <v>1684</v>
      </c>
      <c r="P1813" t="s">
        <v>136</v>
      </c>
      <c r="Q1813">
        <v>231</v>
      </c>
      <c r="R1813" s="296">
        <v>0</v>
      </c>
      <c r="S1813" s="296">
        <v>0.97389999999999999</v>
      </c>
      <c r="T1813">
        <v>670</v>
      </c>
      <c r="U1813" s="340">
        <v>68469</v>
      </c>
      <c r="V1813" s="340">
        <v>254089</v>
      </c>
      <c r="W1813" s="297">
        <v>1733</v>
      </c>
      <c r="X1813" s="296">
        <v>3.0000000000000001E-3</v>
      </c>
    </row>
    <row r="1814" spans="13:24">
      <c r="M1814">
        <v>1812</v>
      </c>
      <c r="N1814">
        <v>61866</v>
      </c>
      <c r="O1814" t="s">
        <v>1685</v>
      </c>
      <c r="P1814" t="s">
        <v>131</v>
      </c>
      <c r="Q1814">
        <v>128</v>
      </c>
      <c r="R1814" s="296">
        <v>0</v>
      </c>
      <c r="S1814" s="296">
        <v>0.97389999999999999</v>
      </c>
      <c r="T1814" s="297">
        <v>5484</v>
      </c>
      <c r="U1814" s="340">
        <v>68168</v>
      </c>
      <c r="V1814" s="340">
        <v>162311</v>
      </c>
      <c r="W1814" s="297">
        <v>13140</v>
      </c>
      <c r="X1814" s="296">
        <v>-5.0000000000000001E-3</v>
      </c>
    </row>
    <row r="1815" spans="13:24">
      <c r="M1815">
        <v>1813</v>
      </c>
      <c r="N1815">
        <v>61443</v>
      </c>
      <c r="O1815" t="s">
        <v>1686</v>
      </c>
      <c r="P1815" t="s">
        <v>131</v>
      </c>
      <c r="Q1815">
        <v>127</v>
      </c>
      <c r="R1815" s="296">
        <v>0</v>
      </c>
      <c r="S1815" s="296">
        <v>0.97399999999999998</v>
      </c>
      <c r="T1815" s="297">
        <v>5518</v>
      </c>
      <c r="U1815" s="340">
        <v>68138</v>
      </c>
      <c r="V1815" s="340">
        <v>126504</v>
      </c>
      <c r="W1815" s="297">
        <v>13273</v>
      </c>
      <c r="X1815" s="296">
        <v>-8.0000000000000002E-3</v>
      </c>
    </row>
    <row r="1816" spans="13:24">
      <c r="M1816">
        <v>1814</v>
      </c>
      <c r="N1816">
        <v>85009</v>
      </c>
      <c r="O1816" t="s">
        <v>548</v>
      </c>
      <c r="P1816" t="s">
        <v>158</v>
      </c>
      <c r="Q1816">
        <v>1451</v>
      </c>
      <c r="R1816" s="296">
        <v>0</v>
      </c>
      <c r="S1816" s="296">
        <v>0.97399999999999998</v>
      </c>
      <c r="T1816" s="297">
        <v>13231</v>
      </c>
      <c r="U1816" s="340">
        <v>68037</v>
      </c>
      <c r="V1816" s="340">
        <v>292916</v>
      </c>
      <c r="W1816" s="297">
        <v>49327</v>
      </c>
      <c r="X1816" s="296">
        <v>-3.0000000000000001E-3</v>
      </c>
    </row>
    <row r="1817" spans="13:24">
      <c r="M1817">
        <v>1815</v>
      </c>
      <c r="N1817">
        <v>46403</v>
      </c>
      <c r="O1817" t="s">
        <v>1105</v>
      </c>
      <c r="P1817" t="s">
        <v>144</v>
      </c>
      <c r="Q1817">
        <v>46</v>
      </c>
      <c r="R1817" s="296">
        <v>0</v>
      </c>
      <c r="S1817" s="296">
        <v>0.97399999999999998</v>
      </c>
      <c r="T1817" s="297">
        <v>5168</v>
      </c>
      <c r="U1817" s="340">
        <v>67993</v>
      </c>
      <c r="V1817" s="340">
        <v>230605</v>
      </c>
      <c r="W1817" s="297">
        <v>11318</v>
      </c>
      <c r="X1817" s="296">
        <v>-3.0000000000000001E-3</v>
      </c>
    </row>
    <row r="1818" spans="13:24">
      <c r="M1818">
        <v>1816</v>
      </c>
      <c r="N1818">
        <v>46225</v>
      </c>
      <c r="O1818" t="s">
        <v>561</v>
      </c>
      <c r="P1818" t="s">
        <v>144</v>
      </c>
      <c r="Q1818">
        <v>187</v>
      </c>
      <c r="R1818" s="296">
        <v>0</v>
      </c>
      <c r="S1818" s="296">
        <v>0.97399999999999998</v>
      </c>
      <c r="T1818" s="297">
        <v>2582</v>
      </c>
      <c r="U1818" s="340">
        <v>67475</v>
      </c>
      <c r="V1818" s="340">
        <v>186538</v>
      </c>
      <c r="W1818" s="297">
        <v>6335</v>
      </c>
      <c r="X1818" s="296">
        <v>8.0000000000000002E-3</v>
      </c>
    </row>
    <row r="1819" spans="13:24">
      <c r="M1819">
        <v>1817</v>
      </c>
      <c r="N1819">
        <v>51105</v>
      </c>
      <c r="O1819" t="s">
        <v>1557</v>
      </c>
      <c r="P1819" t="s">
        <v>170</v>
      </c>
      <c r="Q1819">
        <v>440</v>
      </c>
      <c r="R1819" s="296">
        <v>0</v>
      </c>
      <c r="S1819" s="296">
        <v>0.97409999999999997</v>
      </c>
      <c r="T1819" s="297">
        <v>3808</v>
      </c>
      <c r="U1819" s="340">
        <v>67072</v>
      </c>
      <c r="V1819" s="340">
        <v>130916</v>
      </c>
      <c r="W1819" s="297">
        <v>10529</v>
      </c>
      <c r="X1819" s="296">
        <v>-6.0000000000000001E-3</v>
      </c>
    </row>
    <row r="1820" spans="13:24">
      <c r="M1820">
        <v>1818</v>
      </c>
      <c r="N1820">
        <v>74129</v>
      </c>
      <c r="O1820" t="s">
        <v>625</v>
      </c>
      <c r="P1820" t="s">
        <v>205</v>
      </c>
      <c r="Q1820">
        <v>600</v>
      </c>
      <c r="R1820" s="296">
        <v>0</v>
      </c>
      <c r="S1820" s="296">
        <v>0.97409999999999997</v>
      </c>
      <c r="T1820" s="297">
        <v>7155</v>
      </c>
      <c r="U1820" s="340">
        <v>67035</v>
      </c>
      <c r="V1820" s="340">
        <v>228017</v>
      </c>
      <c r="W1820" s="297">
        <v>18989</v>
      </c>
      <c r="X1820" s="296">
        <v>5.0000000000000001E-3</v>
      </c>
    </row>
    <row r="1821" spans="13:24">
      <c r="M1821">
        <v>1819</v>
      </c>
      <c r="N1821">
        <v>59842</v>
      </c>
      <c r="O1821" t="s">
        <v>1687</v>
      </c>
      <c r="P1821" t="s">
        <v>190</v>
      </c>
      <c r="Q1821">
        <v>1394</v>
      </c>
      <c r="R1821" s="296">
        <v>0</v>
      </c>
      <c r="S1821" s="296">
        <v>0.97409999999999997</v>
      </c>
      <c r="T1821">
        <v>25</v>
      </c>
      <c r="U1821" s="340">
        <v>67002</v>
      </c>
      <c r="V1821" s="340">
        <v>322826</v>
      </c>
      <c r="W1821">
        <v>70</v>
      </c>
      <c r="X1821" s="296">
        <v>1.7999999999999999E-2</v>
      </c>
    </row>
    <row r="1822" spans="13:24">
      <c r="M1822">
        <v>1820</v>
      </c>
      <c r="N1822">
        <v>63111</v>
      </c>
      <c r="O1822" t="s">
        <v>536</v>
      </c>
      <c r="P1822" t="s">
        <v>186</v>
      </c>
      <c r="Q1822">
        <v>279</v>
      </c>
      <c r="R1822" s="296">
        <v>0</v>
      </c>
      <c r="S1822" s="296">
        <v>0.97409999999999997</v>
      </c>
      <c r="T1822" s="297">
        <v>8163</v>
      </c>
      <c r="U1822" s="340">
        <v>66927</v>
      </c>
      <c r="V1822" s="340">
        <v>186587</v>
      </c>
      <c r="W1822" s="297">
        <v>18562</v>
      </c>
      <c r="X1822" s="296">
        <v>-5.0000000000000001E-3</v>
      </c>
    </row>
    <row r="1823" spans="13:24">
      <c r="M1823">
        <v>1821</v>
      </c>
      <c r="N1823">
        <v>33859</v>
      </c>
      <c r="O1823" t="s">
        <v>1688</v>
      </c>
      <c r="P1823" t="s">
        <v>127</v>
      </c>
      <c r="Q1823">
        <v>1045</v>
      </c>
      <c r="R1823" s="296">
        <v>0</v>
      </c>
      <c r="S1823" s="296">
        <v>0.97419999999999995</v>
      </c>
      <c r="T1823" s="297">
        <v>5533</v>
      </c>
      <c r="U1823" s="340">
        <v>66919</v>
      </c>
      <c r="V1823" s="340">
        <v>286214</v>
      </c>
      <c r="W1823" s="297">
        <v>13288</v>
      </c>
      <c r="X1823" s="296">
        <v>3.1E-2</v>
      </c>
    </row>
    <row r="1824" spans="13:24">
      <c r="M1824">
        <v>1822</v>
      </c>
      <c r="N1824">
        <v>22560</v>
      </c>
      <c r="O1824" t="s">
        <v>1689</v>
      </c>
      <c r="P1824" t="s">
        <v>139</v>
      </c>
      <c r="Q1824">
        <v>643</v>
      </c>
      <c r="R1824" s="296">
        <v>0</v>
      </c>
      <c r="S1824" s="296">
        <v>0.97419999999999995</v>
      </c>
      <c r="T1824" s="297">
        <v>2978</v>
      </c>
      <c r="U1824" s="340">
        <v>66474</v>
      </c>
      <c r="V1824" s="340">
        <v>308741</v>
      </c>
      <c r="W1824" s="297">
        <v>6787</v>
      </c>
      <c r="X1824" s="296">
        <v>0</v>
      </c>
    </row>
    <row r="1825" spans="13:24">
      <c r="M1825">
        <v>1823</v>
      </c>
      <c r="N1825">
        <v>29201</v>
      </c>
      <c r="O1825" t="s">
        <v>344</v>
      </c>
      <c r="P1825" t="s">
        <v>145</v>
      </c>
      <c r="Q1825">
        <v>673</v>
      </c>
      <c r="R1825" s="296">
        <v>0</v>
      </c>
      <c r="S1825" s="296">
        <v>0.97419999999999995</v>
      </c>
      <c r="T1825" s="297">
        <v>11790</v>
      </c>
      <c r="U1825" s="340">
        <v>66392</v>
      </c>
      <c r="V1825" s="340">
        <v>287418</v>
      </c>
      <c r="W1825" s="297">
        <v>25864</v>
      </c>
      <c r="X1825" s="296">
        <v>1.4999999999999999E-2</v>
      </c>
    </row>
    <row r="1826" spans="13:24">
      <c r="M1826">
        <v>1824</v>
      </c>
      <c r="N1826">
        <v>76104</v>
      </c>
      <c r="O1826" t="s">
        <v>688</v>
      </c>
      <c r="P1826" t="s">
        <v>134</v>
      </c>
      <c r="Q1826">
        <v>834</v>
      </c>
      <c r="R1826" s="296">
        <v>0</v>
      </c>
      <c r="S1826" s="296">
        <v>0.97419999999999995</v>
      </c>
      <c r="T1826" s="297">
        <v>9099</v>
      </c>
      <c r="U1826" s="340">
        <v>66245</v>
      </c>
      <c r="V1826" s="340">
        <v>329260</v>
      </c>
      <c r="W1826" s="297">
        <v>24354</v>
      </c>
      <c r="X1826" s="296">
        <v>3.1E-2</v>
      </c>
    </row>
    <row r="1827" spans="13:24">
      <c r="M1827">
        <v>1825</v>
      </c>
      <c r="N1827">
        <v>30093</v>
      </c>
      <c r="O1827" t="s">
        <v>1690</v>
      </c>
      <c r="P1827" t="s">
        <v>130</v>
      </c>
      <c r="Q1827">
        <v>602</v>
      </c>
      <c r="R1827" s="296">
        <v>0</v>
      </c>
      <c r="S1827" s="296">
        <v>0.97430000000000005</v>
      </c>
      <c r="T1827" s="297">
        <v>19282</v>
      </c>
      <c r="U1827" s="340">
        <v>65912</v>
      </c>
      <c r="V1827" s="340">
        <v>315732</v>
      </c>
      <c r="W1827" s="297">
        <v>54424</v>
      </c>
      <c r="X1827" s="296">
        <v>-5.0000000000000001E-3</v>
      </c>
    </row>
    <row r="1828" spans="13:24">
      <c r="M1828">
        <v>1826</v>
      </c>
      <c r="N1828">
        <v>63042</v>
      </c>
      <c r="O1828" t="s">
        <v>1691</v>
      </c>
      <c r="P1828" t="s">
        <v>186</v>
      </c>
      <c r="Q1828">
        <v>269</v>
      </c>
      <c r="R1828" s="296">
        <v>0</v>
      </c>
      <c r="S1828" s="296">
        <v>0.97430000000000005</v>
      </c>
      <c r="T1828" s="297">
        <v>8510</v>
      </c>
      <c r="U1828" s="340">
        <v>65842</v>
      </c>
      <c r="V1828" s="340">
        <v>199994</v>
      </c>
      <c r="W1828" s="297">
        <v>19266</v>
      </c>
      <c r="X1828" s="296">
        <v>-4.0000000000000001E-3</v>
      </c>
    </row>
    <row r="1829" spans="13:24">
      <c r="M1829">
        <v>1827</v>
      </c>
      <c r="N1829">
        <v>65803</v>
      </c>
      <c r="O1829" t="s">
        <v>515</v>
      </c>
      <c r="P1829" t="s">
        <v>186</v>
      </c>
      <c r="Q1829">
        <v>447</v>
      </c>
      <c r="R1829" s="296">
        <v>0</v>
      </c>
      <c r="S1829" s="296">
        <v>0.97430000000000005</v>
      </c>
      <c r="T1829" s="297">
        <v>18493</v>
      </c>
      <c r="U1829" s="340">
        <v>65460</v>
      </c>
      <c r="V1829" s="340">
        <v>225391</v>
      </c>
      <c r="W1829" s="297">
        <v>42911</v>
      </c>
      <c r="X1829" s="296">
        <v>4.0000000000000001E-3</v>
      </c>
    </row>
    <row r="1830" spans="13:24">
      <c r="M1830">
        <v>1828</v>
      </c>
      <c r="N1830">
        <v>44905</v>
      </c>
      <c r="O1830" t="s">
        <v>456</v>
      </c>
      <c r="P1830" t="s">
        <v>136</v>
      </c>
      <c r="Q1830">
        <v>292</v>
      </c>
      <c r="R1830" s="296">
        <v>0</v>
      </c>
      <c r="S1830" s="296">
        <v>0.97430000000000005</v>
      </c>
      <c r="T1830" s="297">
        <v>4924</v>
      </c>
      <c r="U1830" s="340">
        <v>65277</v>
      </c>
      <c r="V1830" s="340">
        <v>160116</v>
      </c>
      <c r="W1830" s="297">
        <v>16795</v>
      </c>
      <c r="X1830" s="296">
        <v>3.0000000000000001E-3</v>
      </c>
    </row>
    <row r="1831" spans="13:24">
      <c r="M1831">
        <v>1829</v>
      </c>
      <c r="N1831">
        <v>33311</v>
      </c>
      <c r="O1831" t="s">
        <v>506</v>
      </c>
      <c r="P1831" t="s">
        <v>127</v>
      </c>
      <c r="Q1831">
        <v>1187</v>
      </c>
      <c r="R1831" s="296">
        <v>0</v>
      </c>
      <c r="S1831" s="296">
        <v>0.97440000000000004</v>
      </c>
      <c r="T1831" s="297">
        <v>25034</v>
      </c>
      <c r="U1831" s="340">
        <v>64965</v>
      </c>
      <c r="V1831" s="340">
        <v>397030</v>
      </c>
      <c r="W1831" s="297">
        <v>70977</v>
      </c>
      <c r="X1831" s="296">
        <v>6.0000000000000001E-3</v>
      </c>
    </row>
    <row r="1832" spans="13:24">
      <c r="M1832">
        <v>1830</v>
      </c>
      <c r="N1832">
        <v>45237</v>
      </c>
      <c r="O1832" t="s">
        <v>599</v>
      </c>
      <c r="P1832" t="s">
        <v>136</v>
      </c>
      <c r="Q1832">
        <v>269</v>
      </c>
      <c r="R1832" s="296">
        <v>0</v>
      </c>
      <c r="S1832" s="296">
        <v>0.97440000000000004</v>
      </c>
      <c r="T1832" s="297">
        <v>9460</v>
      </c>
      <c r="U1832" s="340">
        <v>64680</v>
      </c>
      <c r="V1832" s="340">
        <v>266857</v>
      </c>
      <c r="W1832" s="297">
        <v>21136</v>
      </c>
      <c r="X1832" s="296">
        <v>2E-3</v>
      </c>
    </row>
    <row r="1833" spans="13:24">
      <c r="M1833">
        <v>1831</v>
      </c>
      <c r="N1833">
        <v>52802</v>
      </c>
      <c r="O1833" t="s">
        <v>1023</v>
      </c>
      <c r="P1833" t="s">
        <v>170</v>
      </c>
      <c r="Q1833">
        <v>152</v>
      </c>
      <c r="R1833" s="296">
        <v>0</v>
      </c>
      <c r="S1833" s="296">
        <v>0.97440000000000004</v>
      </c>
      <c r="T1833" s="297">
        <v>4059</v>
      </c>
      <c r="U1833" s="340">
        <v>64325</v>
      </c>
      <c r="V1833" s="340">
        <v>148159</v>
      </c>
      <c r="W1833" s="297">
        <v>9748</v>
      </c>
      <c r="X1833" s="296">
        <v>-0.01</v>
      </c>
    </row>
    <row r="1834" spans="13:24">
      <c r="M1834">
        <v>1832</v>
      </c>
      <c r="N1834">
        <v>32808</v>
      </c>
      <c r="O1834" t="s">
        <v>539</v>
      </c>
      <c r="P1834" t="s">
        <v>127</v>
      </c>
      <c r="Q1834">
        <v>1003</v>
      </c>
      <c r="R1834" s="296">
        <v>0</v>
      </c>
      <c r="S1834" s="296">
        <v>0.97440000000000004</v>
      </c>
      <c r="T1834" s="297">
        <v>18400</v>
      </c>
      <c r="U1834" s="340">
        <v>63939</v>
      </c>
      <c r="V1834" s="340">
        <v>338407</v>
      </c>
      <c r="W1834" s="297">
        <v>53600</v>
      </c>
      <c r="X1834" s="296">
        <v>2E-3</v>
      </c>
    </row>
    <row r="1835" spans="13:24">
      <c r="M1835">
        <v>1833</v>
      </c>
      <c r="N1835">
        <v>65565</v>
      </c>
      <c r="O1835" t="s">
        <v>1692</v>
      </c>
      <c r="P1835" t="s">
        <v>186</v>
      </c>
      <c r="Q1835">
        <v>345</v>
      </c>
      <c r="R1835" s="296">
        <v>0</v>
      </c>
      <c r="S1835" s="296">
        <v>0.97450000000000003</v>
      </c>
      <c r="T1835" s="297">
        <v>1991</v>
      </c>
      <c r="U1835" s="340">
        <v>63918</v>
      </c>
      <c r="V1835" s="340">
        <v>249807</v>
      </c>
      <c r="W1835" s="297">
        <v>5075</v>
      </c>
      <c r="X1835" s="296">
        <v>-8.0000000000000002E-3</v>
      </c>
    </row>
    <row r="1836" spans="13:24">
      <c r="M1836">
        <v>1834</v>
      </c>
      <c r="N1836">
        <v>74354</v>
      </c>
      <c r="O1836" t="s">
        <v>293</v>
      </c>
      <c r="P1836" t="s">
        <v>205</v>
      </c>
      <c r="Q1836">
        <v>524</v>
      </c>
      <c r="R1836" s="296">
        <v>0</v>
      </c>
      <c r="S1836" s="296">
        <v>0.97450000000000003</v>
      </c>
      <c r="T1836" s="297">
        <v>6756</v>
      </c>
      <c r="U1836" s="340">
        <v>63318</v>
      </c>
      <c r="V1836" s="340">
        <v>156481</v>
      </c>
      <c r="W1836" s="297">
        <v>16996</v>
      </c>
      <c r="X1836" s="296">
        <v>-5.0000000000000001E-3</v>
      </c>
    </row>
    <row r="1837" spans="13:24">
      <c r="M1837">
        <v>1835</v>
      </c>
      <c r="N1837">
        <v>46226</v>
      </c>
      <c r="O1837" t="s">
        <v>561</v>
      </c>
      <c r="P1837" t="s">
        <v>144</v>
      </c>
      <c r="Q1837">
        <v>183</v>
      </c>
      <c r="R1837" s="296">
        <v>0</v>
      </c>
      <c r="S1837" s="296">
        <v>0.97450000000000003</v>
      </c>
      <c r="T1837" s="297">
        <v>17287</v>
      </c>
      <c r="U1837" s="340">
        <v>62844</v>
      </c>
      <c r="V1837" s="340">
        <v>218786</v>
      </c>
      <c r="W1837" s="297">
        <v>42633</v>
      </c>
      <c r="X1837" s="296">
        <v>-5.0000000000000001E-3</v>
      </c>
    </row>
    <row r="1838" spans="13:24">
      <c r="M1838">
        <v>1836</v>
      </c>
      <c r="N1838">
        <v>44483</v>
      </c>
      <c r="O1838" t="s">
        <v>781</v>
      </c>
      <c r="P1838" t="s">
        <v>136</v>
      </c>
      <c r="Q1838">
        <v>365</v>
      </c>
      <c r="R1838" s="296">
        <v>0</v>
      </c>
      <c r="S1838" s="296">
        <v>0.97450000000000003</v>
      </c>
      <c r="T1838" s="297">
        <v>10559</v>
      </c>
      <c r="U1838" s="340">
        <v>62704</v>
      </c>
      <c r="V1838" s="340">
        <v>162247</v>
      </c>
      <c r="W1838" s="297">
        <v>23984</v>
      </c>
      <c r="X1838" s="296">
        <v>-6.0000000000000001E-3</v>
      </c>
    </row>
    <row r="1839" spans="13:24">
      <c r="M1839">
        <v>1837</v>
      </c>
      <c r="N1839">
        <v>30297</v>
      </c>
      <c r="O1839" t="s">
        <v>965</v>
      </c>
      <c r="P1839" t="s">
        <v>130</v>
      </c>
      <c r="Q1839">
        <v>618</v>
      </c>
      <c r="R1839" s="296">
        <v>0</v>
      </c>
      <c r="S1839" s="296">
        <v>0.97460000000000002</v>
      </c>
      <c r="T1839" s="297">
        <v>10267</v>
      </c>
      <c r="U1839" s="340">
        <v>62093</v>
      </c>
      <c r="V1839" s="340">
        <v>159031</v>
      </c>
      <c r="W1839" s="297">
        <v>29604</v>
      </c>
      <c r="X1839" s="296">
        <v>-3.0000000000000001E-3</v>
      </c>
    </row>
    <row r="1840" spans="13:24">
      <c r="M1840">
        <v>1838</v>
      </c>
      <c r="N1840">
        <v>46613</v>
      </c>
      <c r="O1840" t="s">
        <v>1212</v>
      </c>
      <c r="P1840" t="s">
        <v>144</v>
      </c>
      <c r="Q1840">
        <v>86</v>
      </c>
      <c r="R1840" s="296">
        <v>0</v>
      </c>
      <c r="S1840" s="296">
        <v>0.97460000000000002</v>
      </c>
      <c r="T1840" s="297">
        <v>3858</v>
      </c>
      <c r="U1840" s="340">
        <v>61945</v>
      </c>
      <c r="V1840" s="340">
        <v>117769</v>
      </c>
      <c r="W1840" s="297">
        <v>10898</v>
      </c>
      <c r="X1840" s="296">
        <v>-4.0000000000000001E-3</v>
      </c>
    </row>
    <row r="1841" spans="13:24">
      <c r="M1841">
        <v>1839</v>
      </c>
      <c r="N1841">
        <v>49202</v>
      </c>
      <c r="O1841" t="s">
        <v>1140</v>
      </c>
      <c r="P1841" t="s">
        <v>140</v>
      </c>
      <c r="Q1841">
        <v>173</v>
      </c>
      <c r="R1841" s="296">
        <v>0</v>
      </c>
      <c r="S1841" s="296">
        <v>0.97460000000000002</v>
      </c>
      <c r="T1841" s="297">
        <v>8848</v>
      </c>
      <c r="U1841" s="340">
        <v>61137</v>
      </c>
      <c r="V1841" s="340">
        <v>159361</v>
      </c>
      <c r="W1841" s="297">
        <v>19676</v>
      </c>
      <c r="X1841" s="296">
        <v>2E-3</v>
      </c>
    </row>
    <row r="1842" spans="13:24">
      <c r="M1842">
        <v>1840</v>
      </c>
      <c r="N1842">
        <v>44430</v>
      </c>
      <c r="O1842" t="s">
        <v>1693</v>
      </c>
      <c r="P1842" t="s">
        <v>136</v>
      </c>
      <c r="Q1842">
        <v>360</v>
      </c>
      <c r="R1842" s="296">
        <v>0</v>
      </c>
      <c r="S1842" s="296">
        <v>0.97460000000000002</v>
      </c>
      <c r="T1842" s="297">
        <v>1420</v>
      </c>
      <c r="U1842" s="340">
        <v>61049</v>
      </c>
      <c r="V1842" s="340">
        <v>148564</v>
      </c>
      <c r="W1842" s="297">
        <v>4969</v>
      </c>
      <c r="X1842" s="296">
        <v>-4.0000000000000001E-3</v>
      </c>
    </row>
    <row r="1843" spans="13:24">
      <c r="M1843">
        <v>1841</v>
      </c>
      <c r="N1843">
        <v>33147</v>
      </c>
      <c r="O1843" t="s">
        <v>293</v>
      </c>
      <c r="P1843" t="s">
        <v>127</v>
      </c>
      <c r="Q1843">
        <v>1205</v>
      </c>
      <c r="R1843" s="296">
        <v>0</v>
      </c>
      <c r="S1843" s="296">
        <v>0.97470000000000001</v>
      </c>
      <c r="T1843" s="297">
        <v>15580</v>
      </c>
      <c r="U1843" s="340">
        <v>60976</v>
      </c>
      <c r="V1843" s="340">
        <v>433422</v>
      </c>
      <c r="W1843" s="297">
        <v>47590</v>
      </c>
      <c r="X1843" s="296">
        <v>-5.0000000000000001E-3</v>
      </c>
    </row>
    <row r="1844" spans="13:24">
      <c r="M1844">
        <v>1842</v>
      </c>
      <c r="N1844">
        <v>46816</v>
      </c>
      <c r="O1844" t="s">
        <v>1078</v>
      </c>
      <c r="P1844" t="s">
        <v>144</v>
      </c>
      <c r="Q1844">
        <v>162</v>
      </c>
      <c r="R1844" s="296">
        <v>0</v>
      </c>
      <c r="S1844" s="296">
        <v>0.97470000000000001</v>
      </c>
      <c r="T1844" s="297">
        <v>7430</v>
      </c>
      <c r="U1844" s="340">
        <v>59941</v>
      </c>
      <c r="V1844" s="340">
        <v>210254</v>
      </c>
      <c r="W1844" s="297">
        <v>19415</v>
      </c>
      <c r="X1844" s="296">
        <v>5.0000000000000001E-3</v>
      </c>
    </row>
    <row r="1845" spans="13:24">
      <c r="M1845">
        <v>1843</v>
      </c>
      <c r="N1845">
        <v>40508</v>
      </c>
      <c r="O1845" t="s">
        <v>405</v>
      </c>
      <c r="P1845" t="s">
        <v>143</v>
      </c>
      <c r="Q1845">
        <v>332</v>
      </c>
      <c r="R1845" s="296">
        <v>0</v>
      </c>
      <c r="S1845" s="296">
        <v>0.97470000000000001</v>
      </c>
      <c r="T1845" s="297">
        <v>9096</v>
      </c>
      <c r="U1845" s="340">
        <v>59770</v>
      </c>
      <c r="V1845" s="340">
        <v>360559</v>
      </c>
      <c r="W1845" s="297">
        <v>23114</v>
      </c>
      <c r="X1845" s="296">
        <v>-6.0000000000000001E-3</v>
      </c>
    </row>
    <row r="1846" spans="13:24">
      <c r="M1846">
        <v>1844</v>
      </c>
      <c r="N1846">
        <v>48223</v>
      </c>
      <c r="O1846" t="s">
        <v>588</v>
      </c>
      <c r="P1846" t="s">
        <v>140</v>
      </c>
      <c r="Q1846">
        <v>233</v>
      </c>
      <c r="R1846" s="296">
        <v>0</v>
      </c>
      <c r="S1846" s="296">
        <v>0.97470000000000001</v>
      </c>
      <c r="T1846" s="297">
        <v>9010</v>
      </c>
      <c r="U1846" s="340">
        <v>59741</v>
      </c>
      <c r="V1846" s="340">
        <v>153231</v>
      </c>
      <c r="W1846" s="297">
        <v>22279</v>
      </c>
      <c r="X1846" s="296">
        <v>-3.0000000000000001E-3</v>
      </c>
    </row>
    <row r="1847" spans="13:24">
      <c r="M1847">
        <v>1845</v>
      </c>
      <c r="N1847">
        <v>72901</v>
      </c>
      <c r="O1847" t="s">
        <v>1694</v>
      </c>
      <c r="P1847" t="s">
        <v>156</v>
      </c>
      <c r="Q1847">
        <v>589</v>
      </c>
      <c r="R1847" s="296">
        <v>0</v>
      </c>
      <c r="S1847" s="296">
        <v>0.9748</v>
      </c>
      <c r="T1847" s="297">
        <v>8913</v>
      </c>
      <c r="U1847" s="340">
        <v>59651</v>
      </c>
      <c r="V1847" s="340">
        <v>175796</v>
      </c>
      <c r="W1847" s="297">
        <v>21189</v>
      </c>
      <c r="X1847" s="296">
        <v>4.0000000000000001E-3</v>
      </c>
    </row>
    <row r="1848" spans="13:24">
      <c r="M1848">
        <v>1846</v>
      </c>
      <c r="N1848">
        <v>32208</v>
      </c>
      <c r="O1848" t="s">
        <v>331</v>
      </c>
      <c r="P1848" t="s">
        <v>127</v>
      </c>
      <c r="Q1848">
        <v>880</v>
      </c>
      <c r="R1848" s="296">
        <v>0</v>
      </c>
      <c r="S1848" s="296">
        <v>0.9748</v>
      </c>
      <c r="T1848" s="297">
        <v>13286</v>
      </c>
      <c r="U1848" s="340">
        <v>59178</v>
      </c>
      <c r="V1848" s="340">
        <v>299679</v>
      </c>
      <c r="W1848" s="297">
        <v>34217</v>
      </c>
      <c r="X1848" s="296">
        <v>1E-3</v>
      </c>
    </row>
    <row r="1849" spans="13:24">
      <c r="M1849">
        <v>1847</v>
      </c>
      <c r="N1849">
        <v>70112</v>
      </c>
      <c r="O1849" t="s">
        <v>574</v>
      </c>
      <c r="P1849" t="s">
        <v>147</v>
      </c>
      <c r="Q1849">
        <v>852</v>
      </c>
      <c r="R1849" s="296">
        <v>0</v>
      </c>
      <c r="S1849" s="296">
        <v>0.9748</v>
      </c>
      <c r="T1849" s="297">
        <v>2883</v>
      </c>
      <c r="U1849" s="340">
        <v>59113</v>
      </c>
      <c r="V1849" s="340">
        <v>562943</v>
      </c>
      <c r="W1849" s="297">
        <v>5106</v>
      </c>
      <c r="X1849" s="296">
        <v>2.1000000000000001E-2</v>
      </c>
    </row>
    <row r="1850" spans="13:24">
      <c r="M1850">
        <v>1848</v>
      </c>
      <c r="N1850">
        <v>48750</v>
      </c>
      <c r="O1850" t="s">
        <v>1695</v>
      </c>
      <c r="P1850" t="s">
        <v>140</v>
      </c>
      <c r="Q1850">
        <v>269</v>
      </c>
      <c r="R1850" s="296">
        <v>0</v>
      </c>
      <c r="S1850" s="296">
        <v>0.9748</v>
      </c>
      <c r="T1850" s="297">
        <v>4175</v>
      </c>
      <c r="U1850" s="340">
        <v>58608</v>
      </c>
      <c r="V1850" s="340">
        <v>169871</v>
      </c>
      <c r="W1850" s="297">
        <v>8940</v>
      </c>
      <c r="X1850" s="296">
        <v>2E-3</v>
      </c>
    </row>
    <row r="1851" spans="13:24">
      <c r="M1851">
        <v>1849</v>
      </c>
      <c r="N1851">
        <v>75241</v>
      </c>
      <c r="O1851" t="s">
        <v>338</v>
      </c>
      <c r="P1851" t="s">
        <v>134</v>
      </c>
      <c r="Q1851">
        <v>819</v>
      </c>
      <c r="R1851" s="296">
        <v>0</v>
      </c>
      <c r="S1851" s="296">
        <v>0.97489999999999999</v>
      </c>
      <c r="T1851" s="297">
        <v>10576</v>
      </c>
      <c r="U1851" s="340">
        <v>57798</v>
      </c>
      <c r="V1851" s="340">
        <v>273167</v>
      </c>
      <c r="W1851" s="297">
        <v>33268</v>
      </c>
      <c r="X1851" s="296">
        <v>-1E-3</v>
      </c>
    </row>
    <row r="1852" spans="13:24">
      <c r="M1852">
        <v>1850</v>
      </c>
      <c r="N1852">
        <v>45402</v>
      </c>
      <c r="O1852" t="s">
        <v>767</v>
      </c>
      <c r="P1852" t="s">
        <v>136</v>
      </c>
      <c r="Q1852">
        <v>249</v>
      </c>
      <c r="R1852" s="296">
        <v>0</v>
      </c>
      <c r="S1852" s="296">
        <v>0.97489999999999999</v>
      </c>
      <c r="T1852" s="297">
        <v>5378</v>
      </c>
      <c r="U1852" s="340">
        <v>57352</v>
      </c>
      <c r="V1852" s="340">
        <v>145076</v>
      </c>
      <c r="W1852" s="297">
        <v>11077</v>
      </c>
      <c r="X1852" s="296">
        <v>7.0000000000000001E-3</v>
      </c>
    </row>
    <row r="1853" spans="13:24">
      <c r="M1853">
        <v>1851</v>
      </c>
      <c r="N1853">
        <v>19601</v>
      </c>
      <c r="O1853" t="s">
        <v>410</v>
      </c>
      <c r="P1853" t="s">
        <v>133</v>
      </c>
      <c r="Q1853">
        <v>628</v>
      </c>
      <c r="R1853" s="296">
        <v>0</v>
      </c>
      <c r="S1853" s="296">
        <v>0.97489999999999999</v>
      </c>
      <c r="T1853" s="297">
        <v>13042</v>
      </c>
      <c r="U1853" s="340">
        <v>56084</v>
      </c>
      <c r="V1853" s="340">
        <v>192295</v>
      </c>
      <c r="W1853" s="297">
        <v>35190</v>
      </c>
      <c r="X1853" s="296">
        <v>-1E-3</v>
      </c>
    </row>
    <row r="1854" spans="13:24">
      <c r="M1854">
        <v>1852</v>
      </c>
      <c r="N1854">
        <v>45219</v>
      </c>
      <c r="O1854" t="s">
        <v>599</v>
      </c>
      <c r="P1854" t="s">
        <v>136</v>
      </c>
      <c r="Q1854">
        <v>270</v>
      </c>
      <c r="R1854" s="296">
        <v>0</v>
      </c>
      <c r="S1854" s="296">
        <v>0.97489999999999999</v>
      </c>
      <c r="T1854" s="297">
        <v>7563</v>
      </c>
      <c r="U1854" s="340">
        <v>55232</v>
      </c>
      <c r="V1854" s="340">
        <v>254969</v>
      </c>
      <c r="W1854" s="297">
        <v>23454</v>
      </c>
      <c r="X1854" s="296">
        <v>1.4E-2</v>
      </c>
    </row>
    <row r="1855" spans="13:24">
      <c r="M1855">
        <v>1853</v>
      </c>
      <c r="N1855">
        <v>43210</v>
      </c>
      <c r="O1855" t="s">
        <v>468</v>
      </c>
      <c r="P1855" t="s">
        <v>136</v>
      </c>
      <c r="Q1855">
        <v>289</v>
      </c>
      <c r="R1855" s="296">
        <v>0</v>
      </c>
      <c r="S1855" s="296">
        <v>0.97499999999999998</v>
      </c>
      <c r="T1855">
        <v>695</v>
      </c>
      <c r="U1855" s="340">
        <v>54259</v>
      </c>
      <c r="V1855" s="340">
        <v>302985</v>
      </c>
      <c r="W1855" s="297">
        <v>14258</v>
      </c>
      <c r="X1855" s="296">
        <v>-7.0000000000000001E-3</v>
      </c>
    </row>
    <row r="1856" spans="13:24">
      <c r="M1856">
        <v>1854</v>
      </c>
      <c r="N1856">
        <v>55450</v>
      </c>
      <c r="O1856" t="s">
        <v>576</v>
      </c>
      <c r="P1856" t="s">
        <v>151</v>
      </c>
      <c r="Q1856">
        <v>331</v>
      </c>
      <c r="R1856" s="296">
        <v>0</v>
      </c>
      <c r="S1856" s="296">
        <v>0.97499999999999998</v>
      </c>
      <c r="T1856">
        <v>9</v>
      </c>
      <c r="U1856" s="340">
        <v>53076</v>
      </c>
      <c r="V1856" s="340">
        <v>0</v>
      </c>
      <c r="W1856">
        <v>44</v>
      </c>
      <c r="X1856" s="296">
        <v>0</v>
      </c>
    </row>
    <row r="1857" spans="13:24">
      <c r="M1857">
        <v>1855</v>
      </c>
      <c r="N1857">
        <v>10453</v>
      </c>
      <c r="O1857" t="s">
        <v>518</v>
      </c>
      <c r="P1857" t="s">
        <v>128</v>
      </c>
      <c r="Q1857">
        <v>723</v>
      </c>
      <c r="R1857" s="296">
        <v>0</v>
      </c>
      <c r="S1857" s="296">
        <v>0.97499999999999998</v>
      </c>
      <c r="T1857" s="297">
        <v>26885</v>
      </c>
      <c r="U1857" s="340">
        <v>52845</v>
      </c>
      <c r="V1857" s="340">
        <v>758675</v>
      </c>
      <c r="W1857" s="297">
        <v>76933</v>
      </c>
      <c r="X1857" s="296">
        <v>-1.2999999999999999E-2</v>
      </c>
    </row>
    <row r="1858" spans="13:24">
      <c r="M1858">
        <v>1856</v>
      </c>
      <c r="N1858">
        <v>44302</v>
      </c>
      <c r="O1858" t="s">
        <v>844</v>
      </c>
      <c r="P1858" t="s">
        <v>136</v>
      </c>
      <c r="Q1858">
        <v>331</v>
      </c>
      <c r="R1858" s="296">
        <v>0</v>
      </c>
      <c r="S1858" s="296">
        <v>0.97499999999999998</v>
      </c>
      <c r="T1858" s="297">
        <v>2675</v>
      </c>
      <c r="U1858" s="340">
        <v>51599</v>
      </c>
      <c r="V1858" s="340">
        <v>157447</v>
      </c>
      <c r="W1858" s="297">
        <v>5143</v>
      </c>
      <c r="X1858" s="296">
        <v>4.0000000000000001E-3</v>
      </c>
    </row>
    <row r="1859" spans="13:24">
      <c r="M1859">
        <v>1857</v>
      </c>
      <c r="N1859">
        <v>46803</v>
      </c>
      <c r="O1859" t="s">
        <v>1078</v>
      </c>
      <c r="P1859" t="s">
        <v>144</v>
      </c>
      <c r="Q1859">
        <v>157</v>
      </c>
      <c r="R1859" s="296">
        <v>0</v>
      </c>
      <c r="S1859" s="296">
        <v>0.97509999999999997</v>
      </c>
      <c r="T1859" s="297">
        <v>3902</v>
      </c>
      <c r="U1859" s="340">
        <v>50591</v>
      </c>
      <c r="V1859" s="340">
        <v>146697</v>
      </c>
      <c r="W1859" s="297">
        <v>10099</v>
      </c>
      <c r="X1859" s="296">
        <v>8.0000000000000002E-3</v>
      </c>
    </row>
    <row r="1860" spans="13:24">
      <c r="M1860">
        <v>1858</v>
      </c>
      <c r="N1860">
        <v>46601</v>
      </c>
      <c r="O1860" t="s">
        <v>1212</v>
      </c>
      <c r="P1860" t="s">
        <v>144</v>
      </c>
      <c r="Q1860">
        <v>86</v>
      </c>
      <c r="R1860" s="296">
        <v>0</v>
      </c>
      <c r="S1860" s="296">
        <v>0.97509999999999997</v>
      </c>
      <c r="T1860" s="297">
        <v>2351</v>
      </c>
      <c r="U1860" s="340">
        <v>50317</v>
      </c>
      <c r="V1860" s="340">
        <v>170189</v>
      </c>
      <c r="W1860" s="297">
        <v>5450</v>
      </c>
      <c r="X1860" s="296">
        <v>-7.0000000000000001E-3</v>
      </c>
    </row>
    <row r="1861" spans="13:24">
      <c r="M1861">
        <v>1859</v>
      </c>
      <c r="N1861">
        <v>20742</v>
      </c>
      <c r="O1861" t="s">
        <v>726</v>
      </c>
      <c r="P1861" t="s">
        <v>137</v>
      </c>
      <c r="Q1861">
        <v>609</v>
      </c>
      <c r="R1861" s="296">
        <v>0</v>
      </c>
      <c r="S1861" s="296">
        <v>0.97509999999999997</v>
      </c>
      <c r="T1861">
        <v>235</v>
      </c>
      <c r="U1861" s="340">
        <v>49326</v>
      </c>
      <c r="V1861" s="340">
        <v>513462</v>
      </c>
      <c r="W1861" s="297">
        <v>8598</v>
      </c>
      <c r="X1861" s="296">
        <v>1E-3</v>
      </c>
    </row>
    <row r="1862" spans="13:24">
      <c r="M1862">
        <v>1860</v>
      </c>
      <c r="N1862">
        <v>14621</v>
      </c>
      <c r="O1862" t="s">
        <v>476</v>
      </c>
      <c r="P1862" t="s">
        <v>128</v>
      </c>
      <c r="Q1862">
        <v>522</v>
      </c>
      <c r="R1862" s="296">
        <v>0</v>
      </c>
      <c r="S1862" s="296">
        <v>0.97509999999999997</v>
      </c>
      <c r="T1862" s="297">
        <v>12553</v>
      </c>
      <c r="U1862" s="340">
        <v>49225</v>
      </c>
      <c r="V1862" s="340">
        <v>182135</v>
      </c>
      <c r="W1862" s="297">
        <v>31072</v>
      </c>
      <c r="X1862" s="296">
        <v>-5.0000000000000001E-3</v>
      </c>
    </row>
    <row r="1863" spans="13:24">
      <c r="M1863">
        <v>1861</v>
      </c>
      <c r="N1863">
        <v>46218</v>
      </c>
      <c r="O1863" t="s">
        <v>561</v>
      </c>
      <c r="P1863" t="s">
        <v>144</v>
      </c>
      <c r="Q1863">
        <v>184</v>
      </c>
      <c r="R1863" s="296">
        <v>0</v>
      </c>
      <c r="S1863" s="296">
        <v>0.97519999999999996</v>
      </c>
      <c r="T1863" s="297">
        <v>12584</v>
      </c>
      <c r="U1863" s="340">
        <v>49166</v>
      </c>
      <c r="V1863" s="340">
        <v>159786</v>
      </c>
      <c r="W1863" s="297">
        <v>31247</v>
      </c>
      <c r="X1863" s="296">
        <v>2E-3</v>
      </c>
    </row>
    <row r="1864" spans="13:24">
      <c r="M1864">
        <v>1862</v>
      </c>
      <c r="N1864">
        <v>48342</v>
      </c>
      <c r="O1864" t="s">
        <v>1696</v>
      </c>
      <c r="P1864" t="s">
        <v>140</v>
      </c>
      <c r="Q1864">
        <v>233</v>
      </c>
      <c r="R1864" s="296">
        <v>0</v>
      </c>
      <c r="S1864" s="296">
        <v>0.97519999999999996</v>
      </c>
      <c r="T1864" s="297">
        <v>7399</v>
      </c>
      <c r="U1864" s="340">
        <v>48708</v>
      </c>
      <c r="V1864" s="340">
        <v>149556</v>
      </c>
      <c r="W1864" s="297">
        <v>19251</v>
      </c>
      <c r="X1864" s="296">
        <v>4.0000000000000001E-3</v>
      </c>
    </row>
    <row r="1865" spans="13:24">
      <c r="M1865">
        <v>1863</v>
      </c>
      <c r="N1865">
        <v>48227</v>
      </c>
      <c r="O1865" t="s">
        <v>588</v>
      </c>
      <c r="P1865" t="s">
        <v>140</v>
      </c>
      <c r="Q1865">
        <v>236</v>
      </c>
      <c r="R1865" s="296">
        <v>0</v>
      </c>
      <c r="S1865" s="296">
        <v>0.97519999999999996</v>
      </c>
      <c r="T1865" s="297">
        <v>15586</v>
      </c>
      <c r="U1865" s="340">
        <v>48418</v>
      </c>
      <c r="V1865" s="340">
        <v>134859</v>
      </c>
      <c r="W1865" s="297">
        <v>39767</v>
      </c>
      <c r="X1865" s="296">
        <v>-4.0000000000000001E-3</v>
      </c>
    </row>
    <row r="1866" spans="13:24">
      <c r="M1866">
        <v>1864</v>
      </c>
      <c r="N1866">
        <v>46409</v>
      </c>
      <c r="O1866" t="s">
        <v>1105</v>
      </c>
      <c r="P1866" t="s">
        <v>144</v>
      </c>
      <c r="Q1866">
        <v>48</v>
      </c>
      <c r="R1866" s="296">
        <v>0</v>
      </c>
      <c r="S1866" s="296">
        <v>0.97519999999999996</v>
      </c>
      <c r="T1866" s="297">
        <v>2602</v>
      </c>
      <c r="U1866" s="340">
        <v>48282</v>
      </c>
      <c r="V1866" s="340">
        <v>153173</v>
      </c>
      <c r="W1866" s="297">
        <v>6932</v>
      </c>
      <c r="X1866" s="296">
        <v>-2E-3</v>
      </c>
    </row>
    <row r="1867" spans="13:24">
      <c r="M1867">
        <v>1865</v>
      </c>
      <c r="N1867">
        <v>40211</v>
      </c>
      <c r="O1867" t="s">
        <v>830</v>
      </c>
      <c r="P1867" t="s">
        <v>143</v>
      </c>
      <c r="Q1867">
        <v>289</v>
      </c>
      <c r="R1867" s="296">
        <v>0</v>
      </c>
      <c r="S1867" s="296">
        <v>0.97529999999999994</v>
      </c>
      <c r="T1867" s="297">
        <v>8736</v>
      </c>
      <c r="U1867" s="340">
        <v>46995</v>
      </c>
      <c r="V1867" s="340">
        <v>219952</v>
      </c>
      <c r="W1867" s="297">
        <v>21603</v>
      </c>
      <c r="X1867" s="296">
        <v>-2E-3</v>
      </c>
    </row>
    <row r="1868" spans="13:24">
      <c r="M1868">
        <v>1866</v>
      </c>
      <c r="N1868">
        <v>40212</v>
      </c>
      <c r="O1868" t="s">
        <v>830</v>
      </c>
      <c r="P1868" t="s">
        <v>143</v>
      </c>
      <c r="Q1868">
        <v>288</v>
      </c>
      <c r="R1868" s="296">
        <v>0</v>
      </c>
      <c r="S1868" s="296">
        <v>0.97529999999999994</v>
      </c>
      <c r="T1868" s="297">
        <v>6473</v>
      </c>
      <c r="U1868" s="340">
        <v>46180</v>
      </c>
      <c r="V1868" s="340">
        <v>186878</v>
      </c>
      <c r="W1868" s="297">
        <v>16205</v>
      </c>
      <c r="X1868" s="296">
        <v>4.0000000000000001E-3</v>
      </c>
    </row>
    <row r="1869" spans="13:24">
      <c r="M1869">
        <v>1867</v>
      </c>
      <c r="N1869">
        <v>62204</v>
      </c>
      <c r="O1869" t="s">
        <v>1697</v>
      </c>
      <c r="P1869" t="s">
        <v>131</v>
      </c>
      <c r="Q1869">
        <v>272</v>
      </c>
      <c r="R1869" s="296">
        <v>0</v>
      </c>
      <c r="S1869" s="296">
        <v>0.97529999999999994</v>
      </c>
      <c r="T1869" s="297">
        <v>1770</v>
      </c>
      <c r="U1869" s="340">
        <v>42286</v>
      </c>
      <c r="V1869" s="340">
        <v>105831</v>
      </c>
      <c r="W1869" s="297">
        <v>4183</v>
      </c>
      <c r="X1869" s="296">
        <v>-1.6E-2</v>
      </c>
    </row>
    <row r="1870" spans="13:24">
      <c r="M1870">
        <v>1868</v>
      </c>
      <c r="N1870">
        <v>47807</v>
      </c>
      <c r="O1870" t="s">
        <v>1656</v>
      </c>
      <c r="P1870" t="s">
        <v>144</v>
      </c>
      <c r="Q1870">
        <v>186</v>
      </c>
      <c r="R1870" s="296">
        <v>0</v>
      </c>
      <c r="S1870" s="296">
        <v>0.97529999999999994</v>
      </c>
      <c r="T1870" s="297">
        <v>4868</v>
      </c>
      <c r="U1870" s="340">
        <v>36401</v>
      </c>
      <c r="V1870" s="340">
        <v>107582</v>
      </c>
      <c r="W1870" s="297">
        <v>12266</v>
      </c>
      <c r="X1870" s="296">
        <v>5.0000000000000001E-3</v>
      </c>
    </row>
    <row r="1871" spans="13:24">
      <c r="M1871">
        <v>1869</v>
      </c>
      <c r="N1871">
        <v>784</v>
      </c>
      <c r="O1871" t="s">
        <v>1698</v>
      </c>
      <c r="P1871" t="s">
        <v>210</v>
      </c>
      <c r="Q1871">
        <v>2098</v>
      </c>
      <c r="R1871" s="296">
        <v>0</v>
      </c>
      <c r="S1871" s="296">
        <v>0.97540000000000004</v>
      </c>
      <c r="T1871" s="297">
        <v>14590</v>
      </c>
      <c r="U1871" s="340">
        <v>25237</v>
      </c>
      <c r="V1871" t="s">
        <v>307</v>
      </c>
      <c r="W1871" s="297">
        <v>41087</v>
      </c>
      <c r="X1871" s="296">
        <v>0</v>
      </c>
    </row>
    <row r="1872" spans="13:24">
      <c r="M1872">
        <v>1870</v>
      </c>
      <c r="N1872">
        <v>22039</v>
      </c>
      <c r="O1872" t="s">
        <v>1699</v>
      </c>
      <c r="P1872" t="s">
        <v>139</v>
      </c>
      <c r="Q1872">
        <v>598</v>
      </c>
      <c r="R1872" s="296">
        <v>0</v>
      </c>
      <c r="S1872" s="296">
        <v>0.97540000000000004</v>
      </c>
      <c r="T1872" s="297">
        <v>5801</v>
      </c>
      <c r="U1872" s="340">
        <v>323466</v>
      </c>
      <c r="V1872" s="340">
        <v>1019112</v>
      </c>
      <c r="W1872" s="297">
        <v>17807</v>
      </c>
      <c r="X1872" s="296">
        <v>-5.0000000000000001E-3</v>
      </c>
    </row>
    <row r="1873" spans="13:24">
      <c r="M1873">
        <v>1871</v>
      </c>
      <c r="N1873">
        <v>2420</v>
      </c>
      <c r="O1873" t="s">
        <v>405</v>
      </c>
      <c r="P1873" t="s">
        <v>135</v>
      </c>
      <c r="Q1873">
        <v>846</v>
      </c>
      <c r="R1873" s="296">
        <v>0</v>
      </c>
      <c r="S1873" s="296">
        <v>0.97540000000000004</v>
      </c>
      <c r="T1873" s="297">
        <v>5095</v>
      </c>
      <c r="U1873" s="340">
        <v>298414</v>
      </c>
      <c r="V1873" s="340">
        <v>1305589</v>
      </c>
      <c r="W1873" s="297">
        <v>15318</v>
      </c>
      <c r="X1873" s="296">
        <v>3.0000000000000001E-3</v>
      </c>
    </row>
    <row r="1874" spans="13:24">
      <c r="M1874">
        <v>1872</v>
      </c>
      <c r="N1874">
        <v>6853</v>
      </c>
      <c r="O1874" t="s">
        <v>543</v>
      </c>
      <c r="P1874" t="s">
        <v>141</v>
      </c>
      <c r="Q1874">
        <v>744</v>
      </c>
      <c r="R1874" s="296">
        <v>0</v>
      </c>
      <c r="S1874" s="296">
        <v>0.97540000000000004</v>
      </c>
      <c r="T1874" s="297">
        <v>1344</v>
      </c>
      <c r="U1874" s="340">
        <v>293737</v>
      </c>
      <c r="V1874" s="340">
        <v>1407225</v>
      </c>
      <c r="W1874" s="297">
        <v>3574</v>
      </c>
      <c r="X1874" s="296">
        <v>-3.0000000000000001E-3</v>
      </c>
    </row>
    <row r="1875" spans="13:24">
      <c r="M1875">
        <v>1873</v>
      </c>
      <c r="N1875">
        <v>94539</v>
      </c>
      <c r="O1875" t="s">
        <v>292</v>
      </c>
      <c r="P1875" t="s">
        <v>132</v>
      </c>
      <c r="Q1875">
        <v>1826</v>
      </c>
      <c r="R1875" s="296">
        <v>0</v>
      </c>
      <c r="S1875" s="296">
        <v>0.97540000000000004</v>
      </c>
      <c r="T1875" s="297">
        <v>17003</v>
      </c>
      <c r="U1875" s="340">
        <v>282530</v>
      </c>
      <c r="V1875" s="340">
        <v>1760054</v>
      </c>
      <c r="W1875" s="297">
        <v>55491</v>
      </c>
      <c r="X1875" s="296">
        <v>6.0000000000000001E-3</v>
      </c>
    </row>
    <row r="1876" spans="13:24">
      <c r="M1876">
        <v>1874</v>
      </c>
      <c r="N1876">
        <v>98075</v>
      </c>
      <c r="O1876" t="s">
        <v>1700</v>
      </c>
      <c r="P1876" t="s">
        <v>224</v>
      </c>
      <c r="Q1876">
        <v>1704</v>
      </c>
      <c r="R1876" s="296">
        <v>0</v>
      </c>
      <c r="S1876" s="296">
        <v>0.97540000000000004</v>
      </c>
      <c r="T1876" s="297">
        <v>8203</v>
      </c>
      <c r="U1876" s="340">
        <v>282497</v>
      </c>
      <c r="V1876" s="340">
        <v>1479161</v>
      </c>
      <c r="W1876" s="297">
        <v>26124</v>
      </c>
      <c r="X1876" s="296">
        <v>5.0000000000000001E-3</v>
      </c>
    </row>
    <row r="1877" spans="13:24">
      <c r="M1877">
        <v>1875</v>
      </c>
      <c r="N1877">
        <v>7677</v>
      </c>
      <c r="O1877" t="s">
        <v>1701</v>
      </c>
      <c r="P1877" t="s">
        <v>129</v>
      </c>
      <c r="Q1877">
        <v>713</v>
      </c>
      <c r="R1877" s="296">
        <v>0</v>
      </c>
      <c r="S1877" s="296">
        <v>0.97540000000000004</v>
      </c>
      <c r="T1877" s="297">
        <v>2056</v>
      </c>
      <c r="U1877" s="340">
        <v>282047</v>
      </c>
      <c r="V1877" s="340">
        <v>964726</v>
      </c>
      <c r="W1877" s="297">
        <v>5904</v>
      </c>
      <c r="X1877" s="296">
        <v>-4.0000000000000001E-3</v>
      </c>
    </row>
    <row r="1878" spans="13:24">
      <c r="M1878">
        <v>1876</v>
      </c>
      <c r="N1878">
        <v>92657</v>
      </c>
      <c r="O1878" t="s">
        <v>1702</v>
      </c>
      <c r="P1878" t="s">
        <v>132</v>
      </c>
      <c r="Q1878">
        <v>1731</v>
      </c>
      <c r="R1878" s="296">
        <v>0</v>
      </c>
      <c r="S1878" s="296">
        <v>0.97550000000000003</v>
      </c>
      <c r="T1878" s="297">
        <v>3771</v>
      </c>
      <c r="U1878" s="340">
        <v>276024</v>
      </c>
      <c r="V1878" s="340">
        <v>1933731</v>
      </c>
      <c r="W1878" s="297">
        <v>9500</v>
      </c>
      <c r="X1878" s="296">
        <v>-7.0000000000000001E-3</v>
      </c>
    </row>
    <row r="1879" spans="13:24">
      <c r="M1879">
        <v>1877</v>
      </c>
      <c r="N1879">
        <v>2459</v>
      </c>
      <c r="O1879" t="s">
        <v>382</v>
      </c>
      <c r="P1879" t="s">
        <v>135</v>
      </c>
      <c r="Q1879">
        <v>848</v>
      </c>
      <c r="R1879" s="296">
        <v>0</v>
      </c>
      <c r="S1879" s="296">
        <v>0.97550000000000003</v>
      </c>
      <c r="T1879" s="297">
        <v>6907</v>
      </c>
      <c r="U1879" s="340">
        <v>275697</v>
      </c>
      <c r="V1879" s="340">
        <v>1411572</v>
      </c>
      <c r="W1879" s="297">
        <v>19168</v>
      </c>
      <c r="X1879" s="296">
        <v>-3.0000000000000001E-3</v>
      </c>
    </row>
    <row r="1880" spans="13:24">
      <c r="M1880">
        <v>1878</v>
      </c>
      <c r="N1880">
        <v>1890</v>
      </c>
      <c r="O1880" t="s">
        <v>377</v>
      </c>
      <c r="P1880" t="s">
        <v>135</v>
      </c>
      <c r="Q1880">
        <v>850</v>
      </c>
      <c r="R1880" s="296">
        <v>0</v>
      </c>
      <c r="S1880" s="296">
        <v>0.97550000000000003</v>
      </c>
      <c r="T1880" s="297">
        <v>7794</v>
      </c>
      <c r="U1880" s="340">
        <v>274475</v>
      </c>
      <c r="V1880" s="340">
        <v>1295478</v>
      </c>
      <c r="W1880" s="297">
        <v>23217</v>
      </c>
      <c r="X1880" s="296">
        <v>1E-3</v>
      </c>
    </row>
    <row r="1881" spans="13:24">
      <c r="M1881">
        <v>1879</v>
      </c>
      <c r="N1881">
        <v>98040</v>
      </c>
      <c r="O1881" t="s">
        <v>1703</v>
      </c>
      <c r="P1881" t="s">
        <v>224</v>
      </c>
      <c r="Q1881">
        <v>1713</v>
      </c>
      <c r="R1881" s="296">
        <v>0</v>
      </c>
      <c r="S1881" s="296">
        <v>0.97550000000000003</v>
      </c>
      <c r="T1881" s="297">
        <v>9869</v>
      </c>
      <c r="U1881" s="340">
        <v>273745</v>
      </c>
      <c r="V1881" s="340">
        <v>1728913</v>
      </c>
      <c r="W1881" s="297">
        <v>25840</v>
      </c>
      <c r="X1881" s="296">
        <v>1E-3</v>
      </c>
    </row>
    <row r="1882" spans="13:24">
      <c r="M1882">
        <v>1880</v>
      </c>
      <c r="N1882">
        <v>90274</v>
      </c>
      <c r="O1882" t="s">
        <v>1704</v>
      </c>
      <c r="P1882" t="s">
        <v>132</v>
      </c>
      <c r="Q1882">
        <v>1753</v>
      </c>
      <c r="R1882" s="296">
        <v>0</v>
      </c>
      <c r="S1882" s="296">
        <v>0.97550000000000003</v>
      </c>
      <c r="T1882" s="297">
        <v>9731</v>
      </c>
      <c r="U1882" s="340">
        <v>273144</v>
      </c>
      <c r="V1882" s="340">
        <v>1810794</v>
      </c>
      <c r="W1882" s="297">
        <v>25124</v>
      </c>
      <c r="X1882" s="296">
        <v>-6.0000000000000001E-3</v>
      </c>
    </row>
    <row r="1883" spans="13:24">
      <c r="M1883">
        <v>1881</v>
      </c>
      <c r="N1883">
        <v>7924</v>
      </c>
      <c r="O1883" t="s">
        <v>1705</v>
      </c>
      <c r="P1883" t="s">
        <v>129</v>
      </c>
      <c r="Q1883">
        <v>691</v>
      </c>
      <c r="R1883" s="296">
        <v>0</v>
      </c>
      <c r="S1883" s="296">
        <v>0.97550000000000003</v>
      </c>
      <c r="T1883" s="297">
        <v>2753</v>
      </c>
      <c r="U1883" s="340">
        <v>266538</v>
      </c>
      <c r="V1883" s="340">
        <v>953539</v>
      </c>
      <c r="W1883" s="297">
        <v>7731</v>
      </c>
      <c r="X1883" s="296">
        <v>2E-3</v>
      </c>
    </row>
    <row r="1884" spans="13:24">
      <c r="M1884">
        <v>1882</v>
      </c>
      <c r="N1884">
        <v>94925</v>
      </c>
      <c r="O1884" t="s">
        <v>1706</v>
      </c>
      <c r="P1884" t="s">
        <v>132</v>
      </c>
      <c r="Q1884">
        <v>1847</v>
      </c>
      <c r="R1884" s="296">
        <v>0</v>
      </c>
      <c r="S1884" s="296">
        <v>0.97550000000000003</v>
      </c>
      <c r="T1884" s="297">
        <v>4033</v>
      </c>
      <c r="U1884" s="340">
        <v>264031</v>
      </c>
      <c r="V1884" s="340">
        <v>1680953</v>
      </c>
      <c r="W1884" s="297">
        <v>10283</v>
      </c>
      <c r="X1884" s="296">
        <v>-6.0000000000000001E-3</v>
      </c>
    </row>
    <row r="1885" spans="13:24">
      <c r="M1885">
        <v>1883</v>
      </c>
      <c r="N1885">
        <v>94087</v>
      </c>
      <c r="O1885" t="s">
        <v>291</v>
      </c>
      <c r="P1885" t="s">
        <v>132</v>
      </c>
      <c r="Q1885">
        <v>1837</v>
      </c>
      <c r="R1885" s="296">
        <v>0</v>
      </c>
      <c r="S1885" s="296">
        <v>0.97550000000000003</v>
      </c>
      <c r="T1885" s="297">
        <v>19254</v>
      </c>
      <c r="U1885" s="340">
        <v>263299</v>
      </c>
      <c r="V1885" s="340">
        <v>1854392</v>
      </c>
      <c r="W1885" s="297">
        <v>55510</v>
      </c>
      <c r="X1885" s="296">
        <v>-3.0000000000000001E-3</v>
      </c>
    </row>
    <row r="1886" spans="13:24">
      <c r="M1886">
        <v>1884</v>
      </c>
      <c r="N1886">
        <v>98006</v>
      </c>
      <c r="O1886" t="s">
        <v>1603</v>
      </c>
      <c r="P1886" t="s">
        <v>224</v>
      </c>
      <c r="Q1886">
        <v>1709</v>
      </c>
      <c r="R1886" s="296">
        <v>0</v>
      </c>
      <c r="S1886" s="296">
        <v>0.97560000000000002</v>
      </c>
      <c r="T1886" s="297">
        <v>14144</v>
      </c>
      <c r="U1886" s="340">
        <v>258751</v>
      </c>
      <c r="V1886" s="340">
        <v>1427533</v>
      </c>
      <c r="W1886" s="297">
        <v>40939</v>
      </c>
      <c r="X1886" s="296">
        <v>1E-3</v>
      </c>
    </row>
    <row r="1887" spans="13:24">
      <c r="M1887">
        <v>1885</v>
      </c>
      <c r="N1887">
        <v>78739</v>
      </c>
      <c r="O1887" t="s">
        <v>416</v>
      </c>
      <c r="P1887" t="s">
        <v>134</v>
      </c>
      <c r="Q1887">
        <v>999</v>
      </c>
      <c r="R1887" s="296">
        <v>0</v>
      </c>
      <c r="S1887" s="296">
        <v>0.97560000000000002</v>
      </c>
      <c r="T1887" s="297">
        <v>6801</v>
      </c>
      <c r="U1887" s="340">
        <v>256670</v>
      </c>
      <c r="V1887" s="340">
        <v>723673</v>
      </c>
      <c r="W1887" s="297">
        <v>21512</v>
      </c>
      <c r="X1887" s="296">
        <v>-4.0000000000000001E-3</v>
      </c>
    </row>
    <row r="1888" spans="13:24">
      <c r="M1888">
        <v>1886</v>
      </c>
      <c r="N1888">
        <v>7974</v>
      </c>
      <c r="O1888" t="s">
        <v>1707</v>
      </c>
      <c r="P1888" t="s">
        <v>129</v>
      </c>
      <c r="Q1888">
        <v>700</v>
      </c>
      <c r="R1888" s="296">
        <v>0</v>
      </c>
      <c r="S1888" s="296">
        <v>0.97560000000000002</v>
      </c>
      <c r="T1888" s="297">
        <v>5007</v>
      </c>
      <c r="U1888" s="340">
        <v>252031</v>
      </c>
      <c r="V1888" s="340">
        <v>757788</v>
      </c>
      <c r="W1888" s="297">
        <v>13645</v>
      </c>
      <c r="X1888" s="296">
        <v>1E-3</v>
      </c>
    </row>
    <row r="1889" spans="13:24">
      <c r="M1889">
        <v>1887</v>
      </c>
      <c r="N1889">
        <v>7076</v>
      </c>
      <c r="O1889" t="s">
        <v>1708</v>
      </c>
      <c r="P1889" t="s">
        <v>129</v>
      </c>
      <c r="Q1889">
        <v>702</v>
      </c>
      <c r="R1889" s="296">
        <v>0</v>
      </c>
      <c r="S1889" s="296">
        <v>0.97560000000000002</v>
      </c>
      <c r="T1889" s="297">
        <v>8810</v>
      </c>
      <c r="U1889" s="340">
        <v>250096</v>
      </c>
      <c r="V1889" s="340">
        <v>746679</v>
      </c>
      <c r="W1889" s="297">
        <v>25074</v>
      </c>
      <c r="X1889" s="296">
        <v>0</v>
      </c>
    </row>
    <row r="1890" spans="13:24">
      <c r="M1890">
        <v>1888</v>
      </c>
      <c r="N1890">
        <v>11753</v>
      </c>
      <c r="O1890" t="s">
        <v>1709</v>
      </c>
      <c r="P1890" t="s">
        <v>128</v>
      </c>
      <c r="Q1890">
        <v>743</v>
      </c>
      <c r="R1890" s="296">
        <v>0</v>
      </c>
      <c r="S1890" s="296">
        <v>0.97560000000000002</v>
      </c>
      <c r="T1890" s="297">
        <v>4264</v>
      </c>
      <c r="U1890" s="340">
        <v>248236</v>
      </c>
      <c r="V1890" s="340">
        <v>1000222</v>
      </c>
      <c r="W1890" s="297">
        <v>13720</v>
      </c>
      <c r="X1890" s="296">
        <v>0.01</v>
      </c>
    </row>
    <row r="1891" spans="13:24">
      <c r="M1891">
        <v>1889</v>
      </c>
      <c r="N1891">
        <v>92603</v>
      </c>
      <c r="O1891" t="s">
        <v>305</v>
      </c>
      <c r="P1891" t="s">
        <v>132</v>
      </c>
      <c r="Q1891">
        <v>1728</v>
      </c>
      <c r="R1891" s="296">
        <v>0</v>
      </c>
      <c r="S1891" s="296">
        <v>0.97560000000000002</v>
      </c>
      <c r="T1891" s="297">
        <v>7641</v>
      </c>
      <c r="U1891" s="340">
        <v>245051</v>
      </c>
      <c r="V1891" s="340">
        <v>1738197</v>
      </c>
      <c r="W1891" s="297">
        <v>20744</v>
      </c>
      <c r="X1891" s="296">
        <v>-1E-3</v>
      </c>
    </row>
    <row r="1892" spans="13:24">
      <c r="M1892">
        <v>1890</v>
      </c>
      <c r="N1892">
        <v>90265</v>
      </c>
      <c r="O1892" t="s">
        <v>1710</v>
      </c>
      <c r="P1892" t="s">
        <v>132</v>
      </c>
      <c r="Q1892">
        <v>1762</v>
      </c>
      <c r="R1892" s="296">
        <v>0</v>
      </c>
      <c r="S1892" s="296">
        <v>0.97560000000000002</v>
      </c>
      <c r="T1892" s="297">
        <v>6211</v>
      </c>
      <c r="U1892" s="340">
        <v>244806</v>
      </c>
      <c r="V1892" s="340">
        <v>1915172</v>
      </c>
      <c r="W1892" s="297">
        <v>14867</v>
      </c>
      <c r="X1892" s="296">
        <v>-7.0000000000000001E-3</v>
      </c>
    </row>
    <row r="1893" spans="13:24">
      <c r="M1893">
        <v>1891</v>
      </c>
      <c r="N1893">
        <v>78738</v>
      </c>
      <c r="O1893" t="s">
        <v>416</v>
      </c>
      <c r="P1893" t="s">
        <v>134</v>
      </c>
      <c r="Q1893">
        <v>995</v>
      </c>
      <c r="R1893" s="296">
        <v>0</v>
      </c>
      <c r="S1893" s="296">
        <v>0.97560000000000002</v>
      </c>
      <c r="T1893" s="297">
        <v>12194</v>
      </c>
      <c r="U1893" s="340">
        <v>243987</v>
      </c>
      <c r="V1893" s="340">
        <v>989057</v>
      </c>
      <c r="W1893" s="297">
        <v>33750</v>
      </c>
      <c r="X1893" s="296">
        <v>4.1000000000000002E-2</v>
      </c>
    </row>
    <row r="1894" spans="13:24">
      <c r="M1894">
        <v>1892</v>
      </c>
      <c r="N1894">
        <v>66221</v>
      </c>
      <c r="O1894" t="s">
        <v>593</v>
      </c>
      <c r="P1894" t="s">
        <v>176</v>
      </c>
      <c r="Q1894">
        <v>428</v>
      </c>
      <c r="R1894" s="296">
        <v>0</v>
      </c>
      <c r="S1894" s="296">
        <v>0.97560000000000002</v>
      </c>
      <c r="T1894" s="297">
        <v>8332</v>
      </c>
      <c r="U1894" s="340">
        <v>243977</v>
      </c>
      <c r="V1894" s="340">
        <v>674112</v>
      </c>
      <c r="W1894" s="297">
        <v>25993</v>
      </c>
      <c r="X1894" s="296">
        <v>8.0000000000000002E-3</v>
      </c>
    </row>
    <row r="1895" spans="13:24">
      <c r="M1895">
        <v>1893</v>
      </c>
      <c r="N1895">
        <v>75205</v>
      </c>
      <c r="O1895" t="s">
        <v>338</v>
      </c>
      <c r="P1895" t="s">
        <v>134</v>
      </c>
      <c r="Q1895">
        <v>810</v>
      </c>
      <c r="R1895" s="296">
        <v>0</v>
      </c>
      <c r="S1895" s="296">
        <v>0.97570000000000001</v>
      </c>
      <c r="T1895" s="297">
        <v>10648</v>
      </c>
      <c r="U1895" s="340">
        <v>243390</v>
      </c>
      <c r="V1895" s="340">
        <v>1391846</v>
      </c>
      <c r="W1895" s="297">
        <v>28047</v>
      </c>
      <c r="X1895" s="296">
        <v>1.6E-2</v>
      </c>
    </row>
    <row r="1896" spans="13:24">
      <c r="M1896">
        <v>1894</v>
      </c>
      <c r="N1896">
        <v>7920</v>
      </c>
      <c r="O1896" t="s">
        <v>1711</v>
      </c>
      <c r="P1896" t="s">
        <v>129</v>
      </c>
      <c r="Q1896">
        <v>692</v>
      </c>
      <c r="R1896" s="296">
        <v>0</v>
      </c>
      <c r="S1896" s="296">
        <v>0.97570000000000001</v>
      </c>
      <c r="T1896" s="297">
        <v>10761</v>
      </c>
      <c r="U1896" s="340">
        <v>243257</v>
      </c>
      <c r="V1896" s="340">
        <v>923953</v>
      </c>
      <c r="W1896" s="297">
        <v>28980</v>
      </c>
      <c r="X1896" s="296">
        <v>2E-3</v>
      </c>
    </row>
    <row r="1897" spans="13:24">
      <c r="M1897">
        <v>1895</v>
      </c>
      <c r="N1897">
        <v>94705</v>
      </c>
      <c r="O1897" t="s">
        <v>1056</v>
      </c>
      <c r="P1897" t="s">
        <v>132</v>
      </c>
      <c r="Q1897">
        <v>1835</v>
      </c>
      <c r="R1897" s="296">
        <v>0</v>
      </c>
      <c r="S1897" s="296">
        <v>0.97570000000000001</v>
      </c>
      <c r="T1897" s="297">
        <v>5467</v>
      </c>
      <c r="U1897" s="340">
        <v>242867</v>
      </c>
      <c r="V1897" s="340">
        <v>1776153</v>
      </c>
      <c r="W1897" s="297">
        <v>12716</v>
      </c>
      <c r="X1897" s="296">
        <v>-5.0000000000000001E-3</v>
      </c>
    </row>
    <row r="1898" spans="13:24">
      <c r="M1898">
        <v>1896</v>
      </c>
      <c r="N1898">
        <v>7853</v>
      </c>
      <c r="O1898" t="s">
        <v>1712</v>
      </c>
      <c r="P1898" t="s">
        <v>129</v>
      </c>
      <c r="Q1898">
        <v>679</v>
      </c>
      <c r="R1898" s="296">
        <v>0</v>
      </c>
      <c r="S1898" s="296">
        <v>0.97570000000000001</v>
      </c>
      <c r="T1898" s="297">
        <v>4304</v>
      </c>
      <c r="U1898" s="340">
        <v>241083</v>
      </c>
      <c r="V1898" s="340">
        <v>683740</v>
      </c>
      <c r="W1898" s="297">
        <v>12624</v>
      </c>
      <c r="X1898" s="296">
        <v>-1E-3</v>
      </c>
    </row>
    <row r="1899" spans="13:24">
      <c r="M1899">
        <v>1897</v>
      </c>
      <c r="N1899">
        <v>11803</v>
      </c>
      <c r="O1899" t="s">
        <v>595</v>
      </c>
      <c r="P1899" t="s">
        <v>128</v>
      </c>
      <c r="Q1899">
        <v>746</v>
      </c>
      <c r="R1899" s="296">
        <v>0</v>
      </c>
      <c r="S1899" s="296">
        <v>0.97570000000000001</v>
      </c>
      <c r="T1899" s="297">
        <v>9626</v>
      </c>
      <c r="U1899" s="340">
        <v>241049</v>
      </c>
      <c r="V1899" s="340">
        <v>774790</v>
      </c>
      <c r="W1899" s="297">
        <v>29445</v>
      </c>
      <c r="X1899" s="296">
        <v>0</v>
      </c>
    </row>
    <row r="1900" spans="13:24">
      <c r="M1900">
        <v>1898</v>
      </c>
      <c r="N1900">
        <v>94304</v>
      </c>
      <c r="O1900" t="s">
        <v>289</v>
      </c>
      <c r="P1900" t="s">
        <v>132</v>
      </c>
      <c r="Q1900">
        <v>1842</v>
      </c>
      <c r="R1900" s="296">
        <v>0</v>
      </c>
      <c r="S1900" s="296">
        <v>0.97570000000000001</v>
      </c>
      <c r="T1900" s="297">
        <v>2018</v>
      </c>
      <c r="U1900" s="340">
        <v>240639</v>
      </c>
      <c r="V1900" s="340">
        <v>2067203</v>
      </c>
      <c r="W1900" s="297">
        <v>4414</v>
      </c>
      <c r="X1900" s="296">
        <v>-7.0000000000000001E-3</v>
      </c>
    </row>
    <row r="1901" spans="13:24">
      <c r="M1901">
        <v>1899</v>
      </c>
      <c r="N1901">
        <v>95135</v>
      </c>
      <c r="O1901" t="s">
        <v>296</v>
      </c>
      <c r="P1901" t="s">
        <v>132</v>
      </c>
      <c r="Q1901">
        <v>1822</v>
      </c>
      <c r="R1901" s="296">
        <v>0</v>
      </c>
      <c r="S1901" s="296">
        <v>0.97570000000000001</v>
      </c>
      <c r="T1901" s="297">
        <v>7298</v>
      </c>
      <c r="U1901" s="340">
        <v>239831</v>
      </c>
      <c r="V1901" s="340">
        <v>1561903</v>
      </c>
      <c r="W1901" s="297">
        <v>20554</v>
      </c>
      <c r="X1901" s="296">
        <v>-6.0000000000000001E-3</v>
      </c>
    </row>
    <row r="1902" spans="13:24">
      <c r="M1902">
        <v>1900</v>
      </c>
      <c r="N1902">
        <v>18929</v>
      </c>
      <c r="O1902" t="s">
        <v>1713</v>
      </c>
      <c r="P1902" t="s">
        <v>133</v>
      </c>
      <c r="Q1902">
        <v>673</v>
      </c>
      <c r="R1902" s="296">
        <v>0</v>
      </c>
      <c r="S1902" s="296">
        <v>0.9758</v>
      </c>
      <c r="T1902" s="297">
        <v>3032</v>
      </c>
      <c r="U1902" s="340">
        <v>237189</v>
      </c>
      <c r="V1902" s="340">
        <v>657582</v>
      </c>
      <c r="W1902" s="297">
        <v>8935</v>
      </c>
      <c r="X1902" s="296">
        <v>-4.0000000000000001E-3</v>
      </c>
    </row>
    <row r="1903" spans="13:24">
      <c r="M1903">
        <v>1901</v>
      </c>
      <c r="N1903">
        <v>94086</v>
      </c>
      <c r="O1903" t="s">
        <v>291</v>
      </c>
      <c r="P1903" t="s">
        <v>132</v>
      </c>
      <c r="Q1903">
        <v>1835</v>
      </c>
      <c r="R1903" s="296">
        <v>0</v>
      </c>
      <c r="S1903" s="296">
        <v>0.9758</v>
      </c>
      <c r="T1903" s="297">
        <v>21963</v>
      </c>
      <c r="U1903" s="340">
        <v>235556</v>
      </c>
      <c r="V1903" s="340">
        <v>1613937</v>
      </c>
      <c r="W1903" s="297">
        <v>54654</v>
      </c>
      <c r="X1903" s="296">
        <v>8.0000000000000002E-3</v>
      </c>
    </row>
    <row r="1904" spans="13:24">
      <c r="M1904">
        <v>1902</v>
      </c>
      <c r="N1904">
        <v>3087</v>
      </c>
      <c r="O1904" t="s">
        <v>430</v>
      </c>
      <c r="P1904" t="s">
        <v>197</v>
      </c>
      <c r="Q1904">
        <v>840</v>
      </c>
      <c r="R1904" s="296">
        <v>0</v>
      </c>
      <c r="S1904" s="296">
        <v>0.9758</v>
      </c>
      <c r="T1904" s="297">
        <v>5433</v>
      </c>
      <c r="U1904" s="340">
        <v>235272</v>
      </c>
      <c r="V1904" s="340">
        <v>820513</v>
      </c>
      <c r="W1904" s="297">
        <v>16387</v>
      </c>
      <c r="X1904" s="296">
        <v>8.0000000000000002E-3</v>
      </c>
    </row>
    <row r="1905" spans="13:24">
      <c r="M1905">
        <v>1903</v>
      </c>
      <c r="N1905">
        <v>90275</v>
      </c>
      <c r="O1905" t="s">
        <v>1714</v>
      </c>
      <c r="P1905" t="s">
        <v>132</v>
      </c>
      <c r="Q1905">
        <v>1753</v>
      </c>
      <c r="R1905" s="296">
        <v>0</v>
      </c>
      <c r="S1905" s="296">
        <v>0.9758</v>
      </c>
      <c r="T1905" s="297">
        <v>15527</v>
      </c>
      <c r="U1905" s="340">
        <v>234877</v>
      </c>
      <c r="V1905" s="340">
        <v>1482038</v>
      </c>
      <c r="W1905" s="297">
        <v>41038</v>
      </c>
      <c r="X1905" s="296">
        <v>-8.0000000000000002E-3</v>
      </c>
    </row>
    <row r="1906" spans="13:24">
      <c r="M1906">
        <v>1904</v>
      </c>
      <c r="N1906">
        <v>1984</v>
      </c>
      <c r="O1906" t="s">
        <v>1715</v>
      </c>
      <c r="P1906" t="s">
        <v>135</v>
      </c>
      <c r="Q1906">
        <v>862</v>
      </c>
      <c r="R1906" s="296">
        <v>0</v>
      </c>
      <c r="S1906" s="296">
        <v>0.9758</v>
      </c>
      <c r="T1906" s="297">
        <v>1424</v>
      </c>
      <c r="U1906" s="340">
        <v>234613</v>
      </c>
      <c r="V1906" s="340">
        <v>891374</v>
      </c>
      <c r="W1906" s="297">
        <v>5073</v>
      </c>
      <c r="X1906" s="296">
        <v>3.0000000000000001E-3</v>
      </c>
    </row>
    <row r="1907" spans="13:24">
      <c r="M1907">
        <v>1905</v>
      </c>
      <c r="N1907">
        <v>98024</v>
      </c>
      <c r="O1907" t="s">
        <v>1716</v>
      </c>
      <c r="P1907" t="s">
        <v>224</v>
      </c>
      <c r="Q1907">
        <v>1692</v>
      </c>
      <c r="R1907" s="296">
        <v>0</v>
      </c>
      <c r="S1907" s="296">
        <v>0.9758</v>
      </c>
      <c r="T1907" s="297">
        <v>2016</v>
      </c>
      <c r="U1907" s="340">
        <v>233997</v>
      </c>
      <c r="V1907" s="340">
        <v>1270611</v>
      </c>
      <c r="W1907" s="297">
        <v>5605</v>
      </c>
      <c r="X1907" s="296">
        <v>5.0000000000000001E-3</v>
      </c>
    </row>
    <row r="1908" spans="13:24">
      <c r="M1908">
        <v>1906</v>
      </c>
      <c r="N1908">
        <v>21104</v>
      </c>
      <c r="O1908" t="s">
        <v>1717</v>
      </c>
      <c r="P1908" t="s">
        <v>137</v>
      </c>
      <c r="Q1908">
        <v>601</v>
      </c>
      <c r="R1908" s="296">
        <v>0</v>
      </c>
      <c r="S1908" s="296">
        <v>0.9758</v>
      </c>
      <c r="T1908" s="297">
        <v>2229</v>
      </c>
      <c r="U1908" s="340">
        <v>233140</v>
      </c>
      <c r="V1908" s="340">
        <v>731660</v>
      </c>
      <c r="W1908" s="297">
        <v>6004</v>
      </c>
      <c r="X1908" s="296">
        <v>1E-3</v>
      </c>
    </row>
    <row r="1909" spans="13:24">
      <c r="M1909">
        <v>1907</v>
      </c>
      <c r="N1909">
        <v>1810</v>
      </c>
      <c r="O1909" t="s">
        <v>388</v>
      </c>
      <c r="P1909" t="s">
        <v>135</v>
      </c>
      <c r="Q1909">
        <v>848</v>
      </c>
      <c r="R1909" s="296">
        <v>0</v>
      </c>
      <c r="S1909" s="296">
        <v>0.9758</v>
      </c>
      <c r="T1909" s="297">
        <v>12967</v>
      </c>
      <c r="U1909" s="340">
        <v>232985</v>
      </c>
      <c r="V1909" s="340">
        <v>883253</v>
      </c>
      <c r="W1909" s="297">
        <v>36887</v>
      </c>
      <c r="X1909" s="296">
        <v>2E-3</v>
      </c>
    </row>
    <row r="1910" spans="13:24">
      <c r="M1910">
        <v>1908</v>
      </c>
      <c r="N1910">
        <v>22032</v>
      </c>
      <c r="O1910" t="s">
        <v>1195</v>
      </c>
      <c r="P1910" t="s">
        <v>139</v>
      </c>
      <c r="Q1910">
        <v>597</v>
      </c>
      <c r="R1910" s="296">
        <v>0</v>
      </c>
      <c r="S1910" s="296">
        <v>0.9758</v>
      </c>
      <c r="T1910" s="297">
        <v>9682</v>
      </c>
      <c r="U1910" s="340">
        <v>232897</v>
      </c>
      <c r="V1910" s="340">
        <v>778868</v>
      </c>
      <c r="W1910" s="297">
        <v>29422</v>
      </c>
      <c r="X1910" s="296">
        <v>-5.0000000000000001E-3</v>
      </c>
    </row>
    <row r="1911" spans="13:24">
      <c r="M1911">
        <v>1909</v>
      </c>
      <c r="N1911">
        <v>78703</v>
      </c>
      <c r="O1911" t="s">
        <v>416</v>
      </c>
      <c r="P1911" t="s">
        <v>134</v>
      </c>
      <c r="Q1911">
        <v>989</v>
      </c>
      <c r="R1911" s="296">
        <v>0</v>
      </c>
      <c r="S1911" s="296">
        <v>0.97589999999999999</v>
      </c>
      <c r="T1911" s="297">
        <v>9751</v>
      </c>
      <c r="U1911" s="340">
        <v>232668</v>
      </c>
      <c r="V1911" s="340">
        <v>1393624</v>
      </c>
      <c r="W1911" s="297">
        <v>19747</v>
      </c>
      <c r="X1911" s="296">
        <v>-8.0000000000000002E-3</v>
      </c>
    </row>
    <row r="1912" spans="13:24">
      <c r="M1912">
        <v>1910</v>
      </c>
      <c r="N1912">
        <v>8730</v>
      </c>
      <c r="O1912" t="s">
        <v>1718</v>
      </c>
      <c r="P1912" t="s">
        <v>129</v>
      </c>
      <c r="Q1912">
        <v>727</v>
      </c>
      <c r="R1912" s="296">
        <v>0</v>
      </c>
      <c r="S1912" s="296">
        <v>0.97589999999999999</v>
      </c>
      <c r="T1912" s="297">
        <v>1988</v>
      </c>
      <c r="U1912" s="340">
        <v>231735</v>
      </c>
      <c r="V1912" s="340">
        <v>950657</v>
      </c>
      <c r="W1912" s="297">
        <v>5008</v>
      </c>
      <c r="X1912" s="296">
        <v>-1E-3</v>
      </c>
    </row>
    <row r="1913" spans="13:24">
      <c r="M1913">
        <v>1911</v>
      </c>
      <c r="N1913">
        <v>98029</v>
      </c>
      <c r="O1913" t="s">
        <v>1719</v>
      </c>
      <c r="P1913" t="s">
        <v>224</v>
      </c>
      <c r="Q1913">
        <v>1702</v>
      </c>
      <c r="R1913" s="296">
        <v>0</v>
      </c>
      <c r="S1913" s="296">
        <v>0.97589999999999999</v>
      </c>
      <c r="T1913" s="297">
        <v>12220</v>
      </c>
      <c r="U1913" s="340">
        <v>228461</v>
      </c>
      <c r="V1913" s="340">
        <v>1235927</v>
      </c>
      <c r="W1913" s="297">
        <v>32701</v>
      </c>
      <c r="X1913" s="296">
        <v>0.01</v>
      </c>
    </row>
    <row r="1914" spans="13:24">
      <c r="M1914">
        <v>1912</v>
      </c>
      <c r="N1914">
        <v>85262</v>
      </c>
      <c r="O1914" t="s">
        <v>1159</v>
      </c>
      <c r="P1914" t="s">
        <v>158</v>
      </c>
      <c r="Q1914">
        <v>1423</v>
      </c>
      <c r="R1914" s="296">
        <v>0</v>
      </c>
      <c r="S1914" s="296">
        <v>0.97589999999999999</v>
      </c>
      <c r="T1914" s="297">
        <v>6457</v>
      </c>
      <c r="U1914" s="340">
        <v>226202</v>
      </c>
      <c r="V1914" s="340">
        <v>1154537</v>
      </c>
      <c r="W1914" s="297">
        <v>13742</v>
      </c>
      <c r="X1914" s="296">
        <v>7.0000000000000001E-3</v>
      </c>
    </row>
    <row r="1915" spans="13:24">
      <c r="M1915">
        <v>1913</v>
      </c>
      <c r="N1915">
        <v>98110</v>
      </c>
      <c r="O1915" t="s">
        <v>1720</v>
      </c>
      <c r="P1915" t="s">
        <v>224</v>
      </c>
      <c r="Q1915">
        <v>1727</v>
      </c>
      <c r="R1915" s="296">
        <v>0</v>
      </c>
      <c r="S1915" s="296">
        <v>0.97589999999999999</v>
      </c>
      <c r="T1915" s="297">
        <v>10354</v>
      </c>
      <c r="U1915" s="340">
        <v>225652</v>
      </c>
      <c r="V1915" s="340">
        <v>1169980</v>
      </c>
      <c r="W1915" s="297">
        <v>25177</v>
      </c>
      <c r="X1915" s="296">
        <v>3.0000000000000001E-3</v>
      </c>
    </row>
    <row r="1916" spans="13:24">
      <c r="M1916">
        <v>1914</v>
      </c>
      <c r="N1916">
        <v>20112</v>
      </c>
      <c r="O1916" t="s">
        <v>1721</v>
      </c>
      <c r="P1916" t="s">
        <v>139</v>
      </c>
      <c r="Q1916">
        <v>595</v>
      </c>
      <c r="R1916" s="296">
        <v>0</v>
      </c>
      <c r="S1916" s="296">
        <v>0.97589999999999999</v>
      </c>
      <c r="T1916" s="297">
        <v>9094</v>
      </c>
      <c r="U1916" s="340">
        <v>225522</v>
      </c>
      <c r="V1916" s="340">
        <v>712254</v>
      </c>
      <c r="W1916" s="297">
        <v>29123</v>
      </c>
      <c r="X1916" s="296">
        <v>3.0000000000000001E-3</v>
      </c>
    </row>
    <row r="1917" spans="13:24">
      <c r="M1917">
        <v>1915</v>
      </c>
      <c r="N1917">
        <v>55340</v>
      </c>
      <c r="O1917" t="s">
        <v>1722</v>
      </c>
      <c r="P1917" t="s">
        <v>151</v>
      </c>
      <c r="Q1917">
        <v>353</v>
      </c>
      <c r="R1917" s="296">
        <v>0</v>
      </c>
      <c r="S1917" s="296">
        <v>0.97589999999999999</v>
      </c>
      <c r="T1917" s="297">
        <v>3618</v>
      </c>
      <c r="U1917" s="340">
        <v>224654</v>
      </c>
      <c r="V1917" s="340">
        <v>704652</v>
      </c>
      <c r="W1917" s="297">
        <v>10655</v>
      </c>
      <c r="X1917" s="296">
        <v>4.1000000000000002E-2</v>
      </c>
    </row>
    <row r="1918" spans="13:24">
      <c r="M1918">
        <v>1916</v>
      </c>
      <c r="N1918">
        <v>48009</v>
      </c>
      <c r="O1918" t="s">
        <v>538</v>
      </c>
      <c r="P1918" t="s">
        <v>140</v>
      </c>
      <c r="Q1918">
        <v>235</v>
      </c>
      <c r="R1918" s="296">
        <v>0</v>
      </c>
      <c r="S1918" s="296">
        <v>0.97589999999999999</v>
      </c>
      <c r="T1918" s="297">
        <v>9560</v>
      </c>
      <c r="U1918" s="340">
        <v>223686</v>
      </c>
      <c r="V1918" s="340">
        <v>752457</v>
      </c>
      <c r="W1918" s="297">
        <v>21679</v>
      </c>
      <c r="X1918" s="296">
        <v>-1E-3</v>
      </c>
    </row>
    <row r="1919" spans="13:24">
      <c r="M1919">
        <v>1917</v>
      </c>
      <c r="N1919">
        <v>19422</v>
      </c>
      <c r="O1919" t="s">
        <v>1723</v>
      </c>
      <c r="P1919" t="s">
        <v>133</v>
      </c>
      <c r="Q1919">
        <v>665</v>
      </c>
      <c r="R1919" s="296">
        <v>0</v>
      </c>
      <c r="S1919" s="296">
        <v>0.97599999999999998</v>
      </c>
      <c r="T1919" s="297">
        <v>8211</v>
      </c>
      <c r="U1919" s="340">
        <v>221939</v>
      </c>
      <c r="V1919" s="340">
        <v>659782</v>
      </c>
      <c r="W1919" s="297">
        <v>21326</v>
      </c>
      <c r="X1919" s="296">
        <v>1.0999999999999999E-2</v>
      </c>
    </row>
    <row r="1920" spans="13:24">
      <c r="M1920">
        <v>1918</v>
      </c>
      <c r="N1920">
        <v>80238</v>
      </c>
      <c r="O1920" t="s">
        <v>330</v>
      </c>
      <c r="P1920" t="s">
        <v>142</v>
      </c>
      <c r="Q1920">
        <v>911</v>
      </c>
      <c r="R1920" s="296">
        <v>0</v>
      </c>
      <c r="S1920" s="296">
        <v>0.97599999999999998</v>
      </c>
      <c r="T1920" s="297">
        <v>11335</v>
      </c>
      <c r="U1920" s="340">
        <v>221629</v>
      </c>
      <c r="V1920" s="340">
        <v>908314</v>
      </c>
      <c r="W1920" s="297">
        <v>31175</v>
      </c>
      <c r="X1920" s="296">
        <v>0.02</v>
      </c>
    </row>
    <row r="1921" spans="13:24">
      <c r="M1921">
        <v>1919</v>
      </c>
      <c r="N1921">
        <v>78701</v>
      </c>
      <c r="O1921" t="s">
        <v>416</v>
      </c>
      <c r="P1921" t="s">
        <v>134</v>
      </c>
      <c r="Q1921">
        <v>989</v>
      </c>
      <c r="R1921" s="296">
        <v>0</v>
      </c>
      <c r="S1921" s="296">
        <v>0.97599999999999998</v>
      </c>
      <c r="T1921" s="297">
        <v>9722</v>
      </c>
      <c r="U1921" s="340">
        <v>221326</v>
      </c>
      <c r="V1921" s="340">
        <v>925443</v>
      </c>
      <c r="W1921" s="297">
        <v>16177</v>
      </c>
      <c r="X1921" s="296">
        <v>7.2999999999999995E-2</v>
      </c>
    </row>
    <row r="1922" spans="13:24">
      <c r="M1922">
        <v>1920</v>
      </c>
      <c r="N1922">
        <v>19087</v>
      </c>
      <c r="O1922" t="s">
        <v>454</v>
      </c>
      <c r="P1922" t="s">
        <v>133</v>
      </c>
      <c r="Q1922">
        <v>660</v>
      </c>
      <c r="R1922" s="296">
        <v>0</v>
      </c>
      <c r="S1922" s="296">
        <v>0.97599999999999998</v>
      </c>
      <c r="T1922" s="297">
        <v>12935</v>
      </c>
      <c r="U1922" s="340">
        <v>221184</v>
      </c>
      <c r="V1922" s="340">
        <v>766699</v>
      </c>
      <c r="W1922" s="297">
        <v>34967</v>
      </c>
      <c r="X1922" s="296">
        <v>3.0000000000000001E-3</v>
      </c>
    </row>
    <row r="1923" spans="13:24">
      <c r="M1923">
        <v>1921</v>
      </c>
      <c r="N1923">
        <v>22015</v>
      </c>
      <c r="O1923" t="s">
        <v>1724</v>
      </c>
      <c r="P1923" t="s">
        <v>139</v>
      </c>
      <c r="Q1923">
        <v>599</v>
      </c>
      <c r="R1923" s="296">
        <v>0</v>
      </c>
      <c r="S1923" s="296">
        <v>0.97599999999999998</v>
      </c>
      <c r="T1923" s="297">
        <v>14263</v>
      </c>
      <c r="U1923" s="340">
        <v>220838</v>
      </c>
      <c r="V1923" s="340">
        <v>725320</v>
      </c>
      <c r="W1923" s="297">
        <v>42743</v>
      </c>
      <c r="X1923" s="296">
        <v>-6.0000000000000001E-3</v>
      </c>
    </row>
    <row r="1924" spans="13:24">
      <c r="M1924">
        <v>1922</v>
      </c>
      <c r="N1924">
        <v>48304</v>
      </c>
      <c r="O1924" t="s">
        <v>1106</v>
      </c>
      <c r="P1924" t="s">
        <v>140</v>
      </c>
      <c r="Q1924">
        <v>234</v>
      </c>
      <c r="R1924" s="296">
        <v>0</v>
      </c>
      <c r="S1924" s="296">
        <v>0.97599999999999998</v>
      </c>
      <c r="T1924" s="297">
        <v>6921</v>
      </c>
      <c r="U1924" s="340">
        <v>220565</v>
      </c>
      <c r="V1924" s="340">
        <v>650526</v>
      </c>
      <c r="W1924" s="297">
        <v>16916</v>
      </c>
      <c r="X1924" s="296">
        <v>-6.0000000000000001E-3</v>
      </c>
    </row>
    <row r="1925" spans="13:24">
      <c r="M1925">
        <v>1923</v>
      </c>
      <c r="N1925">
        <v>6107</v>
      </c>
      <c r="O1925" t="s">
        <v>522</v>
      </c>
      <c r="P1925" t="s">
        <v>141</v>
      </c>
      <c r="Q1925">
        <v>772</v>
      </c>
      <c r="R1925" s="296">
        <v>0</v>
      </c>
      <c r="S1925" s="296">
        <v>0.97599999999999998</v>
      </c>
      <c r="T1925" s="297">
        <v>7827</v>
      </c>
      <c r="U1925" s="340">
        <v>219973</v>
      </c>
      <c r="V1925" s="340">
        <v>489846</v>
      </c>
      <c r="W1925" s="297">
        <v>19529</v>
      </c>
      <c r="X1925" s="296">
        <v>1E-3</v>
      </c>
    </row>
    <row r="1926" spans="13:24">
      <c r="M1926">
        <v>1924</v>
      </c>
      <c r="N1926">
        <v>7006</v>
      </c>
      <c r="O1926" t="s">
        <v>1725</v>
      </c>
      <c r="P1926" t="s">
        <v>129</v>
      </c>
      <c r="Q1926">
        <v>704</v>
      </c>
      <c r="R1926" s="296">
        <v>0</v>
      </c>
      <c r="S1926" s="296">
        <v>0.97599999999999998</v>
      </c>
      <c r="T1926" s="297">
        <v>9952</v>
      </c>
      <c r="U1926" s="340">
        <v>219342</v>
      </c>
      <c r="V1926" s="340">
        <v>769262</v>
      </c>
      <c r="W1926" s="297">
        <v>26648</v>
      </c>
      <c r="X1926" s="296">
        <v>-3.0000000000000001E-3</v>
      </c>
    </row>
    <row r="1927" spans="13:24">
      <c r="M1927">
        <v>1925</v>
      </c>
      <c r="N1927">
        <v>11201</v>
      </c>
      <c r="O1927" t="s">
        <v>472</v>
      </c>
      <c r="P1927" t="s">
        <v>128</v>
      </c>
      <c r="Q1927">
        <v>721</v>
      </c>
      <c r="R1927" s="296">
        <v>0</v>
      </c>
      <c r="S1927" s="296">
        <v>0.97609999999999997</v>
      </c>
      <c r="T1927" s="297">
        <v>33461</v>
      </c>
      <c r="U1927" s="340">
        <v>219264</v>
      </c>
      <c r="V1927" s="340">
        <v>1386936</v>
      </c>
      <c r="W1927" s="297">
        <v>69572</v>
      </c>
      <c r="X1927" s="296">
        <v>1E-3</v>
      </c>
    </row>
    <row r="1928" spans="13:24">
      <c r="M1928">
        <v>1926</v>
      </c>
      <c r="N1928">
        <v>10014</v>
      </c>
      <c r="O1928" t="s">
        <v>203</v>
      </c>
      <c r="P1928" t="s">
        <v>128</v>
      </c>
      <c r="Q1928">
        <v>720</v>
      </c>
      <c r="R1928" s="296">
        <v>0</v>
      </c>
      <c r="S1928" s="296">
        <v>0.97609999999999997</v>
      </c>
      <c r="T1928" s="297">
        <v>18355</v>
      </c>
      <c r="U1928" s="340">
        <v>214543</v>
      </c>
      <c r="V1928" s="340">
        <v>1442820</v>
      </c>
      <c r="W1928" s="297">
        <v>30218</v>
      </c>
      <c r="X1928" s="296">
        <v>-8.9999999999999993E-3</v>
      </c>
    </row>
    <row r="1929" spans="13:24">
      <c r="M1929">
        <v>1927</v>
      </c>
      <c r="N1929">
        <v>75078</v>
      </c>
      <c r="O1929" t="s">
        <v>1726</v>
      </c>
      <c r="P1929" t="s">
        <v>134</v>
      </c>
      <c r="Q1929">
        <v>787</v>
      </c>
      <c r="R1929" s="296">
        <v>0</v>
      </c>
      <c r="S1929" s="296">
        <v>0.97609999999999997</v>
      </c>
      <c r="T1929" s="297">
        <v>16546</v>
      </c>
      <c r="U1929" s="340">
        <v>214390</v>
      </c>
      <c r="V1929" s="340">
        <v>723031</v>
      </c>
      <c r="W1929" s="297">
        <v>54640</v>
      </c>
      <c r="X1929" s="296">
        <v>8.5999999999999993E-2</v>
      </c>
    </row>
    <row r="1930" spans="13:24">
      <c r="M1930">
        <v>1928</v>
      </c>
      <c r="N1930">
        <v>8525</v>
      </c>
      <c r="O1930" t="s">
        <v>1727</v>
      </c>
      <c r="P1930" t="s">
        <v>129</v>
      </c>
      <c r="Q1930">
        <v>685</v>
      </c>
      <c r="R1930" s="296">
        <v>0</v>
      </c>
      <c r="S1930" s="296">
        <v>0.97609999999999997</v>
      </c>
      <c r="T1930" s="297">
        <v>1901</v>
      </c>
      <c r="U1930" s="340">
        <v>214319</v>
      </c>
      <c r="V1930" s="340">
        <v>638170</v>
      </c>
      <c r="W1930" s="297">
        <v>4718</v>
      </c>
      <c r="X1930" s="296">
        <v>-1E-3</v>
      </c>
    </row>
    <row r="1931" spans="13:24">
      <c r="M1931">
        <v>1929</v>
      </c>
      <c r="N1931">
        <v>98052</v>
      </c>
      <c r="O1931" t="s">
        <v>1728</v>
      </c>
      <c r="P1931" t="s">
        <v>224</v>
      </c>
      <c r="Q1931">
        <v>1708</v>
      </c>
      <c r="R1931" s="296">
        <v>0</v>
      </c>
      <c r="S1931" s="296">
        <v>0.97609999999999997</v>
      </c>
      <c r="T1931" s="297">
        <v>34149</v>
      </c>
      <c r="U1931" s="340">
        <v>214287</v>
      </c>
      <c r="V1931" s="340">
        <v>1252252</v>
      </c>
      <c r="W1931" s="297">
        <v>83716</v>
      </c>
      <c r="X1931" s="296">
        <v>1.9E-2</v>
      </c>
    </row>
    <row r="1932" spans="13:24">
      <c r="M1932">
        <v>1930</v>
      </c>
      <c r="N1932">
        <v>91361</v>
      </c>
      <c r="O1932" t="s">
        <v>1729</v>
      </c>
      <c r="P1932" t="s">
        <v>132</v>
      </c>
      <c r="Q1932">
        <v>1764</v>
      </c>
      <c r="R1932" s="296">
        <v>0</v>
      </c>
      <c r="S1932" s="296">
        <v>0.97609999999999997</v>
      </c>
      <c r="T1932" s="297">
        <v>8190</v>
      </c>
      <c r="U1932" s="340">
        <v>214186</v>
      </c>
      <c r="V1932" s="340">
        <v>1405018</v>
      </c>
      <c r="W1932" s="297">
        <v>19470</v>
      </c>
      <c r="X1932" s="296">
        <v>-7.0000000000000001E-3</v>
      </c>
    </row>
    <row r="1933" spans="13:24">
      <c r="M1933">
        <v>1931</v>
      </c>
      <c r="N1933">
        <v>77441</v>
      </c>
      <c r="O1933" t="s">
        <v>1730</v>
      </c>
      <c r="P1933" t="s">
        <v>134</v>
      </c>
      <c r="Q1933">
        <v>970</v>
      </c>
      <c r="R1933" s="296">
        <v>0</v>
      </c>
      <c r="S1933" s="296">
        <v>0.97609999999999997</v>
      </c>
      <c r="T1933" s="297">
        <v>9599</v>
      </c>
      <c r="U1933" s="340">
        <v>213916</v>
      </c>
      <c r="V1933" s="340">
        <v>577915</v>
      </c>
      <c r="W1933" s="297">
        <v>30054</v>
      </c>
      <c r="X1933" s="296">
        <v>7.9000000000000001E-2</v>
      </c>
    </row>
    <row r="1934" spans="13:24">
      <c r="M1934">
        <v>1932</v>
      </c>
      <c r="N1934">
        <v>30068</v>
      </c>
      <c r="O1934" t="s">
        <v>611</v>
      </c>
      <c r="P1934" t="s">
        <v>130</v>
      </c>
      <c r="Q1934">
        <v>594</v>
      </c>
      <c r="R1934" s="296">
        <v>0</v>
      </c>
      <c r="S1934" s="296">
        <v>0.97609999999999997</v>
      </c>
      <c r="T1934" s="297">
        <v>12600</v>
      </c>
      <c r="U1934" s="340">
        <v>213908</v>
      </c>
      <c r="V1934" s="340">
        <v>615952</v>
      </c>
      <c r="W1934" s="297">
        <v>34724</v>
      </c>
      <c r="X1934" s="296">
        <v>-1E-3</v>
      </c>
    </row>
    <row r="1935" spans="13:24">
      <c r="M1935">
        <v>1933</v>
      </c>
      <c r="N1935">
        <v>2066</v>
      </c>
      <c r="O1935" t="s">
        <v>417</v>
      </c>
      <c r="P1935" t="s">
        <v>135</v>
      </c>
      <c r="Q1935">
        <v>871</v>
      </c>
      <c r="R1935" s="296">
        <v>0</v>
      </c>
      <c r="S1935" s="296">
        <v>0.97619999999999996</v>
      </c>
      <c r="T1935" s="297">
        <v>7318</v>
      </c>
      <c r="U1935" s="340">
        <v>213820</v>
      </c>
      <c r="V1935" s="340">
        <v>892913</v>
      </c>
      <c r="W1935" s="297">
        <v>19271</v>
      </c>
      <c r="X1935" s="296">
        <v>6.0000000000000001E-3</v>
      </c>
    </row>
    <row r="1936" spans="13:24">
      <c r="M1936">
        <v>1934</v>
      </c>
      <c r="N1936">
        <v>19010</v>
      </c>
      <c r="O1936" t="s">
        <v>1731</v>
      </c>
      <c r="P1936" t="s">
        <v>133</v>
      </c>
      <c r="Q1936">
        <v>665</v>
      </c>
      <c r="R1936" s="296">
        <v>0</v>
      </c>
      <c r="S1936" s="296">
        <v>0.97619999999999996</v>
      </c>
      <c r="T1936" s="297">
        <v>7811</v>
      </c>
      <c r="U1936" s="340">
        <v>213428</v>
      </c>
      <c r="V1936" s="340">
        <v>902907</v>
      </c>
      <c r="W1936" s="297">
        <v>22678</v>
      </c>
      <c r="X1936" s="296">
        <v>1E-3</v>
      </c>
    </row>
    <row r="1937" spans="13:24">
      <c r="M1937">
        <v>1935</v>
      </c>
      <c r="N1937">
        <v>8844</v>
      </c>
      <c r="O1937" t="s">
        <v>1732</v>
      </c>
      <c r="P1937" t="s">
        <v>129</v>
      </c>
      <c r="Q1937">
        <v>692</v>
      </c>
      <c r="R1937" s="296">
        <v>0</v>
      </c>
      <c r="S1937" s="296">
        <v>0.97619999999999996</v>
      </c>
      <c r="T1937" s="297">
        <v>15727</v>
      </c>
      <c r="U1937" s="340">
        <v>212652</v>
      </c>
      <c r="V1937" s="340">
        <v>619920</v>
      </c>
      <c r="W1937" s="297">
        <v>44039</v>
      </c>
      <c r="X1937" s="296">
        <v>4.0000000000000001E-3</v>
      </c>
    </row>
    <row r="1938" spans="13:24">
      <c r="M1938">
        <v>1936</v>
      </c>
      <c r="N1938">
        <v>2127</v>
      </c>
      <c r="O1938" t="s">
        <v>385</v>
      </c>
      <c r="P1938" t="s">
        <v>135</v>
      </c>
      <c r="Q1938">
        <v>856</v>
      </c>
      <c r="R1938" s="296">
        <v>0</v>
      </c>
      <c r="S1938" s="296">
        <v>0.97619999999999996</v>
      </c>
      <c r="T1938" s="297">
        <v>18015</v>
      </c>
      <c r="U1938" s="340">
        <v>210944</v>
      </c>
      <c r="V1938" s="340">
        <v>978894</v>
      </c>
      <c r="W1938" s="297">
        <v>37619</v>
      </c>
      <c r="X1938" s="296">
        <v>-2E-3</v>
      </c>
    </row>
    <row r="1939" spans="13:24">
      <c r="M1939">
        <v>1937</v>
      </c>
      <c r="N1939">
        <v>20170</v>
      </c>
      <c r="O1939" t="s">
        <v>1123</v>
      </c>
      <c r="P1939" t="s">
        <v>139</v>
      </c>
      <c r="Q1939">
        <v>588</v>
      </c>
      <c r="R1939" s="296">
        <v>0</v>
      </c>
      <c r="S1939" s="296">
        <v>0.97619999999999996</v>
      </c>
      <c r="T1939" s="297">
        <v>13171</v>
      </c>
      <c r="U1939" s="340">
        <v>210937</v>
      </c>
      <c r="V1939" s="340">
        <v>753259</v>
      </c>
      <c r="W1939" s="297">
        <v>41183</v>
      </c>
      <c r="X1939" s="296">
        <v>-5.0000000000000001E-3</v>
      </c>
    </row>
    <row r="1940" spans="13:24">
      <c r="M1940">
        <v>1938</v>
      </c>
      <c r="N1940">
        <v>28036</v>
      </c>
      <c r="O1940" t="s">
        <v>525</v>
      </c>
      <c r="P1940" t="s">
        <v>138</v>
      </c>
      <c r="Q1940">
        <v>594</v>
      </c>
      <c r="R1940" s="296">
        <v>0</v>
      </c>
      <c r="S1940" s="296">
        <v>0.97619999999999996</v>
      </c>
      <c r="T1940" s="297">
        <v>7948</v>
      </c>
      <c r="U1940" s="340">
        <v>209677</v>
      </c>
      <c r="V1940" s="340">
        <v>688445</v>
      </c>
      <c r="W1940" s="297">
        <v>22677</v>
      </c>
      <c r="X1940" s="296">
        <v>1.9E-2</v>
      </c>
    </row>
    <row r="1941" spans="13:24">
      <c r="M1941">
        <v>1939</v>
      </c>
      <c r="N1941">
        <v>10021</v>
      </c>
      <c r="O1941" t="s">
        <v>203</v>
      </c>
      <c r="P1941" t="s">
        <v>128</v>
      </c>
      <c r="Q1941">
        <v>722</v>
      </c>
      <c r="R1941" s="296">
        <v>0</v>
      </c>
      <c r="S1941" s="296">
        <v>0.97619999999999996</v>
      </c>
      <c r="T1941" s="297">
        <v>23811</v>
      </c>
      <c r="U1941" s="340">
        <v>209562</v>
      </c>
      <c r="V1941" s="340">
        <v>1506432</v>
      </c>
      <c r="W1941" s="297">
        <v>42955</v>
      </c>
      <c r="X1941" s="296">
        <v>-8.0000000000000002E-3</v>
      </c>
    </row>
    <row r="1942" spans="13:24">
      <c r="M1942">
        <v>1940</v>
      </c>
      <c r="N1942">
        <v>2445</v>
      </c>
      <c r="O1942" t="s">
        <v>374</v>
      </c>
      <c r="P1942" t="s">
        <v>135</v>
      </c>
      <c r="Q1942">
        <v>851</v>
      </c>
      <c r="R1942" s="296">
        <v>0</v>
      </c>
      <c r="S1942" s="296">
        <v>0.97619999999999996</v>
      </c>
      <c r="T1942" s="297">
        <v>9221</v>
      </c>
      <c r="U1942" s="340">
        <v>209550</v>
      </c>
      <c r="V1942" s="340">
        <v>1478054</v>
      </c>
      <c r="W1942" s="297">
        <v>22864</v>
      </c>
      <c r="X1942" s="296">
        <v>2E-3</v>
      </c>
    </row>
    <row r="1943" spans="13:24">
      <c r="M1943">
        <v>1941</v>
      </c>
      <c r="N1943">
        <v>77024</v>
      </c>
      <c r="O1943" t="s">
        <v>314</v>
      </c>
      <c r="P1943" t="s">
        <v>134</v>
      </c>
      <c r="Q1943">
        <v>957</v>
      </c>
      <c r="R1943" s="296">
        <v>0</v>
      </c>
      <c r="S1943" s="296">
        <v>0.97629999999999995</v>
      </c>
      <c r="T1943" s="297">
        <v>16355</v>
      </c>
      <c r="U1943" s="340">
        <v>209379</v>
      </c>
      <c r="V1943" s="340">
        <v>1238897</v>
      </c>
      <c r="W1943" s="297">
        <v>39192</v>
      </c>
      <c r="X1943" s="296">
        <v>5.0000000000000001E-3</v>
      </c>
    </row>
    <row r="1944" spans="13:24">
      <c r="M1944">
        <v>1942</v>
      </c>
      <c r="N1944">
        <v>19002</v>
      </c>
      <c r="O1944" t="s">
        <v>1733</v>
      </c>
      <c r="P1944" t="s">
        <v>133</v>
      </c>
      <c r="Q1944">
        <v>667</v>
      </c>
      <c r="R1944" s="296">
        <v>0</v>
      </c>
      <c r="S1944" s="296">
        <v>0.97629999999999995</v>
      </c>
      <c r="T1944" s="297">
        <v>13020</v>
      </c>
      <c r="U1944" s="340">
        <v>208870</v>
      </c>
      <c r="V1944" s="340">
        <v>661085</v>
      </c>
      <c r="W1944" s="297">
        <v>35163</v>
      </c>
      <c r="X1944" s="296">
        <v>8.0000000000000002E-3</v>
      </c>
    </row>
    <row r="1945" spans="13:24">
      <c r="M1945">
        <v>1943</v>
      </c>
      <c r="N1945">
        <v>92129</v>
      </c>
      <c r="O1945" t="s">
        <v>316</v>
      </c>
      <c r="P1945" t="s">
        <v>132</v>
      </c>
      <c r="Q1945">
        <v>1717</v>
      </c>
      <c r="R1945" s="296">
        <v>0</v>
      </c>
      <c r="S1945" s="296">
        <v>0.97629999999999995</v>
      </c>
      <c r="T1945" s="297">
        <v>18058</v>
      </c>
      <c r="U1945" s="340">
        <v>208269</v>
      </c>
      <c r="V1945" s="340">
        <v>1060675</v>
      </c>
      <c r="W1945" s="297">
        <v>53331</v>
      </c>
      <c r="X1945" s="296">
        <v>5.0000000000000001E-3</v>
      </c>
    </row>
    <row r="1946" spans="13:24">
      <c r="M1946">
        <v>1944</v>
      </c>
      <c r="N1946">
        <v>80023</v>
      </c>
      <c r="O1946" t="s">
        <v>321</v>
      </c>
      <c r="P1946" t="s">
        <v>142</v>
      </c>
      <c r="Q1946">
        <v>908</v>
      </c>
      <c r="R1946" s="296">
        <v>0</v>
      </c>
      <c r="S1946" s="296">
        <v>0.97629999999999995</v>
      </c>
      <c r="T1946" s="297">
        <v>11062</v>
      </c>
      <c r="U1946" s="340">
        <v>207838</v>
      </c>
      <c r="V1946" s="340">
        <v>804276</v>
      </c>
      <c r="W1946" s="297">
        <v>29613</v>
      </c>
      <c r="X1946" s="296">
        <v>3.6999999999999998E-2</v>
      </c>
    </row>
    <row r="1947" spans="13:24">
      <c r="M1947">
        <v>1945</v>
      </c>
      <c r="N1947">
        <v>80016</v>
      </c>
      <c r="O1947" t="s">
        <v>334</v>
      </c>
      <c r="P1947" t="s">
        <v>142</v>
      </c>
      <c r="Q1947">
        <v>901</v>
      </c>
      <c r="R1947" s="296">
        <v>0</v>
      </c>
      <c r="S1947" s="296">
        <v>0.97629999999999995</v>
      </c>
      <c r="T1947" s="297">
        <v>24827</v>
      </c>
      <c r="U1947" s="340">
        <v>206986</v>
      </c>
      <c r="V1947" s="340">
        <v>751490</v>
      </c>
      <c r="W1947" s="297">
        <v>71906</v>
      </c>
      <c r="X1947" s="296">
        <v>2.3E-2</v>
      </c>
    </row>
    <row r="1948" spans="13:24">
      <c r="M1948">
        <v>1946</v>
      </c>
      <c r="N1948">
        <v>30005</v>
      </c>
      <c r="O1948" t="s">
        <v>493</v>
      </c>
      <c r="P1948" t="s">
        <v>130</v>
      </c>
      <c r="Q1948">
        <v>590</v>
      </c>
      <c r="R1948" s="296">
        <v>0</v>
      </c>
      <c r="S1948" s="296">
        <v>0.97629999999999995</v>
      </c>
      <c r="T1948" s="297">
        <v>14457</v>
      </c>
      <c r="U1948" s="340">
        <v>206927</v>
      </c>
      <c r="V1948" s="340">
        <v>609819</v>
      </c>
      <c r="W1948" s="297">
        <v>40808</v>
      </c>
      <c r="X1948" s="296">
        <v>8.0000000000000002E-3</v>
      </c>
    </row>
    <row r="1949" spans="13:24">
      <c r="M1949">
        <v>1947</v>
      </c>
      <c r="N1949">
        <v>91381</v>
      </c>
      <c r="O1949" t="s">
        <v>1734</v>
      </c>
      <c r="P1949" t="s">
        <v>132</v>
      </c>
      <c r="Q1949">
        <v>1746</v>
      </c>
      <c r="R1949" s="296">
        <v>0</v>
      </c>
      <c r="S1949" s="296">
        <v>0.97629999999999995</v>
      </c>
      <c r="T1949" s="297">
        <v>8011</v>
      </c>
      <c r="U1949" s="340">
        <v>205927</v>
      </c>
      <c r="V1949" s="340">
        <v>1081831</v>
      </c>
      <c r="W1949" s="297">
        <v>23255</v>
      </c>
      <c r="X1949" s="296">
        <v>2.8000000000000001E-2</v>
      </c>
    </row>
    <row r="1950" spans="13:24">
      <c r="M1950">
        <v>1948</v>
      </c>
      <c r="N1950">
        <v>8003</v>
      </c>
      <c r="O1950" t="s">
        <v>603</v>
      </c>
      <c r="P1950" t="s">
        <v>129</v>
      </c>
      <c r="Q1950">
        <v>686</v>
      </c>
      <c r="R1950" s="296">
        <v>0</v>
      </c>
      <c r="S1950" s="296">
        <v>0.97629999999999995</v>
      </c>
      <c r="T1950" s="297">
        <v>11536</v>
      </c>
      <c r="U1950" s="340">
        <v>204910</v>
      </c>
      <c r="V1950" s="340">
        <v>461080</v>
      </c>
      <c r="W1950" s="297">
        <v>31666</v>
      </c>
      <c r="X1950" s="296">
        <v>2E-3</v>
      </c>
    </row>
    <row r="1951" spans="13:24">
      <c r="M1951">
        <v>1949</v>
      </c>
      <c r="N1951">
        <v>77382</v>
      </c>
      <c r="O1951" t="s">
        <v>626</v>
      </c>
      <c r="P1951" t="s">
        <v>134</v>
      </c>
      <c r="Q1951">
        <v>930</v>
      </c>
      <c r="R1951" s="296">
        <v>0</v>
      </c>
      <c r="S1951" s="296">
        <v>0.97640000000000005</v>
      </c>
      <c r="T1951" s="297">
        <v>13006</v>
      </c>
      <c r="U1951" s="340">
        <v>203888</v>
      </c>
      <c r="V1951" s="340">
        <v>663700</v>
      </c>
      <c r="W1951" s="297">
        <v>37682</v>
      </c>
      <c r="X1951" s="296">
        <v>0</v>
      </c>
    </row>
    <row r="1952" spans="13:24">
      <c r="M1952">
        <v>1950</v>
      </c>
      <c r="N1952">
        <v>8202</v>
      </c>
      <c r="O1952" t="s">
        <v>1735</v>
      </c>
      <c r="P1952" t="s">
        <v>129</v>
      </c>
      <c r="Q1952">
        <v>715</v>
      </c>
      <c r="R1952" s="296">
        <v>0</v>
      </c>
      <c r="S1952" s="296">
        <v>0.97640000000000005</v>
      </c>
      <c r="T1952">
        <v>700</v>
      </c>
      <c r="U1952" s="340">
        <v>203699</v>
      </c>
      <c r="V1952" s="340">
        <v>1625593</v>
      </c>
      <c r="W1952" s="297">
        <v>1344</v>
      </c>
      <c r="X1952" s="296">
        <v>-1E-3</v>
      </c>
    </row>
    <row r="1953" spans="13:24">
      <c r="M1953">
        <v>1951</v>
      </c>
      <c r="N1953">
        <v>20871</v>
      </c>
      <c r="O1953" t="s">
        <v>1736</v>
      </c>
      <c r="P1953" t="s">
        <v>137</v>
      </c>
      <c r="Q1953">
        <v>586</v>
      </c>
      <c r="R1953" s="296">
        <v>0</v>
      </c>
      <c r="S1953" s="296">
        <v>0.97640000000000005</v>
      </c>
      <c r="T1953" s="297">
        <v>9480</v>
      </c>
      <c r="U1953" s="340">
        <v>203411</v>
      </c>
      <c r="V1953" s="340">
        <v>697844</v>
      </c>
      <c r="W1953" s="297">
        <v>31279</v>
      </c>
      <c r="X1953" s="296">
        <v>2.8000000000000001E-2</v>
      </c>
    </row>
    <row r="1954" spans="13:24">
      <c r="M1954">
        <v>1952</v>
      </c>
      <c r="N1954">
        <v>20905</v>
      </c>
      <c r="O1954" t="s">
        <v>501</v>
      </c>
      <c r="P1954" t="s">
        <v>137</v>
      </c>
      <c r="Q1954">
        <v>602</v>
      </c>
      <c r="R1954" s="296">
        <v>0</v>
      </c>
      <c r="S1954" s="296">
        <v>0.97640000000000005</v>
      </c>
      <c r="T1954" s="297">
        <v>5501</v>
      </c>
      <c r="U1954" s="340">
        <v>203111</v>
      </c>
      <c r="V1954" s="340">
        <v>709587</v>
      </c>
      <c r="W1954" s="297">
        <v>17127</v>
      </c>
      <c r="X1954" s="296">
        <v>-3.0000000000000001E-3</v>
      </c>
    </row>
    <row r="1955" spans="13:24">
      <c r="M1955">
        <v>1953</v>
      </c>
      <c r="N1955">
        <v>6001</v>
      </c>
      <c r="O1955" t="s">
        <v>563</v>
      </c>
      <c r="P1955" t="s">
        <v>141</v>
      </c>
      <c r="Q1955">
        <v>766</v>
      </c>
      <c r="R1955" s="296">
        <v>0</v>
      </c>
      <c r="S1955" s="296">
        <v>0.97640000000000005</v>
      </c>
      <c r="T1955" s="297">
        <v>7429</v>
      </c>
      <c r="U1955" s="340">
        <v>203076</v>
      </c>
      <c r="V1955" s="340">
        <v>577044</v>
      </c>
      <c r="W1955" s="297">
        <v>19176</v>
      </c>
      <c r="X1955" s="296">
        <v>0</v>
      </c>
    </row>
    <row r="1956" spans="13:24">
      <c r="M1956">
        <v>1954</v>
      </c>
      <c r="N1956">
        <v>11787</v>
      </c>
      <c r="O1956" t="s">
        <v>1737</v>
      </c>
      <c r="P1956" t="s">
        <v>128</v>
      </c>
      <c r="Q1956">
        <v>759</v>
      </c>
      <c r="R1956" s="296">
        <v>0</v>
      </c>
      <c r="S1956" s="296">
        <v>0.97640000000000005</v>
      </c>
      <c r="T1956" s="297">
        <v>12025</v>
      </c>
      <c r="U1956" s="340">
        <v>202687</v>
      </c>
      <c r="V1956" s="340">
        <v>702311</v>
      </c>
      <c r="W1956" s="297">
        <v>35502</v>
      </c>
      <c r="X1956" s="296">
        <v>-1E-3</v>
      </c>
    </row>
    <row r="1957" spans="13:24">
      <c r="M1957">
        <v>1955</v>
      </c>
      <c r="N1957">
        <v>98021</v>
      </c>
      <c r="O1957" t="s">
        <v>1738</v>
      </c>
      <c r="P1957" t="s">
        <v>224</v>
      </c>
      <c r="Q1957">
        <v>1712</v>
      </c>
      <c r="R1957" s="296">
        <v>0</v>
      </c>
      <c r="S1957" s="296">
        <v>0.97640000000000005</v>
      </c>
      <c r="T1957" s="297">
        <v>12672</v>
      </c>
      <c r="U1957" s="340">
        <v>202182</v>
      </c>
      <c r="V1957" s="340">
        <v>1009688</v>
      </c>
      <c r="W1957" s="297">
        <v>35952</v>
      </c>
      <c r="X1957" s="296">
        <v>1.6E-2</v>
      </c>
    </row>
    <row r="1958" spans="13:24">
      <c r="M1958">
        <v>1956</v>
      </c>
      <c r="N1958">
        <v>80126</v>
      </c>
      <c r="O1958" t="s">
        <v>320</v>
      </c>
      <c r="P1958" t="s">
        <v>142</v>
      </c>
      <c r="Q1958">
        <v>914</v>
      </c>
      <c r="R1958" s="296">
        <v>0</v>
      </c>
      <c r="S1958" s="296">
        <v>0.97640000000000005</v>
      </c>
      <c r="T1958" s="297">
        <v>15101</v>
      </c>
      <c r="U1958" s="340">
        <v>201853</v>
      </c>
      <c r="V1958" s="340">
        <v>759857</v>
      </c>
      <c r="W1958" s="297">
        <v>42332</v>
      </c>
      <c r="X1958" s="296">
        <v>-3.0000000000000001E-3</v>
      </c>
    </row>
    <row r="1959" spans="13:24">
      <c r="M1959">
        <v>1957</v>
      </c>
      <c r="N1959">
        <v>48230</v>
      </c>
      <c r="O1959" t="s">
        <v>1739</v>
      </c>
      <c r="P1959" t="s">
        <v>140</v>
      </c>
      <c r="Q1959">
        <v>249</v>
      </c>
      <c r="R1959" s="296">
        <v>0</v>
      </c>
      <c r="S1959" s="296">
        <v>0.97650000000000003</v>
      </c>
      <c r="T1959" s="297">
        <v>6792</v>
      </c>
      <c r="U1959" s="340">
        <v>201694</v>
      </c>
      <c r="V1959" s="340">
        <v>481213</v>
      </c>
      <c r="W1959" s="297">
        <v>16631</v>
      </c>
      <c r="X1959" s="296">
        <v>-8.9999999999999993E-3</v>
      </c>
    </row>
    <row r="1960" spans="13:24">
      <c r="M1960">
        <v>1958</v>
      </c>
      <c r="N1960">
        <v>77007</v>
      </c>
      <c r="O1960" t="s">
        <v>314</v>
      </c>
      <c r="P1960" t="s">
        <v>134</v>
      </c>
      <c r="Q1960">
        <v>954</v>
      </c>
      <c r="R1960" s="296">
        <v>0</v>
      </c>
      <c r="S1960" s="296">
        <v>0.97650000000000003</v>
      </c>
      <c r="T1960" s="297">
        <v>26955</v>
      </c>
      <c r="U1960" s="340">
        <v>201001</v>
      </c>
      <c r="V1960" s="340">
        <v>590697</v>
      </c>
      <c r="W1960" s="297">
        <v>49573</v>
      </c>
      <c r="X1960" s="296">
        <v>3.5999999999999997E-2</v>
      </c>
    </row>
    <row r="1961" spans="13:24">
      <c r="M1961">
        <v>1959</v>
      </c>
      <c r="N1961">
        <v>33330</v>
      </c>
      <c r="O1961" t="s">
        <v>506</v>
      </c>
      <c r="P1961" t="s">
        <v>127</v>
      </c>
      <c r="Q1961">
        <v>1190</v>
      </c>
      <c r="R1961" s="296">
        <v>0</v>
      </c>
      <c r="S1961" s="296">
        <v>0.97650000000000003</v>
      </c>
      <c r="T1961" s="297">
        <v>4673</v>
      </c>
      <c r="U1961" s="340">
        <v>200218</v>
      </c>
      <c r="V1961" s="340">
        <v>780251</v>
      </c>
      <c r="W1961" s="297">
        <v>14529</v>
      </c>
      <c r="X1961" s="296">
        <v>-4.0000000000000001E-3</v>
      </c>
    </row>
    <row r="1962" spans="13:24">
      <c r="M1962">
        <v>1960</v>
      </c>
      <c r="N1962">
        <v>95650</v>
      </c>
      <c r="O1962" t="s">
        <v>1740</v>
      </c>
      <c r="P1962" t="s">
        <v>132</v>
      </c>
      <c r="Q1962">
        <v>1758</v>
      </c>
      <c r="R1962" s="296">
        <v>0</v>
      </c>
      <c r="S1962" s="296">
        <v>0.97650000000000003</v>
      </c>
      <c r="T1962" s="297">
        <v>4940</v>
      </c>
      <c r="U1962" s="340">
        <v>200045</v>
      </c>
      <c r="V1962" s="340">
        <v>1023743</v>
      </c>
      <c r="W1962" s="297">
        <v>13526</v>
      </c>
      <c r="X1962" s="296">
        <v>-2E-3</v>
      </c>
    </row>
    <row r="1963" spans="13:24">
      <c r="M1963">
        <v>1961</v>
      </c>
      <c r="N1963">
        <v>92663</v>
      </c>
      <c r="O1963" t="s">
        <v>1741</v>
      </c>
      <c r="P1963" t="s">
        <v>132</v>
      </c>
      <c r="Q1963">
        <v>1735</v>
      </c>
      <c r="R1963" s="296">
        <v>0</v>
      </c>
      <c r="S1963" s="296">
        <v>0.97650000000000003</v>
      </c>
      <c r="T1963" s="297">
        <v>9581</v>
      </c>
      <c r="U1963" s="340">
        <v>199831</v>
      </c>
      <c r="V1963" s="340">
        <v>1660515</v>
      </c>
      <c r="W1963" s="297">
        <v>20253</v>
      </c>
      <c r="X1963" s="296">
        <v>-3.0000000000000001E-3</v>
      </c>
    </row>
    <row r="1964" spans="13:24">
      <c r="M1964">
        <v>1962</v>
      </c>
      <c r="N1964">
        <v>75013</v>
      </c>
      <c r="O1964" t="s">
        <v>473</v>
      </c>
      <c r="P1964" t="s">
        <v>134</v>
      </c>
      <c r="Q1964">
        <v>790</v>
      </c>
      <c r="R1964" s="296">
        <v>0</v>
      </c>
      <c r="S1964" s="296">
        <v>0.97650000000000003</v>
      </c>
      <c r="T1964" s="297">
        <v>19902</v>
      </c>
      <c r="U1964" s="340">
        <v>199294</v>
      </c>
      <c r="V1964" s="340">
        <v>651876</v>
      </c>
      <c r="W1964" s="297">
        <v>56014</v>
      </c>
      <c r="X1964" s="296">
        <v>3.5000000000000003E-2</v>
      </c>
    </row>
    <row r="1965" spans="13:24">
      <c r="M1965">
        <v>1963</v>
      </c>
      <c r="N1965">
        <v>34102</v>
      </c>
      <c r="O1965" t="s">
        <v>322</v>
      </c>
      <c r="P1965" t="s">
        <v>127</v>
      </c>
      <c r="Q1965">
        <v>1157</v>
      </c>
      <c r="R1965" s="296">
        <v>0</v>
      </c>
      <c r="S1965" s="296">
        <v>0.97650000000000003</v>
      </c>
      <c r="T1965" s="297">
        <v>5561</v>
      </c>
      <c r="U1965" s="340">
        <v>198356</v>
      </c>
      <c r="V1965" s="340">
        <v>1544137</v>
      </c>
      <c r="W1965" s="297">
        <v>10841</v>
      </c>
      <c r="X1965" s="296">
        <v>8.0000000000000002E-3</v>
      </c>
    </row>
    <row r="1966" spans="13:24">
      <c r="M1966">
        <v>1964</v>
      </c>
      <c r="N1966">
        <v>44236</v>
      </c>
      <c r="O1966" t="s">
        <v>425</v>
      </c>
      <c r="P1966" t="s">
        <v>136</v>
      </c>
      <c r="Q1966">
        <v>333</v>
      </c>
      <c r="R1966" s="296">
        <v>0</v>
      </c>
      <c r="S1966" s="296">
        <v>0.97650000000000003</v>
      </c>
      <c r="T1966" s="297">
        <v>9226</v>
      </c>
      <c r="U1966" s="340">
        <v>197955</v>
      </c>
      <c r="V1966" s="340">
        <v>469203</v>
      </c>
      <c r="W1966" s="297">
        <v>25853</v>
      </c>
      <c r="X1966" s="296">
        <v>-4.0000000000000001E-3</v>
      </c>
    </row>
    <row r="1967" spans="13:24">
      <c r="M1967">
        <v>1965</v>
      </c>
      <c r="N1967">
        <v>30022</v>
      </c>
      <c r="O1967" t="s">
        <v>493</v>
      </c>
      <c r="P1967" t="s">
        <v>130</v>
      </c>
      <c r="Q1967">
        <v>593</v>
      </c>
      <c r="R1967" s="296">
        <v>0</v>
      </c>
      <c r="S1967" s="296">
        <v>0.97660000000000002</v>
      </c>
      <c r="T1967" s="297">
        <v>23792</v>
      </c>
      <c r="U1967" s="340">
        <v>197324</v>
      </c>
      <c r="V1967" s="340">
        <v>597818</v>
      </c>
      <c r="W1967" s="297">
        <v>66003</v>
      </c>
      <c r="X1967" s="296">
        <v>-2E-3</v>
      </c>
    </row>
    <row r="1968" spans="13:24">
      <c r="M1968">
        <v>1966</v>
      </c>
      <c r="N1968">
        <v>1760</v>
      </c>
      <c r="O1968" t="s">
        <v>387</v>
      </c>
      <c r="P1968" t="s">
        <v>135</v>
      </c>
      <c r="Q1968">
        <v>840</v>
      </c>
      <c r="R1968" s="296">
        <v>0</v>
      </c>
      <c r="S1968" s="296">
        <v>0.97660000000000002</v>
      </c>
      <c r="T1968" s="297">
        <v>14911</v>
      </c>
      <c r="U1968" s="340">
        <v>197153</v>
      </c>
      <c r="V1968" s="340">
        <v>892777</v>
      </c>
      <c r="W1968" s="297">
        <v>37009</v>
      </c>
      <c r="X1968" s="296">
        <v>1E-3</v>
      </c>
    </row>
    <row r="1969" spans="13:24">
      <c r="M1969">
        <v>1967</v>
      </c>
      <c r="N1969">
        <v>10128</v>
      </c>
      <c r="O1969" t="s">
        <v>203</v>
      </c>
      <c r="P1969" t="s">
        <v>128</v>
      </c>
      <c r="Q1969">
        <v>722</v>
      </c>
      <c r="R1969" s="296">
        <v>0</v>
      </c>
      <c r="S1969" s="296">
        <v>0.97660000000000002</v>
      </c>
      <c r="T1969" s="297">
        <v>30263</v>
      </c>
      <c r="U1969" s="340">
        <v>197066</v>
      </c>
      <c r="V1969" s="340">
        <v>1385497</v>
      </c>
      <c r="W1969" s="297">
        <v>57991</v>
      </c>
      <c r="X1969" s="296">
        <v>-8.9999999999999993E-3</v>
      </c>
    </row>
    <row r="1970" spans="13:24">
      <c r="M1970">
        <v>1968</v>
      </c>
      <c r="N1970">
        <v>80127</v>
      </c>
      <c r="O1970" t="s">
        <v>320</v>
      </c>
      <c r="P1970" t="s">
        <v>142</v>
      </c>
      <c r="Q1970">
        <v>924</v>
      </c>
      <c r="R1970" s="296">
        <v>0</v>
      </c>
      <c r="S1970" s="296">
        <v>0.97660000000000002</v>
      </c>
      <c r="T1970" s="297">
        <v>17307</v>
      </c>
      <c r="U1970" s="340">
        <v>196907</v>
      </c>
      <c r="V1970" s="340">
        <v>786042</v>
      </c>
      <c r="W1970" s="297">
        <v>45305</v>
      </c>
      <c r="X1970" s="296">
        <v>2E-3</v>
      </c>
    </row>
    <row r="1971" spans="13:24">
      <c r="M1971">
        <v>1969</v>
      </c>
      <c r="N1971">
        <v>21770</v>
      </c>
      <c r="O1971" t="s">
        <v>1742</v>
      </c>
      <c r="P1971" t="s">
        <v>137</v>
      </c>
      <c r="Q1971">
        <v>584</v>
      </c>
      <c r="R1971" s="296">
        <v>0</v>
      </c>
      <c r="S1971" s="296">
        <v>0.97660000000000002</v>
      </c>
      <c r="T1971" s="297">
        <v>2433</v>
      </c>
      <c r="U1971" s="340">
        <v>196844</v>
      </c>
      <c r="V1971" s="340">
        <v>664726</v>
      </c>
      <c r="W1971" s="297">
        <v>7366</v>
      </c>
      <c r="X1971" s="296">
        <v>8.9999999999999993E-3</v>
      </c>
    </row>
    <row r="1972" spans="13:24">
      <c r="M1972">
        <v>1970</v>
      </c>
      <c r="N1972">
        <v>63105</v>
      </c>
      <c r="O1972" t="s">
        <v>536</v>
      </c>
      <c r="P1972" t="s">
        <v>186</v>
      </c>
      <c r="Q1972">
        <v>276</v>
      </c>
      <c r="R1972" s="296">
        <v>0</v>
      </c>
      <c r="S1972" s="296">
        <v>0.97660000000000002</v>
      </c>
      <c r="T1972" s="297">
        <v>7150</v>
      </c>
      <c r="U1972" s="340">
        <v>196326</v>
      </c>
      <c r="V1972" s="340">
        <v>832174</v>
      </c>
      <c r="W1972" s="297">
        <v>18171</v>
      </c>
      <c r="X1972" s="296">
        <v>-1.2999999999999999E-2</v>
      </c>
    </row>
    <row r="1973" spans="13:24">
      <c r="M1973">
        <v>1971</v>
      </c>
      <c r="N1973">
        <v>93105</v>
      </c>
      <c r="O1973" t="s">
        <v>618</v>
      </c>
      <c r="P1973" t="s">
        <v>132</v>
      </c>
      <c r="Q1973">
        <v>1800</v>
      </c>
      <c r="R1973" s="296">
        <v>0</v>
      </c>
      <c r="S1973" s="296">
        <v>0.97660000000000002</v>
      </c>
      <c r="T1973" s="297">
        <v>10985</v>
      </c>
      <c r="U1973" s="340">
        <v>196248</v>
      </c>
      <c r="V1973" s="340">
        <v>1536974</v>
      </c>
      <c r="W1973" s="297">
        <v>26863</v>
      </c>
      <c r="X1973" s="296">
        <v>-2E-3</v>
      </c>
    </row>
    <row r="1974" spans="13:24">
      <c r="M1974">
        <v>1972</v>
      </c>
      <c r="N1974">
        <v>75214</v>
      </c>
      <c r="O1974" t="s">
        <v>338</v>
      </c>
      <c r="P1974" t="s">
        <v>134</v>
      </c>
      <c r="Q1974">
        <v>809</v>
      </c>
      <c r="R1974" s="296">
        <v>0</v>
      </c>
      <c r="S1974" s="296">
        <v>0.97660000000000002</v>
      </c>
      <c r="T1974" s="297">
        <v>16179</v>
      </c>
      <c r="U1974" s="340">
        <v>196017</v>
      </c>
      <c r="V1974" s="340">
        <v>768860</v>
      </c>
      <c r="W1974" s="297">
        <v>36194</v>
      </c>
      <c r="X1974" s="296">
        <v>3.0000000000000001E-3</v>
      </c>
    </row>
    <row r="1975" spans="13:24">
      <c r="M1975">
        <v>1973</v>
      </c>
      <c r="N1975">
        <v>94030</v>
      </c>
      <c r="O1975" t="s">
        <v>1743</v>
      </c>
      <c r="P1975" t="s">
        <v>132</v>
      </c>
      <c r="Q1975">
        <v>1849</v>
      </c>
      <c r="R1975" s="296">
        <v>0</v>
      </c>
      <c r="S1975" s="296">
        <v>0.97670000000000001</v>
      </c>
      <c r="T1975" s="297">
        <v>8589</v>
      </c>
      <c r="U1975" s="340">
        <v>195856</v>
      </c>
      <c r="V1975" s="340">
        <v>1742674</v>
      </c>
      <c r="W1975" s="297">
        <v>24632</v>
      </c>
      <c r="X1975" s="296">
        <v>8.0000000000000002E-3</v>
      </c>
    </row>
    <row r="1976" spans="13:24">
      <c r="M1976">
        <v>1974</v>
      </c>
      <c r="N1976">
        <v>93111</v>
      </c>
      <c r="O1976" t="s">
        <v>618</v>
      </c>
      <c r="P1976" t="s">
        <v>132</v>
      </c>
      <c r="Q1976">
        <v>1803</v>
      </c>
      <c r="R1976" s="296">
        <v>0</v>
      </c>
      <c r="S1976" s="296">
        <v>0.97670000000000001</v>
      </c>
      <c r="T1976" s="297">
        <v>6312</v>
      </c>
      <c r="U1976" s="340">
        <v>195062</v>
      </c>
      <c r="V1976" s="340">
        <v>1243310</v>
      </c>
      <c r="W1976" s="297">
        <v>17960</v>
      </c>
      <c r="X1976" s="296">
        <v>-3.0000000000000001E-3</v>
      </c>
    </row>
    <row r="1977" spans="13:24">
      <c r="M1977">
        <v>1975</v>
      </c>
      <c r="N1977">
        <v>8822</v>
      </c>
      <c r="O1977" t="s">
        <v>1744</v>
      </c>
      <c r="P1977" t="s">
        <v>129</v>
      </c>
      <c r="Q1977">
        <v>679</v>
      </c>
      <c r="R1977" s="296">
        <v>0</v>
      </c>
      <c r="S1977" s="296">
        <v>0.97670000000000001</v>
      </c>
      <c r="T1977" s="297">
        <v>12515</v>
      </c>
      <c r="U1977" s="340">
        <v>194862</v>
      </c>
      <c r="V1977" s="340">
        <v>570231</v>
      </c>
      <c r="W1977" s="297">
        <v>32825</v>
      </c>
      <c r="X1977" s="296">
        <v>0.01</v>
      </c>
    </row>
    <row r="1978" spans="13:24">
      <c r="M1978">
        <v>1976</v>
      </c>
      <c r="N1978">
        <v>15241</v>
      </c>
      <c r="O1978" t="s">
        <v>569</v>
      </c>
      <c r="P1978" t="s">
        <v>133</v>
      </c>
      <c r="Q1978">
        <v>419</v>
      </c>
      <c r="R1978" s="296">
        <v>0</v>
      </c>
      <c r="S1978" s="296">
        <v>0.97670000000000001</v>
      </c>
      <c r="T1978" s="297">
        <v>8324</v>
      </c>
      <c r="U1978" s="340">
        <v>194797</v>
      </c>
      <c r="V1978" s="340">
        <v>455682</v>
      </c>
      <c r="W1978" s="297">
        <v>22655</v>
      </c>
      <c r="X1978" s="296">
        <v>2E-3</v>
      </c>
    </row>
    <row r="1979" spans="13:24">
      <c r="M1979">
        <v>1977</v>
      </c>
      <c r="N1979">
        <v>28211</v>
      </c>
      <c r="O1979" t="s">
        <v>477</v>
      </c>
      <c r="P1979" t="s">
        <v>138</v>
      </c>
      <c r="Q1979">
        <v>612</v>
      </c>
      <c r="R1979" s="296">
        <v>0</v>
      </c>
      <c r="S1979" s="296">
        <v>0.97670000000000001</v>
      </c>
      <c r="T1979" s="297">
        <v>14022</v>
      </c>
      <c r="U1979" s="340">
        <v>193736</v>
      </c>
      <c r="V1979" s="340">
        <v>868293</v>
      </c>
      <c r="W1979" s="297">
        <v>33583</v>
      </c>
      <c r="X1979" s="296">
        <v>1.4E-2</v>
      </c>
    </row>
    <row r="1980" spans="13:24">
      <c r="M1980">
        <v>1978</v>
      </c>
      <c r="N1980">
        <v>7936</v>
      </c>
      <c r="O1980" t="s">
        <v>1745</v>
      </c>
      <c r="P1980" t="s">
        <v>129</v>
      </c>
      <c r="Q1980">
        <v>700</v>
      </c>
      <c r="R1980" s="296">
        <v>0</v>
      </c>
      <c r="S1980" s="296">
        <v>0.97670000000000001</v>
      </c>
      <c r="T1980" s="297">
        <v>4032</v>
      </c>
      <c r="U1980" s="340">
        <v>193303</v>
      </c>
      <c r="V1980" s="340">
        <v>729302</v>
      </c>
      <c r="W1980" s="297">
        <v>11142</v>
      </c>
      <c r="X1980" s="296">
        <v>-1E-3</v>
      </c>
    </row>
    <row r="1981" spans="13:24">
      <c r="M1981">
        <v>1979</v>
      </c>
      <c r="N1981">
        <v>95630</v>
      </c>
      <c r="O1981" t="s">
        <v>1746</v>
      </c>
      <c r="P1981" t="s">
        <v>132</v>
      </c>
      <c r="Q1981">
        <v>1760</v>
      </c>
      <c r="R1981" s="296">
        <v>0</v>
      </c>
      <c r="S1981" s="296">
        <v>0.97670000000000001</v>
      </c>
      <c r="T1981" s="297">
        <v>31439</v>
      </c>
      <c r="U1981" s="340">
        <v>193141</v>
      </c>
      <c r="V1981" s="340">
        <v>697768</v>
      </c>
      <c r="W1981" s="297">
        <v>89612</v>
      </c>
      <c r="X1981" s="296">
        <v>2.5999999999999999E-2</v>
      </c>
    </row>
    <row r="1982" spans="13:24">
      <c r="M1982">
        <v>1980</v>
      </c>
      <c r="N1982">
        <v>11758</v>
      </c>
      <c r="O1982" t="s">
        <v>1747</v>
      </c>
      <c r="P1982" t="s">
        <v>128</v>
      </c>
      <c r="Q1982">
        <v>749</v>
      </c>
      <c r="R1982" s="296">
        <v>0</v>
      </c>
      <c r="S1982" s="296">
        <v>0.97670000000000001</v>
      </c>
      <c r="T1982" s="297">
        <v>18082</v>
      </c>
      <c r="U1982" s="340">
        <v>192998</v>
      </c>
      <c r="V1982" s="340">
        <v>709426</v>
      </c>
      <c r="W1982" s="297">
        <v>53356</v>
      </c>
      <c r="X1982" s="296">
        <v>-3.0000000000000001E-3</v>
      </c>
    </row>
    <row r="1983" spans="13:24">
      <c r="M1983">
        <v>1981</v>
      </c>
      <c r="N1983">
        <v>75094</v>
      </c>
      <c r="O1983" t="s">
        <v>504</v>
      </c>
      <c r="P1983" t="s">
        <v>134</v>
      </c>
      <c r="Q1983">
        <v>794</v>
      </c>
      <c r="R1983" s="296">
        <v>0</v>
      </c>
      <c r="S1983" s="296">
        <v>0.9768</v>
      </c>
      <c r="T1983" s="297">
        <v>6633</v>
      </c>
      <c r="U1983" s="340">
        <v>192913</v>
      </c>
      <c r="V1983" s="340">
        <v>564895</v>
      </c>
      <c r="W1983" s="297">
        <v>23284</v>
      </c>
      <c r="X1983" s="296">
        <v>0</v>
      </c>
    </row>
    <row r="1984" spans="13:24">
      <c r="M1984">
        <v>1982</v>
      </c>
      <c r="N1984">
        <v>10018</v>
      </c>
      <c r="O1984" t="s">
        <v>203</v>
      </c>
      <c r="P1984" t="s">
        <v>128</v>
      </c>
      <c r="Q1984">
        <v>720</v>
      </c>
      <c r="R1984" s="296">
        <v>0</v>
      </c>
      <c r="S1984" s="296">
        <v>0.9768</v>
      </c>
      <c r="T1984" s="297">
        <v>5831</v>
      </c>
      <c r="U1984" s="340">
        <v>192782</v>
      </c>
      <c r="V1984" s="340">
        <v>1217659</v>
      </c>
      <c r="W1984" s="297">
        <v>11584</v>
      </c>
      <c r="X1984" s="296">
        <v>-6.0000000000000001E-3</v>
      </c>
    </row>
    <row r="1985" spans="13:24">
      <c r="M1985">
        <v>1983</v>
      </c>
      <c r="N1985">
        <v>33331</v>
      </c>
      <c r="O1985" t="s">
        <v>506</v>
      </c>
      <c r="P1985" t="s">
        <v>127</v>
      </c>
      <c r="Q1985">
        <v>1189</v>
      </c>
      <c r="R1985" s="296">
        <v>0</v>
      </c>
      <c r="S1985" s="296">
        <v>0.9768</v>
      </c>
      <c r="T1985" s="297">
        <v>7619</v>
      </c>
      <c r="U1985" s="340">
        <v>192126</v>
      </c>
      <c r="V1985" s="340">
        <v>751622</v>
      </c>
      <c r="W1985" s="297">
        <v>23302</v>
      </c>
      <c r="X1985" s="296">
        <v>3.0000000000000001E-3</v>
      </c>
    </row>
    <row r="1986" spans="13:24">
      <c r="M1986">
        <v>1984</v>
      </c>
      <c r="N1986">
        <v>19342</v>
      </c>
      <c r="O1986" t="s">
        <v>601</v>
      </c>
      <c r="P1986" t="s">
        <v>133</v>
      </c>
      <c r="Q1986">
        <v>658</v>
      </c>
      <c r="R1986" s="296">
        <v>0</v>
      </c>
      <c r="S1986" s="296">
        <v>0.9768</v>
      </c>
      <c r="T1986" s="297">
        <v>8209</v>
      </c>
      <c r="U1986" s="340">
        <v>191633</v>
      </c>
      <c r="V1986" s="340">
        <v>622546</v>
      </c>
      <c r="W1986" s="297">
        <v>19914</v>
      </c>
      <c r="X1986" s="296">
        <v>4.0000000000000001E-3</v>
      </c>
    </row>
    <row r="1987" spans="13:24">
      <c r="M1987">
        <v>1985</v>
      </c>
      <c r="N1987">
        <v>80027</v>
      </c>
      <c r="O1987" t="s">
        <v>830</v>
      </c>
      <c r="P1987" t="s">
        <v>142</v>
      </c>
      <c r="Q1987">
        <v>915</v>
      </c>
      <c r="R1987" s="296">
        <v>0</v>
      </c>
      <c r="S1987" s="296">
        <v>0.9768</v>
      </c>
      <c r="T1987" s="297">
        <v>13246</v>
      </c>
      <c r="U1987" s="340">
        <v>191107</v>
      </c>
      <c r="V1987" s="340">
        <v>939169</v>
      </c>
      <c r="W1987" s="297">
        <v>33428</v>
      </c>
      <c r="X1987" s="296">
        <v>-7.0000000000000001E-3</v>
      </c>
    </row>
    <row r="1988" spans="13:24">
      <c r="M1988">
        <v>1986</v>
      </c>
      <c r="N1988">
        <v>14534</v>
      </c>
      <c r="O1988" t="s">
        <v>605</v>
      </c>
      <c r="P1988" t="s">
        <v>128</v>
      </c>
      <c r="Q1988">
        <v>526</v>
      </c>
      <c r="R1988" s="296">
        <v>0</v>
      </c>
      <c r="S1988" s="296">
        <v>0.9768</v>
      </c>
      <c r="T1988" s="297">
        <v>12562</v>
      </c>
      <c r="U1988" s="340">
        <v>190968</v>
      </c>
      <c r="V1988" s="340">
        <v>382076</v>
      </c>
      <c r="W1988" s="297">
        <v>32484</v>
      </c>
      <c r="X1988" s="296">
        <v>-4.0000000000000001E-3</v>
      </c>
    </row>
    <row r="1989" spans="13:24">
      <c r="M1989">
        <v>1987</v>
      </c>
      <c r="N1989">
        <v>92692</v>
      </c>
      <c r="O1989" t="s">
        <v>1410</v>
      </c>
      <c r="P1989" t="s">
        <v>132</v>
      </c>
      <c r="Q1989">
        <v>1721</v>
      </c>
      <c r="R1989" s="296">
        <v>0</v>
      </c>
      <c r="S1989" s="296">
        <v>0.9768</v>
      </c>
      <c r="T1989" s="297">
        <v>17725</v>
      </c>
      <c r="U1989" s="340">
        <v>190770</v>
      </c>
      <c r="V1989" s="340">
        <v>1067930</v>
      </c>
      <c r="W1989" s="297">
        <v>45544</v>
      </c>
      <c r="X1989" s="296">
        <v>-3.0000000000000001E-3</v>
      </c>
    </row>
    <row r="1990" spans="13:24">
      <c r="M1990">
        <v>1988</v>
      </c>
      <c r="N1990">
        <v>10017</v>
      </c>
      <c r="O1990" t="s">
        <v>203</v>
      </c>
      <c r="P1990" t="s">
        <v>128</v>
      </c>
      <c r="Q1990">
        <v>721</v>
      </c>
      <c r="R1990" s="296">
        <v>0</v>
      </c>
      <c r="S1990" s="296">
        <v>0.9768</v>
      </c>
      <c r="T1990" s="297">
        <v>10862</v>
      </c>
      <c r="U1990" s="340">
        <v>189407</v>
      </c>
      <c r="V1990" s="340">
        <v>985509</v>
      </c>
      <c r="W1990" s="297">
        <v>17401</v>
      </c>
      <c r="X1990" s="296">
        <v>-7.0000000000000001E-3</v>
      </c>
    </row>
    <row r="1991" spans="13:24">
      <c r="M1991">
        <v>1989</v>
      </c>
      <c r="N1991">
        <v>92106</v>
      </c>
      <c r="O1991" t="s">
        <v>316</v>
      </c>
      <c r="P1991" t="s">
        <v>132</v>
      </c>
      <c r="Q1991">
        <v>1730</v>
      </c>
      <c r="R1991" s="296">
        <v>0</v>
      </c>
      <c r="S1991" s="296">
        <v>0.97689999999999999</v>
      </c>
      <c r="T1991" s="297">
        <v>7847</v>
      </c>
      <c r="U1991" s="340">
        <v>188976</v>
      </c>
      <c r="V1991" s="340">
        <v>1414595</v>
      </c>
      <c r="W1991" s="297">
        <v>20354</v>
      </c>
      <c r="X1991" s="296">
        <v>-1E-3</v>
      </c>
    </row>
    <row r="1992" spans="13:24">
      <c r="M1992">
        <v>1990</v>
      </c>
      <c r="N1992">
        <v>8889</v>
      </c>
      <c r="O1992" t="s">
        <v>1748</v>
      </c>
      <c r="P1992" t="s">
        <v>129</v>
      </c>
      <c r="Q1992">
        <v>682</v>
      </c>
      <c r="R1992" s="296">
        <v>0</v>
      </c>
      <c r="S1992" s="296">
        <v>0.97689999999999999</v>
      </c>
      <c r="T1992" s="297">
        <v>3858</v>
      </c>
      <c r="U1992" s="340">
        <v>188617</v>
      </c>
      <c r="V1992" s="340">
        <v>599080</v>
      </c>
      <c r="W1992" s="297">
        <v>9387</v>
      </c>
      <c r="X1992" s="296">
        <v>-3.0000000000000001E-3</v>
      </c>
    </row>
    <row r="1993" spans="13:24">
      <c r="M1993">
        <v>1991</v>
      </c>
      <c r="N1993">
        <v>63017</v>
      </c>
      <c r="O1993" t="s">
        <v>1749</v>
      </c>
      <c r="P1993" t="s">
        <v>186</v>
      </c>
      <c r="Q1993">
        <v>281</v>
      </c>
      <c r="R1993" s="296">
        <v>0</v>
      </c>
      <c r="S1993" s="296">
        <v>0.97689999999999999</v>
      </c>
      <c r="T1993" s="297">
        <v>17784</v>
      </c>
      <c r="U1993" s="340">
        <v>186940</v>
      </c>
      <c r="V1993" s="340">
        <v>511854</v>
      </c>
      <c r="W1993" s="297">
        <v>44160</v>
      </c>
      <c r="X1993" s="296">
        <v>5.0000000000000001E-3</v>
      </c>
    </row>
    <row r="1994" spans="13:24">
      <c r="M1994">
        <v>1992</v>
      </c>
      <c r="N1994">
        <v>92705</v>
      </c>
      <c r="O1994" t="s">
        <v>1750</v>
      </c>
      <c r="P1994" t="s">
        <v>132</v>
      </c>
      <c r="Q1994">
        <v>1724</v>
      </c>
      <c r="R1994" s="296">
        <v>0</v>
      </c>
      <c r="S1994" s="296">
        <v>0.97689999999999999</v>
      </c>
      <c r="T1994" s="297">
        <v>16637</v>
      </c>
      <c r="U1994" s="340">
        <v>186914</v>
      </c>
      <c r="V1994" s="340">
        <v>1224579</v>
      </c>
      <c r="W1994" s="297">
        <v>49136</v>
      </c>
      <c r="X1994" s="296">
        <v>7.0000000000000001E-3</v>
      </c>
    </row>
    <row r="1995" spans="13:24">
      <c r="M1995">
        <v>1993</v>
      </c>
      <c r="N1995">
        <v>92688</v>
      </c>
      <c r="O1995" t="s">
        <v>1751</v>
      </c>
      <c r="P1995" t="s">
        <v>132</v>
      </c>
      <c r="Q1995">
        <v>1719</v>
      </c>
      <c r="R1995" s="296">
        <v>0</v>
      </c>
      <c r="S1995" s="296">
        <v>0.97689999999999999</v>
      </c>
      <c r="T1995" s="297">
        <v>16053</v>
      </c>
      <c r="U1995" s="340">
        <v>186545</v>
      </c>
      <c r="V1995" s="340">
        <v>934812</v>
      </c>
      <c r="W1995" s="297">
        <v>44335</v>
      </c>
      <c r="X1995" s="296">
        <v>-2E-3</v>
      </c>
    </row>
    <row r="1996" spans="13:24">
      <c r="M1996">
        <v>1994</v>
      </c>
      <c r="N1996">
        <v>8056</v>
      </c>
      <c r="O1996" t="s">
        <v>1752</v>
      </c>
      <c r="P1996" t="s">
        <v>129</v>
      </c>
      <c r="Q1996">
        <v>674</v>
      </c>
      <c r="R1996" s="296">
        <v>0</v>
      </c>
      <c r="S1996" s="296">
        <v>0.97689999999999999</v>
      </c>
      <c r="T1996" s="297">
        <v>1777</v>
      </c>
      <c r="U1996" s="340">
        <v>186477</v>
      </c>
      <c r="V1996" s="340">
        <v>471919</v>
      </c>
      <c r="W1996" s="297">
        <v>5574</v>
      </c>
      <c r="X1996" s="296">
        <v>2E-3</v>
      </c>
    </row>
    <row r="1997" spans="13:24">
      <c r="M1997">
        <v>1995</v>
      </c>
      <c r="N1997">
        <v>33767</v>
      </c>
      <c r="O1997" t="s">
        <v>1753</v>
      </c>
      <c r="P1997" t="s">
        <v>127</v>
      </c>
      <c r="Q1997">
        <v>1019</v>
      </c>
      <c r="R1997" s="296">
        <v>0</v>
      </c>
      <c r="S1997" s="296">
        <v>0.97689999999999999</v>
      </c>
      <c r="T1997" s="297">
        <v>4682</v>
      </c>
      <c r="U1997" s="340">
        <v>186212</v>
      </c>
      <c r="V1997" s="340">
        <v>918991</v>
      </c>
      <c r="W1997" s="297">
        <v>8404</v>
      </c>
      <c r="X1997" s="296">
        <v>-2E-3</v>
      </c>
    </row>
    <row r="1998" spans="13:24">
      <c r="M1998">
        <v>1996</v>
      </c>
      <c r="N1998">
        <v>10075</v>
      </c>
      <c r="O1998" t="s">
        <v>203</v>
      </c>
      <c r="P1998" t="s">
        <v>128</v>
      </c>
      <c r="Q1998">
        <v>720</v>
      </c>
      <c r="R1998" s="296">
        <v>0</v>
      </c>
      <c r="S1998" s="296">
        <v>0.97689999999999999</v>
      </c>
      <c r="T1998" s="297">
        <v>14881</v>
      </c>
      <c r="U1998" s="340">
        <v>186124</v>
      </c>
      <c r="V1998" s="340">
        <v>1350872</v>
      </c>
      <c r="W1998" s="297">
        <v>27202</v>
      </c>
      <c r="X1998" s="296">
        <v>-8.0000000000000002E-3</v>
      </c>
    </row>
    <row r="1999" spans="13:24">
      <c r="M1999">
        <v>1997</v>
      </c>
      <c r="N1999">
        <v>27614</v>
      </c>
      <c r="O1999" t="s">
        <v>443</v>
      </c>
      <c r="P1999" t="s">
        <v>138</v>
      </c>
      <c r="Q1999">
        <v>651</v>
      </c>
      <c r="R1999" s="296">
        <v>0</v>
      </c>
      <c r="S1999" s="296">
        <v>0.97699999999999998</v>
      </c>
      <c r="T1999" s="297">
        <v>13458</v>
      </c>
      <c r="U1999" s="340">
        <v>185226</v>
      </c>
      <c r="V1999" s="340">
        <v>656911</v>
      </c>
      <c r="W1999" s="297">
        <v>34775</v>
      </c>
      <c r="X1999" s="296">
        <v>1E-3</v>
      </c>
    </row>
    <row r="2000" spans="13:24">
      <c r="M2000">
        <v>1998</v>
      </c>
      <c r="N2000">
        <v>29466</v>
      </c>
      <c r="O2000" t="s">
        <v>1185</v>
      </c>
      <c r="P2000" t="s">
        <v>145</v>
      </c>
      <c r="Q2000">
        <v>775</v>
      </c>
      <c r="R2000" s="296">
        <v>0</v>
      </c>
      <c r="S2000" s="296">
        <v>0.97699999999999998</v>
      </c>
      <c r="T2000" s="297">
        <v>16435</v>
      </c>
      <c r="U2000" s="340">
        <v>185165</v>
      </c>
      <c r="V2000" s="340">
        <v>800426</v>
      </c>
      <c r="W2000" s="297">
        <v>44014</v>
      </c>
      <c r="X2000" s="296">
        <v>7.0000000000000001E-3</v>
      </c>
    </row>
    <row r="2001" spans="13:24">
      <c r="M2001">
        <v>1999</v>
      </c>
      <c r="N2001">
        <v>33478</v>
      </c>
      <c r="O2001" t="s">
        <v>554</v>
      </c>
      <c r="P2001" t="s">
        <v>127</v>
      </c>
      <c r="Q2001">
        <v>1133</v>
      </c>
      <c r="R2001" s="296">
        <v>0</v>
      </c>
      <c r="S2001" s="296">
        <v>0.97699999999999998</v>
      </c>
      <c r="T2001" s="297">
        <v>5367</v>
      </c>
      <c r="U2001" s="340">
        <v>185080</v>
      </c>
      <c r="V2001" s="340">
        <v>782441</v>
      </c>
      <c r="W2001" s="297">
        <v>14883</v>
      </c>
      <c r="X2001" s="296">
        <v>2E-3</v>
      </c>
    </row>
    <row r="2002" spans="13:24">
      <c r="M2002">
        <v>2000</v>
      </c>
      <c r="N2002">
        <v>98109</v>
      </c>
      <c r="O2002" t="s">
        <v>299</v>
      </c>
      <c r="P2002" t="s">
        <v>224</v>
      </c>
      <c r="Q2002">
        <v>1718</v>
      </c>
      <c r="R2002" s="296">
        <v>0</v>
      </c>
      <c r="S2002" s="296">
        <v>0.97699999999999998</v>
      </c>
      <c r="T2002" s="297">
        <v>21731</v>
      </c>
      <c r="U2002" s="340">
        <v>185077</v>
      </c>
      <c r="V2002" s="340">
        <v>1206238</v>
      </c>
      <c r="W2002" s="297">
        <v>36670</v>
      </c>
      <c r="X2002" s="296">
        <v>2.4E-2</v>
      </c>
    </row>
    <row r="2003" spans="13:24">
      <c r="M2003">
        <v>2001</v>
      </c>
      <c r="N2003">
        <v>98012</v>
      </c>
      <c r="O2003" t="s">
        <v>1738</v>
      </c>
      <c r="P2003" t="s">
        <v>224</v>
      </c>
      <c r="Q2003">
        <v>1711</v>
      </c>
      <c r="R2003" s="296">
        <v>0</v>
      </c>
      <c r="S2003" s="296">
        <v>0.97699999999999998</v>
      </c>
      <c r="T2003" s="297">
        <v>29261</v>
      </c>
      <c r="U2003" s="340">
        <v>184787</v>
      </c>
      <c r="V2003" s="340">
        <v>885954</v>
      </c>
      <c r="W2003" s="297">
        <v>80823</v>
      </c>
      <c r="X2003" s="296">
        <v>1.2999999999999999E-2</v>
      </c>
    </row>
    <row r="2004" spans="13:24">
      <c r="M2004">
        <v>2002</v>
      </c>
      <c r="N2004">
        <v>10012</v>
      </c>
      <c r="O2004" t="s">
        <v>203</v>
      </c>
      <c r="P2004" t="s">
        <v>128</v>
      </c>
      <c r="Q2004">
        <v>720</v>
      </c>
      <c r="R2004" s="296">
        <v>0</v>
      </c>
      <c r="S2004" s="296">
        <v>0.97699999999999998</v>
      </c>
      <c r="T2004" s="297">
        <v>12798</v>
      </c>
      <c r="U2004" s="340">
        <v>184658</v>
      </c>
      <c r="V2004" s="340">
        <v>1441013</v>
      </c>
      <c r="W2004" s="297">
        <v>22828</v>
      </c>
      <c r="X2004" s="296">
        <v>-1.0999999999999999E-2</v>
      </c>
    </row>
    <row r="2005" spans="13:24">
      <c r="M2005">
        <v>2003</v>
      </c>
      <c r="N2005">
        <v>93021</v>
      </c>
      <c r="O2005" t="s">
        <v>534</v>
      </c>
      <c r="P2005" t="s">
        <v>132</v>
      </c>
      <c r="Q2005">
        <v>1760</v>
      </c>
      <c r="R2005" s="296">
        <v>0</v>
      </c>
      <c r="S2005" s="296">
        <v>0.97699999999999998</v>
      </c>
      <c r="T2005" s="297">
        <v>11885</v>
      </c>
      <c r="U2005" s="340">
        <v>184595</v>
      </c>
      <c r="V2005" s="340">
        <v>948264</v>
      </c>
      <c r="W2005" s="297">
        <v>36698</v>
      </c>
      <c r="X2005" s="296">
        <v>-8.9999999999999993E-3</v>
      </c>
    </row>
    <row r="2006" spans="13:24">
      <c r="M2006">
        <v>2004</v>
      </c>
      <c r="N2006">
        <v>1701</v>
      </c>
      <c r="O2006" t="s">
        <v>380</v>
      </c>
      <c r="P2006" t="s">
        <v>135</v>
      </c>
      <c r="Q2006">
        <v>835</v>
      </c>
      <c r="R2006" s="296">
        <v>0</v>
      </c>
      <c r="S2006" s="296">
        <v>0.97699999999999998</v>
      </c>
      <c r="T2006" s="297">
        <v>12808</v>
      </c>
      <c r="U2006" s="340">
        <v>184443</v>
      </c>
      <c r="V2006" s="340">
        <v>718497</v>
      </c>
      <c r="W2006" s="297">
        <v>32803</v>
      </c>
      <c r="X2006" s="296">
        <v>-1E-3</v>
      </c>
    </row>
    <row r="2007" spans="13:24">
      <c r="M2007">
        <v>2005</v>
      </c>
      <c r="N2007">
        <v>28173</v>
      </c>
      <c r="O2007" t="s">
        <v>1754</v>
      </c>
      <c r="P2007" t="s">
        <v>138</v>
      </c>
      <c r="Q2007">
        <v>628</v>
      </c>
      <c r="R2007" s="296">
        <v>0</v>
      </c>
      <c r="S2007" s="296">
        <v>0.97709999999999997</v>
      </c>
      <c r="T2007" s="297">
        <v>21484</v>
      </c>
      <c r="U2007" s="340">
        <v>184432</v>
      </c>
      <c r="V2007" s="340">
        <v>617582</v>
      </c>
      <c r="W2007" s="297">
        <v>69742</v>
      </c>
      <c r="X2007" s="296">
        <v>1.9E-2</v>
      </c>
    </row>
    <row r="2008" spans="13:24">
      <c r="M2008">
        <v>2006</v>
      </c>
      <c r="N2008">
        <v>94121</v>
      </c>
      <c r="O2008" t="s">
        <v>290</v>
      </c>
      <c r="P2008" t="s">
        <v>132</v>
      </c>
      <c r="Q2008">
        <v>1849</v>
      </c>
      <c r="R2008" s="296">
        <v>0</v>
      </c>
      <c r="S2008" s="296">
        <v>0.97709999999999997</v>
      </c>
      <c r="T2008" s="297">
        <v>17116</v>
      </c>
      <c r="U2008" s="340">
        <v>184408</v>
      </c>
      <c r="V2008" s="340">
        <v>1651127</v>
      </c>
      <c r="W2008" s="297">
        <v>39768</v>
      </c>
      <c r="X2008" s="296">
        <v>-1.4999999999999999E-2</v>
      </c>
    </row>
    <row r="2009" spans="13:24">
      <c r="M2009">
        <v>2007</v>
      </c>
      <c r="N2009">
        <v>37934</v>
      </c>
      <c r="O2009" t="s">
        <v>1755</v>
      </c>
      <c r="P2009" t="s">
        <v>146</v>
      </c>
      <c r="Q2009">
        <v>475</v>
      </c>
      <c r="R2009" s="296">
        <v>0</v>
      </c>
      <c r="S2009" s="296">
        <v>0.97709999999999997</v>
      </c>
      <c r="T2009" s="297">
        <v>10265</v>
      </c>
      <c r="U2009" s="340">
        <v>183721</v>
      </c>
      <c r="V2009" s="340">
        <v>527692</v>
      </c>
      <c r="W2009" s="297">
        <v>27876</v>
      </c>
      <c r="X2009" s="296">
        <v>7.0000000000000001E-3</v>
      </c>
    </row>
    <row r="2010" spans="13:24">
      <c r="M2010">
        <v>2008</v>
      </c>
      <c r="N2010">
        <v>94602</v>
      </c>
      <c r="O2010" t="s">
        <v>301</v>
      </c>
      <c r="P2010" t="s">
        <v>132</v>
      </c>
      <c r="Q2010">
        <v>1834</v>
      </c>
      <c r="R2010" s="296">
        <v>0</v>
      </c>
      <c r="S2010" s="296">
        <v>0.97709999999999997</v>
      </c>
      <c r="T2010" s="297">
        <v>12207</v>
      </c>
      <c r="U2010" s="340">
        <v>183195</v>
      </c>
      <c r="V2010" s="340">
        <v>1361047</v>
      </c>
      <c r="W2010" s="297">
        <v>30183</v>
      </c>
      <c r="X2010" s="296">
        <v>-5.0000000000000001E-3</v>
      </c>
    </row>
    <row r="2011" spans="13:24">
      <c r="M2011">
        <v>2009</v>
      </c>
      <c r="N2011">
        <v>75009</v>
      </c>
      <c r="O2011" t="s">
        <v>1756</v>
      </c>
      <c r="P2011" t="s">
        <v>134</v>
      </c>
      <c r="Q2011">
        <v>782</v>
      </c>
      <c r="R2011" s="296">
        <v>0</v>
      </c>
      <c r="S2011" s="296">
        <v>0.97709999999999997</v>
      </c>
      <c r="T2011" s="297">
        <v>12064</v>
      </c>
      <c r="U2011" s="340">
        <v>182116</v>
      </c>
      <c r="V2011" s="340">
        <v>614599</v>
      </c>
      <c r="W2011" s="297">
        <v>40655</v>
      </c>
      <c r="X2011" s="296">
        <v>0.158</v>
      </c>
    </row>
    <row r="2012" spans="13:24">
      <c r="M2012">
        <v>2010</v>
      </c>
      <c r="N2012">
        <v>20190</v>
      </c>
      <c r="O2012" t="s">
        <v>1757</v>
      </c>
      <c r="P2012" t="s">
        <v>139</v>
      </c>
      <c r="Q2012">
        <v>591</v>
      </c>
      <c r="R2012" s="296">
        <v>0</v>
      </c>
      <c r="S2012" s="296">
        <v>0.97709999999999997</v>
      </c>
      <c r="T2012" s="297">
        <v>11435</v>
      </c>
      <c r="U2012" s="340">
        <v>181997</v>
      </c>
      <c r="V2012" s="340">
        <v>812737</v>
      </c>
      <c r="W2012" s="297">
        <v>22342</v>
      </c>
      <c r="X2012" s="296">
        <v>1.4999999999999999E-2</v>
      </c>
    </row>
    <row r="2013" spans="13:24">
      <c r="M2013">
        <v>2011</v>
      </c>
      <c r="N2013">
        <v>48236</v>
      </c>
      <c r="O2013" t="s">
        <v>1739</v>
      </c>
      <c r="P2013" t="s">
        <v>140</v>
      </c>
      <c r="Q2013">
        <v>251</v>
      </c>
      <c r="R2013" s="296">
        <v>0</v>
      </c>
      <c r="S2013" s="296">
        <v>0.97709999999999997</v>
      </c>
      <c r="T2013" s="297">
        <v>12191</v>
      </c>
      <c r="U2013" s="340">
        <v>181866</v>
      </c>
      <c r="V2013" s="340">
        <v>418311</v>
      </c>
      <c r="W2013" s="297">
        <v>30717</v>
      </c>
      <c r="X2013" s="296">
        <v>-7.0000000000000001E-3</v>
      </c>
    </row>
    <row r="2014" spans="13:24">
      <c r="M2014">
        <v>2012</v>
      </c>
      <c r="N2014">
        <v>80528</v>
      </c>
      <c r="O2014" t="s">
        <v>1134</v>
      </c>
      <c r="P2014" t="s">
        <v>142</v>
      </c>
      <c r="Q2014">
        <v>899</v>
      </c>
      <c r="R2014" s="296">
        <v>0</v>
      </c>
      <c r="S2014" s="296">
        <v>0.97709999999999997</v>
      </c>
      <c r="T2014" s="297">
        <v>9195</v>
      </c>
      <c r="U2014" s="340">
        <v>181374</v>
      </c>
      <c r="V2014" s="340">
        <v>718573</v>
      </c>
      <c r="W2014" s="297">
        <v>24821</v>
      </c>
      <c r="X2014" s="296">
        <v>2.7E-2</v>
      </c>
    </row>
    <row r="2015" spans="13:24">
      <c r="M2015">
        <v>2013</v>
      </c>
      <c r="N2015">
        <v>32081</v>
      </c>
      <c r="O2015" t="s">
        <v>616</v>
      </c>
      <c r="P2015" t="s">
        <v>127</v>
      </c>
      <c r="Q2015">
        <v>903</v>
      </c>
      <c r="R2015" s="296">
        <v>0</v>
      </c>
      <c r="S2015" s="296">
        <v>0.97719999999999996</v>
      </c>
      <c r="T2015" s="297">
        <v>11504</v>
      </c>
      <c r="U2015" s="340">
        <v>181323</v>
      </c>
      <c r="V2015" s="340">
        <v>653396</v>
      </c>
      <c r="W2015" s="297">
        <v>31866</v>
      </c>
      <c r="X2015" s="296">
        <v>6.2E-2</v>
      </c>
    </row>
    <row r="2016" spans="13:24">
      <c r="M2016">
        <v>2014</v>
      </c>
      <c r="N2016">
        <v>7921</v>
      </c>
      <c r="O2016" t="s">
        <v>1758</v>
      </c>
      <c r="P2016" t="s">
        <v>129</v>
      </c>
      <c r="Q2016">
        <v>687</v>
      </c>
      <c r="R2016" s="296">
        <v>0</v>
      </c>
      <c r="S2016" s="296">
        <v>0.97719999999999996</v>
      </c>
      <c r="T2016" s="297">
        <v>4042</v>
      </c>
      <c r="U2016" s="340">
        <v>181312</v>
      </c>
      <c r="V2016" s="340">
        <v>637814</v>
      </c>
      <c r="W2016" s="297">
        <v>7589</v>
      </c>
      <c r="X2016" s="296">
        <v>1E-3</v>
      </c>
    </row>
    <row r="2017" spans="13:24">
      <c r="M2017">
        <v>2015</v>
      </c>
      <c r="N2017">
        <v>3862</v>
      </c>
      <c r="O2017" t="s">
        <v>526</v>
      </c>
      <c r="P2017" t="s">
        <v>197</v>
      </c>
      <c r="Q2017">
        <v>864</v>
      </c>
      <c r="R2017" s="296">
        <v>0</v>
      </c>
      <c r="S2017" s="296">
        <v>0.97719999999999996</v>
      </c>
      <c r="T2017" s="297">
        <v>1899</v>
      </c>
      <c r="U2017" s="340">
        <v>180944</v>
      </c>
      <c r="V2017" s="340">
        <v>864696</v>
      </c>
      <c r="W2017" s="297">
        <v>4559</v>
      </c>
      <c r="X2017" s="296">
        <v>1E-3</v>
      </c>
    </row>
    <row r="2018" spans="13:24">
      <c r="M2018">
        <v>2016</v>
      </c>
      <c r="N2018">
        <v>22302</v>
      </c>
      <c r="O2018" t="s">
        <v>521</v>
      </c>
      <c r="P2018" t="s">
        <v>139</v>
      </c>
      <c r="Q2018">
        <v>607</v>
      </c>
      <c r="R2018" s="296">
        <v>0</v>
      </c>
      <c r="S2018" s="296">
        <v>0.97719999999999996</v>
      </c>
      <c r="T2018" s="297">
        <v>9373</v>
      </c>
      <c r="U2018" s="340">
        <v>180704</v>
      </c>
      <c r="V2018" s="340">
        <v>796251</v>
      </c>
      <c r="W2018" s="297">
        <v>18959</v>
      </c>
      <c r="X2018" s="296">
        <v>1E-3</v>
      </c>
    </row>
    <row r="2019" spans="13:24">
      <c r="M2019">
        <v>2017</v>
      </c>
      <c r="N2019">
        <v>94551</v>
      </c>
      <c r="O2019" t="s">
        <v>1759</v>
      </c>
      <c r="P2019" t="s">
        <v>132</v>
      </c>
      <c r="Q2019">
        <v>1813</v>
      </c>
      <c r="R2019" s="296">
        <v>0</v>
      </c>
      <c r="S2019" s="296">
        <v>0.97719999999999996</v>
      </c>
      <c r="T2019" s="297">
        <v>14264</v>
      </c>
      <c r="U2019" s="340">
        <v>180422</v>
      </c>
      <c r="V2019" s="340">
        <v>1074782</v>
      </c>
      <c r="W2019" s="297">
        <v>40108</v>
      </c>
      <c r="X2019" s="296">
        <v>-1E-3</v>
      </c>
    </row>
    <row r="2020" spans="13:24">
      <c r="M2020">
        <v>2018</v>
      </c>
      <c r="N2020">
        <v>98007</v>
      </c>
      <c r="O2020" t="s">
        <v>1603</v>
      </c>
      <c r="P2020" t="s">
        <v>224</v>
      </c>
      <c r="Q2020">
        <v>1709</v>
      </c>
      <c r="R2020" s="296">
        <v>0</v>
      </c>
      <c r="S2020" s="296">
        <v>0.97719999999999996</v>
      </c>
      <c r="T2020" s="297">
        <v>12086</v>
      </c>
      <c r="U2020" s="340">
        <v>180250</v>
      </c>
      <c r="V2020" s="340">
        <v>1119651</v>
      </c>
      <c r="W2020" s="297">
        <v>30146</v>
      </c>
      <c r="X2020" s="296">
        <v>5.0000000000000001E-3</v>
      </c>
    </row>
    <row r="2021" spans="13:24">
      <c r="M2021">
        <v>2019</v>
      </c>
      <c r="N2021">
        <v>62536</v>
      </c>
      <c r="O2021" t="s">
        <v>1760</v>
      </c>
      <c r="P2021" t="s">
        <v>131</v>
      </c>
      <c r="Q2021">
        <v>199</v>
      </c>
      <c r="R2021" s="296">
        <v>0</v>
      </c>
      <c r="S2021" s="296">
        <v>0.97719999999999996</v>
      </c>
      <c r="T2021">
        <v>348</v>
      </c>
      <c r="U2021" s="340">
        <v>179935</v>
      </c>
      <c r="V2021" s="340">
        <v>336357</v>
      </c>
      <c r="W2021">
        <v>895</v>
      </c>
      <c r="X2021" s="296">
        <v>-8.0000000000000002E-3</v>
      </c>
    </row>
    <row r="2022" spans="13:24">
      <c r="M2022">
        <v>2020</v>
      </c>
      <c r="N2022">
        <v>68527</v>
      </c>
      <c r="O2022" t="s">
        <v>415</v>
      </c>
      <c r="P2022" t="s">
        <v>195</v>
      </c>
      <c r="Q2022">
        <v>461</v>
      </c>
      <c r="R2022" s="296">
        <v>0</v>
      </c>
      <c r="S2022" s="296">
        <v>0.97719999999999996</v>
      </c>
      <c r="T2022">
        <v>799</v>
      </c>
      <c r="U2022" s="340">
        <v>179905</v>
      </c>
      <c r="V2022" s="340">
        <v>503826</v>
      </c>
      <c r="W2022" s="297">
        <v>2335</v>
      </c>
      <c r="X2022" s="296">
        <v>6.9000000000000006E-2</v>
      </c>
    </row>
    <row r="2023" spans="13:24">
      <c r="M2023">
        <v>2021</v>
      </c>
      <c r="N2023">
        <v>34202</v>
      </c>
      <c r="O2023" t="s">
        <v>531</v>
      </c>
      <c r="P2023" t="s">
        <v>127</v>
      </c>
      <c r="Q2023">
        <v>1063</v>
      </c>
      <c r="R2023" s="296">
        <v>0</v>
      </c>
      <c r="S2023" s="296">
        <v>0.97729999999999995</v>
      </c>
      <c r="T2023" s="297">
        <v>12749</v>
      </c>
      <c r="U2023" s="340">
        <v>179583</v>
      </c>
      <c r="V2023" s="340">
        <v>770543</v>
      </c>
      <c r="W2023" s="297">
        <v>29536</v>
      </c>
      <c r="X2023" s="296">
        <v>2.8000000000000001E-2</v>
      </c>
    </row>
    <row r="2024" spans="13:24">
      <c r="M2024">
        <v>2022</v>
      </c>
      <c r="N2024">
        <v>80109</v>
      </c>
      <c r="O2024" t="s">
        <v>645</v>
      </c>
      <c r="P2024" t="s">
        <v>142</v>
      </c>
      <c r="Q2024">
        <v>914</v>
      </c>
      <c r="R2024" s="296">
        <v>0</v>
      </c>
      <c r="S2024" s="296">
        <v>0.97729999999999995</v>
      </c>
      <c r="T2024" s="297">
        <v>9997</v>
      </c>
      <c r="U2024" s="340">
        <v>179530</v>
      </c>
      <c r="V2024" s="340">
        <v>705760</v>
      </c>
      <c r="W2024" s="297">
        <v>29440</v>
      </c>
      <c r="X2024" s="296">
        <v>1.6E-2</v>
      </c>
    </row>
    <row r="2025" spans="13:24">
      <c r="M2025">
        <v>2023</v>
      </c>
      <c r="N2025">
        <v>98102</v>
      </c>
      <c r="O2025" t="s">
        <v>299</v>
      </c>
      <c r="P2025" t="s">
        <v>224</v>
      </c>
      <c r="Q2025">
        <v>1717</v>
      </c>
      <c r="R2025" s="296">
        <v>0</v>
      </c>
      <c r="S2025" s="296">
        <v>0.97729999999999995</v>
      </c>
      <c r="T2025" s="297">
        <v>16986</v>
      </c>
      <c r="U2025" s="340">
        <v>179397</v>
      </c>
      <c r="V2025" s="340">
        <v>1381352</v>
      </c>
      <c r="W2025" s="297">
        <v>27100</v>
      </c>
      <c r="X2025" s="296">
        <v>8.9999999999999993E-3</v>
      </c>
    </row>
    <row r="2026" spans="13:24">
      <c r="M2026">
        <v>2024</v>
      </c>
      <c r="N2026">
        <v>66211</v>
      </c>
      <c r="O2026" t="s">
        <v>1761</v>
      </c>
      <c r="P2026" t="s">
        <v>176</v>
      </c>
      <c r="Q2026">
        <v>423</v>
      </c>
      <c r="R2026" s="296">
        <v>0</v>
      </c>
      <c r="S2026" s="296">
        <v>0.97729999999999995</v>
      </c>
      <c r="T2026" s="297">
        <v>3388</v>
      </c>
      <c r="U2026" s="340">
        <v>179385</v>
      </c>
      <c r="V2026" s="340">
        <v>939265</v>
      </c>
      <c r="W2026" s="297">
        <v>6642</v>
      </c>
      <c r="X2026" s="296">
        <v>0.05</v>
      </c>
    </row>
    <row r="2027" spans="13:24">
      <c r="M2027">
        <v>2025</v>
      </c>
      <c r="N2027">
        <v>2912</v>
      </c>
      <c r="O2027" t="s">
        <v>442</v>
      </c>
      <c r="P2027" t="s">
        <v>212</v>
      </c>
      <c r="Q2027">
        <v>840</v>
      </c>
      <c r="R2027" s="296">
        <v>0</v>
      </c>
      <c r="S2027" s="296">
        <v>0.97729999999999995</v>
      </c>
      <c r="T2027">
        <v>19</v>
      </c>
      <c r="U2027" s="340">
        <v>179037</v>
      </c>
      <c r="V2027" s="340">
        <v>1354167</v>
      </c>
      <c r="W2027">
        <v>411</v>
      </c>
      <c r="X2027" s="296">
        <v>-5.0000000000000001E-3</v>
      </c>
    </row>
    <row r="2028" spans="13:24">
      <c r="M2028">
        <v>2026</v>
      </c>
      <c r="N2028">
        <v>85383</v>
      </c>
      <c r="O2028" t="s">
        <v>1052</v>
      </c>
      <c r="P2028" t="s">
        <v>158</v>
      </c>
      <c r="Q2028">
        <v>1447</v>
      </c>
      <c r="R2028" s="296">
        <v>0</v>
      </c>
      <c r="S2028" s="296">
        <v>0.97729999999999995</v>
      </c>
      <c r="T2028" s="297">
        <v>26224</v>
      </c>
      <c r="U2028" s="340">
        <v>179034</v>
      </c>
      <c r="V2028" s="340">
        <v>654691</v>
      </c>
      <c r="W2028" s="297">
        <v>77686</v>
      </c>
      <c r="X2028" s="296">
        <v>2.7E-2</v>
      </c>
    </row>
    <row r="2029" spans="13:24">
      <c r="M2029">
        <v>2027</v>
      </c>
      <c r="N2029">
        <v>21132</v>
      </c>
      <c r="O2029" t="s">
        <v>1762</v>
      </c>
      <c r="P2029" t="s">
        <v>137</v>
      </c>
      <c r="Q2029">
        <v>617</v>
      </c>
      <c r="R2029" s="296">
        <v>0</v>
      </c>
      <c r="S2029" s="296">
        <v>0.97729999999999995</v>
      </c>
      <c r="T2029" s="297">
        <v>1120</v>
      </c>
      <c r="U2029" s="340">
        <v>178362</v>
      </c>
      <c r="V2029" s="340">
        <v>579961</v>
      </c>
      <c r="W2029" s="297">
        <v>3245</v>
      </c>
      <c r="X2029" s="296">
        <v>4.0000000000000001E-3</v>
      </c>
    </row>
    <row r="2030" spans="13:24">
      <c r="M2030">
        <v>2028</v>
      </c>
      <c r="N2030">
        <v>34240</v>
      </c>
      <c r="O2030" t="s">
        <v>677</v>
      </c>
      <c r="P2030" t="s">
        <v>127</v>
      </c>
      <c r="Q2030">
        <v>1068</v>
      </c>
      <c r="R2030" s="296">
        <v>0</v>
      </c>
      <c r="S2030" s="296">
        <v>0.97729999999999995</v>
      </c>
      <c r="T2030" s="297">
        <v>7607</v>
      </c>
      <c r="U2030" s="340">
        <v>176979</v>
      </c>
      <c r="V2030" s="340">
        <v>743983</v>
      </c>
      <c r="W2030" s="297">
        <v>19836</v>
      </c>
      <c r="X2030" s="296">
        <v>8.5999999999999993E-2</v>
      </c>
    </row>
    <row r="2031" spans="13:24">
      <c r="M2031">
        <v>2029</v>
      </c>
      <c r="N2031">
        <v>2130</v>
      </c>
      <c r="O2031" t="s">
        <v>370</v>
      </c>
      <c r="P2031" t="s">
        <v>135</v>
      </c>
      <c r="Q2031">
        <v>852</v>
      </c>
      <c r="R2031" s="296">
        <v>0</v>
      </c>
      <c r="S2031" s="296">
        <v>0.97740000000000005</v>
      </c>
      <c r="T2031" s="297">
        <v>16101</v>
      </c>
      <c r="U2031" s="340">
        <v>176759</v>
      </c>
      <c r="V2031" s="340">
        <v>959168</v>
      </c>
      <c r="W2031" s="297">
        <v>36597</v>
      </c>
      <c r="X2031" s="296">
        <v>-7.0000000000000001E-3</v>
      </c>
    </row>
    <row r="2032" spans="13:24">
      <c r="M2032">
        <v>2030</v>
      </c>
      <c r="N2032">
        <v>94109</v>
      </c>
      <c r="O2032" t="s">
        <v>290</v>
      </c>
      <c r="P2032" t="s">
        <v>132</v>
      </c>
      <c r="Q2032">
        <v>1845</v>
      </c>
      <c r="R2032" s="296">
        <v>0</v>
      </c>
      <c r="S2032" s="296">
        <v>0.97740000000000005</v>
      </c>
      <c r="T2032" s="297">
        <v>31599</v>
      </c>
      <c r="U2032" s="340">
        <v>176274</v>
      </c>
      <c r="V2032" s="340">
        <v>1451002</v>
      </c>
      <c r="W2032" s="297">
        <v>53082</v>
      </c>
      <c r="X2032" s="296">
        <v>-1.2999999999999999E-2</v>
      </c>
    </row>
    <row r="2033" spans="13:24">
      <c r="M2033">
        <v>2031</v>
      </c>
      <c r="N2033">
        <v>22206</v>
      </c>
      <c r="O2033" t="s">
        <v>403</v>
      </c>
      <c r="P2033" t="s">
        <v>139</v>
      </c>
      <c r="Q2033">
        <v>606</v>
      </c>
      <c r="R2033" s="296">
        <v>0</v>
      </c>
      <c r="S2033" s="296">
        <v>0.97740000000000005</v>
      </c>
      <c r="T2033" s="297">
        <v>10446</v>
      </c>
      <c r="U2033" s="340">
        <v>176206</v>
      </c>
      <c r="V2033" s="340">
        <v>613952</v>
      </c>
      <c r="W2033" s="297">
        <v>21374</v>
      </c>
      <c r="X2033" s="296">
        <v>7.0000000000000001E-3</v>
      </c>
    </row>
    <row r="2034" spans="13:24">
      <c r="M2034">
        <v>2032</v>
      </c>
      <c r="N2034">
        <v>85050</v>
      </c>
      <c r="O2034" t="s">
        <v>548</v>
      </c>
      <c r="P2034" t="s">
        <v>158</v>
      </c>
      <c r="Q2034">
        <v>1437</v>
      </c>
      <c r="R2034" s="296">
        <v>0</v>
      </c>
      <c r="S2034" s="296">
        <v>0.97740000000000005</v>
      </c>
      <c r="T2034" s="297">
        <v>13340</v>
      </c>
      <c r="U2034" s="340">
        <v>175941</v>
      </c>
      <c r="V2034" s="340">
        <v>612931</v>
      </c>
      <c r="W2034" s="297">
        <v>34309</v>
      </c>
      <c r="X2034" s="296">
        <v>1.4999999999999999E-2</v>
      </c>
    </row>
    <row r="2035" spans="13:24">
      <c r="M2035">
        <v>2033</v>
      </c>
      <c r="N2035">
        <v>2451</v>
      </c>
      <c r="O2035" t="s">
        <v>375</v>
      </c>
      <c r="P2035" t="s">
        <v>135</v>
      </c>
      <c r="Q2035">
        <v>845</v>
      </c>
      <c r="R2035" s="296">
        <v>0</v>
      </c>
      <c r="S2035" s="296">
        <v>0.97740000000000005</v>
      </c>
      <c r="T2035" s="297">
        <v>7380</v>
      </c>
      <c r="U2035" s="340">
        <v>175748</v>
      </c>
      <c r="V2035" s="340">
        <v>883630</v>
      </c>
      <c r="W2035" s="297">
        <v>18316</v>
      </c>
      <c r="X2035" s="296">
        <v>5.0000000000000001E-3</v>
      </c>
    </row>
    <row r="2036" spans="13:24">
      <c r="M2036">
        <v>2034</v>
      </c>
      <c r="N2036">
        <v>78015</v>
      </c>
      <c r="O2036" t="s">
        <v>1198</v>
      </c>
      <c r="P2036" t="s">
        <v>134</v>
      </c>
      <c r="Q2036">
        <v>1049</v>
      </c>
      <c r="R2036" s="296">
        <v>0</v>
      </c>
      <c r="S2036" s="296">
        <v>0.97740000000000005</v>
      </c>
      <c r="T2036" s="297">
        <v>8547</v>
      </c>
      <c r="U2036" s="340">
        <v>175567</v>
      </c>
      <c r="V2036" s="340">
        <v>529054</v>
      </c>
      <c r="W2036" s="297">
        <v>24773</v>
      </c>
      <c r="X2036" s="296">
        <v>4.1000000000000002E-2</v>
      </c>
    </row>
    <row r="2037" spans="13:24">
      <c r="M2037">
        <v>2035</v>
      </c>
      <c r="N2037">
        <v>21093</v>
      </c>
      <c r="O2037" t="s">
        <v>1763</v>
      </c>
      <c r="P2037" t="s">
        <v>137</v>
      </c>
      <c r="Q2037">
        <v>612</v>
      </c>
      <c r="R2037" s="296">
        <v>0</v>
      </c>
      <c r="S2037" s="296">
        <v>0.97740000000000005</v>
      </c>
      <c r="T2037" s="297">
        <v>15858</v>
      </c>
      <c r="U2037" s="340">
        <v>175030</v>
      </c>
      <c r="V2037" s="340">
        <v>577338</v>
      </c>
      <c r="W2037" s="297">
        <v>39563</v>
      </c>
      <c r="X2037" s="296">
        <v>1E-3</v>
      </c>
    </row>
    <row r="2038" spans="13:24">
      <c r="M2038">
        <v>2036</v>
      </c>
      <c r="N2038">
        <v>91711</v>
      </c>
      <c r="O2038" t="s">
        <v>535</v>
      </c>
      <c r="P2038" t="s">
        <v>132</v>
      </c>
      <c r="Q2038">
        <v>1708</v>
      </c>
      <c r="R2038" s="296">
        <v>0</v>
      </c>
      <c r="S2038" s="296">
        <v>0.97740000000000005</v>
      </c>
      <c r="T2038" s="297">
        <v>12486</v>
      </c>
      <c r="U2038" s="340">
        <v>174256</v>
      </c>
      <c r="V2038" s="340">
        <v>1009742</v>
      </c>
      <c r="W2038" s="297">
        <v>34954</v>
      </c>
      <c r="X2038" s="296">
        <v>-2E-3</v>
      </c>
    </row>
    <row r="2039" spans="13:24">
      <c r="M2039">
        <v>2037</v>
      </c>
      <c r="N2039">
        <v>80401</v>
      </c>
      <c r="O2039" t="s">
        <v>1764</v>
      </c>
      <c r="P2039" t="s">
        <v>142</v>
      </c>
      <c r="Q2039">
        <v>922</v>
      </c>
      <c r="R2039" s="296">
        <v>0</v>
      </c>
      <c r="S2039" s="296">
        <v>0.97750000000000004</v>
      </c>
      <c r="T2039" s="297">
        <v>17203</v>
      </c>
      <c r="U2039" s="340">
        <v>173987</v>
      </c>
      <c r="V2039" s="340">
        <v>869777</v>
      </c>
      <c r="W2039" s="297">
        <v>43316</v>
      </c>
      <c r="X2039" s="296">
        <v>8.0000000000000002E-3</v>
      </c>
    </row>
    <row r="2040" spans="13:24">
      <c r="M2040">
        <v>2038</v>
      </c>
      <c r="N2040">
        <v>95747</v>
      </c>
      <c r="O2040" t="s">
        <v>1765</v>
      </c>
      <c r="P2040" t="s">
        <v>132</v>
      </c>
      <c r="Q2040">
        <v>1769</v>
      </c>
      <c r="R2040" s="296">
        <v>0</v>
      </c>
      <c r="S2040" s="296">
        <v>0.97750000000000004</v>
      </c>
      <c r="T2040" s="297">
        <v>31946</v>
      </c>
      <c r="U2040" s="340">
        <v>173791</v>
      </c>
      <c r="V2040" s="340">
        <v>719737</v>
      </c>
      <c r="W2040" s="297">
        <v>89940</v>
      </c>
      <c r="X2040" s="296">
        <v>4.4999999999999998E-2</v>
      </c>
    </row>
    <row r="2041" spans="13:24">
      <c r="M2041">
        <v>2039</v>
      </c>
      <c r="N2041">
        <v>37064</v>
      </c>
      <c r="O2041" t="s">
        <v>411</v>
      </c>
      <c r="P2041" t="s">
        <v>146</v>
      </c>
      <c r="Q2041">
        <v>435</v>
      </c>
      <c r="R2041" s="296">
        <v>0</v>
      </c>
      <c r="S2041" s="296">
        <v>0.97750000000000004</v>
      </c>
      <c r="T2041" s="297">
        <v>25571</v>
      </c>
      <c r="U2041" s="340">
        <v>173708</v>
      </c>
      <c r="V2041" s="340">
        <v>816680</v>
      </c>
      <c r="W2041" s="297">
        <v>68598</v>
      </c>
      <c r="X2041" s="296">
        <v>2.8000000000000001E-2</v>
      </c>
    </row>
    <row r="2042" spans="13:24">
      <c r="M2042">
        <v>2040</v>
      </c>
      <c r="N2042">
        <v>66207</v>
      </c>
      <c r="O2042" t="s">
        <v>593</v>
      </c>
      <c r="P2042" t="s">
        <v>176</v>
      </c>
      <c r="Q2042">
        <v>422</v>
      </c>
      <c r="R2042" s="296">
        <v>0</v>
      </c>
      <c r="S2042" s="296">
        <v>0.97750000000000004</v>
      </c>
      <c r="T2042" s="297">
        <v>6097</v>
      </c>
      <c r="U2042" s="340">
        <v>173697</v>
      </c>
      <c r="V2042" s="340">
        <v>540782</v>
      </c>
      <c r="W2042" s="297">
        <v>14590</v>
      </c>
      <c r="X2042" s="296">
        <v>8.0000000000000002E-3</v>
      </c>
    </row>
    <row r="2043" spans="13:24">
      <c r="M2043">
        <v>2041</v>
      </c>
      <c r="N2043">
        <v>1590</v>
      </c>
      <c r="O2043" t="s">
        <v>393</v>
      </c>
      <c r="P2043" t="s">
        <v>135</v>
      </c>
      <c r="Q2043">
        <v>820</v>
      </c>
      <c r="R2043" s="296">
        <v>0</v>
      </c>
      <c r="S2043" s="296">
        <v>0.97750000000000004</v>
      </c>
      <c r="T2043" s="297">
        <v>3546</v>
      </c>
      <c r="U2043" s="340">
        <v>173620</v>
      </c>
      <c r="V2043" s="340">
        <v>601705</v>
      </c>
      <c r="W2043" s="297">
        <v>9506</v>
      </c>
      <c r="X2043" s="296">
        <v>2E-3</v>
      </c>
    </row>
    <row r="2044" spans="13:24">
      <c r="M2044">
        <v>2042</v>
      </c>
      <c r="N2044">
        <v>80122</v>
      </c>
      <c r="O2044" t="s">
        <v>320</v>
      </c>
      <c r="P2044" t="s">
        <v>142</v>
      </c>
      <c r="Q2044">
        <v>913</v>
      </c>
      <c r="R2044" s="296">
        <v>0</v>
      </c>
      <c r="S2044" s="296">
        <v>0.97750000000000004</v>
      </c>
      <c r="T2044" s="297">
        <v>12809</v>
      </c>
      <c r="U2044" s="340">
        <v>173125</v>
      </c>
      <c r="V2044" s="340">
        <v>679432</v>
      </c>
      <c r="W2044" s="297">
        <v>32506</v>
      </c>
      <c r="X2044" s="296">
        <v>2E-3</v>
      </c>
    </row>
    <row r="2045" spans="13:24">
      <c r="M2045">
        <v>2043</v>
      </c>
      <c r="N2045">
        <v>93103</v>
      </c>
      <c r="O2045" t="s">
        <v>618</v>
      </c>
      <c r="P2045" t="s">
        <v>132</v>
      </c>
      <c r="Q2045">
        <v>1798</v>
      </c>
      <c r="R2045" s="296">
        <v>0</v>
      </c>
      <c r="S2045" s="296">
        <v>0.97750000000000004</v>
      </c>
      <c r="T2045" s="297">
        <v>7326</v>
      </c>
      <c r="U2045" s="340">
        <v>172717</v>
      </c>
      <c r="V2045" s="340">
        <v>1575656</v>
      </c>
      <c r="W2045" s="297">
        <v>19680</v>
      </c>
      <c r="X2045" s="296">
        <v>-4.0000000000000001E-3</v>
      </c>
    </row>
    <row r="2046" spans="13:24">
      <c r="M2046">
        <v>2044</v>
      </c>
      <c r="N2046">
        <v>87544</v>
      </c>
      <c r="O2046" t="s">
        <v>1766</v>
      </c>
      <c r="P2046" t="s">
        <v>200</v>
      </c>
      <c r="Q2046">
        <v>1084</v>
      </c>
      <c r="R2046" s="296">
        <v>0</v>
      </c>
      <c r="S2046" s="296">
        <v>0.97750000000000004</v>
      </c>
      <c r="T2046" s="297">
        <v>5986</v>
      </c>
      <c r="U2046" s="340">
        <v>172600</v>
      </c>
      <c r="V2046" s="340">
        <v>496370</v>
      </c>
      <c r="W2046" s="297">
        <v>13818</v>
      </c>
      <c r="X2046" s="296">
        <v>4.0000000000000001E-3</v>
      </c>
    </row>
    <row r="2047" spans="13:24">
      <c r="M2047">
        <v>2045</v>
      </c>
      <c r="N2047">
        <v>95121</v>
      </c>
      <c r="O2047" t="s">
        <v>296</v>
      </c>
      <c r="P2047" t="s">
        <v>132</v>
      </c>
      <c r="Q2047">
        <v>1826</v>
      </c>
      <c r="R2047" s="296">
        <v>0</v>
      </c>
      <c r="S2047" s="296">
        <v>0.97760000000000002</v>
      </c>
      <c r="T2047" s="297">
        <v>9172</v>
      </c>
      <c r="U2047" s="340">
        <v>172598</v>
      </c>
      <c r="V2047" s="340">
        <v>1236086</v>
      </c>
      <c r="W2047" s="297">
        <v>35423</v>
      </c>
      <c r="X2047" s="296">
        <v>-8.0000000000000002E-3</v>
      </c>
    </row>
    <row r="2048" spans="13:24">
      <c r="M2048">
        <v>2046</v>
      </c>
      <c r="N2048">
        <v>55374</v>
      </c>
      <c r="O2048" t="s">
        <v>1767</v>
      </c>
      <c r="P2048" t="s">
        <v>151</v>
      </c>
      <c r="Q2048">
        <v>357</v>
      </c>
      <c r="R2048" s="296">
        <v>0</v>
      </c>
      <c r="S2048" s="296">
        <v>0.97760000000000002</v>
      </c>
      <c r="T2048" s="297">
        <v>6220</v>
      </c>
      <c r="U2048" s="340">
        <v>172548</v>
      </c>
      <c r="V2048" s="340">
        <v>484213</v>
      </c>
      <c r="W2048" s="297">
        <v>18131</v>
      </c>
      <c r="X2048" s="296">
        <v>3.7999999999999999E-2</v>
      </c>
    </row>
    <row r="2049" spans="13:24">
      <c r="M2049">
        <v>2047</v>
      </c>
      <c r="N2049">
        <v>80129</v>
      </c>
      <c r="O2049" t="s">
        <v>320</v>
      </c>
      <c r="P2049" t="s">
        <v>142</v>
      </c>
      <c r="Q2049">
        <v>916</v>
      </c>
      <c r="R2049" s="296">
        <v>0</v>
      </c>
      <c r="S2049" s="296">
        <v>0.97760000000000002</v>
      </c>
      <c r="T2049" s="297">
        <v>12310</v>
      </c>
      <c r="U2049" s="340">
        <v>172326</v>
      </c>
      <c r="V2049" s="340">
        <v>694781</v>
      </c>
      <c r="W2049" s="297">
        <v>30370</v>
      </c>
      <c r="X2049" s="296">
        <v>6.0000000000000001E-3</v>
      </c>
    </row>
    <row r="2050" spans="13:24">
      <c r="M2050">
        <v>2048</v>
      </c>
      <c r="N2050">
        <v>75048</v>
      </c>
      <c r="O2050" t="s">
        <v>658</v>
      </c>
      <c r="P2050" t="s">
        <v>134</v>
      </c>
      <c r="Q2050">
        <v>796</v>
      </c>
      <c r="R2050" s="296">
        <v>0</v>
      </c>
      <c r="S2050" s="296">
        <v>0.97760000000000002</v>
      </c>
      <c r="T2050" s="297">
        <v>9415</v>
      </c>
      <c r="U2050" s="340">
        <v>172196</v>
      </c>
      <c r="V2050" s="340">
        <v>431825</v>
      </c>
      <c r="W2050" s="297">
        <v>30543</v>
      </c>
      <c r="X2050" s="296">
        <v>3.4000000000000002E-2</v>
      </c>
    </row>
    <row r="2051" spans="13:24">
      <c r="M2051">
        <v>2049</v>
      </c>
      <c r="N2051">
        <v>34229</v>
      </c>
      <c r="O2051" t="s">
        <v>1768</v>
      </c>
      <c r="P2051" t="s">
        <v>127</v>
      </c>
      <c r="Q2051">
        <v>1076</v>
      </c>
      <c r="R2051" s="296">
        <v>0</v>
      </c>
      <c r="S2051" s="296">
        <v>0.97760000000000002</v>
      </c>
      <c r="T2051" s="297">
        <v>3868</v>
      </c>
      <c r="U2051" s="340">
        <v>171826</v>
      </c>
      <c r="V2051" s="340">
        <v>903924</v>
      </c>
      <c r="W2051" s="297">
        <v>7970</v>
      </c>
      <c r="X2051" s="296">
        <v>6.0000000000000001E-3</v>
      </c>
    </row>
    <row r="2052" spans="13:24">
      <c r="M2052">
        <v>2050</v>
      </c>
      <c r="N2052">
        <v>27502</v>
      </c>
      <c r="O2052" t="s">
        <v>633</v>
      </c>
      <c r="P2052" t="s">
        <v>138</v>
      </c>
      <c r="Q2052">
        <v>654</v>
      </c>
      <c r="R2052" s="296">
        <v>0</v>
      </c>
      <c r="S2052" s="296">
        <v>0.97760000000000002</v>
      </c>
      <c r="T2052" s="297">
        <v>17669</v>
      </c>
      <c r="U2052" s="340">
        <v>171585</v>
      </c>
      <c r="V2052" s="340">
        <v>590055</v>
      </c>
      <c r="W2052" s="297">
        <v>50772</v>
      </c>
      <c r="X2052" s="296">
        <v>2.5000000000000001E-2</v>
      </c>
    </row>
    <row r="2053" spans="13:24">
      <c r="M2053">
        <v>2051</v>
      </c>
      <c r="N2053">
        <v>48167</v>
      </c>
      <c r="O2053" t="s">
        <v>457</v>
      </c>
      <c r="P2053" t="s">
        <v>140</v>
      </c>
      <c r="Q2053">
        <v>221</v>
      </c>
      <c r="R2053" s="296">
        <v>0</v>
      </c>
      <c r="S2053" s="296">
        <v>0.97760000000000002</v>
      </c>
      <c r="T2053" s="297">
        <v>10388</v>
      </c>
      <c r="U2053" s="340">
        <v>171576</v>
      </c>
      <c r="V2053" s="340">
        <v>506041</v>
      </c>
      <c r="W2053" s="297">
        <v>24639</v>
      </c>
      <c r="X2053" s="296">
        <v>-5.0000000000000001E-3</v>
      </c>
    </row>
    <row r="2054" spans="13:24">
      <c r="M2054">
        <v>2052</v>
      </c>
      <c r="N2054">
        <v>98290</v>
      </c>
      <c r="O2054" t="s">
        <v>1769</v>
      </c>
      <c r="P2054" t="s">
        <v>224</v>
      </c>
      <c r="Q2054">
        <v>1703</v>
      </c>
      <c r="R2054" s="296">
        <v>0</v>
      </c>
      <c r="S2054" s="296">
        <v>0.97760000000000002</v>
      </c>
      <c r="T2054" s="297">
        <v>14271</v>
      </c>
      <c r="U2054" s="340">
        <v>171568</v>
      </c>
      <c r="V2054" s="340">
        <v>940168</v>
      </c>
      <c r="W2054" s="297">
        <v>38954</v>
      </c>
      <c r="X2054" s="296">
        <v>8.0000000000000002E-3</v>
      </c>
    </row>
    <row r="2055" spans="13:24">
      <c r="M2055">
        <v>2053</v>
      </c>
      <c r="N2055">
        <v>85254</v>
      </c>
      <c r="O2055" t="s">
        <v>1159</v>
      </c>
      <c r="P2055" t="s">
        <v>158</v>
      </c>
      <c r="Q2055">
        <v>1437</v>
      </c>
      <c r="R2055" s="296">
        <v>0</v>
      </c>
      <c r="S2055" s="296">
        <v>0.97770000000000001</v>
      </c>
      <c r="T2055" s="297">
        <v>19690</v>
      </c>
      <c r="U2055" s="340">
        <v>171555</v>
      </c>
      <c r="V2055" s="340">
        <v>701269</v>
      </c>
      <c r="W2055" s="297">
        <v>48515</v>
      </c>
      <c r="X2055" s="296">
        <v>1.4999999999999999E-2</v>
      </c>
    </row>
    <row r="2056" spans="13:24">
      <c r="M2056">
        <v>2054</v>
      </c>
      <c r="N2056">
        <v>40245</v>
      </c>
      <c r="O2056" t="s">
        <v>830</v>
      </c>
      <c r="P2056" t="s">
        <v>143</v>
      </c>
      <c r="Q2056">
        <v>295</v>
      </c>
      <c r="R2056" s="296">
        <v>0</v>
      </c>
      <c r="S2056" s="296">
        <v>0.97770000000000001</v>
      </c>
      <c r="T2056" s="297">
        <v>14202</v>
      </c>
      <c r="U2056" s="340">
        <v>171007</v>
      </c>
      <c r="V2056" s="340">
        <v>446026</v>
      </c>
      <c r="W2056" s="297">
        <v>38995</v>
      </c>
      <c r="X2056" s="296">
        <v>7.0000000000000001E-3</v>
      </c>
    </row>
    <row r="2057" spans="13:24">
      <c r="M2057">
        <v>2055</v>
      </c>
      <c r="N2057">
        <v>21044</v>
      </c>
      <c r="O2057" t="s">
        <v>344</v>
      </c>
      <c r="P2057" t="s">
        <v>137</v>
      </c>
      <c r="Q2057">
        <v>606</v>
      </c>
      <c r="R2057" s="296">
        <v>0</v>
      </c>
      <c r="S2057" s="296">
        <v>0.97770000000000001</v>
      </c>
      <c r="T2057" s="297">
        <v>19501</v>
      </c>
      <c r="U2057" s="340">
        <v>170144</v>
      </c>
      <c r="V2057" s="340">
        <v>641345</v>
      </c>
      <c r="W2057" s="297">
        <v>46919</v>
      </c>
      <c r="X2057" s="296">
        <v>1.2999999999999999E-2</v>
      </c>
    </row>
    <row r="2058" spans="13:24">
      <c r="M2058">
        <v>2056</v>
      </c>
      <c r="N2058">
        <v>48348</v>
      </c>
      <c r="O2058" t="s">
        <v>620</v>
      </c>
      <c r="P2058" t="s">
        <v>140</v>
      </c>
      <c r="Q2058">
        <v>227</v>
      </c>
      <c r="R2058" s="296">
        <v>0</v>
      </c>
      <c r="S2058" s="296">
        <v>0.97770000000000001</v>
      </c>
      <c r="T2058" s="297">
        <v>9099</v>
      </c>
      <c r="U2058" s="340">
        <v>170116</v>
      </c>
      <c r="V2058" s="340">
        <v>463125</v>
      </c>
      <c r="W2058" s="297">
        <v>25369</v>
      </c>
      <c r="X2058" s="296">
        <v>1E-3</v>
      </c>
    </row>
    <row r="2059" spans="13:24">
      <c r="M2059">
        <v>2057</v>
      </c>
      <c r="N2059">
        <v>4074</v>
      </c>
      <c r="O2059" t="s">
        <v>498</v>
      </c>
      <c r="P2059" t="s">
        <v>182</v>
      </c>
      <c r="Q2059">
        <v>886</v>
      </c>
      <c r="R2059" s="296">
        <v>0</v>
      </c>
      <c r="S2059" s="296">
        <v>0.97770000000000001</v>
      </c>
      <c r="T2059" s="297">
        <v>9624</v>
      </c>
      <c r="U2059" s="340">
        <v>169926</v>
      </c>
      <c r="V2059" s="340">
        <v>649067</v>
      </c>
      <c r="W2059" s="297">
        <v>23255</v>
      </c>
      <c r="X2059" s="296">
        <v>1.6E-2</v>
      </c>
    </row>
    <row r="2060" spans="13:24">
      <c r="M2060">
        <v>2058</v>
      </c>
      <c r="N2060">
        <v>6371</v>
      </c>
      <c r="O2060" t="s">
        <v>1770</v>
      </c>
      <c r="P2060" t="s">
        <v>141</v>
      </c>
      <c r="Q2060">
        <v>799</v>
      </c>
      <c r="R2060" s="296">
        <v>0</v>
      </c>
      <c r="S2060" s="296">
        <v>0.97770000000000001</v>
      </c>
      <c r="T2060" s="297">
        <v>4379</v>
      </c>
      <c r="U2060" s="340">
        <v>169574</v>
      </c>
      <c r="V2060" s="340">
        <v>665050</v>
      </c>
      <c r="W2060" s="297">
        <v>10023</v>
      </c>
      <c r="X2060" s="296">
        <v>0</v>
      </c>
    </row>
    <row r="2061" spans="13:24">
      <c r="M2061">
        <v>2059</v>
      </c>
      <c r="N2061">
        <v>85297</v>
      </c>
      <c r="O2061" t="s">
        <v>655</v>
      </c>
      <c r="P2061" t="s">
        <v>158</v>
      </c>
      <c r="Q2061">
        <v>1437</v>
      </c>
      <c r="R2061" s="296">
        <v>0</v>
      </c>
      <c r="S2061" s="296">
        <v>0.97770000000000001</v>
      </c>
      <c r="T2061" s="297">
        <v>12628</v>
      </c>
      <c r="U2061" s="340">
        <v>169452</v>
      </c>
      <c r="V2061" s="340">
        <v>609563</v>
      </c>
      <c r="W2061" s="297">
        <v>42165</v>
      </c>
      <c r="X2061" s="296">
        <v>3.5000000000000003E-2</v>
      </c>
    </row>
    <row r="2062" spans="13:24">
      <c r="M2062">
        <v>2060</v>
      </c>
      <c r="N2062">
        <v>19341</v>
      </c>
      <c r="O2062" t="s">
        <v>632</v>
      </c>
      <c r="P2062" t="s">
        <v>133</v>
      </c>
      <c r="Q2062">
        <v>648</v>
      </c>
      <c r="R2062" s="296">
        <v>0</v>
      </c>
      <c r="S2062" s="296">
        <v>0.97770000000000001</v>
      </c>
      <c r="T2062" s="297">
        <v>8746</v>
      </c>
      <c r="U2062" s="340">
        <v>169438</v>
      </c>
      <c r="V2062" s="340">
        <v>558717</v>
      </c>
      <c r="W2062" s="297">
        <v>21508</v>
      </c>
      <c r="X2062" s="296">
        <v>3.4000000000000002E-2</v>
      </c>
    </row>
    <row r="2063" spans="13:24">
      <c r="M2063">
        <v>2061</v>
      </c>
      <c r="N2063">
        <v>92646</v>
      </c>
      <c r="O2063" t="s">
        <v>1771</v>
      </c>
      <c r="P2063" t="s">
        <v>132</v>
      </c>
      <c r="Q2063">
        <v>1736</v>
      </c>
      <c r="R2063" s="296">
        <v>0</v>
      </c>
      <c r="S2063" s="296">
        <v>0.9778</v>
      </c>
      <c r="T2063" s="297">
        <v>22285</v>
      </c>
      <c r="U2063" s="340">
        <v>169271</v>
      </c>
      <c r="V2063" s="340">
        <v>1099650</v>
      </c>
      <c r="W2063" s="297">
        <v>56807</v>
      </c>
      <c r="X2063" s="296">
        <v>-5.0000000000000001E-3</v>
      </c>
    </row>
    <row r="2064" spans="13:24">
      <c r="M2064">
        <v>2062</v>
      </c>
      <c r="N2064">
        <v>89441</v>
      </c>
      <c r="O2064" t="s">
        <v>1772</v>
      </c>
      <c r="P2064" t="s">
        <v>148</v>
      </c>
      <c r="Q2064">
        <v>1665</v>
      </c>
      <c r="R2064" s="296">
        <v>0</v>
      </c>
      <c r="S2064" s="296">
        <v>0.9778</v>
      </c>
      <c r="T2064" s="297">
        <v>5698</v>
      </c>
      <c r="U2064" s="340">
        <v>168638</v>
      </c>
      <c r="V2064" s="340">
        <v>636231</v>
      </c>
      <c r="W2064" s="297">
        <v>15650</v>
      </c>
      <c r="X2064" s="296">
        <v>0.03</v>
      </c>
    </row>
    <row r="2065" spans="13:24">
      <c r="M2065">
        <v>2063</v>
      </c>
      <c r="N2065">
        <v>27517</v>
      </c>
      <c r="O2065" t="s">
        <v>1429</v>
      </c>
      <c r="P2065" t="s">
        <v>138</v>
      </c>
      <c r="Q2065">
        <v>638</v>
      </c>
      <c r="R2065" s="296">
        <v>0</v>
      </c>
      <c r="S2065" s="296">
        <v>0.9778</v>
      </c>
      <c r="T2065" s="297">
        <v>13558</v>
      </c>
      <c r="U2065" s="340">
        <v>168423</v>
      </c>
      <c r="V2065" s="340">
        <v>657543</v>
      </c>
      <c r="W2065" s="297">
        <v>31471</v>
      </c>
      <c r="X2065" s="296">
        <v>1.7999999999999999E-2</v>
      </c>
    </row>
    <row r="2066" spans="13:24">
      <c r="M2066">
        <v>2064</v>
      </c>
      <c r="N2066">
        <v>68526</v>
      </c>
      <c r="O2066" t="s">
        <v>415</v>
      </c>
      <c r="P2066" t="s">
        <v>195</v>
      </c>
      <c r="Q2066">
        <v>466</v>
      </c>
      <c r="R2066" s="296">
        <v>0</v>
      </c>
      <c r="S2066" s="296">
        <v>0.9778</v>
      </c>
      <c r="T2066" s="297">
        <v>3184</v>
      </c>
      <c r="U2066" s="340">
        <v>168363</v>
      </c>
      <c r="V2066" s="340">
        <v>485450</v>
      </c>
      <c r="W2066" s="297">
        <v>8437</v>
      </c>
      <c r="X2066" s="296">
        <v>2.4E-2</v>
      </c>
    </row>
    <row r="2067" spans="13:24">
      <c r="M2067">
        <v>2065</v>
      </c>
      <c r="N2067">
        <v>75077</v>
      </c>
      <c r="O2067" t="s">
        <v>1773</v>
      </c>
      <c r="P2067" t="s">
        <v>134</v>
      </c>
      <c r="Q2067">
        <v>806</v>
      </c>
      <c r="R2067" s="296">
        <v>0</v>
      </c>
      <c r="S2067" s="296">
        <v>0.9778</v>
      </c>
      <c r="T2067" s="297">
        <v>14154</v>
      </c>
      <c r="U2067" s="340">
        <v>168270</v>
      </c>
      <c r="V2067" s="340">
        <v>524133</v>
      </c>
      <c r="W2067" s="297">
        <v>39436</v>
      </c>
      <c r="X2067" s="296">
        <v>1.6E-2</v>
      </c>
    </row>
    <row r="2068" spans="13:24">
      <c r="M2068">
        <v>2066</v>
      </c>
      <c r="N2068">
        <v>20772</v>
      </c>
      <c r="O2068" t="s">
        <v>1774</v>
      </c>
      <c r="P2068" t="s">
        <v>137</v>
      </c>
      <c r="Q2068">
        <v>624</v>
      </c>
      <c r="R2068" s="296">
        <v>0</v>
      </c>
      <c r="S2068" s="296">
        <v>0.9778</v>
      </c>
      <c r="T2068" s="297">
        <v>20000</v>
      </c>
      <c r="U2068" s="340">
        <v>168027</v>
      </c>
      <c r="V2068" s="340">
        <v>534940</v>
      </c>
      <c r="W2068" s="297">
        <v>53868</v>
      </c>
      <c r="X2068" s="296">
        <v>1.0999999999999999E-2</v>
      </c>
    </row>
    <row r="2069" spans="13:24">
      <c r="M2069">
        <v>2067</v>
      </c>
      <c r="N2069">
        <v>92656</v>
      </c>
      <c r="O2069" t="s">
        <v>1775</v>
      </c>
      <c r="P2069" t="s">
        <v>132</v>
      </c>
      <c r="Q2069">
        <v>1727</v>
      </c>
      <c r="R2069" s="296">
        <v>0</v>
      </c>
      <c r="S2069" s="296">
        <v>0.9778</v>
      </c>
      <c r="T2069" s="297">
        <v>20714</v>
      </c>
      <c r="U2069" s="340">
        <v>168007</v>
      </c>
      <c r="V2069" s="340">
        <v>1018898</v>
      </c>
      <c r="W2069" s="297">
        <v>54389</v>
      </c>
      <c r="X2069" s="296">
        <v>-3.0000000000000001E-3</v>
      </c>
    </row>
    <row r="2070" spans="13:24">
      <c r="M2070">
        <v>2068</v>
      </c>
      <c r="N2070">
        <v>55442</v>
      </c>
      <c r="O2070" t="s">
        <v>576</v>
      </c>
      <c r="P2070" t="s">
        <v>151</v>
      </c>
      <c r="Q2070">
        <v>346</v>
      </c>
      <c r="R2070" s="296">
        <v>0</v>
      </c>
      <c r="S2070" s="296">
        <v>0.9778</v>
      </c>
      <c r="T2070" s="297">
        <v>5439</v>
      </c>
      <c r="U2070" s="340">
        <v>167928</v>
      </c>
      <c r="V2070" s="340">
        <v>490407</v>
      </c>
      <c r="W2070" s="297">
        <v>12484</v>
      </c>
      <c r="X2070" s="296">
        <v>-7.0000000000000001E-3</v>
      </c>
    </row>
    <row r="2071" spans="13:24">
      <c r="M2071">
        <v>2069</v>
      </c>
      <c r="N2071">
        <v>55044</v>
      </c>
      <c r="O2071" t="s">
        <v>424</v>
      </c>
      <c r="P2071" t="s">
        <v>151</v>
      </c>
      <c r="Q2071">
        <v>325</v>
      </c>
      <c r="R2071" s="296">
        <v>0</v>
      </c>
      <c r="S2071" s="296">
        <v>0.97789999999999999</v>
      </c>
      <c r="T2071" s="297">
        <v>20424</v>
      </c>
      <c r="U2071" s="340">
        <v>167912</v>
      </c>
      <c r="V2071" s="340">
        <v>524744</v>
      </c>
      <c r="W2071" s="297">
        <v>60175</v>
      </c>
      <c r="X2071" s="296">
        <v>0.02</v>
      </c>
    </row>
    <row r="2072" spans="13:24">
      <c r="M2072">
        <v>2070</v>
      </c>
      <c r="N2072">
        <v>14068</v>
      </c>
      <c r="O2072" t="s">
        <v>1776</v>
      </c>
      <c r="P2072" t="s">
        <v>128</v>
      </c>
      <c r="Q2072">
        <v>463</v>
      </c>
      <c r="R2072" s="296">
        <v>0</v>
      </c>
      <c r="S2072" s="296">
        <v>0.97789999999999999</v>
      </c>
      <c r="T2072" s="297">
        <v>3153</v>
      </c>
      <c r="U2072" s="340">
        <v>167882</v>
      </c>
      <c r="V2072" s="340">
        <v>421637</v>
      </c>
      <c r="W2072" s="297">
        <v>7687</v>
      </c>
      <c r="X2072" s="296">
        <v>6.0000000000000001E-3</v>
      </c>
    </row>
    <row r="2073" spans="13:24">
      <c r="M2073">
        <v>2071</v>
      </c>
      <c r="N2073">
        <v>91902</v>
      </c>
      <c r="O2073" t="s">
        <v>1777</v>
      </c>
      <c r="P2073" t="s">
        <v>132</v>
      </c>
      <c r="Q2073">
        <v>1721</v>
      </c>
      <c r="R2073" s="296">
        <v>0</v>
      </c>
      <c r="S2073" s="296">
        <v>0.97789999999999999</v>
      </c>
      <c r="T2073" s="297">
        <v>5944</v>
      </c>
      <c r="U2073" s="340">
        <v>167445</v>
      </c>
      <c r="V2073" s="340">
        <v>1014385</v>
      </c>
      <c r="W2073" s="297">
        <v>17868</v>
      </c>
      <c r="X2073" s="296">
        <v>-4.0000000000000001E-3</v>
      </c>
    </row>
    <row r="2074" spans="13:24">
      <c r="M2074">
        <v>2072</v>
      </c>
      <c r="N2074">
        <v>78260</v>
      </c>
      <c r="O2074" t="s">
        <v>326</v>
      </c>
      <c r="P2074" t="s">
        <v>134</v>
      </c>
      <c r="Q2074">
        <v>1045</v>
      </c>
      <c r="R2074" s="296">
        <v>0</v>
      </c>
      <c r="S2074" s="296">
        <v>0.97789999999999999</v>
      </c>
      <c r="T2074" s="297">
        <v>14616</v>
      </c>
      <c r="U2074" s="340">
        <v>167272</v>
      </c>
      <c r="V2074" s="340">
        <v>483234</v>
      </c>
      <c r="W2074" s="297">
        <v>43936</v>
      </c>
      <c r="X2074" s="296">
        <v>3.1E-2</v>
      </c>
    </row>
    <row r="2075" spans="13:24">
      <c r="M2075">
        <v>2073</v>
      </c>
      <c r="N2075">
        <v>92508</v>
      </c>
      <c r="O2075" t="s">
        <v>578</v>
      </c>
      <c r="P2075" t="s">
        <v>132</v>
      </c>
      <c r="Q2075">
        <v>1695</v>
      </c>
      <c r="R2075" s="296">
        <v>0</v>
      </c>
      <c r="S2075" s="296">
        <v>0.97789999999999999</v>
      </c>
      <c r="T2075" s="297">
        <v>10193</v>
      </c>
      <c r="U2075" s="340">
        <v>167005</v>
      </c>
      <c r="V2075" s="340">
        <v>678609</v>
      </c>
      <c r="W2075" s="297">
        <v>35507</v>
      </c>
      <c r="X2075" s="296">
        <v>1E-3</v>
      </c>
    </row>
    <row r="2076" spans="13:24">
      <c r="M2076">
        <v>2074</v>
      </c>
      <c r="N2076">
        <v>34990</v>
      </c>
      <c r="O2076" t="s">
        <v>646</v>
      </c>
      <c r="P2076" t="s">
        <v>127</v>
      </c>
      <c r="Q2076">
        <v>1118</v>
      </c>
      <c r="R2076" s="296">
        <v>0</v>
      </c>
      <c r="S2076" s="296">
        <v>0.97789999999999999</v>
      </c>
      <c r="T2076" s="297">
        <v>13208</v>
      </c>
      <c r="U2076" s="340">
        <v>166921</v>
      </c>
      <c r="V2076" s="340">
        <v>631550</v>
      </c>
      <c r="W2076" s="297">
        <v>32042</v>
      </c>
      <c r="X2076" s="296">
        <v>7.0000000000000001E-3</v>
      </c>
    </row>
    <row r="2077" spans="13:24">
      <c r="M2077">
        <v>2075</v>
      </c>
      <c r="N2077">
        <v>94112</v>
      </c>
      <c r="O2077" t="s">
        <v>290</v>
      </c>
      <c r="P2077" t="s">
        <v>132</v>
      </c>
      <c r="Q2077">
        <v>1848</v>
      </c>
      <c r="R2077" s="296">
        <v>0</v>
      </c>
      <c r="S2077" s="296">
        <v>0.97789999999999999</v>
      </c>
      <c r="T2077" s="297">
        <v>22592</v>
      </c>
      <c r="U2077" s="340">
        <v>166799</v>
      </c>
      <c r="V2077" s="340">
        <v>1222829</v>
      </c>
      <c r="W2077" s="297">
        <v>75025</v>
      </c>
      <c r="X2077" s="296">
        <v>-1.2E-2</v>
      </c>
    </row>
    <row r="2078" spans="13:24">
      <c r="M2078">
        <v>2076</v>
      </c>
      <c r="N2078">
        <v>21144</v>
      </c>
      <c r="O2078" t="s">
        <v>1778</v>
      </c>
      <c r="P2078" t="s">
        <v>137</v>
      </c>
      <c r="Q2078">
        <v>618</v>
      </c>
      <c r="R2078" s="296">
        <v>0</v>
      </c>
      <c r="S2078" s="296">
        <v>0.97789999999999999</v>
      </c>
      <c r="T2078" s="297">
        <v>13150</v>
      </c>
      <c r="U2078" s="340">
        <v>166086</v>
      </c>
      <c r="V2078" s="340">
        <v>547476</v>
      </c>
      <c r="W2078" s="297">
        <v>37818</v>
      </c>
      <c r="X2078" s="296">
        <v>3.0000000000000001E-3</v>
      </c>
    </row>
    <row r="2079" spans="13:24">
      <c r="M2079">
        <v>2077</v>
      </c>
      <c r="N2079">
        <v>32779</v>
      </c>
      <c r="O2079" t="s">
        <v>1779</v>
      </c>
      <c r="P2079" t="s">
        <v>127</v>
      </c>
      <c r="Q2079">
        <v>994</v>
      </c>
      <c r="R2079" s="296">
        <v>0</v>
      </c>
      <c r="S2079" s="296">
        <v>0.97799999999999998</v>
      </c>
      <c r="T2079" s="297">
        <v>11953</v>
      </c>
      <c r="U2079" s="340">
        <v>165918</v>
      </c>
      <c r="V2079" s="340">
        <v>607621</v>
      </c>
      <c r="W2079" s="297">
        <v>30406</v>
      </c>
      <c r="X2079" s="296">
        <v>-1E-3</v>
      </c>
    </row>
    <row r="2080" spans="13:24">
      <c r="M2080">
        <v>2078</v>
      </c>
      <c r="N2080">
        <v>44141</v>
      </c>
      <c r="O2080" t="s">
        <v>1780</v>
      </c>
      <c r="P2080" t="s">
        <v>136</v>
      </c>
      <c r="Q2080">
        <v>323</v>
      </c>
      <c r="R2080" s="296">
        <v>0</v>
      </c>
      <c r="S2080" s="296">
        <v>0.97799999999999998</v>
      </c>
      <c r="T2080" s="297">
        <v>5568</v>
      </c>
      <c r="U2080" s="340">
        <v>165916</v>
      </c>
      <c r="V2080" s="340">
        <v>397614</v>
      </c>
      <c r="W2080" s="297">
        <v>13877</v>
      </c>
      <c r="X2080" s="296">
        <v>-4.0000000000000001E-3</v>
      </c>
    </row>
    <row r="2081" spans="13:24">
      <c r="M2081">
        <v>2079</v>
      </c>
      <c r="N2081">
        <v>78759</v>
      </c>
      <c r="O2081" t="s">
        <v>416</v>
      </c>
      <c r="P2081" t="s">
        <v>134</v>
      </c>
      <c r="Q2081">
        <v>982</v>
      </c>
      <c r="R2081" s="296">
        <v>0</v>
      </c>
      <c r="S2081" s="296">
        <v>0.97799999999999998</v>
      </c>
      <c r="T2081" s="297">
        <v>19222</v>
      </c>
      <c r="U2081" s="340">
        <v>165823</v>
      </c>
      <c r="V2081" s="340">
        <v>729990</v>
      </c>
      <c r="W2081" s="297">
        <v>39227</v>
      </c>
      <c r="X2081" s="296">
        <v>-5.0000000000000001E-3</v>
      </c>
    </row>
    <row r="2082" spans="13:24">
      <c r="M2082">
        <v>2080</v>
      </c>
      <c r="N2082">
        <v>94066</v>
      </c>
      <c r="O2082" t="s">
        <v>288</v>
      </c>
      <c r="P2082" t="s">
        <v>132</v>
      </c>
      <c r="Q2082">
        <v>1850</v>
      </c>
      <c r="R2082" s="296">
        <v>0</v>
      </c>
      <c r="S2082" s="296">
        <v>0.97799999999999998</v>
      </c>
      <c r="T2082" s="297">
        <v>15910</v>
      </c>
      <c r="U2082" s="340">
        <v>165645</v>
      </c>
      <c r="V2082" s="340">
        <v>1283087</v>
      </c>
      <c r="W2082" s="297">
        <v>44908</v>
      </c>
      <c r="X2082" s="296">
        <v>5.0000000000000001E-3</v>
      </c>
    </row>
    <row r="2083" spans="13:24">
      <c r="M2083">
        <v>2081</v>
      </c>
      <c r="N2083">
        <v>44233</v>
      </c>
      <c r="O2083" t="s">
        <v>1080</v>
      </c>
      <c r="P2083" t="s">
        <v>136</v>
      </c>
      <c r="Q2083">
        <v>318</v>
      </c>
      <c r="R2083" s="296">
        <v>0</v>
      </c>
      <c r="S2083" s="296">
        <v>0.97799999999999998</v>
      </c>
      <c r="T2083" s="297">
        <v>3111</v>
      </c>
      <c r="U2083" s="340">
        <v>165481</v>
      </c>
      <c r="V2083" s="340">
        <v>503470</v>
      </c>
      <c r="W2083" s="297">
        <v>8281</v>
      </c>
      <c r="X2083" s="296">
        <v>6.0000000000000001E-3</v>
      </c>
    </row>
    <row r="2084" spans="13:24">
      <c r="M2084">
        <v>2082</v>
      </c>
      <c r="N2084">
        <v>27613</v>
      </c>
      <c r="O2084" t="s">
        <v>443</v>
      </c>
      <c r="P2084" t="s">
        <v>138</v>
      </c>
      <c r="Q2084">
        <v>651</v>
      </c>
      <c r="R2084" s="296">
        <v>0</v>
      </c>
      <c r="S2084" s="296">
        <v>0.97799999999999998</v>
      </c>
      <c r="T2084" s="297">
        <v>19679</v>
      </c>
      <c r="U2084" s="340">
        <v>165050</v>
      </c>
      <c r="V2084" s="340">
        <v>589374</v>
      </c>
      <c r="W2084" s="297">
        <v>47176</v>
      </c>
      <c r="X2084" s="296">
        <v>1E-3</v>
      </c>
    </row>
    <row r="2085" spans="13:24">
      <c r="M2085">
        <v>2083</v>
      </c>
      <c r="N2085">
        <v>48103</v>
      </c>
      <c r="O2085" t="s">
        <v>540</v>
      </c>
      <c r="P2085" t="s">
        <v>140</v>
      </c>
      <c r="Q2085">
        <v>205</v>
      </c>
      <c r="R2085" s="296">
        <v>0</v>
      </c>
      <c r="S2085" s="296">
        <v>0.97799999999999998</v>
      </c>
      <c r="T2085" s="297">
        <v>24489</v>
      </c>
      <c r="U2085" s="340">
        <v>164939</v>
      </c>
      <c r="V2085" s="340">
        <v>503682</v>
      </c>
      <c r="W2085" s="297">
        <v>55788</v>
      </c>
      <c r="X2085" s="296">
        <v>1E-3</v>
      </c>
    </row>
    <row r="2086" spans="13:24">
      <c r="M2086">
        <v>2084</v>
      </c>
      <c r="N2086">
        <v>43064</v>
      </c>
      <c r="O2086" t="s">
        <v>1781</v>
      </c>
      <c r="P2086" t="s">
        <v>136</v>
      </c>
      <c r="Q2086">
        <v>275</v>
      </c>
      <c r="R2086" s="296">
        <v>0</v>
      </c>
      <c r="S2086" s="296">
        <v>0.97799999999999998</v>
      </c>
      <c r="T2086" s="297">
        <v>7149</v>
      </c>
      <c r="U2086" s="340">
        <v>164926</v>
      </c>
      <c r="V2086" s="340">
        <v>452884</v>
      </c>
      <c r="W2086" s="297">
        <v>20734</v>
      </c>
      <c r="X2086" s="296">
        <v>3.5999999999999997E-2</v>
      </c>
    </row>
    <row r="2087" spans="13:24">
      <c r="M2087">
        <v>2085</v>
      </c>
      <c r="N2087">
        <v>90703</v>
      </c>
      <c r="O2087" t="s">
        <v>1782</v>
      </c>
      <c r="P2087" t="s">
        <v>132</v>
      </c>
      <c r="Q2087">
        <v>1734</v>
      </c>
      <c r="R2087" s="296">
        <v>0</v>
      </c>
      <c r="S2087" s="296">
        <v>0.97809999999999997</v>
      </c>
      <c r="T2087" s="297">
        <v>15883</v>
      </c>
      <c r="U2087" s="340">
        <v>164613</v>
      </c>
      <c r="V2087" s="340">
        <v>944847</v>
      </c>
      <c r="W2087" s="297">
        <v>48175</v>
      </c>
      <c r="X2087" s="296">
        <v>-0.01</v>
      </c>
    </row>
    <row r="2088" spans="13:24">
      <c r="M2088">
        <v>2086</v>
      </c>
      <c r="N2088">
        <v>19064</v>
      </c>
      <c r="O2088" t="s">
        <v>515</v>
      </c>
      <c r="P2088" t="s">
        <v>133</v>
      </c>
      <c r="Q2088">
        <v>666</v>
      </c>
      <c r="R2088" s="296">
        <v>0</v>
      </c>
      <c r="S2088" s="296">
        <v>0.97809999999999997</v>
      </c>
      <c r="T2088" s="297">
        <v>8912</v>
      </c>
      <c r="U2088" s="340">
        <v>164556</v>
      </c>
      <c r="V2088" s="340">
        <v>427733</v>
      </c>
      <c r="W2088" s="297">
        <v>25407</v>
      </c>
      <c r="X2088" s="296">
        <v>-2E-3</v>
      </c>
    </row>
    <row r="2089" spans="13:24">
      <c r="M2089">
        <v>2087</v>
      </c>
      <c r="N2089">
        <v>92883</v>
      </c>
      <c r="O2089" t="s">
        <v>634</v>
      </c>
      <c r="P2089" t="s">
        <v>132</v>
      </c>
      <c r="Q2089">
        <v>1708</v>
      </c>
      <c r="R2089" s="296">
        <v>0</v>
      </c>
      <c r="S2089" s="296">
        <v>0.97809999999999997</v>
      </c>
      <c r="T2089" s="297">
        <v>12684</v>
      </c>
      <c r="U2089" s="340">
        <v>164523</v>
      </c>
      <c r="V2089" s="340">
        <v>716697</v>
      </c>
      <c r="W2089" s="297">
        <v>38828</v>
      </c>
      <c r="X2089" s="296">
        <v>2.5000000000000001E-2</v>
      </c>
    </row>
    <row r="2090" spans="13:24">
      <c r="M2090">
        <v>2088</v>
      </c>
      <c r="N2090">
        <v>19008</v>
      </c>
      <c r="O2090" t="s">
        <v>478</v>
      </c>
      <c r="P2090" t="s">
        <v>133</v>
      </c>
      <c r="Q2090">
        <v>664</v>
      </c>
      <c r="R2090" s="296">
        <v>0</v>
      </c>
      <c r="S2090" s="296">
        <v>0.97809999999999997</v>
      </c>
      <c r="T2090" s="297">
        <v>7545</v>
      </c>
      <c r="U2090" s="340">
        <v>164484</v>
      </c>
      <c r="V2090" s="340">
        <v>505399</v>
      </c>
      <c r="W2090" s="297">
        <v>20716</v>
      </c>
      <c r="X2090" s="296">
        <v>0</v>
      </c>
    </row>
    <row r="2091" spans="13:24">
      <c r="M2091">
        <v>2089</v>
      </c>
      <c r="N2091">
        <v>20121</v>
      </c>
      <c r="O2091" t="s">
        <v>1400</v>
      </c>
      <c r="P2091" t="s">
        <v>139</v>
      </c>
      <c r="Q2091">
        <v>589</v>
      </c>
      <c r="R2091" s="296">
        <v>0</v>
      </c>
      <c r="S2091" s="296">
        <v>0.97809999999999997</v>
      </c>
      <c r="T2091" s="297">
        <v>9837</v>
      </c>
      <c r="U2091" s="340">
        <v>164184</v>
      </c>
      <c r="V2091" s="340">
        <v>651055</v>
      </c>
      <c r="W2091" s="297">
        <v>28244</v>
      </c>
      <c r="X2091" s="296">
        <v>-5.0000000000000001E-3</v>
      </c>
    </row>
    <row r="2092" spans="13:24">
      <c r="M2092">
        <v>2090</v>
      </c>
      <c r="N2092">
        <v>55372</v>
      </c>
      <c r="O2092" t="s">
        <v>1783</v>
      </c>
      <c r="P2092" t="s">
        <v>151</v>
      </c>
      <c r="Q2092">
        <v>333</v>
      </c>
      <c r="R2092" s="296">
        <v>0</v>
      </c>
      <c r="S2092" s="296">
        <v>0.97809999999999997</v>
      </c>
      <c r="T2092" s="297">
        <v>13329</v>
      </c>
      <c r="U2092" s="340">
        <v>164045</v>
      </c>
      <c r="V2092" s="340">
        <v>601919</v>
      </c>
      <c r="W2092" s="297">
        <v>36340</v>
      </c>
      <c r="X2092" s="296">
        <v>1.4E-2</v>
      </c>
    </row>
    <row r="2093" spans="13:24">
      <c r="M2093">
        <v>2091</v>
      </c>
      <c r="N2093">
        <v>11101</v>
      </c>
      <c r="O2093" t="s">
        <v>649</v>
      </c>
      <c r="P2093" t="s">
        <v>128</v>
      </c>
      <c r="Q2093">
        <v>723</v>
      </c>
      <c r="R2093" s="296">
        <v>0</v>
      </c>
      <c r="S2093" s="296">
        <v>0.97809999999999997</v>
      </c>
      <c r="T2093" s="297">
        <v>23904</v>
      </c>
      <c r="U2093" s="340">
        <v>164044</v>
      </c>
      <c r="V2093" s="340">
        <v>1139508</v>
      </c>
      <c r="W2093" s="297">
        <v>51358</v>
      </c>
      <c r="X2093" s="296">
        <v>8.0000000000000002E-3</v>
      </c>
    </row>
    <row r="2094" spans="13:24">
      <c r="M2094">
        <v>2092</v>
      </c>
      <c r="N2094">
        <v>44202</v>
      </c>
      <c r="O2094" t="s">
        <v>334</v>
      </c>
      <c r="P2094" t="s">
        <v>136</v>
      </c>
      <c r="Q2094">
        <v>337</v>
      </c>
      <c r="R2094" s="296">
        <v>0</v>
      </c>
      <c r="S2094" s="296">
        <v>0.97809999999999997</v>
      </c>
      <c r="T2094" s="297">
        <v>8666</v>
      </c>
      <c r="U2094" s="340">
        <v>163931</v>
      </c>
      <c r="V2094" s="340">
        <v>421534</v>
      </c>
      <c r="W2094" s="297">
        <v>22212</v>
      </c>
      <c r="X2094" s="296">
        <v>2E-3</v>
      </c>
    </row>
    <row r="2095" spans="13:24">
      <c r="M2095">
        <v>2093</v>
      </c>
      <c r="N2095">
        <v>11741</v>
      </c>
      <c r="O2095" t="s">
        <v>432</v>
      </c>
      <c r="P2095" t="s">
        <v>128</v>
      </c>
      <c r="Q2095">
        <v>767</v>
      </c>
      <c r="R2095" s="296">
        <v>0</v>
      </c>
      <c r="S2095" s="296">
        <v>0.97819999999999996</v>
      </c>
      <c r="T2095" s="297">
        <v>9432</v>
      </c>
      <c r="U2095" s="340">
        <v>163710</v>
      </c>
      <c r="V2095" s="340">
        <v>642107</v>
      </c>
      <c r="W2095" s="297">
        <v>26461</v>
      </c>
      <c r="X2095" s="296">
        <v>-5.0000000000000001E-3</v>
      </c>
    </row>
    <row r="2096" spans="13:24">
      <c r="M2096">
        <v>2094</v>
      </c>
      <c r="N2096">
        <v>29464</v>
      </c>
      <c r="O2096" t="s">
        <v>1185</v>
      </c>
      <c r="P2096" t="s">
        <v>145</v>
      </c>
      <c r="Q2096">
        <v>777</v>
      </c>
      <c r="R2096" s="296">
        <v>0</v>
      </c>
      <c r="S2096" s="296">
        <v>0.97819999999999996</v>
      </c>
      <c r="T2096" s="297">
        <v>23742</v>
      </c>
      <c r="U2096" s="340">
        <v>163422</v>
      </c>
      <c r="V2096" s="340">
        <v>793730</v>
      </c>
      <c r="W2096" s="297">
        <v>53181</v>
      </c>
      <c r="X2096" s="296">
        <v>8.9999999999999993E-3</v>
      </c>
    </row>
    <row r="2097" spans="13:24">
      <c r="M2097">
        <v>2095</v>
      </c>
      <c r="N2097">
        <v>60072</v>
      </c>
      <c r="O2097" t="s">
        <v>1784</v>
      </c>
      <c r="P2097" t="s">
        <v>131</v>
      </c>
      <c r="Q2097">
        <v>32</v>
      </c>
      <c r="R2097" s="296">
        <v>0</v>
      </c>
      <c r="S2097" s="296">
        <v>0.97819999999999996</v>
      </c>
      <c r="T2097">
        <v>310</v>
      </c>
      <c r="U2097" s="340">
        <v>163316</v>
      </c>
      <c r="V2097" s="340">
        <v>421538</v>
      </c>
      <c r="W2097">
        <v>854</v>
      </c>
      <c r="X2097" s="296">
        <v>1E-3</v>
      </c>
    </row>
    <row r="2098" spans="13:24">
      <c r="M2098">
        <v>2096</v>
      </c>
      <c r="N2098">
        <v>53033</v>
      </c>
      <c r="O2098" t="s">
        <v>1785</v>
      </c>
      <c r="P2098" t="s">
        <v>149</v>
      </c>
      <c r="Q2098">
        <v>78</v>
      </c>
      <c r="R2098" s="296">
        <v>0</v>
      </c>
      <c r="S2098" s="296">
        <v>0.97819999999999996</v>
      </c>
      <c r="T2098" s="297">
        <v>2105</v>
      </c>
      <c r="U2098" s="340">
        <v>163184</v>
      </c>
      <c r="V2098" s="340">
        <v>558098</v>
      </c>
      <c r="W2098" s="297">
        <v>5260</v>
      </c>
      <c r="X2098" s="296">
        <v>-3.0000000000000001E-3</v>
      </c>
    </row>
    <row r="2099" spans="13:24">
      <c r="M2099">
        <v>2097</v>
      </c>
      <c r="N2099">
        <v>12159</v>
      </c>
      <c r="O2099" t="s">
        <v>1786</v>
      </c>
      <c r="P2099" t="s">
        <v>128</v>
      </c>
      <c r="Q2099">
        <v>710</v>
      </c>
      <c r="R2099" s="296">
        <v>0</v>
      </c>
      <c r="S2099" s="296">
        <v>0.97819999999999996</v>
      </c>
      <c r="T2099" s="297">
        <v>3573</v>
      </c>
      <c r="U2099" s="340">
        <v>162988</v>
      </c>
      <c r="V2099" s="340">
        <v>493048</v>
      </c>
      <c r="W2099" s="297">
        <v>8631</v>
      </c>
      <c r="X2099" s="296">
        <v>0</v>
      </c>
    </row>
    <row r="2100" spans="13:24">
      <c r="M2100">
        <v>2098</v>
      </c>
      <c r="N2100">
        <v>28078</v>
      </c>
      <c r="O2100" t="s">
        <v>1787</v>
      </c>
      <c r="P2100" t="s">
        <v>138</v>
      </c>
      <c r="Q2100">
        <v>596</v>
      </c>
      <c r="R2100" s="296">
        <v>0</v>
      </c>
      <c r="S2100" s="296">
        <v>0.97819999999999996</v>
      </c>
      <c r="T2100" s="297">
        <v>27717</v>
      </c>
      <c r="U2100" s="340">
        <v>162953</v>
      </c>
      <c r="V2100" s="340">
        <v>523654</v>
      </c>
      <c r="W2100" s="297">
        <v>73621</v>
      </c>
      <c r="X2100" s="296">
        <v>1.7999999999999999E-2</v>
      </c>
    </row>
    <row r="2101" spans="13:24">
      <c r="M2101">
        <v>2099</v>
      </c>
      <c r="N2101">
        <v>93314</v>
      </c>
      <c r="O2101" t="s">
        <v>329</v>
      </c>
      <c r="P2101" t="s">
        <v>132</v>
      </c>
      <c r="Q2101">
        <v>1746</v>
      </c>
      <c r="R2101" s="296">
        <v>0</v>
      </c>
      <c r="S2101" s="296">
        <v>0.97819999999999996</v>
      </c>
      <c r="T2101" s="297">
        <v>12970</v>
      </c>
      <c r="U2101" s="340">
        <v>162938</v>
      </c>
      <c r="V2101" s="340">
        <v>517480</v>
      </c>
      <c r="W2101" s="297">
        <v>41905</v>
      </c>
      <c r="X2101" s="296">
        <v>4.2000000000000003E-2</v>
      </c>
    </row>
    <row r="2102" spans="13:24">
      <c r="M2102">
        <v>2100</v>
      </c>
      <c r="N2102">
        <v>98122</v>
      </c>
      <c r="O2102" t="s">
        <v>299</v>
      </c>
      <c r="P2102" t="s">
        <v>224</v>
      </c>
      <c r="Q2102">
        <v>1716</v>
      </c>
      <c r="R2102" s="296">
        <v>0</v>
      </c>
      <c r="S2102" s="296">
        <v>0.97819999999999996</v>
      </c>
      <c r="T2102" s="297">
        <v>22759</v>
      </c>
      <c r="U2102" s="340">
        <v>162698</v>
      </c>
      <c r="V2102" s="340">
        <v>1254705</v>
      </c>
      <c r="W2102" s="297">
        <v>41834</v>
      </c>
      <c r="X2102" s="296">
        <v>8.0000000000000002E-3</v>
      </c>
    </row>
    <row r="2103" spans="13:24">
      <c r="M2103">
        <v>2101</v>
      </c>
      <c r="N2103">
        <v>77354</v>
      </c>
      <c r="O2103" t="s">
        <v>1788</v>
      </c>
      <c r="P2103" t="s">
        <v>134</v>
      </c>
      <c r="Q2103">
        <v>933</v>
      </c>
      <c r="R2103" s="296">
        <v>0</v>
      </c>
      <c r="S2103" s="296">
        <v>0.97829999999999995</v>
      </c>
      <c r="T2103" s="297">
        <v>16783</v>
      </c>
      <c r="U2103" s="340">
        <v>162679</v>
      </c>
      <c r="V2103" s="340">
        <v>506233</v>
      </c>
      <c r="W2103" s="297">
        <v>48535</v>
      </c>
      <c r="X2103" s="296">
        <v>4.5999999999999999E-2</v>
      </c>
    </row>
    <row r="2104" spans="13:24">
      <c r="M2104">
        <v>2102</v>
      </c>
      <c r="N2104">
        <v>19462</v>
      </c>
      <c r="O2104" t="s">
        <v>1789</v>
      </c>
      <c r="P2104" t="s">
        <v>133</v>
      </c>
      <c r="Q2104">
        <v>665</v>
      </c>
      <c r="R2104" s="296">
        <v>0</v>
      </c>
      <c r="S2104" s="296">
        <v>0.97829999999999995</v>
      </c>
      <c r="T2104" s="297">
        <v>6483</v>
      </c>
      <c r="U2104" s="340">
        <v>162618</v>
      </c>
      <c r="V2104" s="340">
        <v>557910</v>
      </c>
      <c r="W2104" s="297">
        <v>16765</v>
      </c>
      <c r="X2104" s="296">
        <v>6.0000000000000001E-3</v>
      </c>
    </row>
    <row r="2105" spans="13:24">
      <c r="M2105">
        <v>2103</v>
      </c>
      <c r="N2105">
        <v>92604</v>
      </c>
      <c r="O2105" t="s">
        <v>305</v>
      </c>
      <c r="P2105" t="s">
        <v>132</v>
      </c>
      <c r="Q2105">
        <v>1726</v>
      </c>
      <c r="R2105" s="296">
        <v>0</v>
      </c>
      <c r="S2105" s="296">
        <v>0.97829999999999995</v>
      </c>
      <c r="T2105" s="297">
        <v>10118</v>
      </c>
      <c r="U2105" s="340">
        <v>161961</v>
      </c>
      <c r="V2105" s="340">
        <v>1043143</v>
      </c>
      <c r="W2105" s="297">
        <v>27617</v>
      </c>
      <c r="X2105" s="296">
        <v>-2E-3</v>
      </c>
    </row>
    <row r="2106" spans="13:24">
      <c r="M2106">
        <v>2104</v>
      </c>
      <c r="N2106">
        <v>2035</v>
      </c>
      <c r="O2106" t="s">
        <v>408</v>
      </c>
      <c r="P2106" t="s">
        <v>135</v>
      </c>
      <c r="Q2106">
        <v>847</v>
      </c>
      <c r="R2106" s="296">
        <v>0</v>
      </c>
      <c r="S2106" s="296">
        <v>0.97829999999999995</v>
      </c>
      <c r="T2106" s="297">
        <v>7477</v>
      </c>
      <c r="U2106" s="340">
        <v>161781</v>
      </c>
      <c r="V2106" s="340">
        <v>735589</v>
      </c>
      <c r="W2106" s="297">
        <v>18689</v>
      </c>
      <c r="X2106" s="296">
        <v>3.0000000000000001E-3</v>
      </c>
    </row>
    <row r="2107" spans="13:24">
      <c r="M2107">
        <v>2105</v>
      </c>
      <c r="N2107">
        <v>55120</v>
      </c>
      <c r="O2107" t="s">
        <v>445</v>
      </c>
      <c r="P2107" t="s">
        <v>151</v>
      </c>
      <c r="Q2107">
        <v>328</v>
      </c>
      <c r="R2107" s="296">
        <v>0</v>
      </c>
      <c r="S2107" s="296">
        <v>0.97829999999999995</v>
      </c>
      <c r="T2107" s="297">
        <v>2170</v>
      </c>
      <c r="U2107" s="340">
        <v>161689</v>
      </c>
      <c r="V2107" s="340">
        <v>600992</v>
      </c>
      <c r="W2107" s="297">
        <v>4783</v>
      </c>
      <c r="X2107" s="296">
        <v>1E-3</v>
      </c>
    </row>
    <row r="2108" spans="13:24">
      <c r="M2108">
        <v>2106</v>
      </c>
      <c r="N2108">
        <v>33703</v>
      </c>
      <c r="O2108" t="s">
        <v>782</v>
      </c>
      <c r="P2108" t="s">
        <v>127</v>
      </c>
      <c r="Q2108">
        <v>1032</v>
      </c>
      <c r="R2108" s="296">
        <v>0</v>
      </c>
      <c r="S2108" s="296">
        <v>0.97829999999999995</v>
      </c>
      <c r="T2108" s="297">
        <v>11093</v>
      </c>
      <c r="U2108" s="340">
        <v>161442</v>
      </c>
      <c r="V2108" s="340">
        <v>609445</v>
      </c>
      <c r="W2108" s="297">
        <v>24444</v>
      </c>
      <c r="X2108" s="296">
        <v>2E-3</v>
      </c>
    </row>
    <row r="2109" spans="13:24">
      <c r="M2109">
        <v>2107</v>
      </c>
      <c r="N2109">
        <v>6084</v>
      </c>
      <c r="O2109" t="s">
        <v>1790</v>
      </c>
      <c r="P2109" t="s">
        <v>141</v>
      </c>
      <c r="Q2109">
        <v>791</v>
      </c>
      <c r="R2109" s="296">
        <v>0</v>
      </c>
      <c r="S2109" s="296">
        <v>0.97829999999999995</v>
      </c>
      <c r="T2109" s="297">
        <v>5412</v>
      </c>
      <c r="U2109" s="340">
        <v>161413</v>
      </c>
      <c r="V2109" s="340">
        <v>416467</v>
      </c>
      <c r="W2109" s="297">
        <v>14447</v>
      </c>
      <c r="X2109" s="296">
        <v>-3.0000000000000001E-3</v>
      </c>
    </row>
    <row r="2110" spans="13:24">
      <c r="M2110">
        <v>2108</v>
      </c>
      <c r="N2110">
        <v>77386</v>
      </c>
      <c r="O2110" t="s">
        <v>626</v>
      </c>
      <c r="P2110" t="s">
        <v>134</v>
      </c>
      <c r="Q2110">
        <v>932</v>
      </c>
      <c r="R2110" s="296">
        <v>0</v>
      </c>
      <c r="S2110" s="296">
        <v>0.97829999999999995</v>
      </c>
      <c r="T2110" s="297">
        <v>22776</v>
      </c>
      <c r="U2110" s="340">
        <v>161268</v>
      </c>
      <c r="V2110" s="340">
        <v>413186</v>
      </c>
      <c r="W2110" s="297">
        <v>70258</v>
      </c>
      <c r="X2110" s="296">
        <v>1.7999999999999999E-2</v>
      </c>
    </row>
    <row r="2111" spans="13:24">
      <c r="M2111">
        <v>2109</v>
      </c>
      <c r="N2111">
        <v>73116</v>
      </c>
      <c r="O2111" t="s">
        <v>765</v>
      </c>
      <c r="P2111" t="s">
        <v>205</v>
      </c>
      <c r="Q2111">
        <v>695</v>
      </c>
      <c r="R2111" s="296">
        <v>0</v>
      </c>
      <c r="S2111" s="296">
        <v>0.97840000000000005</v>
      </c>
      <c r="T2111" s="297">
        <v>4207</v>
      </c>
      <c r="U2111" s="340">
        <v>161161</v>
      </c>
      <c r="V2111" s="340">
        <v>561068</v>
      </c>
      <c r="W2111" s="297">
        <v>9041</v>
      </c>
      <c r="X2111" s="296">
        <v>3.0000000000000001E-3</v>
      </c>
    </row>
    <row r="2112" spans="13:24">
      <c r="M2112">
        <v>2110</v>
      </c>
      <c r="N2112">
        <v>20650</v>
      </c>
      <c r="O2112" t="s">
        <v>1791</v>
      </c>
      <c r="P2112" t="s">
        <v>137</v>
      </c>
      <c r="Q2112">
        <v>646</v>
      </c>
      <c r="R2112" s="296">
        <v>0</v>
      </c>
      <c r="S2112" s="296">
        <v>0.97840000000000005</v>
      </c>
      <c r="T2112" s="297">
        <v>5817</v>
      </c>
      <c r="U2112" s="340">
        <v>161082</v>
      </c>
      <c r="V2112" s="340">
        <v>507697</v>
      </c>
      <c r="W2112" s="297">
        <v>15968</v>
      </c>
      <c r="X2112" s="296">
        <v>1.2999999999999999E-2</v>
      </c>
    </row>
    <row r="2113" spans="13:24">
      <c r="M2113">
        <v>2111</v>
      </c>
      <c r="N2113">
        <v>85012</v>
      </c>
      <c r="O2113" t="s">
        <v>548</v>
      </c>
      <c r="P2113" t="s">
        <v>158</v>
      </c>
      <c r="Q2113">
        <v>1447</v>
      </c>
      <c r="R2113" s="296">
        <v>0</v>
      </c>
      <c r="S2113" s="296">
        <v>0.97840000000000005</v>
      </c>
      <c r="T2113" s="297">
        <v>4430</v>
      </c>
      <c r="U2113" s="340">
        <v>160582</v>
      </c>
      <c r="V2113" s="340">
        <v>765707</v>
      </c>
      <c r="W2113" s="297">
        <v>8391</v>
      </c>
      <c r="X2113" s="296">
        <v>3.5000000000000003E-2</v>
      </c>
    </row>
    <row r="2114" spans="13:24">
      <c r="M2114">
        <v>2112</v>
      </c>
      <c r="N2114">
        <v>80228</v>
      </c>
      <c r="O2114" t="s">
        <v>330</v>
      </c>
      <c r="P2114" t="s">
        <v>142</v>
      </c>
      <c r="Q2114">
        <v>921</v>
      </c>
      <c r="R2114" s="296">
        <v>0</v>
      </c>
      <c r="S2114" s="296">
        <v>0.97840000000000005</v>
      </c>
      <c r="T2114" s="297">
        <v>15090</v>
      </c>
      <c r="U2114" s="340">
        <v>160445</v>
      </c>
      <c r="V2114" s="340">
        <v>742960</v>
      </c>
      <c r="W2114" s="297">
        <v>34990</v>
      </c>
      <c r="X2114" s="296">
        <v>1E-3</v>
      </c>
    </row>
    <row r="2115" spans="13:24">
      <c r="M2115">
        <v>2113</v>
      </c>
      <c r="N2115">
        <v>21048</v>
      </c>
      <c r="O2115" t="s">
        <v>1792</v>
      </c>
      <c r="P2115" t="s">
        <v>137</v>
      </c>
      <c r="Q2115">
        <v>597</v>
      </c>
      <c r="R2115" s="296">
        <v>0</v>
      </c>
      <c r="S2115" s="296">
        <v>0.97840000000000005</v>
      </c>
      <c r="T2115" s="297">
        <v>4026</v>
      </c>
      <c r="U2115" s="340">
        <v>160400</v>
      </c>
      <c r="V2115" s="340">
        <v>544772</v>
      </c>
      <c r="W2115" s="297">
        <v>10709</v>
      </c>
      <c r="X2115" s="296">
        <v>-1E-3</v>
      </c>
    </row>
    <row r="2116" spans="13:24">
      <c r="M2116">
        <v>2114</v>
      </c>
      <c r="N2116">
        <v>92008</v>
      </c>
      <c r="O2116" t="s">
        <v>1793</v>
      </c>
      <c r="P2116" t="s">
        <v>132</v>
      </c>
      <c r="Q2116">
        <v>1720</v>
      </c>
      <c r="R2116" s="296">
        <v>0</v>
      </c>
      <c r="S2116" s="296">
        <v>0.97840000000000005</v>
      </c>
      <c r="T2116" s="297">
        <v>11977</v>
      </c>
      <c r="U2116" s="340">
        <v>160340</v>
      </c>
      <c r="V2116" s="340">
        <v>1266817</v>
      </c>
      <c r="W2116" s="297">
        <v>27799</v>
      </c>
      <c r="X2116" s="296">
        <v>2E-3</v>
      </c>
    </row>
    <row r="2117" spans="13:24">
      <c r="M2117">
        <v>2115</v>
      </c>
      <c r="N2117">
        <v>6850</v>
      </c>
      <c r="O2117" t="s">
        <v>543</v>
      </c>
      <c r="P2117" t="s">
        <v>141</v>
      </c>
      <c r="Q2117">
        <v>744</v>
      </c>
      <c r="R2117" s="296">
        <v>0</v>
      </c>
      <c r="S2117" s="296">
        <v>0.97840000000000005</v>
      </c>
      <c r="T2117" s="297">
        <v>8935</v>
      </c>
      <c r="U2117" s="340">
        <v>160315</v>
      </c>
      <c r="V2117" s="340">
        <v>658944</v>
      </c>
      <c r="W2117" s="297">
        <v>21993</v>
      </c>
      <c r="X2117" s="296">
        <v>1.0999999999999999E-2</v>
      </c>
    </row>
    <row r="2118" spans="13:24">
      <c r="M2118">
        <v>2116</v>
      </c>
      <c r="N2118">
        <v>8831</v>
      </c>
      <c r="O2118" t="s">
        <v>1794</v>
      </c>
      <c r="P2118" t="s">
        <v>129</v>
      </c>
      <c r="Q2118">
        <v>705</v>
      </c>
      <c r="R2118" s="296">
        <v>0</v>
      </c>
      <c r="S2118" s="296">
        <v>0.97840000000000005</v>
      </c>
      <c r="T2118" s="297">
        <v>23480</v>
      </c>
      <c r="U2118" s="340">
        <v>160232</v>
      </c>
      <c r="V2118" s="340">
        <v>557850</v>
      </c>
      <c r="W2118" s="297">
        <v>57297</v>
      </c>
      <c r="X2118" s="296">
        <v>0.01</v>
      </c>
    </row>
    <row r="2119" spans="13:24">
      <c r="M2119">
        <v>2117</v>
      </c>
      <c r="N2119">
        <v>55068</v>
      </c>
      <c r="O2119" t="s">
        <v>1795</v>
      </c>
      <c r="P2119" t="s">
        <v>151</v>
      </c>
      <c r="Q2119">
        <v>322</v>
      </c>
      <c r="R2119" s="296">
        <v>0</v>
      </c>
      <c r="S2119" s="296">
        <v>0.97850000000000004</v>
      </c>
      <c r="T2119" s="297">
        <v>13043</v>
      </c>
      <c r="U2119" s="340">
        <v>159804</v>
      </c>
      <c r="V2119" s="340">
        <v>466729</v>
      </c>
      <c r="W2119" s="297">
        <v>38133</v>
      </c>
      <c r="X2119" s="296">
        <v>2.5999999999999999E-2</v>
      </c>
    </row>
    <row r="2120" spans="13:24">
      <c r="M2120">
        <v>2118</v>
      </c>
      <c r="N2120">
        <v>22303</v>
      </c>
      <c r="O2120" t="s">
        <v>521</v>
      </c>
      <c r="P2120" t="s">
        <v>139</v>
      </c>
      <c r="Q2120">
        <v>608</v>
      </c>
      <c r="R2120" s="296">
        <v>0</v>
      </c>
      <c r="S2120" s="296">
        <v>0.97850000000000004</v>
      </c>
      <c r="T2120" s="297">
        <v>7940</v>
      </c>
      <c r="U2120" s="340">
        <v>159684</v>
      </c>
      <c r="V2120" s="340">
        <v>784139</v>
      </c>
      <c r="W2120" s="297">
        <v>16315</v>
      </c>
      <c r="X2120" s="296">
        <v>3.0000000000000001E-3</v>
      </c>
    </row>
    <row r="2121" spans="13:24">
      <c r="M2121">
        <v>2119</v>
      </c>
      <c r="N2121">
        <v>84025</v>
      </c>
      <c r="O2121" t="s">
        <v>533</v>
      </c>
      <c r="P2121" t="s">
        <v>219</v>
      </c>
      <c r="Q2121">
        <v>1244</v>
      </c>
      <c r="R2121" s="296">
        <v>0</v>
      </c>
      <c r="S2121" s="296">
        <v>0.97850000000000004</v>
      </c>
      <c r="T2121" s="297">
        <v>7711</v>
      </c>
      <c r="U2121" s="340">
        <v>159450</v>
      </c>
      <c r="V2121" s="340">
        <v>743535</v>
      </c>
      <c r="W2121" s="297">
        <v>26002</v>
      </c>
      <c r="X2121" s="296">
        <v>1.4999999999999999E-2</v>
      </c>
    </row>
    <row r="2122" spans="13:24">
      <c r="M2122">
        <v>2120</v>
      </c>
      <c r="N2122">
        <v>27514</v>
      </c>
      <c r="O2122" t="s">
        <v>1429</v>
      </c>
      <c r="P2122" t="s">
        <v>138</v>
      </c>
      <c r="Q2122">
        <v>636</v>
      </c>
      <c r="R2122" s="296">
        <v>0</v>
      </c>
      <c r="S2122" s="296">
        <v>0.97850000000000004</v>
      </c>
      <c r="T2122" s="297">
        <v>11253</v>
      </c>
      <c r="U2122" s="340">
        <v>159436</v>
      </c>
      <c r="V2122" s="340">
        <v>677141</v>
      </c>
      <c r="W2122" s="297">
        <v>30934</v>
      </c>
      <c r="X2122" s="296">
        <v>3.0000000000000001E-3</v>
      </c>
    </row>
    <row r="2123" spans="13:24">
      <c r="M2123">
        <v>2121</v>
      </c>
      <c r="N2123">
        <v>1821</v>
      </c>
      <c r="O2123" t="s">
        <v>407</v>
      </c>
      <c r="P2123" t="s">
        <v>135</v>
      </c>
      <c r="Q2123">
        <v>844</v>
      </c>
      <c r="R2123" s="296">
        <v>0</v>
      </c>
      <c r="S2123" s="296">
        <v>0.97850000000000004</v>
      </c>
      <c r="T2123" s="297">
        <v>11370</v>
      </c>
      <c r="U2123" s="340">
        <v>159342</v>
      </c>
      <c r="V2123" s="340">
        <v>659568</v>
      </c>
      <c r="W2123" s="297">
        <v>31363</v>
      </c>
      <c r="X2123" s="296">
        <v>0</v>
      </c>
    </row>
    <row r="2124" spans="13:24">
      <c r="M2124">
        <v>2122</v>
      </c>
      <c r="N2124">
        <v>27587</v>
      </c>
      <c r="O2124" t="s">
        <v>657</v>
      </c>
      <c r="P2124" t="s">
        <v>138</v>
      </c>
      <c r="Q2124">
        <v>653</v>
      </c>
      <c r="R2124" s="296">
        <v>0</v>
      </c>
      <c r="S2124" s="296">
        <v>0.97850000000000004</v>
      </c>
      <c r="T2124" s="297">
        <v>31976</v>
      </c>
      <c r="U2124" s="340">
        <v>159325</v>
      </c>
      <c r="V2124" s="340">
        <v>576920</v>
      </c>
      <c r="W2124" s="297">
        <v>89224</v>
      </c>
      <c r="X2124" s="296">
        <v>3.4000000000000002E-2</v>
      </c>
    </row>
    <row r="2125" spans="13:24">
      <c r="M2125">
        <v>2123</v>
      </c>
      <c r="N2125">
        <v>33412</v>
      </c>
      <c r="O2125" t="s">
        <v>586</v>
      </c>
      <c r="P2125" t="s">
        <v>127</v>
      </c>
      <c r="Q2125">
        <v>1143</v>
      </c>
      <c r="R2125" s="296">
        <v>0</v>
      </c>
      <c r="S2125" s="296">
        <v>0.97850000000000004</v>
      </c>
      <c r="T2125" s="297">
        <v>6779</v>
      </c>
      <c r="U2125" s="340">
        <v>159267</v>
      </c>
      <c r="V2125" s="340">
        <v>688151</v>
      </c>
      <c r="W2125" s="297">
        <v>17764</v>
      </c>
      <c r="X2125" s="296">
        <v>2.5000000000000001E-2</v>
      </c>
    </row>
    <row r="2126" spans="13:24">
      <c r="M2126">
        <v>2124</v>
      </c>
      <c r="N2126">
        <v>37212</v>
      </c>
      <c r="O2126" t="s">
        <v>500</v>
      </c>
      <c r="P2126" t="s">
        <v>146</v>
      </c>
      <c r="Q2126">
        <v>419</v>
      </c>
      <c r="R2126" s="296">
        <v>0</v>
      </c>
      <c r="S2126" s="296">
        <v>0.97850000000000004</v>
      </c>
      <c r="T2126" s="297">
        <v>7388</v>
      </c>
      <c r="U2126" s="340">
        <v>159203</v>
      </c>
      <c r="V2126" s="340">
        <v>989874</v>
      </c>
      <c r="W2126" s="297">
        <v>20980</v>
      </c>
      <c r="X2126" s="296">
        <v>4.0000000000000001E-3</v>
      </c>
    </row>
    <row r="2127" spans="13:24">
      <c r="M2127">
        <v>2125</v>
      </c>
      <c r="N2127">
        <v>78641</v>
      </c>
      <c r="O2127" t="s">
        <v>650</v>
      </c>
      <c r="P2127" t="s">
        <v>134</v>
      </c>
      <c r="Q2127">
        <v>974</v>
      </c>
      <c r="R2127" s="296">
        <v>0</v>
      </c>
      <c r="S2127" s="296">
        <v>0.97860000000000003</v>
      </c>
      <c r="T2127" s="297">
        <v>38325</v>
      </c>
      <c r="U2127" s="340">
        <v>159127</v>
      </c>
      <c r="V2127" s="340">
        <v>587381</v>
      </c>
      <c r="W2127" s="297">
        <v>111946</v>
      </c>
      <c r="X2127" s="296">
        <v>7.0000000000000007E-2</v>
      </c>
    </row>
    <row r="2128" spans="13:24">
      <c r="M2128">
        <v>2126</v>
      </c>
      <c r="N2128">
        <v>48370</v>
      </c>
      <c r="O2128" t="s">
        <v>572</v>
      </c>
      <c r="P2128" t="s">
        <v>140</v>
      </c>
      <c r="Q2128">
        <v>239</v>
      </c>
      <c r="R2128" s="296">
        <v>0</v>
      </c>
      <c r="S2128" s="296">
        <v>0.97860000000000003</v>
      </c>
      <c r="T2128">
        <v>643</v>
      </c>
      <c r="U2128" s="340">
        <v>159115</v>
      </c>
      <c r="V2128" s="340">
        <v>497345</v>
      </c>
      <c r="W2128" s="297">
        <v>1759</v>
      </c>
      <c r="X2128" s="296">
        <v>-1E-3</v>
      </c>
    </row>
    <row r="2129" spans="13:24">
      <c r="M2129">
        <v>2127</v>
      </c>
      <c r="N2129">
        <v>48114</v>
      </c>
      <c r="O2129" t="s">
        <v>328</v>
      </c>
      <c r="P2129" t="s">
        <v>140</v>
      </c>
      <c r="Q2129">
        <v>208</v>
      </c>
      <c r="R2129" s="296">
        <v>0</v>
      </c>
      <c r="S2129" s="296">
        <v>0.97860000000000003</v>
      </c>
      <c r="T2129" s="297">
        <v>8003</v>
      </c>
      <c r="U2129" s="340">
        <v>159102</v>
      </c>
      <c r="V2129" s="340">
        <v>439750</v>
      </c>
      <c r="W2129" s="297">
        <v>21044</v>
      </c>
      <c r="X2129" s="296">
        <v>2E-3</v>
      </c>
    </row>
    <row r="2130" spans="13:24">
      <c r="M2130">
        <v>2128</v>
      </c>
      <c r="N2130">
        <v>47119</v>
      </c>
      <c r="O2130" t="s">
        <v>1796</v>
      </c>
      <c r="P2130" t="s">
        <v>144</v>
      </c>
      <c r="Q2130">
        <v>280</v>
      </c>
      <c r="R2130" s="296">
        <v>0</v>
      </c>
      <c r="S2130" s="296">
        <v>0.97860000000000003</v>
      </c>
      <c r="T2130" s="297">
        <v>4479</v>
      </c>
      <c r="U2130" s="340">
        <v>159071</v>
      </c>
      <c r="V2130" s="340">
        <v>443024</v>
      </c>
      <c r="W2130" s="297">
        <v>12278</v>
      </c>
      <c r="X2130" s="296">
        <v>3.0000000000000001E-3</v>
      </c>
    </row>
    <row r="2131" spans="13:24">
      <c r="M2131">
        <v>2129</v>
      </c>
      <c r="N2131">
        <v>85260</v>
      </c>
      <c r="O2131" t="s">
        <v>1159</v>
      </c>
      <c r="P2131" t="s">
        <v>158</v>
      </c>
      <c r="Q2131">
        <v>1434</v>
      </c>
      <c r="R2131" s="296">
        <v>0</v>
      </c>
      <c r="S2131" s="296">
        <v>0.97860000000000003</v>
      </c>
      <c r="T2131" s="297">
        <v>19209</v>
      </c>
      <c r="U2131" s="340">
        <v>158996</v>
      </c>
      <c r="V2131" s="340">
        <v>733311</v>
      </c>
      <c r="W2131" s="297">
        <v>40866</v>
      </c>
      <c r="X2131" s="296">
        <v>1.4E-2</v>
      </c>
    </row>
    <row r="2132" spans="13:24">
      <c r="M2132">
        <v>2130</v>
      </c>
      <c r="N2132">
        <v>48309</v>
      </c>
      <c r="O2132" t="s">
        <v>476</v>
      </c>
      <c r="P2132" t="s">
        <v>140</v>
      </c>
      <c r="Q2132">
        <v>238</v>
      </c>
      <c r="R2132" s="296">
        <v>0</v>
      </c>
      <c r="S2132" s="296">
        <v>0.97860000000000003</v>
      </c>
      <c r="T2132" s="297">
        <v>11759</v>
      </c>
      <c r="U2132" s="340">
        <v>158959</v>
      </c>
      <c r="V2132" s="340">
        <v>434295</v>
      </c>
      <c r="W2132" s="297">
        <v>31432</v>
      </c>
      <c r="X2132" s="296">
        <v>-1E-3</v>
      </c>
    </row>
    <row r="2133" spans="13:24">
      <c r="M2133">
        <v>2131</v>
      </c>
      <c r="N2133">
        <v>91360</v>
      </c>
      <c r="O2133" t="s">
        <v>607</v>
      </c>
      <c r="P2133" t="s">
        <v>132</v>
      </c>
      <c r="Q2133">
        <v>1764</v>
      </c>
      <c r="R2133" s="296">
        <v>0</v>
      </c>
      <c r="S2133" s="296">
        <v>0.97860000000000003</v>
      </c>
      <c r="T2133" s="297">
        <v>14991</v>
      </c>
      <c r="U2133" s="340">
        <v>158588</v>
      </c>
      <c r="V2133" s="340">
        <v>938127</v>
      </c>
      <c r="W2133" s="297">
        <v>42332</v>
      </c>
      <c r="X2133" s="296">
        <v>-4.0000000000000001E-3</v>
      </c>
    </row>
    <row r="2134" spans="13:24">
      <c r="M2134">
        <v>2132</v>
      </c>
      <c r="N2134">
        <v>97210</v>
      </c>
      <c r="O2134" t="s">
        <v>420</v>
      </c>
      <c r="P2134" t="s">
        <v>207</v>
      </c>
      <c r="Q2134">
        <v>1742</v>
      </c>
      <c r="R2134" s="296">
        <v>0</v>
      </c>
      <c r="S2134" s="296">
        <v>0.97860000000000003</v>
      </c>
      <c r="T2134" s="297">
        <v>7509</v>
      </c>
      <c r="U2134" s="340">
        <v>158524</v>
      </c>
      <c r="V2134" s="340">
        <v>1029759</v>
      </c>
      <c r="W2134" s="297">
        <v>13387</v>
      </c>
      <c r="X2134" s="296">
        <v>0.01</v>
      </c>
    </row>
    <row r="2135" spans="13:24">
      <c r="M2135">
        <v>2133</v>
      </c>
      <c r="N2135">
        <v>11580</v>
      </c>
      <c r="O2135" t="s">
        <v>641</v>
      </c>
      <c r="P2135" t="s">
        <v>128</v>
      </c>
      <c r="Q2135">
        <v>736</v>
      </c>
      <c r="R2135" s="296">
        <v>0</v>
      </c>
      <c r="S2135" s="296">
        <v>0.97870000000000001</v>
      </c>
      <c r="T2135" s="297">
        <v>13116</v>
      </c>
      <c r="U2135" s="340">
        <v>156907</v>
      </c>
      <c r="V2135" s="340">
        <v>644145</v>
      </c>
      <c r="W2135" s="297">
        <v>42873</v>
      </c>
      <c r="X2135" s="296">
        <v>-3.0000000000000001E-3</v>
      </c>
    </row>
    <row r="2136" spans="13:24">
      <c r="M2136">
        <v>2134</v>
      </c>
      <c r="N2136">
        <v>44333</v>
      </c>
      <c r="O2136" t="s">
        <v>844</v>
      </c>
      <c r="P2136" t="s">
        <v>136</v>
      </c>
      <c r="Q2136">
        <v>325</v>
      </c>
      <c r="R2136" s="296">
        <v>0</v>
      </c>
      <c r="S2136" s="296">
        <v>0.97870000000000001</v>
      </c>
      <c r="T2136" s="297">
        <v>7836</v>
      </c>
      <c r="U2136" s="340">
        <v>156667</v>
      </c>
      <c r="V2136" s="340">
        <v>425703</v>
      </c>
      <c r="W2136" s="297">
        <v>19411</v>
      </c>
      <c r="X2136" s="296">
        <v>2E-3</v>
      </c>
    </row>
    <row r="2137" spans="13:24">
      <c r="M2137">
        <v>2135</v>
      </c>
      <c r="N2137">
        <v>44122</v>
      </c>
      <c r="O2137" t="s">
        <v>1797</v>
      </c>
      <c r="P2137" t="s">
        <v>136</v>
      </c>
      <c r="Q2137">
        <v>326</v>
      </c>
      <c r="R2137" s="296">
        <v>0</v>
      </c>
      <c r="S2137" s="296">
        <v>0.97870000000000001</v>
      </c>
      <c r="T2137" s="297">
        <v>15375</v>
      </c>
      <c r="U2137" s="340">
        <v>156583</v>
      </c>
      <c r="V2137" s="340">
        <v>345964</v>
      </c>
      <c r="W2137" s="297">
        <v>35395</v>
      </c>
      <c r="X2137" s="296">
        <v>-1E-3</v>
      </c>
    </row>
    <row r="2138" spans="13:24">
      <c r="M2138">
        <v>2136</v>
      </c>
      <c r="N2138">
        <v>11742</v>
      </c>
      <c r="O2138" t="s">
        <v>1798</v>
      </c>
      <c r="P2138" t="s">
        <v>128</v>
      </c>
      <c r="Q2138">
        <v>768</v>
      </c>
      <c r="R2138" s="296">
        <v>0</v>
      </c>
      <c r="S2138" s="296">
        <v>0.97870000000000001</v>
      </c>
      <c r="T2138" s="297">
        <v>4552</v>
      </c>
      <c r="U2138" s="340">
        <v>156243</v>
      </c>
      <c r="V2138" s="340">
        <v>549289</v>
      </c>
      <c r="W2138" s="297">
        <v>12851</v>
      </c>
      <c r="X2138" s="296">
        <v>5.0000000000000001E-3</v>
      </c>
    </row>
    <row r="2139" spans="13:24">
      <c r="M2139">
        <v>2137</v>
      </c>
      <c r="N2139">
        <v>61815</v>
      </c>
      <c r="O2139" t="s">
        <v>1799</v>
      </c>
      <c r="P2139" t="s">
        <v>131</v>
      </c>
      <c r="Q2139">
        <v>144</v>
      </c>
      <c r="R2139" s="296">
        <v>0</v>
      </c>
      <c r="S2139" s="296">
        <v>0.97870000000000001</v>
      </c>
      <c r="T2139">
        <v>176</v>
      </c>
      <c r="U2139" s="340">
        <v>156236</v>
      </c>
      <c r="V2139" s="340">
        <v>300560</v>
      </c>
      <c r="W2139">
        <v>349</v>
      </c>
      <c r="X2139" s="296">
        <v>-1.0999999999999999E-2</v>
      </c>
    </row>
    <row r="2140" spans="13:24">
      <c r="M2140">
        <v>2138</v>
      </c>
      <c r="N2140">
        <v>80220</v>
      </c>
      <c r="O2140" t="s">
        <v>330</v>
      </c>
      <c r="P2140" t="s">
        <v>142</v>
      </c>
      <c r="Q2140">
        <v>908</v>
      </c>
      <c r="R2140" s="296">
        <v>0</v>
      </c>
      <c r="S2140" s="296">
        <v>0.97870000000000001</v>
      </c>
      <c r="T2140" s="297">
        <v>16503</v>
      </c>
      <c r="U2140" s="340">
        <v>156031</v>
      </c>
      <c r="V2140" s="340">
        <v>910024</v>
      </c>
      <c r="W2140" s="297">
        <v>36775</v>
      </c>
      <c r="X2140" s="296">
        <v>-1E-3</v>
      </c>
    </row>
    <row r="2141" spans="13:24">
      <c r="M2141">
        <v>2139</v>
      </c>
      <c r="N2141">
        <v>75248</v>
      </c>
      <c r="O2141" t="s">
        <v>338</v>
      </c>
      <c r="P2141" t="s">
        <v>134</v>
      </c>
      <c r="Q2141">
        <v>802</v>
      </c>
      <c r="R2141" s="296">
        <v>0</v>
      </c>
      <c r="S2141" s="296">
        <v>0.97870000000000001</v>
      </c>
      <c r="T2141" s="297">
        <v>17260</v>
      </c>
      <c r="U2141" s="340">
        <v>155647</v>
      </c>
      <c r="V2141" s="340">
        <v>556645</v>
      </c>
      <c r="W2141" s="297">
        <v>37950</v>
      </c>
      <c r="X2141" s="296">
        <v>-5.0000000000000001E-3</v>
      </c>
    </row>
    <row r="2142" spans="13:24">
      <c r="M2142">
        <v>2140</v>
      </c>
      <c r="N2142">
        <v>7438</v>
      </c>
      <c r="O2142" t="s">
        <v>1800</v>
      </c>
      <c r="P2142" t="s">
        <v>129</v>
      </c>
      <c r="Q2142">
        <v>689</v>
      </c>
      <c r="R2142" s="296">
        <v>0</v>
      </c>
      <c r="S2142" s="296">
        <v>0.97870000000000001</v>
      </c>
      <c r="T2142" s="297">
        <v>4133</v>
      </c>
      <c r="U2142" s="340">
        <v>155571</v>
      </c>
      <c r="V2142" s="340">
        <v>510806</v>
      </c>
      <c r="W2142" s="297">
        <v>10915</v>
      </c>
      <c r="X2142" s="296">
        <v>-3.0000000000000001E-3</v>
      </c>
    </row>
    <row r="2143" spans="13:24">
      <c r="M2143">
        <v>2141</v>
      </c>
      <c r="N2143">
        <v>53153</v>
      </c>
      <c r="O2143" t="s">
        <v>1801</v>
      </c>
      <c r="P2143" t="s">
        <v>149</v>
      </c>
      <c r="Q2143">
        <v>63</v>
      </c>
      <c r="R2143" s="296">
        <v>0</v>
      </c>
      <c r="S2143" s="296">
        <v>0.9788</v>
      </c>
      <c r="T2143">
        <v>973</v>
      </c>
      <c r="U2143" s="340">
        <v>155259</v>
      </c>
      <c r="V2143" s="340">
        <v>522586</v>
      </c>
      <c r="W2143" s="297">
        <v>2575</v>
      </c>
      <c r="X2143" s="296">
        <v>-3.0000000000000001E-3</v>
      </c>
    </row>
    <row r="2144" spans="13:24">
      <c r="M2144">
        <v>2142</v>
      </c>
      <c r="N2144">
        <v>8226</v>
      </c>
      <c r="O2144" t="s">
        <v>1802</v>
      </c>
      <c r="P2144" t="s">
        <v>129</v>
      </c>
      <c r="Q2144">
        <v>719</v>
      </c>
      <c r="R2144" s="296">
        <v>0</v>
      </c>
      <c r="S2144" s="296">
        <v>0.9788</v>
      </c>
      <c r="T2144" s="297">
        <v>5566</v>
      </c>
      <c r="U2144" s="340">
        <v>155030</v>
      </c>
      <c r="V2144" s="340">
        <v>984968</v>
      </c>
      <c r="W2144" s="297">
        <v>11304</v>
      </c>
      <c r="X2144" s="296">
        <v>2E-3</v>
      </c>
    </row>
    <row r="2145" spans="13:24">
      <c r="M2145">
        <v>2143</v>
      </c>
      <c r="N2145">
        <v>44149</v>
      </c>
      <c r="O2145" t="s">
        <v>1803</v>
      </c>
      <c r="P2145" t="s">
        <v>136</v>
      </c>
      <c r="Q2145">
        <v>311</v>
      </c>
      <c r="R2145" s="296">
        <v>0</v>
      </c>
      <c r="S2145" s="296">
        <v>0.9788</v>
      </c>
      <c r="T2145" s="297">
        <v>7958</v>
      </c>
      <c r="U2145" s="340">
        <v>154829</v>
      </c>
      <c r="V2145" s="340">
        <v>331543</v>
      </c>
      <c r="W2145" s="297">
        <v>20301</v>
      </c>
      <c r="X2145" s="296">
        <v>-5.0000000000000001E-3</v>
      </c>
    </row>
    <row r="2146" spans="13:24">
      <c r="M2146">
        <v>2144</v>
      </c>
      <c r="N2146">
        <v>30326</v>
      </c>
      <c r="O2146" t="s">
        <v>507</v>
      </c>
      <c r="P2146" t="s">
        <v>130</v>
      </c>
      <c r="Q2146">
        <v>603</v>
      </c>
      <c r="R2146" s="296">
        <v>0</v>
      </c>
      <c r="S2146" s="296">
        <v>0.9788</v>
      </c>
      <c r="T2146" s="297">
        <v>6913</v>
      </c>
      <c r="U2146" s="340">
        <v>154525</v>
      </c>
      <c r="V2146" s="340">
        <v>814066</v>
      </c>
      <c r="W2146" s="297">
        <v>10490</v>
      </c>
      <c r="X2146" s="296">
        <v>2.3E-2</v>
      </c>
    </row>
    <row r="2147" spans="13:24">
      <c r="M2147">
        <v>2145</v>
      </c>
      <c r="N2147">
        <v>80919</v>
      </c>
      <c r="O2147" t="s">
        <v>740</v>
      </c>
      <c r="P2147" t="s">
        <v>142</v>
      </c>
      <c r="Q2147">
        <v>922</v>
      </c>
      <c r="R2147" s="296">
        <v>0</v>
      </c>
      <c r="S2147" s="296">
        <v>0.9788</v>
      </c>
      <c r="T2147" s="297">
        <v>11638</v>
      </c>
      <c r="U2147" s="340">
        <v>154311</v>
      </c>
      <c r="V2147" s="340">
        <v>632214</v>
      </c>
      <c r="W2147" s="297">
        <v>28561</v>
      </c>
      <c r="X2147" s="296">
        <v>-3.0000000000000001E-3</v>
      </c>
    </row>
    <row r="2148" spans="13:24">
      <c r="M2148">
        <v>2146</v>
      </c>
      <c r="N2148">
        <v>85212</v>
      </c>
      <c r="O2148" t="s">
        <v>1085</v>
      </c>
      <c r="P2148" t="s">
        <v>158</v>
      </c>
      <c r="Q2148">
        <v>1431</v>
      </c>
      <c r="R2148" s="296">
        <v>0</v>
      </c>
      <c r="S2148" s="296">
        <v>0.9788</v>
      </c>
      <c r="T2148" s="297">
        <v>19806</v>
      </c>
      <c r="U2148" s="340">
        <v>154283</v>
      </c>
      <c r="V2148" s="340">
        <v>598985</v>
      </c>
      <c r="W2148" s="297">
        <v>61958</v>
      </c>
      <c r="X2148" s="296">
        <v>6.2E-2</v>
      </c>
    </row>
    <row r="2149" spans="13:24">
      <c r="M2149">
        <v>2147</v>
      </c>
      <c r="N2149">
        <v>89044</v>
      </c>
      <c r="O2149" t="s">
        <v>1090</v>
      </c>
      <c r="P2149" t="s">
        <v>148</v>
      </c>
      <c r="Q2149">
        <v>1522</v>
      </c>
      <c r="R2149" s="296">
        <v>0</v>
      </c>
      <c r="S2149" s="296">
        <v>0.9788</v>
      </c>
      <c r="T2149" s="297">
        <v>14088</v>
      </c>
      <c r="U2149" s="340">
        <v>154204</v>
      </c>
      <c r="V2149" s="340">
        <v>598245</v>
      </c>
      <c r="W2149" s="297">
        <v>34478</v>
      </c>
      <c r="X2149" s="296">
        <v>5.3999999999999999E-2</v>
      </c>
    </row>
    <row r="2150" spans="13:24">
      <c r="M2150">
        <v>2148</v>
      </c>
      <c r="N2150">
        <v>94954</v>
      </c>
      <c r="O2150" t="s">
        <v>1804</v>
      </c>
      <c r="P2150" t="s">
        <v>132</v>
      </c>
      <c r="Q2150">
        <v>1845</v>
      </c>
      <c r="R2150" s="296">
        <v>0</v>
      </c>
      <c r="S2150" s="296">
        <v>0.9788</v>
      </c>
      <c r="T2150" s="297">
        <v>13955</v>
      </c>
      <c r="U2150" s="340">
        <v>154147</v>
      </c>
      <c r="V2150" s="340">
        <v>802873</v>
      </c>
      <c r="W2150" s="297">
        <v>37303</v>
      </c>
      <c r="X2150" s="296">
        <v>-7.0000000000000001E-3</v>
      </c>
    </row>
    <row r="2151" spans="13:24">
      <c r="M2151">
        <v>2149</v>
      </c>
      <c r="N2151">
        <v>7662</v>
      </c>
      <c r="O2151" t="s">
        <v>1805</v>
      </c>
      <c r="P2151" t="s">
        <v>129</v>
      </c>
      <c r="Q2151">
        <v>714</v>
      </c>
      <c r="R2151" s="296">
        <v>0</v>
      </c>
      <c r="S2151" s="296">
        <v>0.97889999999999999</v>
      </c>
      <c r="T2151" s="297">
        <v>2143</v>
      </c>
      <c r="U2151" s="340">
        <v>153944</v>
      </c>
      <c r="V2151" s="340">
        <v>504330</v>
      </c>
      <c r="W2151" s="297">
        <v>5647</v>
      </c>
      <c r="X2151" s="296">
        <v>-6.0000000000000001E-3</v>
      </c>
    </row>
    <row r="2152" spans="13:24">
      <c r="M2152">
        <v>2150</v>
      </c>
      <c r="N2152">
        <v>95688</v>
      </c>
      <c r="O2152" t="s">
        <v>1806</v>
      </c>
      <c r="P2152" t="s">
        <v>132</v>
      </c>
      <c r="Q2152">
        <v>1809</v>
      </c>
      <c r="R2152" s="296">
        <v>0</v>
      </c>
      <c r="S2152" s="296">
        <v>0.97889999999999999</v>
      </c>
      <c r="T2152" s="297">
        <v>14232</v>
      </c>
      <c r="U2152" s="340">
        <v>153694</v>
      </c>
      <c r="V2152" s="340">
        <v>746805</v>
      </c>
      <c r="W2152" s="297">
        <v>39713</v>
      </c>
      <c r="X2152" s="296">
        <v>1E-3</v>
      </c>
    </row>
    <row r="2153" spans="13:24">
      <c r="M2153">
        <v>2151</v>
      </c>
      <c r="N2153">
        <v>14564</v>
      </c>
      <c r="O2153" t="s">
        <v>1807</v>
      </c>
      <c r="P2153" t="s">
        <v>128</v>
      </c>
      <c r="Q2153">
        <v>531</v>
      </c>
      <c r="R2153" s="296">
        <v>0</v>
      </c>
      <c r="S2153" s="296">
        <v>0.97889999999999999</v>
      </c>
      <c r="T2153" s="297">
        <v>6693</v>
      </c>
      <c r="U2153" s="340">
        <v>153203</v>
      </c>
      <c r="V2153" s="340">
        <v>415747</v>
      </c>
      <c r="W2153" s="297">
        <v>16009</v>
      </c>
      <c r="X2153" s="296">
        <v>-1E-3</v>
      </c>
    </row>
    <row r="2154" spans="13:24">
      <c r="M2154">
        <v>2152</v>
      </c>
      <c r="N2154">
        <v>73034</v>
      </c>
      <c r="O2154" t="s">
        <v>303</v>
      </c>
      <c r="P2154" t="s">
        <v>205</v>
      </c>
      <c r="Q2154">
        <v>682</v>
      </c>
      <c r="R2154" s="296">
        <v>0</v>
      </c>
      <c r="S2154" s="296">
        <v>0.97889999999999999</v>
      </c>
      <c r="T2154" s="297">
        <v>19028</v>
      </c>
      <c r="U2154" s="340">
        <v>153184</v>
      </c>
      <c r="V2154" s="340">
        <v>413665</v>
      </c>
      <c r="W2154" s="297">
        <v>50226</v>
      </c>
      <c r="X2154" s="296">
        <v>1.0999999999999999E-2</v>
      </c>
    </row>
    <row r="2155" spans="13:24">
      <c r="M2155">
        <v>2153</v>
      </c>
      <c r="N2155">
        <v>92126</v>
      </c>
      <c r="O2155" t="s">
        <v>316</v>
      </c>
      <c r="P2155" t="s">
        <v>132</v>
      </c>
      <c r="Q2155">
        <v>1720</v>
      </c>
      <c r="R2155" s="296">
        <v>0</v>
      </c>
      <c r="S2155" s="296">
        <v>0.97889999999999999</v>
      </c>
      <c r="T2155" s="297">
        <v>26209</v>
      </c>
      <c r="U2155" s="340">
        <v>153087</v>
      </c>
      <c r="V2155" s="340">
        <v>904538</v>
      </c>
      <c r="W2155" s="297">
        <v>76716</v>
      </c>
      <c r="X2155" s="296">
        <v>6.0000000000000001E-3</v>
      </c>
    </row>
    <row r="2156" spans="13:24">
      <c r="M2156">
        <v>2154</v>
      </c>
      <c r="N2156">
        <v>75056</v>
      </c>
      <c r="O2156" t="s">
        <v>642</v>
      </c>
      <c r="P2156" t="s">
        <v>134</v>
      </c>
      <c r="Q2156">
        <v>801</v>
      </c>
      <c r="R2156" s="296">
        <v>0</v>
      </c>
      <c r="S2156" s="296">
        <v>0.97889999999999999</v>
      </c>
      <c r="T2156" s="297">
        <v>28546</v>
      </c>
      <c r="U2156" s="340">
        <v>152834</v>
      </c>
      <c r="V2156" s="340">
        <v>511442</v>
      </c>
      <c r="W2156" s="297">
        <v>72024</v>
      </c>
      <c r="X2156" s="296">
        <v>1.7999999999999999E-2</v>
      </c>
    </row>
    <row r="2157" spans="13:24">
      <c r="M2157">
        <v>2155</v>
      </c>
      <c r="N2157">
        <v>75082</v>
      </c>
      <c r="O2157" t="s">
        <v>715</v>
      </c>
      <c r="P2157" t="s">
        <v>134</v>
      </c>
      <c r="Q2157">
        <v>797</v>
      </c>
      <c r="R2157" s="296">
        <v>0</v>
      </c>
      <c r="S2157" s="296">
        <v>0.97889999999999999</v>
      </c>
      <c r="T2157" s="297">
        <v>12798</v>
      </c>
      <c r="U2157" s="340">
        <v>152677</v>
      </c>
      <c r="V2157" s="340">
        <v>558042</v>
      </c>
      <c r="W2157" s="297">
        <v>29121</v>
      </c>
      <c r="X2157" s="296">
        <v>0.01</v>
      </c>
    </row>
    <row r="2158" spans="13:24">
      <c r="M2158">
        <v>2156</v>
      </c>
      <c r="N2158">
        <v>76109</v>
      </c>
      <c r="O2158" t="s">
        <v>688</v>
      </c>
      <c r="P2158" t="s">
        <v>134</v>
      </c>
      <c r="Q2158">
        <v>837</v>
      </c>
      <c r="R2158" s="296">
        <v>0</v>
      </c>
      <c r="S2158" s="296">
        <v>0.97889999999999999</v>
      </c>
      <c r="T2158" s="297">
        <v>11404</v>
      </c>
      <c r="U2158" s="340">
        <v>152540</v>
      </c>
      <c r="V2158" s="340">
        <v>693359</v>
      </c>
      <c r="W2158" s="297">
        <v>26072</v>
      </c>
      <c r="X2158" s="296">
        <v>6.0000000000000001E-3</v>
      </c>
    </row>
    <row r="2159" spans="13:24">
      <c r="M2159">
        <v>2157</v>
      </c>
      <c r="N2159">
        <v>48170</v>
      </c>
      <c r="O2159" t="s">
        <v>390</v>
      </c>
      <c r="P2159" t="s">
        <v>140</v>
      </c>
      <c r="Q2159">
        <v>221</v>
      </c>
      <c r="R2159" s="296">
        <v>0</v>
      </c>
      <c r="S2159" s="296">
        <v>0.97899999999999998</v>
      </c>
      <c r="T2159" s="297">
        <v>17663</v>
      </c>
      <c r="U2159" s="340">
        <v>152515</v>
      </c>
      <c r="V2159" s="340">
        <v>423973</v>
      </c>
      <c r="W2159" s="297">
        <v>40418</v>
      </c>
      <c r="X2159" s="296">
        <v>-6.0000000000000001E-3</v>
      </c>
    </row>
    <row r="2160" spans="13:24">
      <c r="M2160">
        <v>2158</v>
      </c>
      <c r="N2160">
        <v>96707</v>
      </c>
      <c r="O2160" t="s">
        <v>1808</v>
      </c>
      <c r="P2160" t="s">
        <v>168</v>
      </c>
      <c r="Q2160">
        <v>4249</v>
      </c>
      <c r="R2160" s="296">
        <v>0</v>
      </c>
      <c r="S2160" s="296">
        <v>0.97899999999999998</v>
      </c>
      <c r="T2160" s="297">
        <v>14486</v>
      </c>
      <c r="U2160" s="340">
        <v>152212</v>
      </c>
      <c r="V2160" s="340">
        <v>935174</v>
      </c>
      <c r="W2160" s="297">
        <v>47748</v>
      </c>
      <c r="X2160" s="296">
        <v>3.0000000000000001E-3</v>
      </c>
    </row>
    <row r="2161" spans="13:24">
      <c r="M2161">
        <v>2159</v>
      </c>
      <c r="N2161">
        <v>48375</v>
      </c>
      <c r="O2161" t="s">
        <v>520</v>
      </c>
      <c r="P2161" t="s">
        <v>140</v>
      </c>
      <c r="Q2161">
        <v>222</v>
      </c>
      <c r="R2161" s="296">
        <v>0</v>
      </c>
      <c r="S2161" s="296">
        <v>0.97899999999999998</v>
      </c>
      <c r="T2161" s="297">
        <v>9250</v>
      </c>
      <c r="U2161" s="340">
        <v>152209</v>
      </c>
      <c r="V2161" s="340">
        <v>400736</v>
      </c>
      <c r="W2161" s="297">
        <v>23236</v>
      </c>
      <c r="X2161" s="296">
        <v>3.0000000000000001E-3</v>
      </c>
    </row>
    <row r="2162" spans="13:24">
      <c r="M2162">
        <v>2160</v>
      </c>
      <c r="N2162">
        <v>33414</v>
      </c>
      <c r="O2162" t="s">
        <v>659</v>
      </c>
      <c r="P2162" t="s">
        <v>127</v>
      </c>
      <c r="Q2162">
        <v>1153</v>
      </c>
      <c r="R2162" s="296">
        <v>0</v>
      </c>
      <c r="S2162" s="296">
        <v>0.97899999999999998</v>
      </c>
      <c r="T2162" s="297">
        <v>20930</v>
      </c>
      <c r="U2162" s="340">
        <v>151982</v>
      </c>
      <c r="V2162" s="340">
        <v>675557</v>
      </c>
      <c r="W2162" s="297">
        <v>59384</v>
      </c>
      <c r="X2162" s="296">
        <v>-1E-3</v>
      </c>
    </row>
    <row r="2163" spans="13:24">
      <c r="M2163">
        <v>2161</v>
      </c>
      <c r="N2163">
        <v>20011</v>
      </c>
      <c r="O2163" t="s">
        <v>225</v>
      </c>
      <c r="P2163" t="s">
        <v>150</v>
      </c>
      <c r="Q2163">
        <v>606</v>
      </c>
      <c r="R2163" s="296">
        <v>0</v>
      </c>
      <c r="S2163" s="296">
        <v>0.97899999999999998</v>
      </c>
      <c r="T2163" s="297">
        <v>24931</v>
      </c>
      <c r="U2163" s="340">
        <v>151914</v>
      </c>
      <c r="V2163" s="340">
        <v>759842</v>
      </c>
      <c r="W2163" s="297">
        <v>65482</v>
      </c>
      <c r="X2163" s="296">
        <v>-7.0000000000000001E-3</v>
      </c>
    </row>
    <row r="2164" spans="13:24">
      <c r="M2164">
        <v>2162</v>
      </c>
      <c r="N2164">
        <v>91367</v>
      </c>
      <c r="O2164" t="s">
        <v>1809</v>
      </c>
      <c r="P2164" t="s">
        <v>132</v>
      </c>
      <c r="Q2164">
        <v>1752</v>
      </c>
      <c r="R2164" s="296">
        <v>0</v>
      </c>
      <c r="S2164" s="296">
        <v>0.97899999999999998</v>
      </c>
      <c r="T2164" s="297">
        <v>20126</v>
      </c>
      <c r="U2164" s="340">
        <v>151905</v>
      </c>
      <c r="V2164" s="340">
        <v>1049617</v>
      </c>
      <c r="W2164" s="297">
        <v>46502</v>
      </c>
      <c r="X2164" s="296">
        <v>3.0000000000000001E-3</v>
      </c>
    </row>
    <row r="2165" spans="13:24">
      <c r="M2165">
        <v>2163</v>
      </c>
      <c r="N2165">
        <v>1801</v>
      </c>
      <c r="O2165" t="s">
        <v>389</v>
      </c>
      <c r="P2165" t="s">
        <v>135</v>
      </c>
      <c r="Q2165">
        <v>849</v>
      </c>
      <c r="R2165" s="296">
        <v>0</v>
      </c>
      <c r="S2165" s="296">
        <v>0.97899999999999998</v>
      </c>
      <c r="T2165" s="297">
        <v>16769</v>
      </c>
      <c r="U2165" s="340">
        <v>151879</v>
      </c>
      <c r="V2165" s="340">
        <v>751092</v>
      </c>
      <c r="W2165" s="297">
        <v>41162</v>
      </c>
      <c r="X2165" s="296">
        <v>3.0000000000000001E-3</v>
      </c>
    </row>
    <row r="2166" spans="13:24">
      <c r="M2166">
        <v>2164</v>
      </c>
      <c r="N2166">
        <v>33458</v>
      </c>
      <c r="O2166" t="s">
        <v>554</v>
      </c>
      <c r="P2166" t="s">
        <v>127</v>
      </c>
      <c r="Q2166">
        <v>1137</v>
      </c>
      <c r="R2166" s="296">
        <v>0</v>
      </c>
      <c r="S2166" s="296">
        <v>0.97899999999999998</v>
      </c>
      <c r="T2166" s="297">
        <v>21418</v>
      </c>
      <c r="U2166" s="340">
        <v>151690</v>
      </c>
      <c r="V2166" s="340">
        <v>714845</v>
      </c>
      <c r="W2166" s="297">
        <v>55739</v>
      </c>
      <c r="X2166" s="296">
        <v>3.0000000000000001E-3</v>
      </c>
    </row>
    <row r="2167" spans="13:24">
      <c r="M2167">
        <v>2165</v>
      </c>
      <c r="N2167">
        <v>6489</v>
      </c>
      <c r="O2167" t="s">
        <v>555</v>
      </c>
      <c r="P2167" t="s">
        <v>141</v>
      </c>
      <c r="Q2167">
        <v>767</v>
      </c>
      <c r="R2167" s="296">
        <v>0</v>
      </c>
      <c r="S2167" s="296">
        <v>0.97909999999999997</v>
      </c>
      <c r="T2167" s="297">
        <v>13215</v>
      </c>
      <c r="U2167" s="340">
        <v>151593</v>
      </c>
      <c r="V2167" s="340">
        <v>430470</v>
      </c>
      <c r="W2167" s="297">
        <v>32267</v>
      </c>
      <c r="X2167" s="296">
        <v>1E-3</v>
      </c>
    </row>
    <row r="2168" spans="13:24">
      <c r="M2168">
        <v>2166</v>
      </c>
      <c r="N2168">
        <v>55401</v>
      </c>
      <c r="O2168" t="s">
        <v>576</v>
      </c>
      <c r="P2168" t="s">
        <v>151</v>
      </c>
      <c r="Q2168">
        <v>337</v>
      </c>
      <c r="R2168" s="296">
        <v>0</v>
      </c>
      <c r="S2168" s="296">
        <v>0.97909999999999997</v>
      </c>
      <c r="T2168" s="297">
        <v>8236</v>
      </c>
      <c r="U2168" s="340">
        <v>151402</v>
      </c>
      <c r="V2168" s="340">
        <v>593882</v>
      </c>
      <c r="W2168" s="297">
        <v>12439</v>
      </c>
      <c r="X2168" s="296">
        <v>2.1999999999999999E-2</v>
      </c>
    </row>
    <row r="2169" spans="13:24">
      <c r="M2169">
        <v>2167</v>
      </c>
      <c r="N2169">
        <v>67235</v>
      </c>
      <c r="O2169" t="s">
        <v>1810</v>
      </c>
      <c r="P2169" t="s">
        <v>176</v>
      </c>
      <c r="Q2169">
        <v>598</v>
      </c>
      <c r="R2169" s="296">
        <v>0</v>
      </c>
      <c r="S2169" s="296">
        <v>0.97909999999999997</v>
      </c>
      <c r="T2169" s="297">
        <v>5294</v>
      </c>
      <c r="U2169" s="340">
        <v>151311</v>
      </c>
      <c r="V2169" s="340">
        <v>340568</v>
      </c>
      <c r="W2169" s="297">
        <v>15282</v>
      </c>
      <c r="X2169" s="296">
        <v>7.0000000000000001E-3</v>
      </c>
    </row>
    <row r="2170" spans="13:24">
      <c r="M2170">
        <v>2168</v>
      </c>
      <c r="N2170">
        <v>7604</v>
      </c>
      <c r="O2170" t="s">
        <v>653</v>
      </c>
      <c r="P2170" t="s">
        <v>129</v>
      </c>
      <c r="Q2170">
        <v>714</v>
      </c>
      <c r="R2170" s="296">
        <v>0</v>
      </c>
      <c r="S2170" s="296">
        <v>0.97909999999999997</v>
      </c>
      <c r="T2170" s="297">
        <v>4548</v>
      </c>
      <c r="U2170" s="340">
        <v>150778</v>
      </c>
      <c r="V2170" s="340">
        <v>632451</v>
      </c>
      <c r="W2170" s="297">
        <v>11928</v>
      </c>
      <c r="X2170" s="296">
        <v>-3.0000000000000001E-3</v>
      </c>
    </row>
    <row r="2171" spans="13:24">
      <c r="M2171">
        <v>2169</v>
      </c>
      <c r="N2171">
        <v>21113</v>
      </c>
      <c r="O2171" t="s">
        <v>1811</v>
      </c>
      <c r="P2171" t="s">
        <v>137</v>
      </c>
      <c r="Q2171">
        <v>619</v>
      </c>
      <c r="R2171" s="296">
        <v>0</v>
      </c>
      <c r="S2171" s="296">
        <v>0.97909999999999997</v>
      </c>
      <c r="T2171" s="297">
        <v>16102</v>
      </c>
      <c r="U2171" s="340">
        <v>150683</v>
      </c>
      <c r="V2171" s="340">
        <v>506913</v>
      </c>
      <c r="W2171" s="297">
        <v>39080</v>
      </c>
      <c r="X2171" s="296">
        <v>2.1999999999999999E-2</v>
      </c>
    </row>
    <row r="2172" spans="13:24">
      <c r="M2172">
        <v>2170</v>
      </c>
      <c r="N2172">
        <v>98407</v>
      </c>
      <c r="O2172" t="s">
        <v>550</v>
      </c>
      <c r="P2172" t="s">
        <v>224</v>
      </c>
      <c r="Q2172">
        <v>1726</v>
      </c>
      <c r="R2172" s="296">
        <v>0</v>
      </c>
      <c r="S2172" s="296">
        <v>0.97909999999999997</v>
      </c>
      <c r="T2172" s="297">
        <v>10064</v>
      </c>
      <c r="U2172" s="340">
        <v>150608</v>
      </c>
      <c r="V2172" s="340">
        <v>721966</v>
      </c>
      <c r="W2172" s="297">
        <v>22769</v>
      </c>
      <c r="X2172" s="296">
        <v>1.0999999999999999E-2</v>
      </c>
    </row>
    <row r="2173" spans="13:24">
      <c r="M2173">
        <v>2171</v>
      </c>
      <c r="N2173">
        <v>95628</v>
      </c>
      <c r="O2173" t="s">
        <v>1812</v>
      </c>
      <c r="P2173" t="s">
        <v>132</v>
      </c>
      <c r="Q2173">
        <v>1766</v>
      </c>
      <c r="R2173" s="296">
        <v>0</v>
      </c>
      <c r="S2173" s="296">
        <v>0.97909999999999997</v>
      </c>
      <c r="T2173" s="297">
        <v>17274</v>
      </c>
      <c r="U2173" s="340">
        <v>150305</v>
      </c>
      <c r="V2173" s="340">
        <v>697627</v>
      </c>
      <c r="W2173" s="297">
        <v>42963</v>
      </c>
      <c r="X2173" s="296">
        <v>1E-3</v>
      </c>
    </row>
    <row r="2174" spans="13:24">
      <c r="M2174">
        <v>2172</v>
      </c>
      <c r="N2174">
        <v>75010</v>
      </c>
      <c r="O2174" t="s">
        <v>549</v>
      </c>
      <c r="P2174" t="s">
        <v>134</v>
      </c>
      <c r="Q2174">
        <v>802</v>
      </c>
      <c r="R2174" s="296">
        <v>0</v>
      </c>
      <c r="S2174" s="296">
        <v>0.97909999999999997</v>
      </c>
      <c r="T2174" s="297">
        <v>14783</v>
      </c>
      <c r="U2174" s="340">
        <v>150226</v>
      </c>
      <c r="V2174" s="340">
        <v>565049</v>
      </c>
      <c r="W2174" s="297">
        <v>37515</v>
      </c>
      <c r="X2174" s="296">
        <v>2.5000000000000001E-2</v>
      </c>
    </row>
    <row r="2175" spans="13:24">
      <c r="M2175">
        <v>2173</v>
      </c>
      <c r="N2175">
        <v>7852</v>
      </c>
      <c r="O2175" t="s">
        <v>1813</v>
      </c>
      <c r="P2175" t="s">
        <v>129</v>
      </c>
      <c r="Q2175">
        <v>684</v>
      </c>
      <c r="R2175" s="296">
        <v>0</v>
      </c>
      <c r="S2175" s="296">
        <v>0.97919999999999996</v>
      </c>
      <c r="T2175" s="297">
        <v>1566</v>
      </c>
      <c r="U2175" s="340">
        <v>149816</v>
      </c>
      <c r="V2175" s="340">
        <v>508398</v>
      </c>
      <c r="W2175" s="297">
        <v>3916</v>
      </c>
      <c r="X2175" s="296">
        <v>8.9999999999999993E-3</v>
      </c>
    </row>
    <row r="2176" spans="13:24">
      <c r="M2176">
        <v>2174</v>
      </c>
      <c r="N2176">
        <v>29455</v>
      </c>
      <c r="O2176" t="s">
        <v>1814</v>
      </c>
      <c r="P2176" t="s">
        <v>145</v>
      </c>
      <c r="Q2176">
        <v>777</v>
      </c>
      <c r="R2176" s="296">
        <v>0</v>
      </c>
      <c r="S2176" s="296">
        <v>0.97919999999999996</v>
      </c>
      <c r="T2176" s="297">
        <v>13926</v>
      </c>
      <c r="U2176" s="340">
        <v>149739</v>
      </c>
      <c r="V2176" s="340">
        <v>776333</v>
      </c>
      <c r="W2176" s="297">
        <v>32144</v>
      </c>
      <c r="X2176" s="296">
        <v>2.9000000000000001E-2</v>
      </c>
    </row>
    <row r="2177" spans="13:24">
      <c r="M2177">
        <v>2175</v>
      </c>
      <c r="N2177">
        <v>44116</v>
      </c>
      <c r="O2177" t="s">
        <v>1815</v>
      </c>
      <c r="P2177" t="s">
        <v>136</v>
      </c>
      <c r="Q2177">
        <v>309</v>
      </c>
      <c r="R2177" s="296">
        <v>0</v>
      </c>
      <c r="S2177" s="296">
        <v>0.97919999999999996</v>
      </c>
      <c r="T2177" s="297">
        <v>9753</v>
      </c>
      <c r="U2177" s="340">
        <v>149623</v>
      </c>
      <c r="V2177" s="340">
        <v>395109</v>
      </c>
      <c r="W2177" s="297">
        <v>21505</v>
      </c>
      <c r="X2177" s="296">
        <v>-5.0000000000000001E-3</v>
      </c>
    </row>
    <row r="2178" spans="13:24">
      <c r="M2178">
        <v>2176</v>
      </c>
      <c r="N2178">
        <v>98105</v>
      </c>
      <c r="O2178" t="s">
        <v>299</v>
      </c>
      <c r="P2178" t="s">
        <v>224</v>
      </c>
      <c r="Q2178">
        <v>1715</v>
      </c>
      <c r="R2178" s="296">
        <v>0</v>
      </c>
      <c r="S2178" s="296">
        <v>0.97919999999999996</v>
      </c>
      <c r="T2178" s="297">
        <v>19763</v>
      </c>
      <c r="U2178" s="340">
        <v>149588</v>
      </c>
      <c r="V2178" s="340">
        <v>1391818</v>
      </c>
      <c r="W2178" s="297">
        <v>50801</v>
      </c>
      <c r="X2178" s="296">
        <v>8.0000000000000002E-3</v>
      </c>
    </row>
    <row r="2179" spans="13:24">
      <c r="M2179">
        <v>2177</v>
      </c>
      <c r="N2179">
        <v>77018</v>
      </c>
      <c r="O2179" t="s">
        <v>314</v>
      </c>
      <c r="P2179" t="s">
        <v>134</v>
      </c>
      <c r="Q2179">
        <v>951</v>
      </c>
      <c r="R2179" s="296">
        <v>0</v>
      </c>
      <c r="S2179" s="296">
        <v>0.97919999999999996</v>
      </c>
      <c r="T2179" s="297">
        <v>12378</v>
      </c>
      <c r="U2179" s="340">
        <v>149574</v>
      </c>
      <c r="V2179" s="340">
        <v>560291</v>
      </c>
      <c r="W2179" s="297">
        <v>30274</v>
      </c>
      <c r="X2179" s="296">
        <v>1.9E-2</v>
      </c>
    </row>
    <row r="2180" spans="13:24">
      <c r="M2180">
        <v>2178</v>
      </c>
      <c r="N2180">
        <v>77429</v>
      </c>
      <c r="O2180" t="s">
        <v>1419</v>
      </c>
      <c r="P2180" t="s">
        <v>134</v>
      </c>
      <c r="Q2180">
        <v>947</v>
      </c>
      <c r="R2180" s="296">
        <v>0</v>
      </c>
      <c r="S2180" s="296">
        <v>0.97919999999999996</v>
      </c>
      <c r="T2180" s="297">
        <v>32481</v>
      </c>
      <c r="U2180" s="340">
        <v>149470</v>
      </c>
      <c r="V2180" s="340">
        <v>385476</v>
      </c>
      <c r="W2180" s="297">
        <v>97206</v>
      </c>
      <c r="X2180" s="296">
        <v>7.0000000000000001E-3</v>
      </c>
    </row>
    <row r="2181" spans="13:24">
      <c r="M2181">
        <v>2179</v>
      </c>
      <c r="N2181">
        <v>8053</v>
      </c>
      <c r="O2181" t="s">
        <v>1816</v>
      </c>
      <c r="P2181" t="s">
        <v>129</v>
      </c>
      <c r="Q2181">
        <v>689</v>
      </c>
      <c r="R2181" s="296">
        <v>0</v>
      </c>
      <c r="S2181" s="296">
        <v>0.97919999999999996</v>
      </c>
      <c r="T2181" s="297">
        <v>19287</v>
      </c>
      <c r="U2181" s="340">
        <v>149430</v>
      </c>
      <c r="V2181" s="340">
        <v>434323</v>
      </c>
      <c r="W2181" s="297">
        <v>47655</v>
      </c>
      <c r="X2181" s="296">
        <v>5.0000000000000001E-3</v>
      </c>
    </row>
    <row r="2182" spans="13:24">
      <c r="M2182">
        <v>2180</v>
      </c>
      <c r="N2182">
        <v>95023</v>
      </c>
      <c r="O2182" t="s">
        <v>1817</v>
      </c>
      <c r="P2182" t="s">
        <v>132</v>
      </c>
      <c r="Q2182">
        <v>1809</v>
      </c>
      <c r="R2182" s="296">
        <v>0</v>
      </c>
      <c r="S2182" s="296">
        <v>0.97919999999999996</v>
      </c>
      <c r="T2182" s="297">
        <v>18646</v>
      </c>
      <c r="U2182" s="340">
        <v>149383</v>
      </c>
      <c r="V2182" s="340">
        <v>774501</v>
      </c>
      <c r="W2182" s="297">
        <v>62097</v>
      </c>
      <c r="X2182" s="296">
        <v>0.02</v>
      </c>
    </row>
    <row r="2183" spans="13:24">
      <c r="M2183">
        <v>2181</v>
      </c>
      <c r="N2183">
        <v>44321</v>
      </c>
      <c r="O2183" t="s">
        <v>844</v>
      </c>
      <c r="P2183" t="s">
        <v>136</v>
      </c>
      <c r="Q2183">
        <v>325</v>
      </c>
      <c r="R2183" s="296">
        <v>0</v>
      </c>
      <c r="S2183" s="296">
        <v>0.97929999999999995</v>
      </c>
      <c r="T2183" s="297">
        <v>6803</v>
      </c>
      <c r="U2183" s="340">
        <v>148595</v>
      </c>
      <c r="V2183" s="340">
        <v>358707</v>
      </c>
      <c r="W2183" s="297">
        <v>16987</v>
      </c>
      <c r="X2183" s="296">
        <v>6.0000000000000001E-3</v>
      </c>
    </row>
    <row r="2184" spans="13:24">
      <c r="M2184">
        <v>2182</v>
      </c>
      <c r="N2184">
        <v>32951</v>
      </c>
      <c r="O2184" t="s">
        <v>691</v>
      </c>
      <c r="P2184" t="s">
        <v>127</v>
      </c>
      <c r="Q2184">
        <v>1058</v>
      </c>
      <c r="R2184" s="296">
        <v>0</v>
      </c>
      <c r="S2184" s="296">
        <v>0.97929999999999995</v>
      </c>
      <c r="T2184" s="297">
        <v>5648</v>
      </c>
      <c r="U2184" s="340">
        <v>148458</v>
      </c>
      <c r="V2184" s="340">
        <v>656582</v>
      </c>
      <c r="W2184" s="297">
        <v>11577</v>
      </c>
      <c r="X2184" s="296">
        <v>0</v>
      </c>
    </row>
    <row r="2185" spans="13:24">
      <c r="M2185">
        <v>2183</v>
      </c>
      <c r="N2185">
        <v>48084</v>
      </c>
      <c r="O2185" t="s">
        <v>511</v>
      </c>
      <c r="P2185" t="s">
        <v>140</v>
      </c>
      <c r="Q2185">
        <v>237</v>
      </c>
      <c r="R2185" s="296">
        <v>0</v>
      </c>
      <c r="S2185" s="296">
        <v>0.97929999999999995</v>
      </c>
      <c r="T2185" s="297">
        <v>7392</v>
      </c>
      <c r="U2185" s="340">
        <v>148351</v>
      </c>
      <c r="V2185" s="340">
        <v>469310</v>
      </c>
      <c r="W2185" s="297">
        <v>17277</v>
      </c>
      <c r="X2185" s="296">
        <v>1.0999999999999999E-2</v>
      </c>
    </row>
    <row r="2186" spans="13:24">
      <c r="M2186">
        <v>2184</v>
      </c>
      <c r="N2186">
        <v>33410</v>
      </c>
      <c r="O2186" t="s">
        <v>562</v>
      </c>
      <c r="P2186" t="s">
        <v>127</v>
      </c>
      <c r="Q2186">
        <v>1143</v>
      </c>
      <c r="R2186" s="296">
        <v>0</v>
      </c>
      <c r="S2186" s="296">
        <v>0.97929999999999995</v>
      </c>
      <c r="T2186" s="297">
        <v>16175</v>
      </c>
      <c r="U2186" s="340">
        <v>148308</v>
      </c>
      <c r="V2186" s="340">
        <v>747040</v>
      </c>
      <c r="W2186" s="297">
        <v>36894</v>
      </c>
      <c r="X2186" s="296">
        <v>8.0000000000000002E-3</v>
      </c>
    </row>
    <row r="2187" spans="13:24">
      <c r="M2187">
        <v>2185</v>
      </c>
      <c r="N2187">
        <v>19446</v>
      </c>
      <c r="O2187" t="s">
        <v>1818</v>
      </c>
      <c r="P2187" t="s">
        <v>133</v>
      </c>
      <c r="Q2187">
        <v>662</v>
      </c>
      <c r="R2187" s="296">
        <v>0</v>
      </c>
      <c r="S2187" s="296">
        <v>0.97929999999999995</v>
      </c>
      <c r="T2187" s="297">
        <v>22755</v>
      </c>
      <c r="U2187" s="340">
        <v>148119</v>
      </c>
      <c r="V2187" s="340">
        <v>511395</v>
      </c>
      <c r="W2187" s="297">
        <v>57909</v>
      </c>
      <c r="X2187" s="296">
        <v>3.0000000000000001E-3</v>
      </c>
    </row>
    <row r="2188" spans="13:24">
      <c r="M2188">
        <v>2186</v>
      </c>
      <c r="N2188">
        <v>77377</v>
      </c>
      <c r="O2188" t="s">
        <v>1819</v>
      </c>
      <c r="P2188" t="s">
        <v>134</v>
      </c>
      <c r="Q2188">
        <v>943</v>
      </c>
      <c r="R2188" s="296">
        <v>0</v>
      </c>
      <c r="S2188" s="296">
        <v>0.97929999999999995</v>
      </c>
      <c r="T2188" s="297">
        <v>15434</v>
      </c>
      <c r="U2188" s="340">
        <v>147938</v>
      </c>
      <c r="V2188" s="340">
        <v>432669</v>
      </c>
      <c r="W2188" s="297">
        <v>44635</v>
      </c>
      <c r="X2188" s="296">
        <v>2.3E-2</v>
      </c>
    </row>
    <row r="2189" spans="13:24">
      <c r="M2189">
        <v>2187</v>
      </c>
      <c r="N2189">
        <v>30033</v>
      </c>
      <c r="O2189" t="s">
        <v>829</v>
      </c>
      <c r="P2189" t="s">
        <v>130</v>
      </c>
      <c r="Q2189">
        <v>607</v>
      </c>
      <c r="R2189" s="296">
        <v>0</v>
      </c>
      <c r="S2189" s="296">
        <v>0.97929999999999995</v>
      </c>
      <c r="T2189" s="297">
        <v>15627</v>
      </c>
      <c r="U2189" s="340">
        <v>147930</v>
      </c>
      <c r="V2189" s="340">
        <v>513400</v>
      </c>
      <c r="W2189" s="297">
        <v>35689</v>
      </c>
      <c r="X2189" s="296">
        <v>1.2999999999999999E-2</v>
      </c>
    </row>
    <row r="2190" spans="13:24">
      <c r="M2190">
        <v>2188</v>
      </c>
      <c r="N2190">
        <v>76051</v>
      </c>
      <c r="O2190" t="s">
        <v>1820</v>
      </c>
      <c r="P2190" t="s">
        <v>134</v>
      </c>
      <c r="Q2190">
        <v>814</v>
      </c>
      <c r="R2190" s="296">
        <v>0</v>
      </c>
      <c r="S2190" s="296">
        <v>0.97929999999999995</v>
      </c>
      <c r="T2190" s="297">
        <v>22003</v>
      </c>
      <c r="U2190" s="340">
        <v>147859</v>
      </c>
      <c r="V2190" s="340">
        <v>481022</v>
      </c>
      <c r="W2190" s="297">
        <v>52095</v>
      </c>
      <c r="X2190" s="296">
        <v>8.9999999999999993E-3</v>
      </c>
    </row>
    <row r="2191" spans="13:24">
      <c r="M2191">
        <v>2189</v>
      </c>
      <c r="N2191">
        <v>48042</v>
      </c>
      <c r="O2191" t="s">
        <v>1454</v>
      </c>
      <c r="P2191" t="s">
        <v>140</v>
      </c>
      <c r="Q2191">
        <v>251</v>
      </c>
      <c r="R2191" s="296">
        <v>0</v>
      </c>
      <c r="S2191" s="296">
        <v>0.97940000000000005</v>
      </c>
      <c r="T2191" s="297">
        <v>12222</v>
      </c>
      <c r="U2191" s="340">
        <v>147846</v>
      </c>
      <c r="V2191" s="340">
        <v>366607</v>
      </c>
      <c r="W2191" s="297">
        <v>34528</v>
      </c>
      <c r="X2191" s="296">
        <v>7.0000000000000001E-3</v>
      </c>
    </row>
    <row r="2192" spans="13:24">
      <c r="M2192">
        <v>2190</v>
      </c>
      <c r="N2192">
        <v>18062</v>
      </c>
      <c r="O2192" t="s">
        <v>1821</v>
      </c>
      <c r="P2192" t="s">
        <v>133</v>
      </c>
      <c r="Q2192">
        <v>643</v>
      </c>
      <c r="R2192" s="296">
        <v>0</v>
      </c>
      <c r="S2192" s="296">
        <v>0.97940000000000005</v>
      </c>
      <c r="T2192" s="297">
        <v>10159</v>
      </c>
      <c r="U2192" s="340">
        <v>147787</v>
      </c>
      <c r="V2192" s="340">
        <v>424951</v>
      </c>
      <c r="W2192" s="297">
        <v>26196</v>
      </c>
      <c r="X2192" s="296">
        <v>1E-3</v>
      </c>
    </row>
    <row r="2193" spans="13:24">
      <c r="M2193">
        <v>2191</v>
      </c>
      <c r="N2193">
        <v>45140</v>
      </c>
      <c r="O2193" t="s">
        <v>759</v>
      </c>
      <c r="P2193" t="s">
        <v>136</v>
      </c>
      <c r="Q2193">
        <v>273</v>
      </c>
      <c r="R2193" s="296">
        <v>0</v>
      </c>
      <c r="S2193" s="296">
        <v>0.97940000000000005</v>
      </c>
      <c r="T2193" s="297">
        <v>21737</v>
      </c>
      <c r="U2193" s="340">
        <v>147587</v>
      </c>
      <c r="V2193" s="340">
        <v>384143</v>
      </c>
      <c r="W2193" s="297">
        <v>57086</v>
      </c>
      <c r="X2193" s="296">
        <v>2E-3</v>
      </c>
    </row>
    <row r="2194" spans="13:24">
      <c r="M2194">
        <v>2192</v>
      </c>
      <c r="N2194">
        <v>85028</v>
      </c>
      <c r="O2194" t="s">
        <v>548</v>
      </c>
      <c r="P2194" t="s">
        <v>158</v>
      </c>
      <c r="Q2194">
        <v>1441</v>
      </c>
      <c r="R2194" s="296">
        <v>0</v>
      </c>
      <c r="S2194" s="296">
        <v>0.97940000000000005</v>
      </c>
      <c r="T2194" s="297">
        <v>8921</v>
      </c>
      <c r="U2194" s="340">
        <v>147558</v>
      </c>
      <c r="V2194" s="340">
        <v>657168</v>
      </c>
      <c r="W2194" s="297">
        <v>20772</v>
      </c>
      <c r="X2194" s="296">
        <v>1E-3</v>
      </c>
    </row>
    <row r="2195" spans="13:24">
      <c r="M2195">
        <v>2193</v>
      </c>
      <c r="N2195">
        <v>53076</v>
      </c>
      <c r="O2195" t="s">
        <v>1822</v>
      </c>
      <c r="P2195" t="s">
        <v>149</v>
      </c>
      <c r="Q2195">
        <v>80</v>
      </c>
      <c r="R2195" s="296">
        <v>0</v>
      </c>
      <c r="S2195" s="296">
        <v>0.97940000000000005</v>
      </c>
      <c r="T2195" s="297">
        <v>1497</v>
      </c>
      <c r="U2195" s="340">
        <v>147521</v>
      </c>
      <c r="V2195" s="340">
        <v>525414</v>
      </c>
      <c r="W2195" s="297">
        <v>4078</v>
      </c>
      <c r="X2195" s="296">
        <v>1E-3</v>
      </c>
    </row>
    <row r="2196" spans="13:24">
      <c r="M2196">
        <v>2194</v>
      </c>
      <c r="N2196">
        <v>19146</v>
      </c>
      <c r="O2196" t="s">
        <v>469</v>
      </c>
      <c r="P2196" t="s">
        <v>133</v>
      </c>
      <c r="Q2196">
        <v>674</v>
      </c>
      <c r="R2196" s="296">
        <v>0</v>
      </c>
      <c r="S2196" s="296">
        <v>0.97940000000000005</v>
      </c>
      <c r="T2196" s="297">
        <v>20620</v>
      </c>
      <c r="U2196" s="340">
        <v>147496</v>
      </c>
      <c r="V2196" s="340">
        <v>526296</v>
      </c>
      <c r="W2196" s="297">
        <v>43560</v>
      </c>
      <c r="X2196" s="296">
        <v>2E-3</v>
      </c>
    </row>
    <row r="2197" spans="13:24">
      <c r="M2197">
        <v>2195</v>
      </c>
      <c r="N2197">
        <v>75068</v>
      </c>
      <c r="O2197" t="s">
        <v>1823</v>
      </c>
      <c r="P2197" t="s">
        <v>134</v>
      </c>
      <c r="Q2197">
        <v>796</v>
      </c>
      <c r="R2197" s="296">
        <v>0</v>
      </c>
      <c r="S2197" s="296">
        <v>0.97940000000000005</v>
      </c>
      <c r="T2197" s="297">
        <v>25638</v>
      </c>
      <c r="U2197" s="340">
        <v>147279</v>
      </c>
      <c r="V2197" s="340">
        <v>462743</v>
      </c>
      <c r="W2197" s="297">
        <v>76961</v>
      </c>
      <c r="X2197" s="296">
        <v>3.5999999999999997E-2</v>
      </c>
    </row>
    <row r="2198" spans="13:24">
      <c r="M2198">
        <v>2196</v>
      </c>
      <c r="N2198">
        <v>80018</v>
      </c>
      <c r="O2198" t="s">
        <v>334</v>
      </c>
      <c r="P2198" t="s">
        <v>142</v>
      </c>
      <c r="Q2198">
        <v>897</v>
      </c>
      <c r="R2198" s="296">
        <v>0</v>
      </c>
      <c r="S2198" s="296">
        <v>0.97940000000000005</v>
      </c>
      <c r="T2198" s="297">
        <v>6768</v>
      </c>
      <c r="U2198" s="340">
        <v>146831</v>
      </c>
      <c r="V2198" s="340">
        <v>655674</v>
      </c>
      <c r="W2198" s="297">
        <v>21799</v>
      </c>
      <c r="X2198" s="296">
        <v>7.3999999999999996E-2</v>
      </c>
    </row>
    <row r="2199" spans="13:24">
      <c r="M2199">
        <v>2197</v>
      </c>
      <c r="N2199">
        <v>98258</v>
      </c>
      <c r="O2199" t="s">
        <v>1824</v>
      </c>
      <c r="P2199" t="s">
        <v>224</v>
      </c>
      <c r="Q2199">
        <v>1706</v>
      </c>
      <c r="R2199" s="296">
        <v>0</v>
      </c>
      <c r="S2199" s="296">
        <v>0.97950000000000004</v>
      </c>
      <c r="T2199" s="297">
        <v>19027</v>
      </c>
      <c r="U2199" s="340">
        <v>146776</v>
      </c>
      <c r="V2199" s="340">
        <v>830572</v>
      </c>
      <c r="W2199" s="297">
        <v>56015</v>
      </c>
      <c r="X2199" s="296">
        <v>1.9E-2</v>
      </c>
    </row>
    <row r="2200" spans="13:24">
      <c r="M2200">
        <v>2198</v>
      </c>
      <c r="N2200">
        <v>63368</v>
      </c>
      <c r="O2200" t="s">
        <v>1091</v>
      </c>
      <c r="P2200" t="s">
        <v>186</v>
      </c>
      <c r="Q2200">
        <v>281</v>
      </c>
      <c r="R2200" s="296">
        <v>0</v>
      </c>
      <c r="S2200" s="296">
        <v>0.97950000000000004</v>
      </c>
      <c r="T2200" s="297">
        <v>16861</v>
      </c>
      <c r="U2200" s="340">
        <v>146717</v>
      </c>
      <c r="V2200" s="340">
        <v>380765</v>
      </c>
      <c r="W2200" s="297">
        <v>46481</v>
      </c>
      <c r="X2200" s="296">
        <v>1.2E-2</v>
      </c>
    </row>
    <row r="2201" spans="13:24">
      <c r="M2201">
        <v>2199</v>
      </c>
      <c r="N2201">
        <v>55125</v>
      </c>
      <c r="O2201" t="s">
        <v>445</v>
      </c>
      <c r="P2201" t="s">
        <v>151</v>
      </c>
      <c r="Q2201">
        <v>321</v>
      </c>
      <c r="R2201" s="296">
        <v>0</v>
      </c>
      <c r="S2201" s="296">
        <v>0.97950000000000004</v>
      </c>
      <c r="T2201" s="297">
        <v>17085</v>
      </c>
      <c r="U2201" s="340">
        <v>146701</v>
      </c>
      <c r="V2201" s="340">
        <v>463693</v>
      </c>
      <c r="W2201" s="297">
        <v>44358</v>
      </c>
      <c r="X2201" s="296">
        <v>3.0000000000000001E-3</v>
      </c>
    </row>
    <row r="2202" spans="13:24">
      <c r="M2202">
        <v>2200</v>
      </c>
      <c r="N2202">
        <v>70115</v>
      </c>
      <c r="O2202" t="s">
        <v>574</v>
      </c>
      <c r="P2202" t="s">
        <v>147</v>
      </c>
      <c r="Q2202">
        <v>854</v>
      </c>
      <c r="R2202" s="296">
        <v>0</v>
      </c>
      <c r="S2202" s="296">
        <v>0.97950000000000004</v>
      </c>
      <c r="T2202" s="297">
        <v>15732</v>
      </c>
      <c r="U2202" s="340">
        <v>146687</v>
      </c>
      <c r="V2202" s="340">
        <v>707923</v>
      </c>
      <c r="W2202" s="297">
        <v>31719</v>
      </c>
      <c r="X2202" s="296">
        <v>-6.0000000000000001E-3</v>
      </c>
    </row>
    <row r="2203" spans="13:24">
      <c r="M2203">
        <v>2201</v>
      </c>
      <c r="N2203">
        <v>91941</v>
      </c>
      <c r="O2203" t="s">
        <v>1504</v>
      </c>
      <c r="P2203" t="s">
        <v>132</v>
      </c>
      <c r="Q2203">
        <v>1718</v>
      </c>
      <c r="R2203" s="296">
        <v>0</v>
      </c>
      <c r="S2203" s="296">
        <v>0.97950000000000004</v>
      </c>
      <c r="T2203" s="297">
        <v>12900</v>
      </c>
      <c r="U2203" s="340">
        <v>146605</v>
      </c>
      <c r="V2203" s="340">
        <v>1009936</v>
      </c>
      <c r="W2203" s="297">
        <v>33853</v>
      </c>
      <c r="X2203" s="296">
        <v>-3.0000000000000001E-3</v>
      </c>
    </row>
    <row r="2204" spans="13:24">
      <c r="M2204">
        <v>2202</v>
      </c>
      <c r="N2204">
        <v>11717</v>
      </c>
      <c r="O2204" t="s">
        <v>295</v>
      </c>
      <c r="P2204" t="s">
        <v>128</v>
      </c>
      <c r="Q2204">
        <v>758</v>
      </c>
      <c r="R2204" s="296">
        <v>0</v>
      </c>
      <c r="S2204" s="296">
        <v>0.97950000000000004</v>
      </c>
      <c r="T2204" s="297">
        <v>13434</v>
      </c>
      <c r="U2204" s="340">
        <v>146584</v>
      </c>
      <c r="V2204" s="340">
        <v>615485</v>
      </c>
      <c r="W2204" s="297">
        <v>61249</v>
      </c>
      <c r="X2204" s="296">
        <v>-3.0000000000000001E-3</v>
      </c>
    </row>
    <row r="2205" spans="13:24">
      <c r="M2205">
        <v>2203</v>
      </c>
      <c r="N2205">
        <v>48381</v>
      </c>
      <c r="O2205" t="s">
        <v>400</v>
      </c>
      <c r="P2205" t="s">
        <v>140</v>
      </c>
      <c r="Q2205">
        <v>216</v>
      </c>
      <c r="R2205" s="296">
        <v>0</v>
      </c>
      <c r="S2205" s="296">
        <v>0.97950000000000004</v>
      </c>
      <c r="T2205" s="297">
        <v>5812</v>
      </c>
      <c r="U2205" s="340">
        <v>146357</v>
      </c>
      <c r="V2205" s="340">
        <v>423093</v>
      </c>
      <c r="W2205" s="297">
        <v>13892</v>
      </c>
      <c r="X2205" s="296">
        <v>-1E-3</v>
      </c>
    </row>
    <row r="2206" spans="13:24">
      <c r="M2206">
        <v>2204</v>
      </c>
      <c r="N2206">
        <v>84045</v>
      </c>
      <c r="O2206" t="s">
        <v>557</v>
      </c>
      <c r="P2206" t="s">
        <v>219</v>
      </c>
      <c r="Q2206">
        <v>1255</v>
      </c>
      <c r="R2206" s="296">
        <v>0</v>
      </c>
      <c r="S2206" s="296">
        <v>0.97950000000000004</v>
      </c>
      <c r="T2206" s="297">
        <v>12724</v>
      </c>
      <c r="U2206" s="340">
        <v>146212</v>
      </c>
      <c r="V2206" s="340">
        <v>638237</v>
      </c>
      <c r="W2206" s="297">
        <v>49347</v>
      </c>
      <c r="X2206" s="296">
        <v>7.0000000000000007E-2</v>
      </c>
    </row>
    <row r="2207" spans="13:24">
      <c r="M2207">
        <v>2205</v>
      </c>
      <c r="N2207">
        <v>55441</v>
      </c>
      <c r="O2207" t="s">
        <v>576</v>
      </c>
      <c r="P2207" t="s">
        <v>151</v>
      </c>
      <c r="Q2207">
        <v>344</v>
      </c>
      <c r="R2207" s="296">
        <v>0</v>
      </c>
      <c r="S2207" s="296">
        <v>0.97960000000000003</v>
      </c>
      <c r="T2207" s="297">
        <v>7778</v>
      </c>
      <c r="U2207" s="340">
        <v>145958</v>
      </c>
      <c r="V2207" s="340">
        <v>532724</v>
      </c>
      <c r="W2207" s="297">
        <v>17993</v>
      </c>
      <c r="X2207" s="296">
        <v>-5.0000000000000001E-3</v>
      </c>
    </row>
    <row r="2208" spans="13:24">
      <c r="M2208">
        <v>2206</v>
      </c>
      <c r="N2208">
        <v>70447</v>
      </c>
      <c r="O2208" t="s">
        <v>1103</v>
      </c>
      <c r="P2208" t="s">
        <v>147</v>
      </c>
      <c r="Q2208">
        <v>821</v>
      </c>
      <c r="R2208" s="296">
        <v>0</v>
      </c>
      <c r="S2208" s="296">
        <v>0.97960000000000003</v>
      </c>
      <c r="T2208" s="297">
        <v>6067</v>
      </c>
      <c r="U2208" s="340">
        <v>145885</v>
      </c>
      <c r="V2208" s="340">
        <v>433815</v>
      </c>
      <c r="W2208" s="297">
        <v>17952</v>
      </c>
      <c r="X2208" s="296">
        <v>1.0999999999999999E-2</v>
      </c>
    </row>
    <row r="2209" spans="13:24">
      <c r="M2209">
        <v>2207</v>
      </c>
      <c r="N2209">
        <v>98058</v>
      </c>
      <c r="O2209" t="s">
        <v>1425</v>
      </c>
      <c r="P2209" t="s">
        <v>224</v>
      </c>
      <c r="Q2209">
        <v>1708</v>
      </c>
      <c r="R2209" s="296">
        <v>0</v>
      </c>
      <c r="S2209" s="296">
        <v>0.97960000000000003</v>
      </c>
      <c r="T2209" s="297">
        <v>16080</v>
      </c>
      <c r="U2209" s="340">
        <v>145832</v>
      </c>
      <c r="V2209" s="340">
        <v>777349</v>
      </c>
      <c r="W2209" s="297">
        <v>44451</v>
      </c>
      <c r="X2209" s="296">
        <v>5.0000000000000001E-3</v>
      </c>
    </row>
    <row r="2210" spans="13:24">
      <c r="M2210">
        <v>2208</v>
      </c>
      <c r="N2210">
        <v>84071</v>
      </c>
      <c r="O2210" t="s">
        <v>306</v>
      </c>
      <c r="P2210" t="s">
        <v>219</v>
      </c>
      <c r="Q2210">
        <v>1276</v>
      </c>
      <c r="R2210" s="296">
        <v>0</v>
      </c>
      <c r="S2210" s="296">
        <v>0.97960000000000003</v>
      </c>
      <c r="T2210">
        <v>590</v>
      </c>
      <c r="U2210" s="340">
        <v>145795</v>
      </c>
      <c r="V2210" s="340">
        <v>503103</v>
      </c>
      <c r="W2210" s="297">
        <v>1921</v>
      </c>
      <c r="X2210" s="296">
        <v>0.02</v>
      </c>
    </row>
    <row r="2211" spans="13:24">
      <c r="M2211">
        <v>2209</v>
      </c>
      <c r="N2211">
        <v>90404</v>
      </c>
      <c r="O2211" t="s">
        <v>709</v>
      </c>
      <c r="P2211" t="s">
        <v>132</v>
      </c>
      <c r="Q2211">
        <v>1749</v>
      </c>
      <c r="R2211" s="296">
        <v>0</v>
      </c>
      <c r="S2211" s="296">
        <v>0.97960000000000003</v>
      </c>
      <c r="T2211" s="297">
        <v>11126</v>
      </c>
      <c r="U2211" s="340">
        <v>145572</v>
      </c>
      <c r="V2211" s="340">
        <v>1294207</v>
      </c>
      <c r="W2211" s="297">
        <v>23001</v>
      </c>
      <c r="X2211" s="296">
        <v>5.0000000000000001E-3</v>
      </c>
    </row>
    <row r="2212" spans="13:24">
      <c r="M2212">
        <v>2210</v>
      </c>
      <c r="N2212">
        <v>63304</v>
      </c>
      <c r="O2212" t="s">
        <v>911</v>
      </c>
      <c r="P2212" t="s">
        <v>186</v>
      </c>
      <c r="Q2212">
        <v>281</v>
      </c>
      <c r="R2212" s="296">
        <v>0</v>
      </c>
      <c r="S2212" s="296">
        <v>0.97960000000000003</v>
      </c>
      <c r="T2212" s="297">
        <v>16254</v>
      </c>
      <c r="U2212" s="340">
        <v>145533</v>
      </c>
      <c r="V2212" s="340">
        <v>418027</v>
      </c>
      <c r="W2212" s="297">
        <v>43590</v>
      </c>
      <c r="X2212" s="296">
        <v>8.0000000000000002E-3</v>
      </c>
    </row>
    <row r="2213" spans="13:24">
      <c r="M2213">
        <v>2211</v>
      </c>
      <c r="N2213">
        <v>95062</v>
      </c>
      <c r="O2213" t="s">
        <v>310</v>
      </c>
      <c r="P2213" t="s">
        <v>132</v>
      </c>
      <c r="Q2213">
        <v>1844</v>
      </c>
      <c r="R2213" s="296">
        <v>0</v>
      </c>
      <c r="S2213" s="296">
        <v>0.97960000000000003</v>
      </c>
      <c r="T2213" s="297">
        <v>14812</v>
      </c>
      <c r="U2213" s="340">
        <v>145499</v>
      </c>
      <c r="V2213" s="340">
        <v>1155706</v>
      </c>
      <c r="W2213" s="297">
        <v>35174</v>
      </c>
      <c r="X2213" s="296">
        <v>-6.0000000000000001E-3</v>
      </c>
    </row>
    <row r="2214" spans="13:24">
      <c r="M2214">
        <v>2212</v>
      </c>
      <c r="N2214">
        <v>2536</v>
      </c>
      <c r="O2214" t="s">
        <v>462</v>
      </c>
      <c r="P2214" t="s">
        <v>135</v>
      </c>
      <c r="Q2214">
        <v>885</v>
      </c>
      <c r="R2214" s="296">
        <v>0</v>
      </c>
      <c r="S2214" s="296">
        <v>0.97960000000000003</v>
      </c>
      <c r="T2214" s="297">
        <v>9096</v>
      </c>
      <c r="U2214" s="340">
        <v>145276</v>
      </c>
      <c r="V2214" s="340">
        <v>782983</v>
      </c>
      <c r="W2214" s="297">
        <v>20606</v>
      </c>
      <c r="X2214" s="296">
        <v>8.0000000000000002E-3</v>
      </c>
    </row>
    <row r="2215" spans="13:24">
      <c r="M2215">
        <v>2213</v>
      </c>
      <c r="N2215">
        <v>63348</v>
      </c>
      <c r="O2215" t="s">
        <v>1825</v>
      </c>
      <c r="P2215" t="s">
        <v>186</v>
      </c>
      <c r="Q2215">
        <v>286</v>
      </c>
      <c r="R2215" s="296">
        <v>0</v>
      </c>
      <c r="S2215" s="296">
        <v>0.97970000000000002</v>
      </c>
      <c r="T2215" s="297">
        <v>2582</v>
      </c>
      <c r="U2215" s="340">
        <v>145181</v>
      </c>
      <c r="V2215" s="340">
        <v>424432</v>
      </c>
      <c r="W2215" s="297">
        <v>7011</v>
      </c>
      <c r="X2215" s="296">
        <v>1.4999999999999999E-2</v>
      </c>
    </row>
    <row r="2216" spans="13:24">
      <c r="M2216">
        <v>2214</v>
      </c>
      <c r="N2216">
        <v>17329</v>
      </c>
      <c r="O2216" t="s">
        <v>1826</v>
      </c>
      <c r="P2216" t="s">
        <v>133</v>
      </c>
      <c r="Q2216">
        <v>595</v>
      </c>
      <c r="R2216" s="296">
        <v>0</v>
      </c>
      <c r="S2216" s="296">
        <v>0.97970000000000002</v>
      </c>
      <c r="T2216">
        <v>950</v>
      </c>
      <c r="U2216" s="340">
        <v>144896</v>
      </c>
      <c r="V2216" s="340">
        <v>404082</v>
      </c>
      <c r="W2216" s="297">
        <v>2575</v>
      </c>
      <c r="X2216" s="296">
        <v>-1E-3</v>
      </c>
    </row>
    <row r="2217" spans="13:24">
      <c r="M2217">
        <v>2215</v>
      </c>
      <c r="N2217">
        <v>76063</v>
      </c>
      <c r="O2217" t="s">
        <v>456</v>
      </c>
      <c r="P2217" t="s">
        <v>134</v>
      </c>
      <c r="Q2217">
        <v>836</v>
      </c>
      <c r="R2217" s="296">
        <v>0</v>
      </c>
      <c r="S2217" s="296">
        <v>0.97970000000000002</v>
      </c>
      <c r="T2217" s="297">
        <v>28709</v>
      </c>
      <c r="U2217" s="340">
        <v>144643</v>
      </c>
      <c r="V2217" s="340">
        <v>419467</v>
      </c>
      <c r="W2217" s="297">
        <v>85465</v>
      </c>
      <c r="X2217" s="296">
        <v>2.5000000000000001E-2</v>
      </c>
    </row>
    <row r="2218" spans="13:24">
      <c r="M2218">
        <v>2216</v>
      </c>
      <c r="N2218">
        <v>11757</v>
      </c>
      <c r="O2218" t="s">
        <v>1827</v>
      </c>
      <c r="P2218" t="s">
        <v>128</v>
      </c>
      <c r="Q2218">
        <v>753</v>
      </c>
      <c r="R2218" s="296">
        <v>0</v>
      </c>
      <c r="S2218" s="296">
        <v>0.97970000000000002</v>
      </c>
      <c r="T2218" s="297">
        <v>15481</v>
      </c>
      <c r="U2218" s="340">
        <v>143975</v>
      </c>
      <c r="V2218" s="340">
        <v>606212</v>
      </c>
      <c r="W2218" s="297">
        <v>45401</v>
      </c>
      <c r="X2218" s="296">
        <v>1E-3</v>
      </c>
    </row>
    <row r="2219" spans="13:24">
      <c r="M2219">
        <v>2217</v>
      </c>
      <c r="N2219">
        <v>30101</v>
      </c>
      <c r="O2219" t="s">
        <v>1211</v>
      </c>
      <c r="P2219" t="s">
        <v>130</v>
      </c>
      <c r="Q2219">
        <v>583</v>
      </c>
      <c r="R2219" s="296">
        <v>0</v>
      </c>
      <c r="S2219" s="296">
        <v>0.97970000000000002</v>
      </c>
      <c r="T2219" s="297">
        <v>21902</v>
      </c>
      <c r="U2219" s="340">
        <v>143815</v>
      </c>
      <c r="V2219" s="340">
        <v>459747</v>
      </c>
      <c r="W2219" s="297">
        <v>63647</v>
      </c>
      <c r="X2219" s="296">
        <v>0.01</v>
      </c>
    </row>
    <row r="2220" spans="13:24">
      <c r="M2220">
        <v>2218</v>
      </c>
      <c r="N2220">
        <v>7013</v>
      </c>
      <c r="O2220" t="s">
        <v>790</v>
      </c>
      <c r="P2220" t="s">
        <v>129</v>
      </c>
      <c r="Q2220">
        <v>709</v>
      </c>
      <c r="R2220" s="296">
        <v>0</v>
      </c>
      <c r="S2220" s="296">
        <v>0.97970000000000002</v>
      </c>
      <c r="T2220" s="297">
        <v>10835</v>
      </c>
      <c r="U2220" s="340">
        <v>143555</v>
      </c>
      <c r="V2220" s="340">
        <v>538128</v>
      </c>
      <c r="W2220" s="297">
        <v>28014</v>
      </c>
      <c r="X2220" s="296">
        <v>-5.0000000000000001E-3</v>
      </c>
    </row>
    <row r="2221" spans="13:24">
      <c r="M2221">
        <v>2219</v>
      </c>
      <c r="N2221">
        <v>2453</v>
      </c>
      <c r="O2221" t="s">
        <v>375</v>
      </c>
      <c r="P2221" t="s">
        <v>135</v>
      </c>
      <c r="Q2221">
        <v>845</v>
      </c>
      <c r="R2221" s="296">
        <v>0</v>
      </c>
      <c r="S2221" s="296">
        <v>0.97970000000000002</v>
      </c>
      <c r="T2221" s="297">
        <v>12786</v>
      </c>
      <c r="U2221" s="340">
        <v>143309</v>
      </c>
      <c r="V2221" s="340">
        <v>787062</v>
      </c>
      <c r="W2221" s="297">
        <v>32412</v>
      </c>
      <c r="X2221" s="296">
        <v>2E-3</v>
      </c>
    </row>
    <row r="2222" spans="13:24">
      <c r="M2222">
        <v>2220</v>
      </c>
      <c r="N2222">
        <v>7621</v>
      </c>
      <c r="O2222" t="s">
        <v>1828</v>
      </c>
      <c r="P2222" t="s">
        <v>129</v>
      </c>
      <c r="Q2222">
        <v>717</v>
      </c>
      <c r="R2222" s="296">
        <v>0</v>
      </c>
      <c r="S2222" s="296">
        <v>0.97970000000000002</v>
      </c>
      <c r="T2222" s="297">
        <v>9337</v>
      </c>
      <c r="U2222" s="340">
        <v>143295</v>
      </c>
      <c r="V2222" s="340">
        <v>575611</v>
      </c>
      <c r="W2222" s="297">
        <v>28846</v>
      </c>
      <c r="X2222" s="296">
        <v>1E-3</v>
      </c>
    </row>
    <row r="2223" spans="13:24">
      <c r="M2223">
        <v>2221</v>
      </c>
      <c r="N2223">
        <v>20879</v>
      </c>
      <c r="O2223" t="s">
        <v>604</v>
      </c>
      <c r="P2223" t="s">
        <v>137</v>
      </c>
      <c r="Q2223">
        <v>592</v>
      </c>
      <c r="R2223" s="296">
        <v>0</v>
      </c>
      <c r="S2223" s="296">
        <v>0.9798</v>
      </c>
      <c r="T2223" s="297">
        <v>8940</v>
      </c>
      <c r="U2223" s="340">
        <v>143118</v>
      </c>
      <c r="V2223" s="340">
        <v>602899</v>
      </c>
      <c r="W2223" s="297">
        <v>27141</v>
      </c>
      <c r="X2223" s="296">
        <v>-2E-3</v>
      </c>
    </row>
    <row r="2224" spans="13:24">
      <c r="M2224">
        <v>2222</v>
      </c>
      <c r="N2224">
        <v>98406</v>
      </c>
      <c r="O2224" t="s">
        <v>550</v>
      </c>
      <c r="P2224" t="s">
        <v>224</v>
      </c>
      <c r="Q2224">
        <v>1726</v>
      </c>
      <c r="R2224" s="296">
        <v>0</v>
      </c>
      <c r="S2224" s="296">
        <v>0.9798</v>
      </c>
      <c r="T2224" s="297">
        <v>9673</v>
      </c>
      <c r="U2224" s="340">
        <v>143099</v>
      </c>
      <c r="V2224" s="340">
        <v>643100</v>
      </c>
      <c r="W2224" s="297">
        <v>22370</v>
      </c>
      <c r="X2224" s="296">
        <v>3.0000000000000001E-3</v>
      </c>
    </row>
    <row r="2225" spans="13:24">
      <c r="M2225">
        <v>2223</v>
      </c>
      <c r="N2225">
        <v>85658</v>
      </c>
      <c r="O2225" t="s">
        <v>1829</v>
      </c>
      <c r="P2225" t="s">
        <v>158</v>
      </c>
      <c r="Q2225">
        <v>1439</v>
      </c>
      <c r="R2225" s="296">
        <v>0</v>
      </c>
      <c r="S2225" s="296">
        <v>0.9798</v>
      </c>
      <c r="T2225" s="297">
        <v>7341</v>
      </c>
      <c r="U2225" s="340">
        <v>143022</v>
      </c>
      <c r="V2225" s="340">
        <v>482706</v>
      </c>
      <c r="W2225" s="297">
        <v>17003</v>
      </c>
      <c r="X2225" s="296">
        <v>2.1000000000000001E-2</v>
      </c>
    </row>
    <row r="2226" spans="13:24">
      <c r="M2226">
        <v>2224</v>
      </c>
      <c r="N2226">
        <v>11375</v>
      </c>
      <c r="O2226" t="s">
        <v>553</v>
      </c>
      <c r="P2226" t="s">
        <v>128</v>
      </c>
      <c r="Q2226">
        <v>728</v>
      </c>
      <c r="R2226" s="296">
        <v>0</v>
      </c>
      <c r="S2226" s="296">
        <v>0.9798</v>
      </c>
      <c r="T2226" s="297">
        <v>32486</v>
      </c>
      <c r="U2226" s="340">
        <v>142991</v>
      </c>
      <c r="V2226" s="340">
        <v>873691</v>
      </c>
      <c r="W2226" s="297">
        <v>72256</v>
      </c>
      <c r="X2226" s="296">
        <v>-3.0000000000000001E-3</v>
      </c>
    </row>
    <row r="2227" spans="13:24">
      <c r="M2227">
        <v>2225</v>
      </c>
      <c r="N2227">
        <v>21230</v>
      </c>
      <c r="O2227" t="s">
        <v>643</v>
      </c>
      <c r="P2227" t="s">
        <v>137</v>
      </c>
      <c r="Q2227">
        <v>617</v>
      </c>
      <c r="R2227" s="296">
        <v>0</v>
      </c>
      <c r="S2227" s="296">
        <v>0.9798</v>
      </c>
      <c r="T2227" s="297">
        <v>16967</v>
      </c>
      <c r="U2227" s="340">
        <v>142855</v>
      </c>
      <c r="V2227" s="340">
        <v>382087</v>
      </c>
      <c r="W2227" s="297">
        <v>36063</v>
      </c>
      <c r="X2227" s="296">
        <v>-1E-3</v>
      </c>
    </row>
    <row r="2228" spans="13:24">
      <c r="M2228">
        <v>2226</v>
      </c>
      <c r="N2228">
        <v>28673</v>
      </c>
      <c r="O2228" t="s">
        <v>1830</v>
      </c>
      <c r="P2228" t="s">
        <v>138</v>
      </c>
      <c r="Q2228">
        <v>580</v>
      </c>
      <c r="R2228" s="296">
        <v>0</v>
      </c>
      <c r="S2228" s="296">
        <v>0.9798</v>
      </c>
      <c r="T2228" s="297">
        <v>3358</v>
      </c>
      <c r="U2228" s="340">
        <v>142753</v>
      </c>
      <c r="V2228" s="340">
        <v>592444</v>
      </c>
      <c r="W2228" s="297">
        <v>7788</v>
      </c>
      <c r="X2228" s="296">
        <v>2.8000000000000001E-2</v>
      </c>
    </row>
    <row r="2229" spans="13:24">
      <c r="M2229">
        <v>2227</v>
      </c>
      <c r="N2229">
        <v>91773</v>
      </c>
      <c r="O2229" t="s">
        <v>1831</v>
      </c>
      <c r="P2229" t="s">
        <v>132</v>
      </c>
      <c r="Q2229">
        <v>1714</v>
      </c>
      <c r="R2229" s="296">
        <v>0</v>
      </c>
      <c r="S2229" s="296">
        <v>0.9798</v>
      </c>
      <c r="T2229" s="297">
        <v>12435</v>
      </c>
      <c r="U2229" s="340">
        <v>142685</v>
      </c>
      <c r="V2229" s="340">
        <v>856435</v>
      </c>
      <c r="W2229" s="297">
        <v>34060</v>
      </c>
      <c r="X2229" s="296">
        <v>-7.0000000000000001E-3</v>
      </c>
    </row>
    <row r="2230" spans="13:24">
      <c r="M2230">
        <v>2228</v>
      </c>
      <c r="N2230">
        <v>80920</v>
      </c>
      <c r="O2230" t="s">
        <v>740</v>
      </c>
      <c r="P2230" t="s">
        <v>142</v>
      </c>
      <c r="Q2230">
        <v>917</v>
      </c>
      <c r="R2230" s="296">
        <v>0</v>
      </c>
      <c r="S2230" s="296">
        <v>0.9798</v>
      </c>
      <c r="T2230" s="297">
        <v>14516</v>
      </c>
      <c r="U2230" s="340">
        <v>142559</v>
      </c>
      <c r="V2230" s="340">
        <v>561391</v>
      </c>
      <c r="W2230" s="297">
        <v>39892</v>
      </c>
      <c r="X2230" s="296">
        <v>4.0000000000000001E-3</v>
      </c>
    </row>
    <row r="2231" spans="13:24">
      <c r="M2231">
        <v>2229</v>
      </c>
      <c r="N2231">
        <v>21209</v>
      </c>
      <c r="O2231" t="s">
        <v>643</v>
      </c>
      <c r="P2231" t="s">
        <v>137</v>
      </c>
      <c r="Q2231">
        <v>612</v>
      </c>
      <c r="R2231" s="296">
        <v>0</v>
      </c>
      <c r="S2231" s="296">
        <v>0.97989999999999999</v>
      </c>
      <c r="T2231" s="297">
        <v>11525</v>
      </c>
      <c r="U2231" s="340">
        <v>142405</v>
      </c>
      <c r="V2231" s="340">
        <v>522105</v>
      </c>
      <c r="W2231" s="297">
        <v>28078</v>
      </c>
      <c r="X2231" s="296">
        <v>-1E-3</v>
      </c>
    </row>
    <row r="2232" spans="13:24">
      <c r="M2232">
        <v>2230</v>
      </c>
      <c r="N2232">
        <v>80422</v>
      </c>
      <c r="O2232" t="s">
        <v>1832</v>
      </c>
      <c r="P2232" t="s">
        <v>142</v>
      </c>
      <c r="Q2232">
        <v>935</v>
      </c>
      <c r="R2232" s="296">
        <v>0</v>
      </c>
      <c r="S2232" s="296">
        <v>0.97989999999999999</v>
      </c>
      <c r="T2232" s="297">
        <v>1703</v>
      </c>
      <c r="U2232" s="340">
        <v>142396</v>
      </c>
      <c r="V2232" s="340">
        <v>606646</v>
      </c>
      <c r="W2232" s="297">
        <v>3830</v>
      </c>
      <c r="X2232" s="296">
        <v>5.0000000000000001E-3</v>
      </c>
    </row>
    <row r="2233" spans="13:24">
      <c r="M2233">
        <v>2231</v>
      </c>
      <c r="N2233">
        <v>80019</v>
      </c>
      <c r="O2233" t="s">
        <v>334</v>
      </c>
      <c r="P2233" t="s">
        <v>142</v>
      </c>
      <c r="Q2233">
        <v>896</v>
      </c>
      <c r="R2233" s="296">
        <v>0</v>
      </c>
      <c r="S2233" s="296">
        <v>0.97989999999999999</v>
      </c>
      <c r="T2233" s="297">
        <v>3144</v>
      </c>
      <c r="U2233" s="340">
        <v>142325</v>
      </c>
      <c r="V2233" s="340">
        <v>581669</v>
      </c>
      <c r="W2233" s="297">
        <v>8904</v>
      </c>
      <c r="X2233" s="296">
        <v>0.22600000000000001</v>
      </c>
    </row>
    <row r="2234" spans="13:24">
      <c r="M2234">
        <v>2232</v>
      </c>
      <c r="N2234">
        <v>19374</v>
      </c>
      <c r="O2234" t="s">
        <v>1833</v>
      </c>
      <c r="P2234" t="s">
        <v>133</v>
      </c>
      <c r="Q2234">
        <v>647</v>
      </c>
      <c r="R2234" s="296">
        <v>0</v>
      </c>
      <c r="S2234" s="296">
        <v>0.97989999999999999</v>
      </c>
      <c r="T2234">
        <v>334</v>
      </c>
      <c r="U2234" s="340">
        <v>142311</v>
      </c>
      <c r="V2234" s="340">
        <v>574747</v>
      </c>
      <c r="W2234" s="297">
        <v>1109</v>
      </c>
      <c r="X2234" s="296">
        <v>-8.9999999999999993E-3</v>
      </c>
    </row>
    <row r="2235" spans="13:24">
      <c r="M2235">
        <v>2233</v>
      </c>
      <c r="N2235">
        <v>10512</v>
      </c>
      <c r="O2235" t="s">
        <v>614</v>
      </c>
      <c r="P2235" t="s">
        <v>128</v>
      </c>
      <c r="Q2235">
        <v>727</v>
      </c>
      <c r="R2235" s="296">
        <v>0</v>
      </c>
      <c r="S2235" s="296">
        <v>0.97989999999999999</v>
      </c>
      <c r="T2235" s="297">
        <v>9191</v>
      </c>
      <c r="U2235" s="340">
        <v>142154</v>
      </c>
      <c r="V2235" s="340">
        <v>505203</v>
      </c>
      <c r="W2235" s="297">
        <v>23500</v>
      </c>
      <c r="X2235" s="296">
        <v>-2E-3</v>
      </c>
    </row>
    <row r="2236" spans="13:24">
      <c r="M2236">
        <v>2234</v>
      </c>
      <c r="N2236">
        <v>30517</v>
      </c>
      <c r="O2236" t="s">
        <v>675</v>
      </c>
      <c r="P2236" t="s">
        <v>130</v>
      </c>
      <c r="Q2236">
        <v>594</v>
      </c>
      <c r="R2236" s="296">
        <v>0</v>
      </c>
      <c r="S2236" s="296">
        <v>0.97989999999999999</v>
      </c>
      <c r="T2236" s="297">
        <v>6309</v>
      </c>
      <c r="U2236" s="340">
        <v>142143</v>
      </c>
      <c r="V2236" s="340">
        <v>444924</v>
      </c>
      <c r="W2236" s="297">
        <v>18884</v>
      </c>
      <c r="X2236" s="296">
        <v>2.8000000000000001E-2</v>
      </c>
    </row>
    <row r="2237" spans="13:24">
      <c r="M2237">
        <v>2235</v>
      </c>
      <c r="N2237">
        <v>92562</v>
      </c>
      <c r="O2237" t="s">
        <v>666</v>
      </c>
      <c r="P2237" t="s">
        <v>132</v>
      </c>
      <c r="Q2237">
        <v>1704</v>
      </c>
      <c r="R2237" s="296">
        <v>0</v>
      </c>
      <c r="S2237" s="296">
        <v>0.97989999999999999</v>
      </c>
      <c r="T2237" s="297">
        <v>21820</v>
      </c>
      <c r="U2237" s="340">
        <v>142123</v>
      </c>
      <c r="V2237" s="340">
        <v>712733</v>
      </c>
      <c r="W2237" s="297">
        <v>64397</v>
      </c>
      <c r="X2237" s="296">
        <v>1E-3</v>
      </c>
    </row>
    <row r="2238" spans="13:24">
      <c r="M2238">
        <v>2236</v>
      </c>
      <c r="N2238">
        <v>32092</v>
      </c>
      <c r="O2238" t="s">
        <v>1834</v>
      </c>
      <c r="P2238" t="s">
        <v>127</v>
      </c>
      <c r="Q2238">
        <v>912</v>
      </c>
      <c r="R2238" s="296">
        <v>0</v>
      </c>
      <c r="S2238" s="296">
        <v>0.97989999999999999</v>
      </c>
      <c r="T2238" s="297">
        <v>20203</v>
      </c>
      <c r="U2238" s="340">
        <v>142024</v>
      </c>
      <c r="V2238" s="340">
        <v>546500</v>
      </c>
      <c r="W2238" s="297">
        <v>60383</v>
      </c>
      <c r="X2238" s="296">
        <v>7.8E-2</v>
      </c>
    </row>
    <row r="2239" spans="13:24">
      <c r="M2239">
        <v>2237</v>
      </c>
      <c r="N2239">
        <v>55024</v>
      </c>
      <c r="O2239" t="s">
        <v>533</v>
      </c>
      <c r="P2239" t="s">
        <v>151</v>
      </c>
      <c r="Q2239">
        <v>320</v>
      </c>
      <c r="R2239" s="296">
        <v>0</v>
      </c>
      <c r="S2239" s="296">
        <v>0.98</v>
      </c>
      <c r="T2239" s="297">
        <v>13643</v>
      </c>
      <c r="U2239" s="340">
        <v>141975</v>
      </c>
      <c r="V2239" s="340">
        <v>445466</v>
      </c>
      <c r="W2239" s="297">
        <v>40433</v>
      </c>
      <c r="X2239" s="296">
        <v>0.01</v>
      </c>
    </row>
    <row r="2240" spans="13:24">
      <c r="M2240">
        <v>2238</v>
      </c>
      <c r="N2240">
        <v>33912</v>
      </c>
      <c r="O2240" t="s">
        <v>345</v>
      </c>
      <c r="P2240" t="s">
        <v>127</v>
      </c>
      <c r="Q2240">
        <v>1130</v>
      </c>
      <c r="R2240" s="296">
        <v>0</v>
      </c>
      <c r="S2240" s="296">
        <v>0.98</v>
      </c>
      <c r="T2240" s="297">
        <v>9771</v>
      </c>
      <c r="U2240" s="340">
        <v>141893</v>
      </c>
      <c r="V2240" s="340">
        <v>519463</v>
      </c>
      <c r="W2240" s="297">
        <v>20115</v>
      </c>
      <c r="X2240" s="296">
        <v>8.9999999999999993E-3</v>
      </c>
    </row>
    <row r="2241" spans="13:24">
      <c r="M2241">
        <v>2239</v>
      </c>
      <c r="N2241">
        <v>46371</v>
      </c>
      <c r="O2241" t="s">
        <v>1835</v>
      </c>
      <c r="P2241" t="s">
        <v>144</v>
      </c>
      <c r="Q2241">
        <v>69</v>
      </c>
      <c r="R2241" s="296">
        <v>0</v>
      </c>
      <c r="S2241" s="296">
        <v>0.98</v>
      </c>
      <c r="T2241" s="297">
        <v>1402</v>
      </c>
      <c r="U2241" s="340">
        <v>141820</v>
      </c>
      <c r="V2241" s="340">
        <v>329483</v>
      </c>
      <c r="W2241" s="297">
        <v>3818</v>
      </c>
      <c r="X2241" s="296">
        <v>0</v>
      </c>
    </row>
    <row r="2242" spans="13:24">
      <c r="M2242">
        <v>2240</v>
      </c>
      <c r="N2242">
        <v>43016</v>
      </c>
      <c r="O2242" t="s">
        <v>1271</v>
      </c>
      <c r="P2242" t="s">
        <v>136</v>
      </c>
      <c r="Q2242">
        <v>280</v>
      </c>
      <c r="R2242" s="296">
        <v>0</v>
      </c>
      <c r="S2242" s="296">
        <v>0.98</v>
      </c>
      <c r="T2242" s="297">
        <v>19777</v>
      </c>
      <c r="U2242" s="340">
        <v>141818</v>
      </c>
      <c r="V2242" s="340">
        <v>450449</v>
      </c>
      <c r="W2242" s="297">
        <v>47403</v>
      </c>
      <c r="X2242" s="296">
        <v>7.0000000000000001E-3</v>
      </c>
    </row>
    <row r="2243" spans="13:24">
      <c r="M2243">
        <v>2241</v>
      </c>
      <c r="N2243">
        <v>65809</v>
      </c>
      <c r="O2243" t="s">
        <v>515</v>
      </c>
      <c r="P2243" t="s">
        <v>186</v>
      </c>
      <c r="Q2243">
        <v>448</v>
      </c>
      <c r="R2243" s="296">
        <v>0</v>
      </c>
      <c r="S2243" s="296">
        <v>0.98</v>
      </c>
      <c r="T2243" s="297">
        <v>4863</v>
      </c>
      <c r="U2243" s="340">
        <v>141612</v>
      </c>
      <c r="V2243" s="340">
        <v>441345</v>
      </c>
      <c r="W2243" s="297">
        <v>12382</v>
      </c>
      <c r="X2243" s="296">
        <v>0.01</v>
      </c>
    </row>
    <row r="2244" spans="13:24">
      <c r="M2244">
        <v>2242</v>
      </c>
      <c r="N2244">
        <v>32832</v>
      </c>
      <c r="O2244" t="s">
        <v>539</v>
      </c>
      <c r="P2244" t="s">
        <v>127</v>
      </c>
      <c r="Q2244">
        <v>1020</v>
      </c>
      <c r="R2244" s="296">
        <v>0</v>
      </c>
      <c r="S2244" s="296">
        <v>0.98</v>
      </c>
      <c r="T2244" s="297">
        <v>14775</v>
      </c>
      <c r="U2244" s="340">
        <v>141541</v>
      </c>
      <c r="V2244" s="340">
        <v>545082</v>
      </c>
      <c r="W2244" s="297">
        <v>44334</v>
      </c>
      <c r="X2244" s="296">
        <v>5.2999999999999999E-2</v>
      </c>
    </row>
    <row r="2245" spans="13:24">
      <c r="M2245">
        <v>2243</v>
      </c>
      <c r="N2245">
        <v>6479</v>
      </c>
      <c r="O2245" t="s">
        <v>1836</v>
      </c>
      <c r="P2245" t="s">
        <v>141</v>
      </c>
      <c r="Q2245">
        <v>766</v>
      </c>
      <c r="R2245" s="296">
        <v>0</v>
      </c>
      <c r="S2245" s="296">
        <v>0.98</v>
      </c>
      <c r="T2245" s="297">
        <v>4030</v>
      </c>
      <c r="U2245" s="340">
        <v>141261</v>
      </c>
      <c r="V2245" s="340">
        <v>418626</v>
      </c>
      <c r="W2245" s="297">
        <v>10162</v>
      </c>
      <c r="X2245" s="296">
        <v>1E-3</v>
      </c>
    </row>
    <row r="2246" spans="13:24">
      <c r="M2246">
        <v>2244</v>
      </c>
      <c r="N2246">
        <v>85641</v>
      </c>
      <c r="O2246" t="s">
        <v>663</v>
      </c>
      <c r="P2246" t="s">
        <v>158</v>
      </c>
      <c r="Q2246">
        <v>1438</v>
      </c>
      <c r="R2246" s="296">
        <v>0</v>
      </c>
      <c r="S2246" s="296">
        <v>0.98</v>
      </c>
      <c r="T2246" s="297">
        <v>11303</v>
      </c>
      <c r="U2246" s="340">
        <v>141185</v>
      </c>
      <c r="V2246" s="340">
        <v>416689</v>
      </c>
      <c r="W2246" s="297">
        <v>32155</v>
      </c>
      <c r="X2246" s="296">
        <v>2.5000000000000001E-2</v>
      </c>
    </row>
    <row r="2247" spans="13:24">
      <c r="M2247">
        <v>2245</v>
      </c>
      <c r="N2247">
        <v>15317</v>
      </c>
      <c r="O2247" t="s">
        <v>556</v>
      </c>
      <c r="P2247" t="s">
        <v>133</v>
      </c>
      <c r="Q2247">
        <v>417</v>
      </c>
      <c r="R2247" s="296">
        <v>0</v>
      </c>
      <c r="S2247" s="296">
        <v>0.98009999999999997</v>
      </c>
      <c r="T2247" s="297">
        <v>17501</v>
      </c>
      <c r="U2247" s="340">
        <v>140913</v>
      </c>
      <c r="V2247" s="340">
        <v>405360</v>
      </c>
      <c r="W2247" s="297">
        <v>42469</v>
      </c>
      <c r="X2247" s="296">
        <v>7.0000000000000001E-3</v>
      </c>
    </row>
    <row r="2248" spans="13:24">
      <c r="M2248">
        <v>2246</v>
      </c>
      <c r="N2248">
        <v>43026</v>
      </c>
      <c r="O2248" t="s">
        <v>1837</v>
      </c>
      <c r="P2248" t="s">
        <v>136</v>
      </c>
      <c r="Q2248">
        <v>281</v>
      </c>
      <c r="R2248" s="296">
        <v>0</v>
      </c>
      <c r="S2248" s="296">
        <v>0.98009999999999997</v>
      </c>
      <c r="T2248" s="297">
        <v>25706</v>
      </c>
      <c r="U2248" s="340">
        <v>140780</v>
      </c>
      <c r="V2248" s="340">
        <v>351010</v>
      </c>
      <c r="W2248" s="297">
        <v>66455</v>
      </c>
      <c r="X2248" s="296">
        <v>7.0000000000000001E-3</v>
      </c>
    </row>
    <row r="2249" spans="13:24">
      <c r="M2249">
        <v>2247</v>
      </c>
      <c r="N2249">
        <v>27959</v>
      </c>
      <c r="O2249" t="s">
        <v>1838</v>
      </c>
      <c r="P2249" t="s">
        <v>138</v>
      </c>
      <c r="Q2249">
        <v>783</v>
      </c>
      <c r="R2249" s="296">
        <v>0</v>
      </c>
      <c r="S2249" s="296">
        <v>0.98009999999999997</v>
      </c>
      <c r="T2249" s="297">
        <v>1479</v>
      </c>
      <c r="U2249" s="340">
        <v>140730</v>
      </c>
      <c r="V2249" s="340">
        <v>547180</v>
      </c>
      <c r="W2249" s="297">
        <v>3365</v>
      </c>
      <c r="X2249" s="296">
        <v>1.2E-2</v>
      </c>
    </row>
    <row r="2250" spans="13:24">
      <c r="M2250">
        <v>2248</v>
      </c>
      <c r="N2250">
        <v>91007</v>
      </c>
      <c r="O2250" t="s">
        <v>1839</v>
      </c>
      <c r="P2250" t="s">
        <v>132</v>
      </c>
      <c r="Q2250">
        <v>1725</v>
      </c>
      <c r="R2250" s="296">
        <v>0</v>
      </c>
      <c r="S2250" s="296">
        <v>0.98009999999999997</v>
      </c>
      <c r="T2250" s="297">
        <v>11267</v>
      </c>
      <c r="U2250" s="340">
        <v>140605</v>
      </c>
      <c r="V2250" s="340">
        <v>1438038</v>
      </c>
      <c r="W2250" s="297">
        <v>31800</v>
      </c>
      <c r="X2250" s="296">
        <v>-6.0000000000000001E-3</v>
      </c>
    </row>
    <row r="2251" spans="13:24">
      <c r="M2251">
        <v>2249</v>
      </c>
      <c r="N2251">
        <v>20601</v>
      </c>
      <c r="O2251" t="s">
        <v>495</v>
      </c>
      <c r="P2251" t="s">
        <v>137</v>
      </c>
      <c r="Q2251">
        <v>623</v>
      </c>
      <c r="R2251" s="296">
        <v>0</v>
      </c>
      <c r="S2251" s="296">
        <v>0.98009999999999997</v>
      </c>
      <c r="T2251" s="297">
        <v>10176</v>
      </c>
      <c r="U2251" s="340">
        <v>140553</v>
      </c>
      <c r="V2251" s="340">
        <v>412105</v>
      </c>
      <c r="W2251" s="297">
        <v>28357</v>
      </c>
      <c r="X2251" s="296">
        <v>5.0000000000000001E-3</v>
      </c>
    </row>
    <row r="2252" spans="13:24">
      <c r="M2252">
        <v>2250</v>
      </c>
      <c r="N2252">
        <v>33602</v>
      </c>
      <c r="O2252" t="s">
        <v>475</v>
      </c>
      <c r="P2252" t="s">
        <v>127</v>
      </c>
      <c r="Q2252">
        <v>1025</v>
      </c>
      <c r="R2252" s="296">
        <v>0</v>
      </c>
      <c r="S2252" s="296">
        <v>0.98009999999999997</v>
      </c>
      <c r="T2252" s="297">
        <v>13277</v>
      </c>
      <c r="U2252" s="340">
        <v>140552</v>
      </c>
      <c r="V2252" s="340">
        <v>609329</v>
      </c>
      <c r="W2252" s="297">
        <v>23648</v>
      </c>
      <c r="X2252" s="296">
        <v>4.1000000000000002E-2</v>
      </c>
    </row>
    <row r="2253" spans="13:24">
      <c r="M2253">
        <v>2251</v>
      </c>
      <c r="N2253">
        <v>30324</v>
      </c>
      <c r="O2253" t="s">
        <v>507</v>
      </c>
      <c r="P2253" t="s">
        <v>130</v>
      </c>
      <c r="Q2253">
        <v>605</v>
      </c>
      <c r="R2253" s="296">
        <v>0</v>
      </c>
      <c r="S2253" s="296">
        <v>0.98009999999999997</v>
      </c>
      <c r="T2253" s="297">
        <v>17292</v>
      </c>
      <c r="U2253" s="340">
        <v>140368</v>
      </c>
      <c r="V2253" s="340">
        <v>700655</v>
      </c>
      <c r="W2253" s="297">
        <v>31130</v>
      </c>
      <c r="X2253" s="296">
        <v>4.0000000000000001E-3</v>
      </c>
    </row>
    <row r="2254" spans="13:24">
      <c r="M2254">
        <v>2252</v>
      </c>
      <c r="N2254">
        <v>78702</v>
      </c>
      <c r="O2254" t="s">
        <v>416</v>
      </c>
      <c r="P2254" t="s">
        <v>134</v>
      </c>
      <c r="Q2254">
        <v>989</v>
      </c>
      <c r="R2254" s="296">
        <v>0</v>
      </c>
      <c r="S2254" s="296">
        <v>0.98009999999999997</v>
      </c>
      <c r="T2254" s="297">
        <v>14136</v>
      </c>
      <c r="U2254" s="340">
        <v>140197</v>
      </c>
      <c r="V2254" s="340">
        <v>834713</v>
      </c>
      <c r="W2254" s="297">
        <v>29138</v>
      </c>
      <c r="X2254" s="296">
        <v>3.4000000000000002E-2</v>
      </c>
    </row>
    <row r="2255" spans="13:24">
      <c r="M2255">
        <v>2253</v>
      </c>
      <c r="N2255">
        <v>53598</v>
      </c>
      <c r="O2255" t="s">
        <v>460</v>
      </c>
      <c r="P2255" t="s">
        <v>149</v>
      </c>
      <c r="Q2255">
        <v>108</v>
      </c>
      <c r="R2255" s="296">
        <v>0</v>
      </c>
      <c r="S2255" s="296">
        <v>0.98019999999999996</v>
      </c>
      <c r="T2255" s="297">
        <v>1483</v>
      </c>
      <c r="U2255" s="340">
        <v>140168</v>
      </c>
      <c r="V2255" s="340">
        <v>467885</v>
      </c>
      <c r="W2255" s="297">
        <v>3885</v>
      </c>
      <c r="X2255" s="296">
        <v>8.9999999999999993E-3</v>
      </c>
    </row>
    <row r="2256" spans="13:24">
      <c r="M2256">
        <v>2254</v>
      </c>
      <c r="N2256">
        <v>7424</v>
      </c>
      <c r="O2256" t="s">
        <v>1367</v>
      </c>
      <c r="P2256" t="s">
        <v>129</v>
      </c>
      <c r="Q2256">
        <v>707</v>
      </c>
      <c r="R2256" s="296">
        <v>0</v>
      </c>
      <c r="S2256" s="296">
        <v>0.98019999999999996</v>
      </c>
      <c r="T2256" s="297">
        <v>10147</v>
      </c>
      <c r="U2256" s="340">
        <v>140157</v>
      </c>
      <c r="V2256" s="340">
        <v>570007</v>
      </c>
      <c r="W2256" s="297">
        <v>27896</v>
      </c>
      <c r="X2256" s="296">
        <v>7.0000000000000001E-3</v>
      </c>
    </row>
    <row r="2257" spans="13:24">
      <c r="M2257">
        <v>2255</v>
      </c>
      <c r="N2257">
        <v>46062</v>
      </c>
      <c r="O2257" t="s">
        <v>654</v>
      </c>
      <c r="P2257" t="s">
        <v>144</v>
      </c>
      <c r="Q2257">
        <v>170</v>
      </c>
      <c r="R2257" s="296">
        <v>0</v>
      </c>
      <c r="S2257" s="296">
        <v>0.98019999999999996</v>
      </c>
      <c r="T2257" s="297">
        <v>16377</v>
      </c>
      <c r="U2257" s="340">
        <v>139914</v>
      </c>
      <c r="V2257" s="340">
        <v>440792</v>
      </c>
      <c r="W2257" s="297">
        <v>44144</v>
      </c>
      <c r="X2257" s="296">
        <v>2.8000000000000001E-2</v>
      </c>
    </row>
    <row r="2258" spans="13:24">
      <c r="M2258">
        <v>2256</v>
      </c>
      <c r="N2258">
        <v>77581</v>
      </c>
      <c r="O2258" t="s">
        <v>1840</v>
      </c>
      <c r="P2258" t="s">
        <v>134</v>
      </c>
      <c r="Q2258">
        <v>964</v>
      </c>
      <c r="R2258" s="296">
        <v>0</v>
      </c>
      <c r="S2258" s="296">
        <v>0.98019999999999996</v>
      </c>
      <c r="T2258" s="297">
        <v>17343</v>
      </c>
      <c r="U2258" s="340">
        <v>139812</v>
      </c>
      <c r="V2258" s="340">
        <v>350020</v>
      </c>
      <c r="W2258" s="297">
        <v>49137</v>
      </c>
      <c r="X2258" s="296">
        <v>3.0000000000000001E-3</v>
      </c>
    </row>
    <row r="2259" spans="13:24">
      <c r="M2259">
        <v>2257</v>
      </c>
      <c r="N2259">
        <v>98383</v>
      </c>
      <c r="O2259" t="s">
        <v>1841</v>
      </c>
      <c r="P2259" t="s">
        <v>224</v>
      </c>
      <c r="Q2259">
        <v>1736</v>
      </c>
      <c r="R2259" s="296">
        <v>0</v>
      </c>
      <c r="S2259" s="296">
        <v>0.98019999999999996</v>
      </c>
      <c r="T2259" s="297">
        <v>8513</v>
      </c>
      <c r="U2259" s="340">
        <v>139804</v>
      </c>
      <c r="V2259" s="340">
        <v>677311</v>
      </c>
      <c r="W2259" s="297">
        <v>21175</v>
      </c>
      <c r="X2259" s="296">
        <v>8.9999999999999993E-3</v>
      </c>
    </row>
    <row r="2260" spans="13:24">
      <c r="M2260">
        <v>2258</v>
      </c>
      <c r="N2260">
        <v>20659</v>
      </c>
      <c r="O2260" t="s">
        <v>1842</v>
      </c>
      <c r="P2260" t="s">
        <v>137</v>
      </c>
      <c r="Q2260">
        <v>637</v>
      </c>
      <c r="R2260" s="296">
        <v>0</v>
      </c>
      <c r="S2260" s="296">
        <v>0.98019999999999996</v>
      </c>
      <c r="T2260" s="297">
        <v>8451</v>
      </c>
      <c r="U2260" s="340">
        <v>139771</v>
      </c>
      <c r="V2260" s="340">
        <v>461695</v>
      </c>
      <c r="W2260" s="297">
        <v>24502</v>
      </c>
      <c r="X2260" s="296">
        <v>0</v>
      </c>
    </row>
    <row r="2261" spans="13:24">
      <c r="M2261">
        <v>2259</v>
      </c>
      <c r="N2261">
        <v>8089</v>
      </c>
      <c r="O2261" t="s">
        <v>1843</v>
      </c>
      <c r="P2261" t="s">
        <v>129</v>
      </c>
      <c r="Q2261">
        <v>695</v>
      </c>
      <c r="R2261" s="296">
        <v>0</v>
      </c>
      <c r="S2261" s="296">
        <v>0.98019999999999996</v>
      </c>
      <c r="T2261" s="297">
        <v>1440</v>
      </c>
      <c r="U2261" s="340">
        <v>139661</v>
      </c>
      <c r="V2261" s="340">
        <v>387750</v>
      </c>
      <c r="W2261" s="297">
        <v>3741</v>
      </c>
      <c r="X2261" s="296">
        <v>0</v>
      </c>
    </row>
    <row r="2262" spans="13:24">
      <c r="M2262">
        <v>2260</v>
      </c>
      <c r="N2262">
        <v>76065</v>
      </c>
      <c r="O2262" t="s">
        <v>668</v>
      </c>
      <c r="P2262" t="s">
        <v>134</v>
      </c>
      <c r="Q2262">
        <v>837</v>
      </c>
      <c r="R2262" s="296">
        <v>0</v>
      </c>
      <c r="S2262" s="296">
        <v>0.98019999999999996</v>
      </c>
      <c r="T2262" s="297">
        <v>17115</v>
      </c>
      <c r="U2262" s="340">
        <v>139502</v>
      </c>
      <c r="V2262" s="340">
        <v>433932</v>
      </c>
      <c r="W2262" s="297">
        <v>51300</v>
      </c>
      <c r="X2262" s="296">
        <v>4.1000000000000002E-2</v>
      </c>
    </row>
    <row r="2263" spans="13:24">
      <c r="M2263">
        <v>2261</v>
      </c>
      <c r="N2263">
        <v>20904</v>
      </c>
      <c r="O2263" t="s">
        <v>501</v>
      </c>
      <c r="P2263" t="s">
        <v>137</v>
      </c>
      <c r="Q2263">
        <v>605</v>
      </c>
      <c r="R2263" s="296">
        <v>0</v>
      </c>
      <c r="S2263" s="296">
        <v>0.98029999999999995</v>
      </c>
      <c r="T2263" s="297">
        <v>19932</v>
      </c>
      <c r="U2263" s="340">
        <v>139428</v>
      </c>
      <c r="V2263" s="340">
        <v>613392</v>
      </c>
      <c r="W2263" s="297">
        <v>57064</v>
      </c>
      <c r="X2263" s="296">
        <v>-1E-3</v>
      </c>
    </row>
    <row r="2264" spans="13:24">
      <c r="M2264">
        <v>2262</v>
      </c>
      <c r="N2264">
        <v>85737</v>
      </c>
      <c r="O2264" t="s">
        <v>579</v>
      </c>
      <c r="P2264" t="s">
        <v>158</v>
      </c>
      <c r="Q2264">
        <v>1435</v>
      </c>
      <c r="R2264" s="296">
        <v>0</v>
      </c>
      <c r="S2264" s="296">
        <v>0.98029999999999995</v>
      </c>
      <c r="T2264" s="297">
        <v>10003</v>
      </c>
      <c r="U2264" s="340">
        <v>139402</v>
      </c>
      <c r="V2264" s="340">
        <v>490484</v>
      </c>
      <c r="W2264" s="297">
        <v>22146</v>
      </c>
      <c r="X2264" s="296">
        <v>-1E-3</v>
      </c>
    </row>
    <row r="2265" spans="13:24">
      <c r="M2265">
        <v>2263</v>
      </c>
      <c r="N2265">
        <v>98001</v>
      </c>
      <c r="O2265" t="s">
        <v>336</v>
      </c>
      <c r="P2265" t="s">
        <v>224</v>
      </c>
      <c r="Q2265">
        <v>1715</v>
      </c>
      <c r="R2265" s="296">
        <v>0</v>
      </c>
      <c r="S2265" s="296">
        <v>0.98029999999999995</v>
      </c>
      <c r="T2265" s="297">
        <v>11990</v>
      </c>
      <c r="U2265" s="340">
        <v>139357</v>
      </c>
      <c r="V2265" s="340">
        <v>727183</v>
      </c>
      <c r="W2265" s="297">
        <v>37108</v>
      </c>
      <c r="X2265" s="296">
        <v>7.0000000000000001E-3</v>
      </c>
    </row>
    <row r="2266" spans="13:24">
      <c r="M2266">
        <v>2264</v>
      </c>
      <c r="N2266">
        <v>2642</v>
      </c>
      <c r="O2266" t="s">
        <v>1844</v>
      </c>
      <c r="P2266" t="s">
        <v>135</v>
      </c>
      <c r="Q2266">
        <v>913</v>
      </c>
      <c r="R2266" s="296">
        <v>0</v>
      </c>
      <c r="S2266" s="296">
        <v>0.98029999999999995</v>
      </c>
      <c r="T2266" s="297">
        <v>2850</v>
      </c>
      <c r="U2266" s="340">
        <v>139331</v>
      </c>
      <c r="V2266" s="340">
        <v>838889</v>
      </c>
      <c r="W2266" s="297">
        <v>5791</v>
      </c>
      <c r="X2266" s="296">
        <v>2E-3</v>
      </c>
    </row>
    <row r="2267" spans="13:24">
      <c r="M2267">
        <v>2265</v>
      </c>
      <c r="N2267">
        <v>27712</v>
      </c>
      <c r="O2267" t="s">
        <v>505</v>
      </c>
      <c r="P2267" t="s">
        <v>138</v>
      </c>
      <c r="Q2267">
        <v>633</v>
      </c>
      <c r="R2267" s="296">
        <v>0</v>
      </c>
      <c r="S2267" s="296">
        <v>0.98029999999999995</v>
      </c>
      <c r="T2267" s="297">
        <v>8366</v>
      </c>
      <c r="U2267" s="340">
        <v>139257</v>
      </c>
      <c r="V2267" s="340">
        <v>475342</v>
      </c>
      <c r="W2267" s="297">
        <v>21568</v>
      </c>
      <c r="X2267" s="296">
        <v>4.0000000000000001E-3</v>
      </c>
    </row>
    <row r="2268" spans="13:24">
      <c r="M2268">
        <v>2266</v>
      </c>
      <c r="N2268">
        <v>41017</v>
      </c>
      <c r="O2268" t="s">
        <v>1845</v>
      </c>
      <c r="P2268" t="s">
        <v>143</v>
      </c>
      <c r="Q2268">
        <v>274</v>
      </c>
      <c r="R2268" s="296">
        <v>0</v>
      </c>
      <c r="S2268" s="296">
        <v>0.98029999999999995</v>
      </c>
      <c r="T2268" s="297">
        <v>16541</v>
      </c>
      <c r="U2268" s="340">
        <v>139209</v>
      </c>
      <c r="V2268" s="340">
        <v>378305</v>
      </c>
      <c r="W2268" s="297">
        <v>41164</v>
      </c>
      <c r="X2268" s="296">
        <v>3.0000000000000001E-3</v>
      </c>
    </row>
    <row r="2269" spans="13:24">
      <c r="M2269">
        <v>2267</v>
      </c>
      <c r="N2269">
        <v>1583</v>
      </c>
      <c r="O2269" t="s">
        <v>458</v>
      </c>
      <c r="P2269" t="s">
        <v>135</v>
      </c>
      <c r="Q2269">
        <v>817</v>
      </c>
      <c r="R2269" s="296">
        <v>0</v>
      </c>
      <c r="S2269" s="296">
        <v>0.98029999999999995</v>
      </c>
      <c r="T2269" s="297">
        <v>2971</v>
      </c>
      <c r="U2269" s="340">
        <v>138921</v>
      </c>
      <c r="V2269" s="340">
        <v>520895</v>
      </c>
      <c r="W2269" s="297">
        <v>7846</v>
      </c>
      <c r="X2269" s="296">
        <v>-2E-3</v>
      </c>
    </row>
    <row r="2270" spans="13:24">
      <c r="M2270">
        <v>2268</v>
      </c>
      <c r="N2270">
        <v>30548</v>
      </c>
      <c r="O2270" t="s">
        <v>1846</v>
      </c>
      <c r="P2270" t="s">
        <v>130</v>
      </c>
      <c r="Q2270">
        <v>598</v>
      </c>
      <c r="R2270" s="296">
        <v>0</v>
      </c>
      <c r="S2270" s="296">
        <v>0.98029999999999995</v>
      </c>
      <c r="T2270" s="297">
        <v>10218</v>
      </c>
      <c r="U2270" s="340">
        <v>138744</v>
      </c>
      <c r="V2270" s="340">
        <v>439659</v>
      </c>
      <c r="W2270" s="297">
        <v>28779</v>
      </c>
      <c r="X2270" s="296">
        <v>6.4000000000000001E-2</v>
      </c>
    </row>
    <row r="2271" spans="13:24">
      <c r="M2271">
        <v>2269</v>
      </c>
      <c r="N2271">
        <v>51054</v>
      </c>
      <c r="O2271" t="s">
        <v>1847</v>
      </c>
      <c r="P2271" t="s">
        <v>170</v>
      </c>
      <c r="Q2271">
        <v>438</v>
      </c>
      <c r="R2271" s="296">
        <v>0</v>
      </c>
      <c r="S2271" s="296">
        <v>0.98029999999999995</v>
      </c>
      <c r="T2271" s="297">
        <v>2150</v>
      </c>
      <c r="U2271" s="340">
        <v>138630</v>
      </c>
      <c r="V2271" s="340">
        <v>293101</v>
      </c>
      <c r="W2271" s="297">
        <v>6189</v>
      </c>
      <c r="X2271" s="296">
        <v>1.7999999999999999E-2</v>
      </c>
    </row>
    <row r="2272" spans="13:24">
      <c r="M2272">
        <v>2270</v>
      </c>
      <c r="N2272">
        <v>75206</v>
      </c>
      <c r="O2272" t="s">
        <v>338</v>
      </c>
      <c r="P2272" t="s">
        <v>134</v>
      </c>
      <c r="Q2272">
        <v>809</v>
      </c>
      <c r="R2272" s="296">
        <v>0</v>
      </c>
      <c r="S2272" s="296">
        <v>0.98040000000000005</v>
      </c>
      <c r="T2272" s="297">
        <v>24805</v>
      </c>
      <c r="U2272" s="340">
        <v>138598</v>
      </c>
      <c r="V2272" s="340">
        <v>615236</v>
      </c>
      <c r="W2272" s="297">
        <v>42368</v>
      </c>
      <c r="X2272" s="296">
        <v>8.9999999999999993E-3</v>
      </c>
    </row>
    <row r="2273" spans="13:24">
      <c r="M2273">
        <v>2271</v>
      </c>
      <c r="N2273">
        <v>54942</v>
      </c>
      <c r="O2273" t="s">
        <v>670</v>
      </c>
      <c r="P2273" t="s">
        <v>149</v>
      </c>
      <c r="Q2273">
        <v>154</v>
      </c>
      <c r="R2273" s="296">
        <v>0</v>
      </c>
      <c r="S2273" s="296">
        <v>0.98040000000000005</v>
      </c>
      <c r="T2273" s="297">
        <v>3945</v>
      </c>
      <c r="U2273" s="340">
        <v>138574</v>
      </c>
      <c r="V2273" s="340">
        <v>351441</v>
      </c>
      <c r="W2273" s="297">
        <v>11123</v>
      </c>
      <c r="X2273" s="296">
        <v>0.01</v>
      </c>
    </row>
    <row r="2274" spans="13:24">
      <c r="M2274">
        <v>2272</v>
      </c>
      <c r="N2274">
        <v>53103</v>
      </c>
      <c r="O2274" t="s">
        <v>1848</v>
      </c>
      <c r="P2274" t="s">
        <v>149</v>
      </c>
      <c r="Q2274">
        <v>55</v>
      </c>
      <c r="R2274" s="296">
        <v>0</v>
      </c>
      <c r="S2274" s="296">
        <v>0.98040000000000005</v>
      </c>
      <c r="T2274" s="297">
        <v>1544</v>
      </c>
      <c r="U2274" s="340">
        <v>138440</v>
      </c>
      <c r="V2274" s="340">
        <v>561637</v>
      </c>
      <c r="W2274" s="297">
        <v>3996</v>
      </c>
      <c r="X2274" s="296">
        <v>0</v>
      </c>
    </row>
    <row r="2275" spans="13:24">
      <c r="M2275">
        <v>2273</v>
      </c>
      <c r="N2275">
        <v>76472</v>
      </c>
      <c r="O2275" t="s">
        <v>1849</v>
      </c>
      <c r="P2275" t="s">
        <v>134</v>
      </c>
      <c r="Q2275">
        <v>871</v>
      </c>
      <c r="R2275" s="296">
        <v>0</v>
      </c>
      <c r="S2275" s="296">
        <v>0.98040000000000005</v>
      </c>
      <c r="T2275">
        <v>628</v>
      </c>
      <c r="U2275" s="340">
        <v>138361</v>
      </c>
      <c r="V2275" s="340">
        <v>513451</v>
      </c>
      <c r="W2275" s="297">
        <v>1567</v>
      </c>
      <c r="X2275" s="296">
        <v>2E-3</v>
      </c>
    </row>
    <row r="2276" spans="13:24">
      <c r="M2276">
        <v>2274</v>
      </c>
      <c r="N2276">
        <v>48462</v>
      </c>
      <c r="O2276" t="s">
        <v>1850</v>
      </c>
      <c r="P2276" t="s">
        <v>140</v>
      </c>
      <c r="Q2276">
        <v>227</v>
      </c>
      <c r="R2276" s="296">
        <v>0</v>
      </c>
      <c r="S2276" s="296">
        <v>0.98040000000000005</v>
      </c>
      <c r="T2276" s="297">
        <v>4898</v>
      </c>
      <c r="U2276" s="340">
        <v>137894</v>
      </c>
      <c r="V2276" s="340">
        <v>389811</v>
      </c>
      <c r="W2276" s="297">
        <v>12690</v>
      </c>
      <c r="X2276" s="296">
        <v>-5.0000000000000001E-3</v>
      </c>
    </row>
    <row r="2277" spans="13:24">
      <c r="M2277">
        <v>2275</v>
      </c>
      <c r="N2277">
        <v>17601</v>
      </c>
      <c r="O2277" t="s">
        <v>803</v>
      </c>
      <c r="P2277" t="s">
        <v>133</v>
      </c>
      <c r="Q2277">
        <v>614</v>
      </c>
      <c r="R2277" s="296">
        <v>0</v>
      </c>
      <c r="S2277" s="296">
        <v>0.98040000000000005</v>
      </c>
      <c r="T2277" s="297">
        <v>22329</v>
      </c>
      <c r="U2277" s="340">
        <v>137873</v>
      </c>
      <c r="V2277" s="340">
        <v>412825</v>
      </c>
      <c r="W2277" s="297">
        <v>56678</v>
      </c>
      <c r="X2277" s="296">
        <v>5.0000000000000001E-3</v>
      </c>
    </row>
    <row r="2278" spans="13:24">
      <c r="M2278">
        <v>2276</v>
      </c>
      <c r="N2278">
        <v>78610</v>
      </c>
      <c r="O2278" t="s">
        <v>1851</v>
      </c>
      <c r="P2278" t="s">
        <v>134</v>
      </c>
      <c r="Q2278">
        <v>1003</v>
      </c>
      <c r="R2278" s="296">
        <v>0</v>
      </c>
      <c r="S2278" s="296">
        <v>0.98050000000000004</v>
      </c>
      <c r="T2278" s="297">
        <v>19100</v>
      </c>
      <c r="U2278" s="340">
        <v>137747</v>
      </c>
      <c r="V2278" s="340">
        <v>489366</v>
      </c>
      <c r="W2278" s="297">
        <v>55480</v>
      </c>
      <c r="X2278" s="296">
        <v>4.8000000000000001E-2</v>
      </c>
    </row>
    <row r="2279" spans="13:24">
      <c r="M2279">
        <v>2277</v>
      </c>
      <c r="N2279">
        <v>80612</v>
      </c>
      <c r="O2279" t="s">
        <v>1852</v>
      </c>
      <c r="P2279" t="s">
        <v>142</v>
      </c>
      <c r="Q2279">
        <v>888</v>
      </c>
      <c r="R2279" s="296">
        <v>0</v>
      </c>
      <c r="S2279" s="296">
        <v>0.98050000000000004</v>
      </c>
      <c r="T2279">
        <v>295</v>
      </c>
      <c r="U2279" s="340">
        <v>137747</v>
      </c>
      <c r="V2279" s="340">
        <v>758036</v>
      </c>
      <c r="W2279">
        <v>849</v>
      </c>
      <c r="X2279" s="296">
        <v>3.5000000000000003E-2</v>
      </c>
    </row>
    <row r="2280" spans="13:24">
      <c r="M2280">
        <v>2278</v>
      </c>
      <c r="N2280">
        <v>33137</v>
      </c>
      <c r="O2280" t="s">
        <v>293</v>
      </c>
      <c r="P2280" t="s">
        <v>127</v>
      </c>
      <c r="Q2280">
        <v>1208</v>
      </c>
      <c r="R2280" s="296">
        <v>0</v>
      </c>
      <c r="S2280" s="296">
        <v>0.98050000000000004</v>
      </c>
      <c r="T2280" s="297">
        <v>15434</v>
      </c>
      <c r="U2280" s="340">
        <v>137730</v>
      </c>
      <c r="V2280" s="340">
        <v>852186</v>
      </c>
      <c r="W2280" s="297">
        <v>29827</v>
      </c>
      <c r="X2280" s="296">
        <v>3.4000000000000002E-2</v>
      </c>
    </row>
    <row r="2281" spans="13:24">
      <c r="M2281">
        <v>2279</v>
      </c>
      <c r="N2281">
        <v>84339</v>
      </c>
      <c r="O2281" t="s">
        <v>763</v>
      </c>
      <c r="P2281" t="s">
        <v>219</v>
      </c>
      <c r="Q2281">
        <v>1239</v>
      </c>
      <c r="R2281" s="296">
        <v>0</v>
      </c>
      <c r="S2281" s="296">
        <v>0.98050000000000004</v>
      </c>
      <c r="T2281" s="297">
        <v>1830</v>
      </c>
      <c r="U2281" s="340">
        <v>137588</v>
      </c>
      <c r="V2281" s="340">
        <v>565400</v>
      </c>
      <c r="W2281" s="297">
        <v>6266</v>
      </c>
      <c r="X2281" s="296">
        <v>0.02</v>
      </c>
    </row>
    <row r="2282" spans="13:24">
      <c r="M2282">
        <v>2280</v>
      </c>
      <c r="N2282">
        <v>56071</v>
      </c>
      <c r="O2282" t="s">
        <v>1853</v>
      </c>
      <c r="P2282" t="s">
        <v>151</v>
      </c>
      <c r="Q2282">
        <v>335</v>
      </c>
      <c r="R2282" s="296">
        <v>0</v>
      </c>
      <c r="S2282" s="296">
        <v>0.98050000000000004</v>
      </c>
      <c r="T2282" s="297">
        <v>4859</v>
      </c>
      <c r="U2282" s="340">
        <v>137545</v>
      </c>
      <c r="V2282" s="340">
        <v>455546</v>
      </c>
      <c r="W2282" s="297">
        <v>13195</v>
      </c>
      <c r="X2282" s="296">
        <v>4.0000000000000001E-3</v>
      </c>
    </row>
    <row r="2283" spans="13:24">
      <c r="M2283">
        <v>2281</v>
      </c>
      <c r="N2283">
        <v>32765</v>
      </c>
      <c r="O2283" t="s">
        <v>1854</v>
      </c>
      <c r="P2283" t="s">
        <v>127</v>
      </c>
      <c r="Q2283">
        <v>1002</v>
      </c>
      <c r="R2283" s="296">
        <v>0</v>
      </c>
      <c r="S2283" s="296">
        <v>0.98050000000000004</v>
      </c>
      <c r="T2283" s="297">
        <v>23892</v>
      </c>
      <c r="U2283" s="340">
        <v>137447</v>
      </c>
      <c r="V2283" s="340">
        <v>515266</v>
      </c>
      <c r="W2283" s="297">
        <v>67096</v>
      </c>
      <c r="X2283" s="296">
        <v>7.0000000000000001E-3</v>
      </c>
    </row>
    <row r="2284" spans="13:24">
      <c r="M2284">
        <v>2282</v>
      </c>
      <c r="N2284">
        <v>5495</v>
      </c>
      <c r="O2284" t="s">
        <v>434</v>
      </c>
      <c r="P2284" t="s">
        <v>222</v>
      </c>
      <c r="Q2284">
        <v>755</v>
      </c>
      <c r="R2284" s="296">
        <v>0</v>
      </c>
      <c r="S2284" s="296">
        <v>0.98050000000000004</v>
      </c>
      <c r="T2284" s="297">
        <v>4921</v>
      </c>
      <c r="U2284" s="340">
        <v>137316</v>
      </c>
      <c r="V2284" s="340">
        <v>574777</v>
      </c>
      <c r="W2284" s="297">
        <v>11345</v>
      </c>
      <c r="X2284" s="296">
        <v>1.0999999999999999E-2</v>
      </c>
    </row>
    <row r="2285" spans="13:24">
      <c r="M2285">
        <v>2283</v>
      </c>
      <c r="N2285">
        <v>97006</v>
      </c>
      <c r="O2285" t="s">
        <v>1855</v>
      </c>
      <c r="P2285" t="s">
        <v>207</v>
      </c>
      <c r="Q2285">
        <v>1749</v>
      </c>
      <c r="R2285" s="296">
        <v>0</v>
      </c>
      <c r="S2285" s="296">
        <v>0.98050000000000004</v>
      </c>
      <c r="T2285" s="297">
        <v>19916</v>
      </c>
      <c r="U2285" s="340">
        <v>137155</v>
      </c>
      <c r="V2285" s="340">
        <v>580296</v>
      </c>
      <c r="W2285" s="297">
        <v>48039</v>
      </c>
      <c r="X2285" s="296">
        <v>2E-3</v>
      </c>
    </row>
    <row r="2286" spans="13:24">
      <c r="M2286">
        <v>2284</v>
      </c>
      <c r="N2286">
        <v>31561</v>
      </c>
      <c r="O2286" t="s">
        <v>1856</v>
      </c>
      <c r="P2286" t="s">
        <v>130</v>
      </c>
      <c r="Q2286">
        <v>836</v>
      </c>
      <c r="R2286" s="296">
        <v>0</v>
      </c>
      <c r="S2286" s="296">
        <v>0.98050000000000004</v>
      </c>
      <c r="T2286">
        <v>90</v>
      </c>
      <c r="U2286" s="340">
        <v>137091</v>
      </c>
      <c r="V2286" s="340">
        <v>1032229</v>
      </c>
      <c r="W2286">
        <v>195</v>
      </c>
      <c r="X2286" s="296">
        <v>6.0000000000000001E-3</v>
      </c>
    </row>
    <row r="2287" spans="13:24">
      <c r="M2287">
        <v>2285</v>
      </c>
      <c r="N2287">
        <v>75238</v>
      </c>
      <c r="O2287" t="s">
        <v>338</v>
      </c>
      <c r="P2287" t="s">
        <v>134</v>
      </c>
      <c r="Q2287">
        <v>805</v>
      </c>
      <c r="R2287" s="296">
        <v>0</v>
      </c>
      <c r="S2287" s="296">
        <v>0.98060000000000003</v>
      </c>
      <c r="T2287" s="297">
        <v>13240</v>
      </c>
      <c r="U2287" s="340">
        <v>136978</v>
      </c>
      <c r="V2287" s="340">
        <v>557530</v>
      </c>
      <c r="W2287" s="297">
        <v>33051</v>
      </c>
      <c r="X2287" s="296">
        <v>-1E-3</v>
      </c>
    </row>
    <row r="2288" spans="13:24">
      <c r="M2288">
        <v>2286</v>
      </c>
      <c r="N2288">
        <v>49419</v>
      </c>
      <c r="O2288" t="s">
        <v>739</v>
      </c>
      <c r="P2288" t="s">
        <v>140</v>
      </c>
      <c r="Q2288">
        <v>99</v>
      </c>
      <c r="R2288" s="296">
        <v>0</v>
      </c>
      <c r="S2288" s="296">
        <v>0.98060000000000003</v>
      </c>
      <c r="T2288" s="297">
        <v>2989</v>
      </c>
      <c r="U2288" s="340">
        <v>136872</v>
      </c>
      <c r="V2288" s="340">
        <v>372772</v>
      </c>
      <c r="W2288" s="297">
        <v>8809</v>
      </c>
      <c r="X2288" s="296">
        <v>4.0000000000000001E-3</v>
      </c>
    </row>
    <row r="2289" spans="13:24">
      <c r="M2289">
        <v>2287</v>
      </c>
      <c r="N2289">
        <v>48094</v>
      </c>
      <c r="O2289" t="s">
        <v>225</v>
      </c>
      <c r="P2289" t="s">
        <v>140</v>
      </c>
      <c r="Q2289">
        <v>246</v>
      </c>
      <c r="R2289" s="296">
        <v>0</v>
      </c>
      <c r="S2289" s="296">
        <v>0.98060000000000003</v>
      </c>
      <c r="T2289" s="297">
        <v>8032</v>
      </c>
      <c r="U2289" s="340">
        <v>136833</v>
      </c>
      <c r="V2289" s="340">
        <v>410932</v>
      </c>
      <c r="W2289" s="297">
        <v>20623</v>
      </c>
      <c r="X2289" s="296">
        <v>3.0000000000000001E-3</v>
      </c>
    </row>
    <row r="2290" spans="13:24">
      <c r="M2290">
        <v>2288</v>
      </c>
      <c r="N2290">
        <v>22840</v>
      </c>
      <c r="O2290" t="s">
        <v>1857</v>
      </c>
      <c r="P2290" t="s">
        <v>139</v>
      </c>
      <c r="Q2290">
        <v>543</v>
      </c>
      <c r="R2290" s="296">
        <v>0</v>
      </c>
      <c r="S2290" s="296">
        <v>0.98060000000000003</v>
      </c>
      <c r="T2290" s="297">
        <v>1741</v>
      </c>
      <c r="U2290" s="340">
        <v>136779</v>
      </c>
      <c r="V2290" s="340">
        <v>454027</v>
      </c>
      <c r="W2290" s="297">
        <v>4442</v>
      </c>
      <c r="X2290" s="296">
        <v>5.0000000000000001E-3</v>
      </c>
    </row>
    <row r="2291" spans="13:24">
      <c r="M2291">
        <v>2289</v>
      </c>
      <c r="N2291">
        <v>38117</v>
      </c>
      <c r="O2291" t="s">
        <v>678</v>
      </c>
      <c r="P2291" t="s">
        <v>146</v>
      </c>
      <c r="Q2291">
        <v>499</v>
      </c>
      <c r="R2291" s="296">
        <v>0</v>
      </c>
      <c r="S2291" s="296">
        <v>0.98060000000000003</v>
      </c>
      <c r="T2291" s="297">
        <v>11756</v>
      </c>
      <c r="U2291" s="340">
        <v>136713</v>
      </c>
      <c r="V2291" s="340">
        <v>419697</v>
      </c>
      <c r="W2291" s="297">
        <v>26304</v>
      </c>
      <c r="X2291" s="296">
        <v>-6.0000000000000001E-3</v>
      </c>
    </row>
    <row r="2292" spans="13:24">
      <c r="M2292">
        <v>2290</v>
      </c>
      <c r="N2292">
        <v>55437</v>
      </c>
      <c r="O2292" t="s">
        <v>576</v>
      </c>
      <c r="P2292" t="s">
        <v>151</v>
      </c>
      <c r="Q2292">
        <v>334</v>
      </c>
      <c r="R2292" s="296">
        <v>0</v>
      </c>
      <c r="S2292" s="296">
        <v>0.98060000000000003</v>
      </c>
      <c r="T2292" s="297">
        <v>8430</v>
      </c>
      <c r="U2292" s="340">
        <v>136521</v>
      </c>
      <c r="V2292" s="340">
        <v>443952</v>
      </c>
      <c r="W2292" s="297">
        <v>19191</v>
      </c>
      <c r="X2292" s="296">
        <v>0</v>
      </c>
    </row>
    <row r="2293" spans="13:24">
      <c r="M2293">
        <v>2291</v>
      </c>
      <c r="N2293">
        <v>7850</v>
      </c>
      <c r="O2293" t="s">
        <v>1858</v>
      </c>
      <c r="P2293" t="s">
        <v>129</v>
      </c>
      <c r="Q2293">
        <v>684</v>
      </c>
      <c r="R2293" s="296">
        <v>0</v>
      </c>
      <c r="S2293" s="296">
        <v>0.98060000000000003</v>
      </c>
      <c r="T2293" s="297">
        <v>2362</v>
      </c>
      <c r="U2293" s="340">
        <v>136502</v>
      </c>
      <c r="V2293" s="340">
        <v>538355</v>
      </c>
      <c r="W2293" s="297">
        <v>6171</v>
      </c>
      <c r="X2293" s="296">
        <v>-2E-3</v>
      </c>
    </row>
    <row r="2294" spans="13:24">
      <c r="M2294">
        <v>2292</v>
      </c>
      <c r="N2294">
        <v>33185</v>
      </c>
      <c r="O2294" t="s">
        <v>293</v>
      </c>
      <c r="P2294" t="s">
        <v>127</v>
      </c>
      <c r="Q2294">
        <v>1209</v>
      </c>
      <c r="R2294" s="296">
        <v>0</v>
      </c>
      <c r="S2294" s="296">
        <v>0.98060000000000003</v>
      </c>
      <c r="T2294" s="297">
        <v>8245</v>
      </c>
      <c r="U2294" s="340">
        <v>136452</v>
      </c>
      <c r="V2294" s="340">
        <v>585483</v>
      </c>
      <c r="W2294" s="297">
        <v>27784</v>
      </c>
      <c r="X2294" s="296">
        <v>-8.0000000000000002E-3</v>
      </c>
    </row>
    <row r="2295" spans="13:24">
      <c r="M2295">
        <v>2293</v>
      </c>
      <c r="N2295">
        <v>85016</v>
      </c>
      <c r="O2295" t="s">
        <v>548</v>
      </c>
      <c r="P2295" t="s">
        <v>158</v>
      </c>
      <c r="Q2295">
        <v>1444</v>
      </c>
      <c r="R2295" s="296">
        <v>0</v>
      </c>
      <c r="S2295" s="296">
        <v>0.98060000000000003</v>
      </c>
      <c r="T2295" s="297">
        <v>19001</v>
      </c>
      <c r="U2295" s="340">
        <v>136415</v>
      </c>
      <c r="V2295" s="340">
        <v>686344</v>
      </c>
      <c r="W2295" s="297">
        <v>37959</v>
      </c>
      <c r="X2295" s="296">
        <v>8.0000000000000002E-3</v>
      </c>
    </row>
    <row r="2296" spans="13:24">
      <c r="M2296">
        <v>2294</v>
      </c>
      <c r="N2296">
        <v>15057</v>
      </c>
      <c r="O2296" t="s">
        <v>1859</v>
      </c>
      <c r="P2296" t="s">
        <v>133</v>
      </c>
      <c r="Q2296">
        <v>410</v>
      </c>
      <c r="R2296" s="296">
        <v>0</v>
      </c>
      <c r="S2296" s="296">
        <v>0.98070000000000002</v>
      </c>
      <c r="T2296" s="297">
        <v>6227</v>
      </c>
      <c r="U2296" s="340">
        <v>136050</v>
      </c>
      <c r="V2296" s="340">
        <v>390875</v>
      </c>
      <c r="W2296" s="297">
        <v>16765</v>
      </c>
      <c r="X2296" s="296">
        <v>1E-3</v>
      </c>
    </row>
    <row r="2297" spans="13:24">
      <c r="M2297">
        <v>2295</v>
      </c>
      <c r="N2297">
        <v>17036</v>
      </c>
      <c r="O2297" t="s">
        <v>1860</v>
      </c>
      <c r="P2297" t="s">
        <v>133</v>
      </c>
      <c r="Q2297">
        <v>590</v>
      </c>
      <c r="R2297" s="296">
        <v>0</v>
      </c>
      <c r="S2297" s="296">
        <v>0.98070000000000002</v>
      </c>
      <c r="T2297" s="297">
        <v>10159</v>
      </c>
      <c r="U2297" s="340">
        <v>135701</v>
      </c>
      <c r="V2297" s="340">
        <v>437702</v>
      </c>
      <c r="W2297" s="297">
        <v>25426</v>
      </c>
      <c r="X2297" s="296">
        <v>4.0000000000000001E-3</v>
      </c>
    </row>
    <row r="2298" spans="13:24">
      <c r="M2298">
        <v>2296</v>
      </c>
      <c r="N2298">
        <v>49690</v>
      </c>
      <c r="O2298" t="s">
        <v>1861</v>
      </c>
      <c r="P2298" t="s">
        <v>140</v>
      </c>
      <c r="Q2298">
        <v>218</v>
      </c>
      <c r="R2298" s="296">
        <v>0</v>
      </c>
      <c r="S2298" s="296">
        <v>0.98070000000000002</v>
      </c>
      <c r="T2298" s="297">
        <v>2699</v>
      </c>
      <c r="U2298" s="340">
        <v>135690</v>
      </c>
      <c r="V2298" s="340">
        <v>589791</v>
      </c>
      <c r="W2298" s="297">
        <v>6436</v>
      </c>
      <c r="X2298" s="296">
        <v>3.0000000000000001E-3</v>
      </c>
    </row>
    <row r="2299" spans="13:24">
      <c r="M2299">
        <v>2297</v>
      </c>
      <c r="N2299">
        <v>11216</v>
      </c>
      <c r="O2299" t="s">
        <v>472</v>
      </c>
      <c r="P2299" t="s">
        <v>128</v>
      </c>
      <c r="Q2299">
        <v>723</v>
      </c>
      <c r="R2299" s="296">
        <v>0</v>
      </c>
      <c r="S2299" s="296">
        <v>0.98070000000000002</v>
      </c>
      <c r="T2299" s="297">
        <v>26204</v>
      </c>
      <c r="U2299" s="340">
        <v>135686</v>
      </c>
      <c r="V2299" s="340">
        <v>1451123</v>
      </c>
      <c r="W2299" s="297">
        <v>60391</v>
      </c>
      <c r="X2299" s="296">
        <v>-1E-3</v>
      </c>
    </row>
    <row r="2300" spans="13:24">
      <c r="M2300">
        <v>2298</v>
      </c>
      <c r="N2300">
        <v>29412</v>
      </c>
      <c r="O2300" t="s">
        <v>431</v>
      </c>
      <c r="P2300" t="s">
        <v>145</v>
      </c>
      <c r="Q2300">
        <v>780</v>
      </c>
      <c r="R2300" s="296">
        <v>0</v>
      </c>
      <c r="S2300" s="296">
        <v>0.98070000000000002</v>
      </c>
      <c r="T2300" s="297">
        <v>18336</v>
      </c>
      <c r="U2300" s="340">
        <v>135576</v>
      </c>
      <c r="V2300" s="340">
        <v>660005</v>
      </c>
      <c r="W2300" s="297">
        <v>41141</v>
      </c>
      <c r="X2300" s="296">
        <v>8.0000000000000002E-3</v>
      </c>
    </row>
    <row r="2301" spans="13:24">
      <c r="M2301">
        <v>2299</v>
      </c>
      <c r="N2301">
        <v>7071</v>
      </c>
      <c r="O2301" t="s">
        <v>1862</v>
      </c>
      <c r="P2301" t="s">
        <v>129</v>
      </c>
      <c r="Q2301">
        <v>713</v>
      </c>
      <c r="R2301" s="296">
        <v>0</v>
      </c>
      <c r="S2301" s="296">
        <v>0.98070000000000002</v>
      </c>
      <c r="T2301" s="297">
        <v>9051</v>
      </c>
      <c r="U2301" s="340">
        <v>135426</v>
      </c>
      <c r="V2301" s="340">
        <v>577019</v>
      </c>
      <c r="W2301" s="297">
        <v>22283</v>
      </c>
      <c r="X2301" s="296">
        <v>-3.0000000000000001E-3</v>
      </c>
    </row>
    <row r="2302" spans="13:24">
      <c r="M2302">
        <v>2300</v>
      </c>
      <c r="N2302">
        <v>75075</v>
      </c>
      <c r="O2302" t="s">
        <v>504</v>
      </c>
      <c r="P2302" t="s">
        <v>134</v>
      </c>
      <c r="Q2302">
        <v>798</v>
      </c>
      <c r="R2302" s="296">
        <v>0</v>
      </c>
      <c r="S2302" s="296">
        <v>0.98070000000000002</v>
      </c>
      <c r="T2302" s="297">
        <v>15405</v>
      </c>
      <c r="U2302" s="340">
        <v>135343</v>
      </c>
      <c r="V2302" s="340">
        <v>499395</v>
      </c>
      <c r="W2302" s="297">
        <v>37380</v>
      </c>
      <c r="X2302" s="296">
        <v>8.9999999999999993E-3</v>
      </c>
    </row>
    <row r="2303" spans="13:24">
      <c r="M2303">
        <v>2301</v>
      </c>
      <c r="N2303">
        <v>35801</v>
      </c>
      <c r="O2303" t="s">
        <v>565</v>
      </c>
      <c r="P2303" t="s">
        <v>154</v>
      </c>
      <c r="Q2303">
        <v>517</v>
      </c>
      <c r="R2303" s="296">
        <v>0</v>
      </c>
      <c r="S2303" s="296">
        <v>0.98070000000000002</v>
      </c>
      <c r="T2303" s="297">
        <v>11208</v>
      </c>
      <c r="U2303" s="340">
        <v>135326</v>
      </c>
      <c r="V2303" s="340">
        <v>499699</v>
      </c>
      <c r="W2303" s="297">
        <v>23988</v>
      </c>
      <c r="X2303" s="296">
        <v>1.2999999999999999E-2</v>
      </c>
    </row>
    <row r="2304" spans="13:24">
      <c r="M2304">
        <v>2302</v>
      </c>
      <c r="N2304">
        <v>11763</v>
      </c>
      <c r="O2304" t="s">
        <v>350</v>
      </c>
      <c r="P2304" t="s">
        <v>128</v>
      </c>
      <c r="Q2304">
        <v>771</v>
      </c>
      <c r="R2304" s="296">
        <v>0</v>
      </c>
      <c r="S2304" s="296">
        <v>0.98080000000000001</v>
      </c>
      <c r="T2304" s="297">
        <v>9557</v>
      </c>
      <c r="U2304" s="340">
        <v>135257</v>
      </c>
      <c r="V2304" s="340">
        <v>574315</v>
      </c>
      <c r="W2304" s="297">
        <v>29266</v>
      </c>
      <c r="X2304" s="296">
        <v>-1E-3</v>
      </c>
    </row>
    <row r="2305" spans="13:24">
      <c r="M2305">
        <v>2303</v>
      </c>
      <c r="N2305">
        <v>70471</v>
      </c>
      <c r="O2305" t="s">
        <v>1863</v>
      </c>
      <c r="P2305" t="s">
        <v>147</v>
      </c>
      <c r="Q2305">
        <v>820</v>
      </c>
      <c r="R2305" s="296">
        <v>0</v>
      </c>
      <c r="S2305" s="296">
        <v>0.98080000000000001</v>
      </c>
      <c r="T2305" s="297">
        <v>9404</v>
      </c>
      <c r="U2305" s="340">
        <v>135215</v>
      </c>
      <c r="V2305" s="340">
        <v>445324</v>
      </c>
      <c r="W2305" s="297">
        <v>24224</v>
      </c>
      <c r="X2305" s="296">
        <v>8.0000000000000002E-3</v>
      </c>
    </row>
    <row r="2306" spans="13:24">
      <c r="M2306">
        <v>2304</v>
      </c>
      <c r="N2306">
        <v>54173</v>
      </c>
      <c r="O2306" t="s">
        <v>1864</v>
      </c>
      <c r="P2306" t="s">
        <v>149</v>
      </c>
      <c r="Q2306">
        <v>173</v>
      </c>
      <c r="R2306" s="296">
        <v>0</v>
      </c>
      <c r="S2306" s="296">
        <v>0.98080000000000001</v>
      </c>
      <c r="T2306" s="297">
        <v>1714</v>
      </c>
      <c r="U2306" s="340">
        <v>135113</v>
      </c>
      <c r="V2306" s="340">
        <v>471128</v>
      </c>
      <c r="W2306" s="297">
        <v>4387</v>
      </c>
      <c r="X2306" s="296">
        <v>1.2E-2</v>
      </c>
    </row>
    <row r="2307" spans="13:24">
      <c r="M2307">
        <v>2305</v>
      </c>
      <c r="N2307">
        <v>48864</v>
      </c>
      <c r="O2307" t="s">
        <v>499</v>
      </c>
      <c r="P2307" t="s">
        <v>140</v>
      </c>
      <c r="Q2307">
        <v>176</v>
      </c>
      <c r="R2307" s="296">
        <v>0</v>
      </c>
      <c r="S2307" s="296">
        <v>0.98080000000000001</v>
      </c>
      <c r="T2307" s="297">
        <v>10001</v>
      </c>
      <c r="U2307" s="340">
        <v>135063</v>
      </c>
      <c r="V2307" s="340">
        <v>377844</v>
      </c>
      <c r="W2307" s="297">
        <v>24899</v>
      </c>
      <c r="X2307" s="296">
        <v>0</v>
      </c>
    </row>
    <row r="2308" spans="13:24">
      <c r="M2308">
        <v>2306</v>
      </c>
      <c r="N2308">
        <v>85250</v>
      </c>
      <c r="O2308" t="s">
        <v>1159</v>
      </c>
      <c r="P2308" t="s">
        <v>158</v>
      </c>
      <c r="Q2308">
        <v>1438</v>
      </c>
      <c r="R2308" s="296">
        <v>0</v>
      </c>
      <c r="S2308" s="296">
        <v>0.98080000000000001</v>
      </c>
      <c r="T2308" s="297">
        <v>8382</v>
      </c>
      <c r="U2308" s="340">
        <v>135025</v>
      </c>
      <c r="V2308" s="340">
        <v>699056</v>
      </c>
      <c r="W2308" s="297">
        <v>16116</v>
      </c>
      <c r="X2308" s="296">
        <v>0</v>
      </c>
    </row>
    <row r="2309" spans="13:24">
      <c r="M2309">
        <v>2307</v>
      </c>
      <c r="N2309">
        <v>35613</v>
      </c>
      <c r="O2309" t="s">
        <v>1179</v>
      </c>
      <c r="P2309" t="s">
        <v>154</v>
      </c>
      <c r="Q2309">
        <v>508</v>
      </c>
      <c r="R2309" s="296">
        <v>0</v>
      </c>
      <c r="S2309" s="296">
        <v>0.98080000000000001</v>
      </c>
      <c r="T2309" s="297">
        <v>10413</v>
      </c>
      <c r="U2309" s="340">
        <v>134990</v>
      </c>
      <c r="V2309" s="340">
        <v>363427</v>
      </c>
      <c r="W2309" s="297">
        <v>27076</v>
      </c>
      <c r="X2309" s="296">
        <v>3.4000000000000002E-2</v>
      </c>
    </row>
    <row r="2310" spans="13:24">
      <c r="M2310">
        <v>2308</v>
      </c>
      <c r="N2310">
        <v>53558</v>
      </c>
      <c r="O2310" t="s">
        <v>1865</v>
      </c>
      <c r="P2310" t="s">
        <v>149</v>
      </c>
      <c r="Q2310">
        <v>97</v>
      </c>
      <c r="R2310" s="296">
        <v>0</v>
      </c>
      <c r="S2310" s="296">
        <v>0.98080000000000001</v>
      </c>
      <c r="T2310" s="297">
        <v>5329</v>
      </c>
      <c r="U2310" s="340">
        <v>134968</v>
      </c>
      <c r="V2310" s="340">
        <v>451436</v>
      </c>
      <c r="W2310" s="297">
        <v>13426</v>
      </c>
      <c r="X2310" s="296">
        <v>1.7000000000000001E-2</v>
      </c>
    </row>
    <row r="2311" spans="13:24">
      <c r="M2311">
        <v>2309</v>
      </c>
      <c r="N2311">
        <v>98134</v>
      </c>
      <c r="O2311" t="s">
        <v>299</v>
      </c>
      <c r="P2311" t="s">
        <v>224</v>
      </c>
      <c r="Q2311">
        <v>1717</v>
      </c>
      <c r="R2311" s="296">
        <v>0</v>
      </c>
      <c r="S2311" s="296">
        <v>0.98080000000000001</v>
      </c>
      <c r="T2311">
        <v>546</v>
      </c>
      <c r="U2311" s="340">
        <v>134786</v>
      </c>
      <c r="V2311" s="340">
        <v>994657</v>
      </c>
      <c r="W2311" s="297">
        <v>1709</v>
      </c>
      <c r="X2311" s="296">
        <v>1.4E-2</v>
      </c>
    </row>
    <row r="2312" spans="13:24">
      <c r="M2312">
        <v>2310</v>
      </c>
      <c r="N2312">
        <v>48191</v>
      </c>
      <c r="O2312" t="s">
        <v>1866</v>
      </c>
      <c r="P2312" t="s">
        <v>140</v>
      </c>
      <c r="Q2312">
        <v>216</v>
      </c>
      <c r="R2312" s="296">
        <v>0</v>
      </c>
      <c r="S2312" s="296">
        <v>0.98089999999999999</v>
      </c>
      <c r="T2312" s="297">
        <v>1516</v>
      </c>
      <c r="U2312" s="340">
        <v>134552</v>
      </c>
      <c r="V2312" s="340">
        <v>428863</v>
      </c>
      <c r="W2312" s="297">
        <v>3780</v>
      </c>
      <c r="X2312" s="296">
        <v>8.0000000000000002E-3</v>
      </c>
    </row>
    <row r="2313" spans="13:24">
      <c r="M2313">
        <v>2311</v>
      </c>
      <c r="N2313">
        <v>21702</v>
      </c>
      <c r="O2313" t="s">
        <v>1298</v>
      </c>
      <c r="P2313" t="s">
        <v>137</v>
      </c>
      <c r="Q2313">
        <v>570</v>
      </c>
      <c r="R2313" s="296">
        <v>0</v>
      </c>
      <c r="S2313" s="296">
        <v>0.98089999999999999</v>
      </c>
      <c r="T2313" s="297">
        <v>18636</v>
      </c>
      <c r="U2313" s="340">
        <v>134515</v>
      </c>
      <c r="V2313" s="340">
        <v>518636</v>
      </c>
      <c r="W2313" s="297">
        <v>50741</v>
      </c>
      <c r="X2313" s="296">
        <v>2.1000000000000001E-2</v>
      </c>
    </row>
    <row r="2314" spans="13:24">
      <c r="M2314">
        <v>2312</v>
      </c>
      <c r="N2314">
        <v>37932</v>
      </c>
      <c r="O2314" t="s">
        <v>690</v>
      </c>
      <c r="P2314" t="s">
        <v>146</v>
      </c>
      <c r="Q2314">
        <v>472</v>
      </c>
      <c r="R2314" s="296">
        <v>0</v>
      </c>
      <c r="S2314" s="296">
        <v>0.98089999999999999</v>
      </c>
      <c r="T2314" s="297">
        <v>10030</v>
      </c>
      <c r="U2314" s="340">
        <v>134310</v>
      </c>
      <c r="V2314" s="340">
        <v>468802</v>
      </c>
      <c r="W2314" s="297">
        <v>25309</v>
      </c>
      <c r="X2314" s="296">
        <v>3.4000000000000002E-2</v>
      </c>
    </row>
    <row r="2315" spans="13:24">
      <c r="M2315">
        <v>2313</v>
      </c>
      <c r="N2315">
        <v>98208</v>
      </c>
      <c r="O2315" t="s">
        <v>379</v>
      </c>
      <c r="P2315" t="s">
        <v>224</v>
      </c>
      <c r="Q2315">
        <v>1712</v>
      </c>
      <c r="R2315" s="296">
        <v>0</v>
      </c>
      <c r="S2315" s="296">
        <v>0.98089999999999999</v>
      </c>
      <c r="T2315" s="297">
        <v>22079</v>
      </c>
      <c r="U2315" s="340">
        <v>134243</v>
      </c>
      <c r="V2315" s="340">
        <v>756855</v>
      </c>
      <c r="W2315" s="297">
        <v>61781</v>
      </c>
      <c r="X2315" s="296">
        <v>7.0000000000000001E-3</v>
      </c>
    </row>
    <row r="2316" spans="13:24">
      <c r="M2316">
        <v>2314</v>
      </c>
      <c r="N2316">
        <v>85207</v>
      </c>
      <c r="O2316" t="s">
        <v>1085</v>
      </c>
      <c r="P2316" t="s">
        <v>158</v>
      </c>
      <c r="Q2316">
        <v>1427</v>
      </c>
      <c r="R2316" s="296">
        <v>0</v>
      </c>
      <c r="S2316" s="296">
        <v>0.98089999999999999</v>
      </c>
      <c r="T2316" s="297">
        <v>19713</v>
      </c>
      <c r="U2316" s="340">
        <v>134217</v>
      </c>
      <c r="V2316" s="340">
        <v>558002</v>
      </c>
      <c r="W2316" s="297">
        <v>51279</v>
      </c>
      <c r="X2316" s="296">
        <v>7.0000000000000001E-3</v>
      </c>
    </row>
    <row r="2317" spans="13:24">
      <c r="M2317">
        <v>2315</v>
      </c>
      <c r="N2317">
        <v>11205</v>
      </c>
      <c r="O2317" t="s">
        <v>472</v>
      </c>
      <c r="P2317" t="s">
        <v>128</v>
      </c>
      <c r="Q2317">
        <v>722</v>
      </c>
      <c r="R2317" s="296">
        <v>0</v>
      </c>
      <c r="S2317" s="296">
        <v>0.98089999999999999</v>
      </c>
      <c r="T2317" s="297">
        <v>18888</v>
      </c>
      <c r="U2317" s="340">
        <v>134155</v>
      </c>
      <c r="V2317" s="340">
        <v>1183667</v>
      </c>
      <c r="W2317" s="297">
        <v>51526</v>
      </c>
      <c r="X2317" s="296">
        <v>-3.0000000000000001E-3</v>
      </c>
    </row>
    <row r="2318" spans="13:24">
      <c r="M2318">
        <v>2316</v>
      </c>
      <c r="N2318">
        <v>45054</v>
      </c>
      <c r="O2318" t="s">
        <v>1867</v>
      </c>
      <c r="P2318" t="s">
        <v>136</v>
      </c>
      <c r="Q2318">
        <v>272</v>
      </c>
      <c r="R2318" s="296">
        <v>0</v>
      </c>
      <c r="S2318" s="296">
        <v>0.98089999999999999</v>
      </c>
      <c r="T2318">
        <v>809</v>
      </c>
      <c r="U2318" s="340">
        <v>134119</v>
      </c>
      <c r="V2318" s="340">
        <v>472497</v>
      </c>
      <c r="W2318" s="297">
        <v>2144</v>
      </c>
      <c r="X2318" s="296">
        <v>0</v>
      </c>
    </row>
    <row r="2319" spans="13:24">
      <c r="M2319">
        <v>2317</v>
      </c>
      <c r="N2319">
        <v>32806</v>
      </c>
      <c r="O2319" t="s">
        <v>539</v>
      </c>
      <c r="P2319" t="s">
        <v>127</v>
      </c>
      <c r="Q2319">
        <v>1009</v>
      </c>
      <c r="R2319" s="296">
        <v>0</v>
      </c>
      <c r="S2319" s="296">
        <v>0.98089999999999999</v>
      </c>
      <c r="T2319" s="297">
        <v>11981</v>
      </c>
      <c r="U2319" s="340">
        <v>134056</v>
      </c>
      <c r="V2319" s="340">
        <v>564670</v>
      </c>
      <c r="W2319" s="297">
        <v>26758</v>
      </c>
      <c r="X2319" s="296">
        <v>3.0000000000000001E-3</v>
      </c>
    </row>
    <row r="2320" spans="13:24">
      <c r="M2320">
        <v>2318</v>
      </c>
      <c r="N2320">
        <v>27023</v>
      </c>
      <c r="O2320" t="s">
        <v>1773</v>
      </c>
      <c r="P2320" t="s">
        <v>138</v>
      </c>
      <c r="Q2320">
        <v>575</v>
      </c>
      <c r="R2320" s="296">
        <v>0</v>
      </c>
      <c r="S2320" s="296">
        <v>0.98099999999999998</v>
      </c>
      <c r="T2320" s="297">
        <v>5398</v>
      </c>
      <c r="U2320" s="340">
        <v>133939</v>
      </c>
      <c r="V2320" s="340">
        <v>466756</v>
      </c>
      <c r="W2320" s="297">
        <v>13837</v>
      </c>
      <c r="X2320" s="296">
        <v>8.9999999999999993E-3</v>
      </c>
    </row>
    <row r="2321" spans="13:24">
      <c r="M2321">
        <v>2319</v>
      </c>
      <c r="N2321">
        <v>53555</v>
      </c>
      <c r="O2321" t="s">
        <v>1868</v>
      </c>
      <c r="P2321" t="s">
        <v>149</v>
      </c>
      <c r="Q2321">
        <v>121</v>
      </c>
      <c r="R2321" s="296">
        <v>0</v>
      </c>
      <c r="S2321" s="296">
        <v>0.98099999999999998</v>
      </c>
      <c r="T2321" s="297">
        <v>3562</v>
      </c>
      <c r="U2321" s="340">
        <v>133868</v>
      </c>
      <c r="V2321" s="340">
        <v>434800</v>
      </c>
      <c r="W2321" s="297">
        <v>8623</v>
      </c>
      <c r="X2321" s="296">
        <v>3.0000000000000001E-3</v>
      </c>
    </row>
    <row r="2322" spans="13:24">
      <c r="M2322">
        <v>2320</v>
      </c>
      <c r="N2322">
        <v>20707</v>
      </c>
      <c r="O2322" t="s">
        <v>1869</v>
      </c>
      <c r="P2322" t="s">
        <v>137</v>
      </c>
      <c r="Q2322">
        <v>609</v>
      </c>
      <c r="R2322" s="296">
        <v>0</v>
      </c>
      <c r="S2322" s="296">
        <v>0.98099999999999998</v>
      </c>
      <c r="T2322" s="297">
        <v>15195</v>
      </c>
      <c r="U2322" s="340">
        <v>133858</v>
      </c>
      <c r="V2322" s="340">
        <v>554826</v>
      </c>
      <c r="W2322" s="297">
        <v>38160</v>
      </c>
      <c r="X2322" s="296">
        <v>0</v>
      </c>
    </row>
    <row r="2323" spans="13:24">
      <c r="M2323">
        <v>2321</v>
      </c>
      <c r="N2323">
        <v>33037</v>
      </c>
      <c r="O2323" t="s">
        <v>1870</v>
      </c>
      <c r="P2323" t="s">
        <v>127</v>
      </c>
      <c r="Q2323">
        <v>1251</v>
      </c>
      <c r="R2323" s="296">
        <v>0</v>
      </c>
      <c r="S2323" s="296">
        <v>0.98099999999999998</v>
      </c>
      <c r="T2323" s="297">
        <v>6351</v>
      </c>
      <c r="U2323" s="340">
        <v>133853</v>
      </c>
      <c r="V2323" s="340">
        <v>937533</v>
      </c>
      <c r="W2323" s="297">
        <v>14055</v>
      </c>
      <c r="X2323" s="296">
        <v>6.0000000000000001E-3</v>
      </c>
    </row>
    <row r="2324" spans="13:24">
      <c r="M2324">
        <v>2322</v>
      </c>
      <c r="N2324">
        <v>8753</v>
      </c>
      <c r="O2324" t="s">
        <v>1871</v>
      </c>
      <c r="P2324" t="s">
        <v>129</v>
      </c>
      <c r="Q2324">
        <v>725</v>
      </c>
      <c r="R2324" s="296">
        <v>0</v>
      </c>
      <c r="S2324" s="296">
        <v>0.98099999999999998</v>
      </c>
      <c r="T2324" s="297">
        <v>25286</v>
      </c>
      <c r="U2324" s="340">
        <v>133835</v>
      </c>
      <c r="V2324" s="340">
        <v>537113</v>
      </c>
      <c r="W2324" s="297">
        <v>65963</v>
      </c>
      <c r="X2324" s="296">
        <v>6.0000000000000001E-3</v>
      </c>
    </row>
    <row r="2325" spans="13:24">
      <c r="M2325">
        <v>2323</v>
      </c>
      <c r="N2325">
        <v>33325</v>
      </c>
      <c r="O2325" t="s">
        <v>506</v>
      </c>
      <c r="P2325" t="s">
        <v>127</v>
      </c>
      <c r="Q2325">
        <v>1186</v>
      </c>
      <c r="R2325" s="296">
        <v>0</v>
      </c>
      <c r="S2325" s="296">
        <v>0.98099999999999998</v>
      </c>
      <c r="T2325" s="297">
        <v>10570</v>
      </c>
      <c r="U2325" s="340">
        <v>133757</v>
      </c>
      <c r="V2325" s="340">
        <v>519843</v>
      </c>
      <c r="W2325" s="297">
        <v>30897</v>
      </c>
      <c r="X2325" s="296">
        <v>1E-3</v>
      </c>
    </row>
    <row r="2326" spans="13:24">
      <c r="M2326">
        <v>2324</v>
      </c>
      <c r="N2326">
        <v>78723</v>
      </c>
      <c r="O2326" t="s">
        <v>416</v>
      </c>
      <c r="P2326" t="s">
        <v>134</v>
      </c>
      <c r="Q2326">
        <v>985</v>
      </c>
      <c r="R2326" s="296">
        <v>0</v>
      </c>
      <c r="S2326" s="296">
        <v>0.98099999999999998</v>
      </c>
      <c r="T2326" s="297">
        <v>16421</v>
      </c>
      <c r="U2326" s="340">
        <v>133713</v>
      </c>
      <c r="V2326" s="340">
        <v>661558</v>
      </c>
      <c r="W2326" s="297">
        <v>38042</v>
      </c>
      <c r="X2326" s="296">
        <v>2.3E-2</v>
      </c>
    </row>
    <row r="2327" spans="13:24">
      <c r="M2327">
        <v>2325</v>
      </c>
      <c r="N2327">
        <v>60935</v>
      </c>
      <c r="O2327" t="s">
        <v>423</v>
      </c>
      <c r="P2327" t="s">
        <v>131</v>
      </c>
      <c r="Q2327">
        <v>71</v>
      </c>
      <c r="R2327" s="296">
        <v>0</v>
      </c>
      <c r="S2327" s="296">
        <v>0.98099999999999998</v>
      </c>
      <c r="T2327">
        <v>379</v>
      </c>
      <c r="U2327" s="340">
        <v>133621</v>
      </c>
      <c r="V2327" s="340">
        <v>274330</v>
      </c>
      <c r="W2327" s="297">
        <v>1039</v>
      </c>
      <c r="X2327" s="296">
        <v>-1.4E-2</v>
      </c>
    </row>
    <row r="2328" spans="13:24">
      <c r="M2328">
        <v>2326</v>
      </c>
      <c r="N2328">
        <v>81507</v>
      </c>
      <c r="O2328" t="s">
        <v>1491</v>
      </c>
      <c r="P2328" t="s">
        <v>142</v>
      </c>
      <c r="Q2328">
        <v>1112</v>
      </c>
      <c r="R2328" s="296">
        <v>0</v>
      </c>
      <c r="S2328" s="296">
        <v>0.98109999999999997</v>
      </c>
      <c r="T2328" s="297">
        <v>6807</v>
      </c>
      <c r="U2328" s="340">
        <v>133568</v>
      </c>
      <c r="V2328" s="340">
        <v>591706</v>
      </c>
      <c r="W2328" s="297">
        <v>16493</v>
      </c>
      <c r="X2328" s="296">
        <v>6.0000000000000001E-3</v>
      </c>
    </row>
    <row r="2329" spans="13:24">
      <c r="M2329">
        <v>2327</v>
      </c>
      <c r="N2329">
        <v>92612</v>
      </c>
      <c r="O2329" t="s">
        <v>305</v>
      </c>
      <c r="P2329" t="s">
        <v>132</v>
      </c>
      <c r="Q2329">
        <v>1729</v>
      </c>
      <c r="R2329" s="296">
        <v>0</v>
      </c>
      <c r="S2329" s="296">
        <v>0.98109999999999997</v>
      </c>
      <c r="T2329" s="297">
        <v>15064</v>
      </c>
      <c r="U2329" s="340">
        <v>133212</v>
      </c>
      <c r="V2329" s="340">
        <v>1214000</v>
      </c>
      <c r="W2329" s="297">
        <v>33024</v>
      </c>
      <c r="X2329" s="296">
        <v>0.01</v>
      </c>
    </row>
    <row r="2330" spans="13:24">
      <c r="M2330">
        <v>2328</v>
      </c>
      <c r="N2330">
        <v>85233</v>
      </c>
      <c r="O2330" t="s">
        <v>655</v>
      </c>
      <c r="P2330" t="s">
        <v>158</v>
      </c>
      <c r="Q2330">
        <v>1440</v>
      </c>
      <c r="R2330" s="296">
        <v>0</v>
      </c>
      <c r="S2330" s="296">
        <v>0.98109999999999997</v>
      </c>
      <c r="T2330" s="297">
        <v>15313</v>
      </c>
      <c r="U2330" s="340">
        <v>133192</v>
      </c>
      <c r="V2330" s="340">
        <v>557432</v>
      </c>
      <c r="W2330" s="297">
        <v>39742</v>
      </c>
      <c r="X2330" s="296">
        <v>-2E-3</v>
      </c>
    </row>
    <row r="2331" spans="13:24">
      <c r="M2331">
        <v>2329</v>
      </c>
      <c r="N2331">
        <v>33579</v>
      </c>
      <c r="O2331" t="s">
        <v>777</v>
      </c>
      <c r="P2331" t="s">
        <v>127</v>
      </c>
      <c r="Q2331">
        <v>1039</v>
      </c>
      <c r="R2331" s="296">
        <v>0</v>
      </c>
      <c r="S2331" s="296">
        <v>0.98109999999999997</v>
      </c>
      <c r="T2331" s="297">
        <v>16814</v>
      </c>
      <c r="U2331" s="340">
        <v>133058</v>
      </c>
      <c r="V2331" s="340">
        <v>446127</v>
      </c>
      <c r="W2331" s="297">
        <v>53341</v>
      </c>
      <c r="X2331" s="296">
        <v>4.2999999999999997E-2</v>
      </c>
    </row>
    <row r="2332" spans="13:24">
      <c r="M2332">
        <v>2330</v>
      </c>
      <c r="N2332">
        <v>44024</v>
      </c>
      <c r="O2332" t="s">
        <v>1872</v>
      </c>
      <c r="P2332" t="s">
        <v>136</v>
      </c>
      <c r="Q2332">
        <v>342</v>
      </c>
      <c r="R2332" s="296">
        <v>0</v>
      </c>
      <c r="S2332" s="296">
        <v>0.98109999999999997</v>
      </c>
      <c r="T2332" s="297">
        <v>9404</v>
      </c>
      <c r="U2332" s="340">
        <v>133028</v>
      </c>
      <c r="V2332" s="340">
        <v>349352</v>
      </c>
      <c r="W2332" s="297">
        <v>23828</v>
      </c>
      <c r="X2332" s="296">
        <v>1E-3</v>
      </c>
    </row>
    <row r="2333" spans="13:24">
      <c r="M2333">
        <v>2331</v>
      </c>
      <c r="N2333">
        <v>27927</v>
      </c>
      <c r="O2333" t="s">
        <v>1873</v>
      </c>
      <c r="P2333" t="s">
        <v>138</v>
      </c>
      <c r="Q2333">
        <v>751</v>
      </c>
      <c r="R2333" s="296">
        <v>0</v>
      </c>
      <c r="S2333" s="296">
        <v>0.98109999999999997</v>
      </c>
      <c r="T2333">
        <v>765</v>
      </c>
      <c r="U2333" s="340">
        <v>132624</v>
      </c>
      <c r="V2333" s="340">
        <v>597382</v>
      </c>
      <c r="W2333" s="297">
        <v>1609</v>
      </c>
      <c r="X2333" s="296">
        <v>2.4E-2</v>
      </c>
    </row>
    <row r="2334" spans="13:24">
      <c r="M2334">
        <v>2332</v>
      </c>
      <c r="N2334">
        <v>37075</v>
      </c>
      <c r="O2334" t="s">
        <v>1874</v>
      </c>
      <c r="P2334" t="s">
        <v>146</v>
      </c>
      <c r="Q2334">
        <v>406</v>
      </c>
      <c r="R2334" s="296">
        <v>0</v>
      </c>
      <c r="S2334" s="296">
        <v>0.98109999999999997</v>
      </c>
      <c r="T2334" s="297">
        <v>28397</v>
      </c>
      <c r="U2334" s="340">
        <v>132484</v>
      </c>
      <c r="V2334" s="340">
        <v>516179</v>
      </c>
      <c r="W2334" s="297">
        <v>75014</v>
      </c>
      <c r="X2334" s="296">
        <v>1.2999999999999999E-2</v>
      </c>
    </row>
    <row r="2335" spans="13:24">
      <c r="M2335">
        <v>2333</v>
      </c>
      <c r="N2335">
        <v>48820</v>
      </c>
      <c r="O2335" t="s">
        <v>1875</v>
      </c>
      <c r="P2335" t="s">
        <v>140</v>
      </c>
      <c r="Q2335">
        <v>170</v>
      </c>
      <c r="R2335" s="296">
        <v>0</v>
      </c>
      <c r="S2335" s="296">
        <v>0.98109999999999997</v>
      </c>
      <c r="T2335" s="297">
        <v>7028</v>
      </c>
      <c r="U2335" s="340">
        <v>132241</v>
      </c>
      <c r="V2335" s="340">
        <v>340827</v>
      </c>
      <c r="W2335" s="297">
        <v>18257</v>
      </c>
      <c r="X2335" s="296">
        <v>4.0000000000000001E-3</v>
      </c>
    </row>
    <row r="2336" spans="13:24">
      <c r="M2336">
        <v>2334</v>
      </c>
      <c r="N2336">
        <v>45419</v>
      </c>
      <c r="O2336" t="s">
        <v>767</v>
      </c>
      <c r="P2336" t="s">
        <v>136</v>
      </c>
      <c r="Q2336">
        <v>253</v>
      </c>
      <c r="R2336" s="296">
        <v>0</v>
      </c>
      <c r="S2336" s="296">
        <v>0.98119999999999996</v>
      </c>
      <c r="T2336" s="297">
        <v>7125</v>
      </c>
      <c r="U2336" s="340">
        <v>132229</v>
      </c>
      <c r="V2336" s="340">
        <v>298582</v>
      </c>
      <c r="W2336" s="297">
        <v>16140</v>
      </c>
      <c r="X2336" s="296">
        <v>-4.0000000000000001E-3</v>
      </c>
    </row>
    <row r="2337" spans="13:24">
      <c r="M2337">
        <v>2335</v>
      </c>
      <c r="N2337">
        <v>27104</v>
      </c>
      <c r="O2337" t="s">
        <v>828</v>
      </c>
      <c r="P2337" t="s">
        <v>138</v>
      </c>
      <c r="Q2337">
        <v>579</v>
      </c>
      <c r="R2337" s="296">
        <v>0</v>
      </c>
      <c r="S2337" s="296">
        <v>0.98119999999999996</v>
      </c>
      <c r="T2337" s="297">
        <v>14090</v>
      </c>
      <c r="U2337" s="340">
        <v>132138</v>
      </c>
      <c r="V2337" s="340">
        <v>439766</v>
      </c>
      <c r="W2337" s="297">
        <v>30836</v>
      </c>
      <c r="X2337" s="296">
        <v>3.0000000000000001E-3</v>
      </c>
    </row>
    <row r="2338" spans="13:24">
      <c r="M2338">
        <v>2336</v>
      </c>
      <c r="N2338">
        <v>80926</v>
      </c>
      <c r="O2338" t="s">
        <v>740</v>
      </c>
      <c r="P2338" t="s">
        <v>142</v>
      </c>
      <c r="Q2338">
        <v>930</v>
      </c>
      <c r="R2338" s="296">
        <v>0</v>
      </c>
      <c r="S2338" s="296">
        <v>0.98119999999999996</v>
      </c>
      <c r="T2338">
        <v>594</v>
      </c>
      <c r="U2338" s="340">
        <v>132118</v>
      </c>
      <c r="V2338" s="340">
        <v>628955</v>
      </c>
      <c r="W2338" s="297">
        <v>1556</v>
      </c>
      <c r="X2338" s="296">
        <v>1.4999999999999999E-2</v>
      </c>
    </row>
    <row r="2339" spans="13:24">
      <c r="M2339">
        <v>2337</v>
      </c>
      <c r="N2339">
        <v>48072</v>
      </c>
      <c r="O2339" t="s">
        <v>537</v>
      </c>
      <c r="P2339" t="s">
        <v>140</v>
      </c>
      <c r="Q2339">
        <v>236</v>
      </c>
      <c r="R2339" s="296">
        <v>0</v>
      </c>
      <c r="S2339" s="296">
        <v>0.98119999999999996</v>
      </c>
      <c r="T2339" s="297">
        <v>6822</v>
      </c>
      <c r="U2339" s="340">
        <v>132068</v>
      </c>
      <c r="V2339" s="340">
        <v>345889</v>
      </c>
      <c r="W2339" s="297">
        <v>15025</v>
      </c>
      <c r="X2339" s="296">
        <v>-3.0000000000000001E-3</v>
      </c>
    </row>
    <row r="2340" spans="13:24">
      <c r="M2340">
        <v>2338</v>
      </c>
      <c r="N2340">
        <v>49654</v>
      </c>
      <c r="O2340" t="s">
        <v>1610</v>
      </c>
      <c r="P2340" t="s">
        <v>140</v>
      </c>
      <c r="Q2340">
        <v>224</v>
      </c>
      <c r="R2340" s="296">
        <v>0</v>
      </c>
      <c r="S2340" s="296">
        <v>0.98119999999999996</v>
      </c>
      <c r="T2340">
        <v>333</v>
      </c>
      <c r="U2340" s="340">
        <v>132067</v>
      </c>
      <c r="V2340" s="340">
        <v>767516</v>
      </c>
      <c r="W2340">
        <v>713</v>
      </c>
      <c r="X2340" s="296">
        <v>8.0000000000000002E-3</v>
      </c>
    </row>
    <row r="2341" spans="13:24">
      <c r="M2341">
        <v>2339</v>
      </c>
      <c r="N2341">
        <v>33708</v>
      </c>
      <c r="O2341" t="s">
        <v>782</v>
      </c>
      <c r="P2341" t="s">
        <v>127</v>
      </c>
      <c r="Q2341">
        <v>1029</v>
      </c>
      <c r="R2341" s="296">
        <v>0</v>
      </c>
      <c r="S2341" s="296">
        <v>0.98119999999999996</v>
      </c>
      <c r="T2341" s="297">
        <v>8439</v>
      </c>
      <c r="U2341" s="340">
        <v>131956</v>
      </c>
      <c r="V2341" s="340">
        <v>656312</v>
      </c>
      <c r="W2341" s="297">
        <v>15776</v>
      </c>
      <c r="X2341" s="296">
        <v>-4.0000000000000001E-3</v>
      </c>
    </row>
    <row r="2342" spans="13:24">
      <c r="M2342">
        <v>2340</v>
      </c>
      <c r="N2342">
        <v>59716</v>
      </c>
      <c r="O2342" t="s">
        <v>1876</v>
      </c>
      <c r="P2342" t="s">
        <v>190</v>
      </c>
      <c r="Q2342">
        <v>1193</v>
      </c>
      <c r="R2342" s="296">
        <v>0</v>
      </c>
      <c r="S2342" s="296">
        <v>0.98119999999999996</v>
      </c>
      <c r="T2342" s="297">
        <v>1188</v>
      </c>
      <c r="U2342" s="340">
        <v>131750</v>
      </c>
      <c r="V2342" s="340">
        <v>1004473</v>
      </c>
      <c r="W2342" s="297">
        <v>2942</v>
      </c>
      <c r="X2342" s="296">
        <v>2.3E-2</v>
      </c>
    </row>
    <row r="2343" spans="13:24">
      <c r="M2343">
        <v>2341</v>
      </c>
      <c r="N2343">
        <v>80241</v>
      </c>
      <c r="O2343" t="s">
        <v>787</v>
      </c>
      <c r="P2343" t="s">
        <v>142</v>
      </c>
      <c r="Q2343">
        <v>908</v>
      </c>
      <c r="R2343" s="296">
        <v>0</v>
      </c>
      <c r="S2343" s="296">
        <v>0.98119999999999996</v>
      </c>
      <c r="T2343" s="297">
        <v>13053</v>
      </c>
      <c r="U2343" s="340">
        <v>131654</v>
      </c>
      <c r="V2343" s="340">
        <v>609422</v>
      </c>
      <c r="W2343" s="297">
        <v>34327</v>
      </c>
      <c r="X2343" s="296">
        <v>1E-3</v>
      </c>
    </row>
    <row r="2344" spans="13:24">
      <c r="M2344">
        <v>2342</v>
      </c>
      <c r="N2344">
        <v>36572</v>
      </c>
      <c r="O2344" t="s">
        <v>1877</v>
      </c>
      <c r="P2344" t="s">
        <v>154</v>
      </c>
      <c r="Q2344">
        <v>781</v>
      </c>
      <c r="R2344" s="296">
        <v>0</v>
      </c>
      <c r="S2344" s="296">
        <v>0.98129999999999995</v>
      </c>
      <c r="T2344" s="297">
        <v>2673</v>
      </c>
      <c r="U2344" s="340">
        <v>131510</v>
      </c>
      <c r="V2344" s="340">
        <v>257436</v>
      </c>
      <c r="W2344" s="297">
        <v>6922</v>
      </c>
      <c r="X2344" s="296">
        <v>-1E-3</v>
      </c>
    </row>
    <row r="2345" spans="13:24">
      <c r="M2345">
        <v>2343</v>
      </c>
      <c r="N2345">
        <v>30087</v>
      </c>
      <c r="O2345" t="s">
        <v>1878</v>
      </c>
      <c r="P2345" t="s">
        <v>130</v>
      </c>
      <c r="Q2345">
        <v>609</v>
      </c>
      <c r="R2345" s="296">
        <v>0</v>
      </c>
      <c r="S2345" s="296">
        <v>0.98129999999999995</v>
      </c>
      <c r="T2345" s="297">
        <v>13646</v>
      </c>
      <c r="U2345" s="340">
        <v>131423</v>
      </c>
      <c r="V2345" s="340">
        <v>407188</v>
      </c>
      <c r="W2345" s="297">
        <v>38415</v>
      </c>
      <c r="X2345" s="296">
        <v>-4.0000000000000001E-3</v>
      </c>
    </row>
    <row r="2346" spans="13:24">
      <c r="M2346">
        <v>2344</v>
      </c>
      <c r="N2346">
        <v>92555</v>
      </c>
      <c r="O2346" t="s">
        <v>1372</v>
      </c>
      <c r="P2346" t="s">
        <v>132</v>
      </c>
      <c r="Q2346">
        <v>1687</v>
      </c>
      <c r="R2346" s="296">
        <v>0</v>
      </c>
      <c r="S2346" s="296">
        <v>0.98129999999999995</v>
      </c>
      <c r="T2346" s="297">
        <v>12802</v>
      </c>
      <c r="U2346" s="340">
        <v>131395</v>
      </c>
      <c r="V2346" s="340">
        <v>586109</v>
      </c>
      <c r="W2346" s="297">
        <v>46965</v>
      </c>
      <c r="X2346" s="296">
        <v>8.0000000000000002E-3</v>
      </c>
    </row>
    <row r="2347" spans="13:24">
      <c r="M2347">
        <v>2345</v>
      </c>
      <c r="N2347">
        <v>27012</v>
      </c>
      <c r="O2347" t="s">
        <v>1879</v>
      </c>
      <c r="P2347" t="s">
        <v>138</v>
      </c>
      <c r="Q2347">
        <v>581</v>
      </c>
      <c r="R2347" s="296">
        <v>0</v>
      </c>
      <c r="S2347" s="296">
        <v>0.98129999999999995</v>
      </c>
      <c r="T2347" s="297">
        <v>12428</v>
      </c>
      <c r="U2347" s="340">
        <v>131315</v>
      </c>
      <c r="V2347" s="340">
        <v>367625</v>
      </c>
      <c r="W2347" s="297">
        <v>31475</v>
      </c>
      <c r="X2347" s="296">
        <v>1.0999999999999999E-2</v>
      </c>
    </row>
    <row r="2348" spans="13:24">
      <c r="M2348">
        <v>2346</v>
      </c>
      <c r="N2348">
        <v>92110</v>
      </c>
      <c r="O2348" t="s">
        <v>316</v>
      </c>
      <c r="P2348" t="s">
        <v>132</v>
      </c>
      <c r="Q2348">
        <v>1728</v>
      </c>
      <c r="R2348" s="296">
        <v>0</v>
      </c>
      <c r="S2348" s="296">
        <v>0.98129999999999995</v>
      </c>
      <c r="T2348" s="297">
        <v>11620</v>
      </c>
      <c r="U2348" s="340">
        <v>131281</v>
      </c>
      <c r="V2348" s="340">
        <v>1048676</v>
      </c>
      <c r="W2348" s="297">
        <v>30249</v>
      </c>
      <c r="X2348" s="296">
        <v>-1E-3</v>
      </c>
    </row>
    <row r="2349" spans="13:24">
      <c r="M2349">
        <v>2347</v>
      </c>
      <c r="N2349">
        <v>18969</v>
      </c>
      <c r="O2349" t="s">
        <v>1880</v>
      </c>
      <c r="P2349" t="s">
        <v>133</v>
      </c>
      <c r="Q2349">
        <v>658</v>
      </c>
      <c r="R2349" s="296">
        <v>0</v>
      </c>
      <c r="S2349" s="296">
        <v>0.98129999999999995</v>
      </c>
      <c r="T2349" s="297">
        <v>6235</v>
      </c>
      <c r="U2349" s="340">
        <v>131176</v>
      </c>
      <c r="V2349" s="340">
        <v>489980</v>
      </c>
      <c r="W2349" s="297">
        <v>15793</v>
      </c>
      <c r="X2349" s="296">
        <v>-2E-3</v>
      </c>
    </row>
    <row r="2350" spans="13:24">
      <c r="M2350">
        <v>2348</v>
      </c>
      <c r="N2350">
        <v>87501</v>
      </c>
      <c r="O2350" t="s">
        <v>1442</v>
      </c>
      <c r="P2350" t="s">
        <v>200</v>
      </c>
      <c r="Q2350">
        <v>1072</v>
      </c>
      <c r="R2350" s="296">
        <v>0</v>
      </c>
      <c r="S2350" s="296">
        <v>0.98129999999999995</v>
      </c>
      <c r="T2350" s="297">
        <v>8097</v>
      </c>
      <c r="U2350" s="340">
        <v>131059</v>
      </c>
      <c r="V2350" s="340">
        <v>855281</v>
      </c>
      <c r="W2350" s="297">
        <v>14985</v>
      </c>
      <c r="X2350" s="296">
        <v>3.0000000000000001E-3</v>
      </c>
    </row>
    <row r="2351" spans="13:24">
      <c r="M2351">
        <v>2349</v>
      </c>
      <c r="N2351">
        <v>44131</v>
      </c>
      <c r="O2351" t="s">
        <v>1581</v>
      </c>
      <c r="P2351" t="s">
        <v>136</v>
      </c>
      <c r="Q2351">
        <v>320</v>
      </c>
      <c r="R2351" s="296">
        <v>0</v>
      </c>
      <c r="S2351" s="296">
        <v>0.98129999999999995</v>
      </c>
      <c r="T2351" s="297">
        <v>8632</v>
      </c>
      <c r="U2351" s="340">
        <v>130962</v>
      </c>
      <c r="V2351" s="340">
        <v>313327</v>
      </c>
      <c r="W2351" s="297">
        <v>20634</v>
      </c>
      <c r="X2351" s="296">
        <v>-1E-3</v>
      </c>
    </row>
    <row r="2352" spans="13:24">
      <c r="M2352">
        <v>2350</v>
      </c>
      <c r="N2352">
        <v>80004</v>
      </c>
      <c r="O2352" t="s">
        <v>1881</v>
      </c>
      <c r="P2352" t="s">
        <v>142</v>
      </c>
      <c r="Q2352">
        <v>916</v>
      </c>
      <c r="R2352" s="296">
        <v>0</v>
      </c>
      <c r="S2352" s="296">
        <v>0.98140000000000005</v>
      </c>
      <c r="T2352" s="297">
        <v>14794</v>
      </c>
      <c r="U2352" s="340">
        <v>130952</v>
      </c>
      <c r="V2352" s="340">
        <v>699304</v>
      </c>
      <c r="W2352" s="297">
        <v>36185</v>
      </c>
      <c r="X2352" s="296">
        <v>-3.0000000000000001E-3</v>
      </c>
    </row>
    <row r="2353" spans="13:24">
      <c r="M2353">
        <v>2351</v>
      </c>
      <c r="N2353">
        <v>30542</v>
      </c>
      <c r="O2353" t="s">
        <v>1882</v>
      </c>
      <c r="P2353" t="s">
        <v>130</v>
      </c>
      <c r="Q2353">
        <v>589</v>
      </c>
      <c r="R2353" s="296">
        <v>0</v>
      </c>
      <c r="S2353" s="296">
        <v>0.98140000000000005</v>
      </c>
      <c r="T2353" s="297">
        <v>16024</v>
      </c>
      <c r="U2353" s="340">
        <v>130641</v>
      </c>
      <c r="V2353" s="340">
        <v>453056</v>
      </c>
      <c r="W2353" s="297">
        <v>44503</v>
      </c>
      <c r="X2353" s="296">
        <v>3.6999999999999998E-2</v>
      </c>
    </row>
    <row r="2354" spans="13:24">
      <c r="M2354">
        <v>2352</v>
      </c>
      <c r="N2354">
        <v>41075</v>
      </c>
      <c r="O2354" t="s">
        <v>1883</v>
      </c>
      <c r="P2354" t="s">
        <v>143</v>
      </c>
      <c r="Q2354">
        <v>275</v>
      </c>
      <c r="R2354" s="296">
        <v>0</v>
      </c>
      <c r="S2354" s="296">
        <v>0.98140000000000005</v>
      </c>
      <c r="T2354" s="297">
        <v>6974</v>
      </c>
      <c r="U2354" s="340">
        <v>130567</v>
      </c>
      <c r="V2354" s="340">
        <v>371884</v>
      </c>
      <c r="W2354" s="297">
        <v>17109</v>
      </c>
      <c r="X2354" s="296">
        <v>-4.0000000000000001E-3</v>
      </c>
    </row>
    <row r="2355" spans="13:24">
      <c r="M2355">
        <v>2353</v>
      </c>
      <c r="N2355">
        <v>62285</v>
      </c>
      <c r="O2355" t="s">
        <v>1884</v>
      </c>
      <c r="P2355" t="s">
        <v>131</v>
      </c>
      <c r="Q2355">
        <v>282</v>
      </c>
      <c r="R2355" s="296">
        <v>0</v>
      </c>
      <c r="S2355" s="296">
        <v>0.98140000000000005</v>
      </c>
      <c r="T2355" s="297">
        <v>1749</v>
      </c>
      <c r="U2355" s="340">
        <v>130539</v>
      </c>
      <c r="V2355" s="340">
        <v>307427</v>
      </c>
      <c r="W2355" s="297">
        <v>4458</v>
      </c>
      <c r="X2355" s="296">
        <v>-0.01</v>
      </c>
    </row>
    <row r="2356" spans="13:24">
      <c r="M2356">
        <v>2354</v>
      </c>
      <c r="N2356">
        <v>77096</v>
      </c>
      <c r="O2356" t="s">
        <v>314</v>
      </c>
      <c r="P2356" t="s">
        <v>134</v>
      </c>
      <c r="Q2356">
        <v>962</v>
      </c>
      <c r="R2356" s="296">
        <v>0</v>
      </c>
      <c r="S2356" s="296">
        <v>0.98140000000000005</v>
      </c>
      <c r="T2356" s="297">
        <v>14398</v>
      </c>
      <c r="U2356" s="340">
        <v>130535</v>
      </c>
      <c r="V2356" s="340">
        <v>468962</v>
      </c>
      <c r="W2356" s="297">
        <v>35753</v>
      </c>
      <c r="X2356" s="296">
        <v>0</v>
      </c>
    </row>
    <row r="2357" spans="13:24">
      <c r="M2357">
        <v>2355</v>
      </c>
      <c r="N2357">
        <v>98372</v>
      </c>
      <c r="O2357" t="s">
        <v>1462</v>
      </c>
      <c r="P2357" t="s">
        <v>224</v>
      </c>
      <c r="Q2357">
        <v>1715</v>
      </c>
      <c r="R2357" s="296">
        <v>0</v>
      </c>
      <c r="S2357" s="296">
        <v>0.98140000000000005</v>
      </c>
      <c r="T2357" s="297">
        <v>11373</v>
      </c>
      <c r="U2357" s="340">
        <v>130519</v>
      </c>
      <c r="V2357" s="340">
        <v>649594</v>
      </c>
      <c r="W2357" s="297">
        <v>28571</v>
      </c>
      <c r="X2357" s="296">
        <v>1.2E-2</v>
      </c>
    </row>
    <row r="2358" spans="13:24">
      <c r="M2358">
        <v>2356</v>
      </c>
      <c r="N2358">
        <v>5403</v>
      </c>
      <c r="O2358" t="s">
        <v>1885</v>
      </c>
      <c r="P2358" t="s">
        <v>222</v>
      </c>
      <c r="Q2358">
        <v>751</v>
      </c>
      <c r="R2358" s="296">
        <v>0</v>
      </c>
      <c r="S2358" s="296">
        <v>0.98140000000000005</v>
      </c>
      <c r="T2358" s="297">
        <v>9366</v>
      </c>
      <c r="U2358" s="340">
        <v>130438</v>
      </c>
      <c r="V2358" s="340">
        <v>505259</v>
      </c>
      <c r="W2358" s="297">
        <v>20738</v>
      </c>
      <c r="X2358" s="296">
        <v>0.01</v>
      </c>
    </row>
    <row r="2359" spans="13:24">
      <c r="M2359">
        <v>2357</v>
      </c>
      <c r="N2359">
        <v>95758</v>
      </c>
      <c r="O2359" t="s">
        <v>1886</v>
      </c>
      <c r="P2359" t="s">
        <v>132</v>
      </c>
      <c r="Q2359">
        <v>1781</v>
      </c>
      <c r="R2359" s="296">
        <v>0</v>
      </c>
      <c r="S2359" s="296">
        <v>0.98140000000000005</v>
      </c>
      <c r="T2359" s="297">
        <v>21846</v>
      </c>
      <c r="U2359" s="340">
        <v>130413</v>
      </c>
      <c r="V2359" s="340">
        <v>604859</v>
      </c>
      <c r="W2359" s="297">
        <v>65387</v>
      </c>
      <c r="X2359" s="296">
        <v>3.0000000000000001E-3</v>
      </c>
    </row>
    <row r="2360" spans="13:24">
      <c r="M2360">
        <v>2358</v>
      </c>
      <c r="N2360">
        <v>14086</v>
      </c>
      <c r="O2360" t="s">
        <v>803</v>
      </c>
      <c r="P2360" t="s">
        <v>128</v>
      </c>
      <c r="Q2360">
        <v>467</v>
      </c>
      <c r="R2360" s="296">
        <v>0</v>
      </c>
      <c r="S2360" s="296">
        <v>0.98150000000000004</v>
      </c>
      <c r="T2360" s="297">
        <v>14203</v>
      </c>
      <c r="U2360" s="340">
        <v>130276</v>
      </c>
      <c r="V2360" s="340">
        <v>359933</v>
      </c>
      <c r="W2360" s="297">
        <v>34919</v>
      </c>
      <c r="X2360" s="296">
        <v>-2E-3</v>
      </c>
    </row>
    <row r="2361" spans="13:24">
      <c r="M2361">
        <v>2359</v>
      </c>
      <c r="N2361">
        <v>19440</v>
      </c>
      <c r="O2361" t="s">
        <v>1887</v>
      </c>
      <c r="P2361" t="s">
        <v>133</v>
      </c>
      <c r="Q2361">
        <v>661</v>
      </c>
      <c r="R2361" s="296">
        <v>0</v>
      </c>
      <c r="S2361" s="296">
        <v>0.98150000000000004</v>
      </c>
      <c r="T2361" s="297">
        <v>7966</v>
      </c>
      <c r="U2361" s="340">
        <v>130199</v>
      </c>
      <c r="V2361" s="340">
        <v>462939</v>
      </c>
      <c r="W2361" s="297">
        <v>20685</v>
      </c>
      <c r="X2361" s="296">
        <v>8.0000000000000002E-3</v>
      </c>
    </row>
    <row r="2362" spans="13:24">
      <c r="M2362">
        <v>2360</v>
      </c>
      <c r="N2362">
        <v>51561</v>
      </c>
      <c r="O2362" t="s">
        <v>1888</v>
      </c>
      <c r="P2362" t="s">
        <v>170</v>
      </c>
      <c r="Q2362">
        <v>422</v>
      </c>
      <c r="R2362" s="296">
        <v>0</v>
      </c>
      <c r="S2362" s="296">
        <v>0.98150000000000004</v>
      </c>
      <c r="T2362">
        <v>419</v>
      </c>
      <c r="U2362" s="340">
        <v>130139</v>
      </c>
      <c r="V2362" s="340">
        <v>461698</v>
      </c>
      <c r="W2362" s="297">
        <v>1062</v>
      </c>
      <c r="X2362" s="296">
        <v>1.9E-2</v>
      </c>
    </row>
    <row r="2363" spans="13:24">
      <c r="M2363">
        <v>2361</v>
      </c>
      <c r="N2363">
        <v>44028</v>
      </c>
      <c r="O2363" t="s">
        <v>1889</v>
      </c>
      <c r="P2363" t="s">
        <v>136</v>
      </c>
      <c r="Q2363">
        <v>307</v>
      </c>
      <c r="R2363" s="296">
        <v>0</v>
      </c>
      <c r="S2363" s="296">
        <v>0.98150000000000004</v>
      </c>
      <c r="T2363" s="297">
        <v>3941</v>
      </c>
      <c r="U2363" s="340">
        <v>130132</v>
      </c>
      <c r="V2363" s="340">
        <v>394039</v>
      </c>
      <c r="W2363" s="297">
        <v>10067</v>
      </c>
      <c r="X2363" s="296">
        <v>2.3E-2</v>
      </c>
    </row>
    <row r="2364" spans="13:24">
      <c r="M2364">
        <v>2362</v>
      </c>
      <c r="N2364">
        <v>30114</v>
      </c>
      <c r="O2364" t="s">
        <v>383</v>
      </c>
      <c r="P2364" t="s">
        <v>130</v>
      </c>
      <c r="Q2364">
        <v>574</v>
      </c>
      <c r="R2364" s="296">
        <v>0</v>
      </c>
      <c r="S2364" s="296">
        <v>0.98150000000000004</v>
      </c>
      <c r="T2364" s="297">
        <v>23465</v>
      </c>
      <c r="U2364" s="340">
        <v>129972</v>
      </c>
      <c r="V2364" s="340">
        <v>497907</v>
      </c>
      <c r="W2364" s="297">
        <v>66017</v>
      </c>
      <c r="X2364" s="296">
        <v>2.7E-2</v>
      </c>
    </row>
    <row r="2365" spans="13:24">
      <c r="M2365">
        <v>2363</v>
      </c>
      <c r="N2365">
        <v>11429</v>
      </c>
      <c r="O2365" t="s">
        <v>1890</v>
      </c>
      <c r="P2365" t="s">
        <v>128</v>
      </c>
      <c r="Q2365">
        <v>734</v>
      </c>
      <c r="R2365" s="296">
        <v>0</v>
      </c>
      <c r="S2365" s="296">
        <v>0.98150000000000004</v>
      </c>
      <c r="T2365" s="297">
        <v>7416</v>
      </c>
      <c r="U2365" s="340">
        <v>129960</v>
      </c>
      <c r="V2365" s="340">
        <v>652308</v>
      </c>
      <c r="W2365" s="297">
        <v>24941</v>
      </c>
      <c r="X2365" s="296">
        <v>-0.01</v>
      </c>
    </row>
    <row r="2366" spans="13:24">
      <c r="M2366">
        <v>2364</v>
      </c>
      <c r="N2366">
        <v>54947</v>
      </c>
      <c r="O2366" t="s">
        <v>1891</v>
      </c>
      <c r="P2366" t="s">
        <v>149</v>
      </c>
      <c r="Q2366">
        <v>149</v>
      </c>
      <c r="R2366" s="296">
        <v>0</v>
      </c>
      <c r="S2366" s="296">
        <v>0.98150000000000004</v>
      </c>
      <c r="T2366" s="297">
        <v>1091</v>
      </c>
      <c r="U2366" s="340">
        <v>129948</v>
      </c>
      <c r="V2366" s="340">
        <v>368769</v>
      </c>
      <c r="W2366" s="297">
        <v>2638</v>
      </c>
      <c r="X2366" s="296">
        <v>0</v>
      </c>
    </row>
    <row r="2367" spans="13:24">
      <c r="M2367">
        <v>2365</v>
      </c>
      <c r="N2367">
        <v>44136</v>
      </c>
      <c r="O2367" t="s">
        <v>1803</v>
      </c>
      <c r="P2367" t="s">
        <v>136</v>
      </c>
      <c r="Q2367">
        <v>313</v>
      </c>
      <c r="R2367" s="296">
        <v>0</v>
      </c>
      <c r="S2367" s="296">
        <v>0.98150000000000004</v>
      </c>
      <c r="T2367" s="297">
        <v>10396</v>
      </c>
      <c r="U2367" s="340">
        <v>129945</v>
      </c>
      <c r="V2367" s="340">
        <v>292670</v>
      </c>
      <c r="W2367" s="297">
        <v>25004</v>
      </c>
      <c r="X2367" s="296">
        <v>-7.0000000000000001E-3</v>
      </c>
    </row>
    <row r="2368" spans="13:24">
      <c r="M2368">
        <v>2366</v>
      </c>
      <c r="N2368">
        <v>61816</v>
      </c>
      <c r="O2368" t="s">
        <v>1892</v>
      </c>
      <c r="P2368" t="s">
        <v>131</v>
      </c>
      <c r="Q2368">
        <v>155</v>
      </c>
      <c r="R2368" s="296">
        <v>0</v>
      </c>
      <c r="S2368" s="296">
        <v>0.98160000000000003</v>
      </c>
      <c r="T2368">
        <v>179</v>
      </c>
      <c r="U2368" s="340">
        <v>129896</v>
      </c>
      <c r="V2368" s="340">
        <v>292857</v>
      </c>
      <c r="W2368">
        <v>424</v>
      </c>
      <c r="X2368" s="296">
        <v>-1.9E-2</v>
      </c>
    </row>
    <row r="2369" spans="13:24">
      <c r="M2369">
        <v>2367</v>
      </c>
      <c r="N2369">
        <v>23188</v>
      </c>
      <c r="O2369" t="s">
        <v>1861</v>
      </c>
      <c r="P2369" t="s">
        <v>139</v>
      </c>
      <c r="Q2369">
        <v>673</v>
      </c>
      <c r="R2369" s="296">
        <v>0</v>
      </c>
      <c r="S2369" s="296">
        <v>0.98160000000000003</v>
      </c>
      <c r="T2369" s="297">
        <v>20737</v>
      </c>
      <c r="U2369" s="340">
        <v>129771</v>
      </c>
      <c r="V2369" s="340">
        <v>505015</v>
      </c>
      <c r="W2369" s="297">
        <v>49665</v>
      </c>
      <c r="X2369" s="296">
        <v>1.6E-2</v>
      </c>
    </row>
    <row r="2370" spans="13:24">
      <c r="M2370">
        <v>2368</v>
      </c>
      <c r="N2370">
        <v>6510</v>
      </c>
      <c r="O2370" t="s">
        <v>465</v>
      </c>
      <c r="P2370" t="s">
        <v>141</v>
      </c>
      <c r="Q2370">
        <v>768</v>
      </c>
      <c r="R2370" s="296">
        <v>0</v>
      </c>
      <c r="S2370" s="296">
        <v>0.98160000000000003</v>
      </c>
      <c r="T2370" s="297">
        <v>2935</v>
      </c>
      <c r="U2370" s="340">
        <v>129751</v>
      </c>
      <c r="V2370" s="340">
        <v>440091</v>
      </c>
      <c r="W2370" s="297">
        <v>4798</v>
      </c>
      <c r="X2370" s="296">
        <v>0.03</v>
      </c>
    </row>
    <row r="2371" spans="13:24">
      <c r="M2371">
        <v>2369</v>
      </c>
      <c r="N2371">
        <v>49315</v>
      </c>
      <c r="O2371" t="s">
        <v>1893</v>
      </c>
      <c r="P2371" t="s">
        <v>140</v>
      </c>
      <c r="Q2371">
        <v>114</v>
      </c>
      <c r="R2371" s="296">
        <v>0</v>
      </c>
      <c r="S2371" s="296">
        <v>0.98160000000000003</v>
      </c>
      <c r="T2371" s="297">
        <v>9739</v>
      </c>
      <c r="U2371" s="340">
        <v>129748</v>
      </c>
      <c r="V2371" s="340">
        <v>423694</v>
      </c>
      <c r="W2371" s="297">
        <v>27174</v>
      </c>
      <c r="X2371" s="296">
        <v>8.0000000000000002E-3</v>
      </c>
    </row>
    <row r="2372" spans="13:24">
      <c r="M2372">
        <v>2370</v>
      </c>
      <c r="N2372">
        <v>98367</v>
      </c>
      <c r="O2372" t="s">
        <v>762</v>
      </c>
      <c r="P2372" t="s">
        <v>224</v>
      </c>
      <c r="Q2372">
        <v>1734</v>
      </c>
      <c r="R2372" s="296">
        <v>0</v>
      </c>
      <c r="S2372" s="296">
        <v>0.98160000000000003</v>
      </c>
      <c r="T2372" s="297">
        <v>11962</v>
      </c>
      <c r="U2372" s="340">
        <v>129726</v>
      </c>
      <c r="V2372" s="340">
        <v>637288</v>
      </c>
      <c r="W2372" s="297">
        <v>32506</v>
      </c>
      <c r="X2372" s="296">
        <v>1.4E-2</v>
      </c>
    </row>
    <row r="2373" spans="13:24">
      <c r="M2373">
        <v>2371</v>
      </c>
      <c r="N2373">
        <v>48356</v>
      </c>
      <c r="O2373" t="s">
        <v>727</v>
      </c>
      <c r="P2373" t="s">
        <v>140</v>
      </c>
      <c r="Q2373">
        <v>217</v>
      </c>
      <c r="R2373" s="296">
        <v>0</v>
      </c>
      <c r="S2373" s="296">
        <v>0.98160000000000003</v>
      </c>
      <c r="T2373" s="297">
        <v>3347</v>
      </c>
      <c r="U2373" s="340">
        <v>129711</v>
      </c>
      <c r="V2373" s="340">
        <v>451448</v>
      </c>
      <c r="W2373" s="297">
        <v>8231</v>
      </c>
      <c r="X2373" s="296">
        <v>-4.0000000000000001E-3</v>
      </c>
    </row>
    <row r="2374" spans="13:24">
      <c r="M2374">
        <v>2372</v>
      </c>
      <c r="N2374">
        <v>15108</v>
      </c>
      <c r="O2374" t="s">
        <v>1894</v>
      </c>
      <c r="P2374" t="s">
        <v>133</v>
      </c>
      <c r="Q2374">
        <v>410</v>
      </c>
      <c r="R2374" s="296">
        <v>0</v>
      </c>
      <c r="S2374" s="296">
        <v>0.98160000000000003</v>
      </c>
      <c r="T2374" s="297">
        <v>17301</v>
      </c>
      <c r="U2374" s="340">
        <v>129513</v>
      </c>
      <c r="V2374" s="340">
        <v>357514</v>
      </c>
      <c r="W2374" s="297">
        <v>43063</v>
      </c>
      <c r="X2374" s="296">
        <v>-2E-3</v>
      </c>
    </row>
    <row r="2375" spans="13:24">
      <c r="M2375">
        <v>2373</v>
      </c>
      <c r="N2375">
        <v>32080</v>
      </c>
      <c r="O2375" t="s">
        <v>1834</v>
      </c>
      <c r="P2375" t="s">
        <v>127</v>
      </c>
      <c r="Q2375">
        <v>926</v>
      </c>
      <c r="R2375" s="296">
        <v>0</v>
      </c>
      <c r="S2375" s="296">
        <v>0.98160000000000003</v>
      </c>
      <c r="T2375" s="297">
        <v>11123</v>
      </c>
      <c r="U2375" s="340">
        <v>129445</v>
      </c>
      <c r="V2375" s="340">
        <v>725272</v>
      </c>
      <c r="W2375" s="297">
        <v>22872</v>
      </c>
      <c r="X2375" s="296">
        <v>1.0999999999999999E-2</v>
      </c>
    </row>
    <row r="2376" spans="13:24">
      <c r="M2376">
        <v>2374</v>
      </c>
      <c r="N2376">
        <v>23056</v>
      </c>
      <c r="O2376" t="s">
        <v>551</v>
      </c>
      <c r="P2376" t="s">
        <v>139</v>
      </c>
      <c r="Q2376">
        <v>687</v>
      </c>
      <c r="R2376" s="296">
        <v>0</v>
      </c>
      <c r="S2376" s="296">
        <v>0.98170000000000002</v>
      </c>
      <c r="T2376">
        <v>19</v>
      </c>
      <c r="U2376" s="340">
        <v>129156</v>
      </c>
      <c r="V2376" s="340">
        <v>691071</v>
      </c>
      <c r="W2376">
        <v>86</v>
      </c>
      <c r="X2376" s="296">
        <v>-4.3999999999999997E-2</v>
      </c>
    </row>
    <row r="2377" spans="13:24">
      <c r="M2377">
        <v>2375</v>
      </c>
      <c r="N2377">
        <v>35802</v>
      </c>
      <c r="O2377" t="s">
        <v>565</v>
      </c>
      <c r="P2377" t="s">
        <v>154</v>
      </c>
      <c r="Q2377">
        <v>521</v>
      </c>
      <c r="R2377" s="296">
        <v>0</v>
      </c>
      <c r="S2377" s="296">
        <v>0.98170000000000002</v>
      </c>
      <c r="T2377" s="297">
        <v>11186</v>
      </c>
      <c r="U2377" s="340">
        <v>129120</v>
      </c>
      <c r="V2377" s="340">
        <v>429596</v>
      </c>
      <c r="W2377" s="297">
        <v>24022</v>
      </c>
      <c r="X2377" s="296">
        <v>7.0000000000000001E-3</v>
      </c>
    </row>
    <row r="2378" spans="13:24">
      <c r="M2378">
        <v>2376</v>
      </c>
      <c r="N2378">
        <v>33040</v>
      </c>
      <c r="O2378" t="s">
        <v>1895</v>
      </c>
      <c r="P2378" t="s">
        <v>127</v>
      </c>
      <c r="Q2378">
        <v>1263</v>
      </c>
      <c r="R2378" s="296">
        <v>0</v>
      </c>
      <c r="S2378" s="296">
        <v>0.98170000000000002</v>
      </c>
      <c r="T2378" s="297">
        <v>15253</v>
      </c>
      <c r="U2378" s="340">
        <v>129058</v>
      </c>
      <c r="V2378" s="340">
        <v>911669</v>
      </c>
      <c r="W2378" s="297">
        <v>35688</v>
      </c>
      <c r="X2378" s="296">
        <v>-2E-3</v>
      </c>
    </row>
    <row r="2379" spans="13:24">
      <c r="M2379">
        <v>2377</v>
      </c>
      <c r="N2379">
        <v>80237</v>
      </c>
      <c r="O2379" t="s">
        <v>330</v>
      </c>
      <c r="P2379" t="s">
        <v>142</v>
      </c>
      <c r="Q2379">
        <v>909</v>
      </c>
      <c r="R2379" s="296">
        <v>0</v>
      </c>
      <c r="S2379" s="296">
        <v>0.98170000000000002</v>
      </c>
      <c r="T2379" s="297">
        <v>12382</v>
      </c>
      <c r="U2379" s="340">
        <v>129036</v>
      </c>
      <c r="V2379" s="340">
        <v>676899</v>
      </c>
      <c r="W2379" s="297">
        <v>24600</v>
      </c>
      <c r="X2379" s="296">
        <v>1.0999999999999999E-2</v>
      </c>
    </row>
    <row r="2380" spans="13:24">
      <c r="M2380">
        <v>2378</v>
      </c>
      <c r="N2380">
        <v>76002</v>
      </c>
      <c r="O2380" t="s">
        <v>403</v>
      </c>
      <c r="P2380" t="s">
        <v>134</v>
      </c>
      <c r="Q2380">
        <v>832</v>
      </c>
      <c r="R2380" s="296">
        <v>0</v>
      </c>
      <c r="S2380" s="296">
        <v>0.98170000000000002</v>
      </c>
      <c r="T2380" s="297">
        <v>11119</v>
      </c>
      <c r="U2380" s="340">
        <v>129028</v>
      </c>
      <c r="V2380" s="340">
        <v>373783</v>
      </c>
      <c r="W2380" s="297">
        <v>38004</v>
      </c>
      <c r="X2380" s="296">
        <v>1.6E-2</v>
      </c>
    </row>
    <row r="2381" spans="13:24">
      <c r="M2381">
        <v>2379</v>
      </c>
      <c r="N2381">
        <v>52317</v>
      </c>
      <c r="O2381" t="s">
        <v>1896</v>
      </c>
      <c r="P2381" t="s">
        <v>170</v>
      </c>
      <c r="Q2381">
        <v>199</v>
      </c>
      <c r="R2381" s="296">
        <v>0</v>
      </c>
      <c r="S2381" s="296">
        <v>0.98170000000000002</v>
      </c>
      <c r="T2381" s="297">
        <v>8855</v>
      </c>
      <c r="U2381" s="340">
        <v>128944</v>
      </c>
      <c r="V2381" s="340">
        <v>383690</v>
      </c>
      <c r="W2381" s="297">
        <v>23020</v>
      </c>
      <c r="X2381" s="296">
        <v>1.2E-2</v>
      </c>
    </row>
    <row r="2382" spans="13:24">
      <c r="M2382">
        <v>2380</v>
      </c>
      <c r="N2382">
        <v>92882</v>
      </c>
      <c r="O2382" t="s">
        <v>634</v>
      </c>
      <c r="P2382" t="s">
        <v>132</v>
      </c>
      <c r="Q2382">
        <v>1712</v>
      </c>
      <c r="R2382" s="296">
        <v>0</v>
      </c>
      <c r="S2382" s="296">
        <v>0.98170000000000002</v>
      </c>
      <c r="T2382" s="297">
        <v>20602</v>
      </c>
      <c r="U2382" s="340">
        <v>128554</v>
      </c>
      <c r="V2382" s="340">
        <v>656058</v>
      </c>
      <c r="W2382" s="297">
        <v>67457</v>
      </c>
      <c r="X2382" s="296">
        <v>-2E-3</v>
      </c>
    </row>
    <row r="2383" spans="13:24">
      <c r="M2383">
        <v>2381</v>
      </c>
      <c r="N2383">
        <v>53532</v>
      </c>
      <c r="O2383" t="s">
        <v>1897</v>
      </c>
      <c r="P2383" t="s">
        <v>149</v>
      </c>
      <c r="Q2383">
        <v>110</v>
      </c>
      <c r="R2383" s="296">
        <v>0</v>
      </c>
      <c r="S2383" s="296">
        <v>0.98170000000000002</v>
      </c>
      <c r="T2383" s="297">
        <v>6741</v>
      </c>
      <c r="U2383" s="340">
        <v>128489</v>
      </c>
      <c r="V2383" s="340">
        <v>418854</v>
      </c>
      <c r="W2383" s="297">
        <v>17547</v>
      </c>
      <c r="X2383" s="296">
        <v>1.4E-2</v>
      </c>
    </row>
    <row r="2384" spans="13:24">
      <c r="M2384">
        <v>2382</v>
      </c>
      <c r="N2384">
        <v>52720</v>
      </c>
      <c r="O2384" t="s">
        <v>1898</v>
      </c>
      <c r="P2384" t="s">
        <v>170</v>
      </c>
      <c r="Q2384">
        <v>178</v>
      </c>
      <c r="R2384" s="296">
        <v>0</v>
      </c>
      <c r="S2384" s="296">
        <v>0.98180000000000001</v>
      </c>
      <c r="T2384">
        <v>358</v>
      </c>
      <c r="U2384" s="340">
        <v>128348</v>
      </c>
      <c r="V2384" s="340">
        <v>222704</v>
      </c>
      <c r="W2384">
        <v>854</v>
      </c>
      <c r="X2384" s="296">
        <v>-3.0000000000000001E-3</v>
      </c>
    </row>
    <row r="2385" spans="13:24">
      <c r="M2385">
        <v>2383</v>
      </c>
      <c r="N2385">
        <v>11364</v>
      </c>
      <c r="O2385" t="s">
        <v>503</v>
      </c>
      <c r="P2385" t="s">
        <v>128</v>
      </c>
      <c r="Q2385">
        <v>732</v>
      </c>
      <c r="R2385" s="296">
        <v>0</v>
      </c>
      <c r="S2385" s="296">
        <v>0.98180000000000001</v>
      </c>
      <c r="T2385" s="297">
        <v>13139</v>
      </c>
      <c r="U2385" s="340">
        <v>128267</v>
      </c>
      <c r="V2385" s="340">
        <v>729390</v>
      </c>
      <c r="W2385" s="297">
        <v>34461</v>
      </c>
      <c r="X2385" s="296">
        <v>-1.0999999999999999E-2</v>
      </c>
    </row>
    <row r="2386" spans="13:24">
      <c r="M2386">
        <v>2384</v>
      </c>
      <c r="N2386">
        <v>92706</v>
      </c>
      <c r="O2386" t="s">
        <v>1750</v>
      </c>
      <c r="P2386" t="s">
        <v>132</v>
      </c>
      <c r="Q2386">
        <v>1728</v>
      </c>
      <c r="R2386" s="296">
        <v>0</v>
      </c>
      <c r="S2386" s="296">
        <v>0.98180000000000001</v>
      </c>
      <c r="T2386" s="297">
        <v>9247</v>
      </c>
      <c r="U2386" s="340">
        <v>128235</v>
      </c>
      <c r="V2386" s="340">
        <v>1001881</v>
      </c>
      <c r="W2386" s="297">
        <v>32831</v>
      </c>
      <c r="X2386" s="296">
        <v>-7.0000000000000001E-3</v>
      </c>
    </row>
    <row r="2387" spans="13:24">
      <c r="M2387">
        <v>2385</v>
      </c>
      <c r="N2387">
        <v>97045</v>
      </c>
      <c r="O2387" t="s">
        <v>1899</v>
      </c>
      <c r="P2387" t="s">
        <v>207</v>
      </c>
      <c r="Q2387">
        <v>1736</v>
      </c>
      <c r="R2387" s="296">
        <v>0</v>
      </c>
      <c r="S2387" s="296">
        <v>0.98180000000000001</v>
      </c>
      <c r="T2387" s="297">
        <v>21655</v>
      </c>
      <c r="U2387" s="340">
        <v>128089</v>
      </c>
      <c r="V2387" s="340">
        <v>678976</v>
      </c>
      <c r="W2387" s="297">
        <v>58205</v>
      </c>
      <c r="X2387" s="296">
        <v>3.0000000000000001E-3</v>
      </c>
    </row>
    <row r="2388" spans="13:24">
      <c r="M2388">
        <v>2386</v>
      </c>
      <c r="N2388">
        <v>7828</v>
      </c>
      <c r="O2388" t="s">
        <v>1900</v>
      </c>
      <c r="P2388" t="s">
        <v>129</v>
      </c>
      <c r="Q2388">
        <v>679</v>
      </c>
      <c r="R2388" s="296">
        <v>0</v>
      </c>
      <c r="S2388" s="296">
        <v>0.98180000000000001</v>
      </c>
      <c r="T2388" s="297">
        <v>5944</v>
      </c>
      <c r="U2388" s="340">
        <v>128074</v>
      </c>
      <c r="V2388" s="340">
        <v>535574</v>
      </c>
      <c r="W2388" s="297">
        <v>14616</v>
      </c>
      <c r="X2388" s="296">
        <v>8.9999999999999993E-3</v>
      </c>
    </row>
    <row r="2389" spans="13:24">
      <c r="M2389">
        <v>2387</v>
      </c>
      <c r="N2389">
        <v>2891</v>
      </c>
      <c r="O2389" t="s">
        <v>1901</v>
      </c>
      <c r="P2389" t="s">
        <v>212</v>
      </c>
      <c r="Q2389">
        <v>825</v>
      </c>
      <c r="R2389" s="296">
        <v>0</v>
      </c>
      <c r="S2389" s="296">
        <v>0.98180000000000001</v>
      </c>
      <c r="T2389" s="297">
        <v>9826</v>
      </c>
      <c r="U2389" s="340">
        <v>128047</v>
      </c>
      <c r="V2389" s="340">
        <v>618120</v>
      </c>
      <c r="W2389" s="297">
        <v>21796</v>
      </c>
      <c r="X2389" s="296">
        <v>-1E-3</v>
      </c>
    </row>
    <row r="2390" spans="13:24">
      <c r="M2390">
        <v>2388</v>
      </c>
      <c r="N2390">
        <v>67002</v>
      </c>
      <c r="O2390" t="s">
        <v>388</v>
      </c>
      <c r="P2390" t="s">
        <v>176</v>
      </c>
      <c r="Q2390">
        <v>581</v>
      </c>
      <c r="R2390" s="296">
        <v>0</v>
      </c>
      <c r="S2390" s="296">
        <v>0.98180000000000001</v>
      </c>
      <c r="T2390" s="297">
        <v>5926</v>
      </c>
      <c r="U2390" s="340">
        <v>128035</v>
      </c>
      <c r="V2390" s="340">
        <v>297069</v>
      </c>
      <c r="W2390" s="297">
        <v>17409</v>
      </c>
      <c r="X2390" s="296">
        <v>1.2E-2</v>
      </c>
    </row>
    <row r="2391" spans="13:24">
      <c r="M2391">
        <v>2389</v>
      </c>
      <c r="N2391">
        <v>47143</v>
      </c>
      <c r="O2391" t="s">
        <v>678</v>
      </c>
      <c r="P2391" t="s">
        <v>144</v>
      </c>
      <c r="Q2391">
        <v>275</v>
      </c>
      <c r="R2391" s="296">
        <v>0</v>
      </c>
      <c r="S2391" s="296">
        <v>0.98180000000000001</v>
      </c>
      <c r="T2391" s="297">
        <v>1484</v>
      </c>
      <c r="U2391" s="340">
        <v>127981</v>
      </c>
      <c r="V2391" s="340">
        <v>299684</v>
      </c>
      <c r="W2391" s="297">
        <v>4073</v>
      </c>
      <c r="X2391" s="296">
        <v>0.01</v>
      </c>
    </row>
    <row r="2392" spans="13:24">
      <c r="M2392">
        <v>2390</v>
      </c>
      <c r="N2392">
        <v>80615</v>
      </c>
      <c r="O2392" t="s">
        <v>1902</v>
      </c>
      <c r="P2392" t="s">
        <v>142</v>
      </c>
      <c r="Q2392">
        <v>880</v>
      </c>
      <c r="R2392" s="296">
        <v>0</v>
      </c>
      <c r="S2392" s="296">
        <v>0.9819</v>
      </c>
      <c r="T2392" s="297">
        <v>3775</v>
      </c>
      <c r="U2392" s="340">
        <v>127874</v>
      </c>
      <c r="V2392" s="340">
        <v>590264</v>
      </c>
      <c r="W2392" s="297">
        <v>10548</v>
      </c>
      <c r="X2392" s="296">
        <v>2.3E-2</v>
      </c>
    </row>
    <row r="2393" spans="13:24">
      <c r="M2393">
        <v>2391</v>
      </c>
      <c r="N2393">
        <v>43212</v>
      </c>
      <c r="O2393" t="s">
        <v>468</v>
      </c>
      <c r="P2393" t="s">
        <v>136</v>
      </c>
      <c r="Q2393">
        <v>289</v>
      </c>
      <c r="R2393" s="296">
        <v>0</v>
      </c>
      <c r="S2393" s="296">
        <v>0.9819</v>
      </c>
      <c r="T2393" s="297">
        <v>13987</v>
      </c>
      <c r="U2393" s="340">
        <v>127874</v>
      </c>
      <c r="V2393" s="340">
        <v>524651</v>
      </c>
      <c r="W2393" s="297">
        <v>24737</v>
      </c>
      <c r="X2393" s="296">
        <v>1.2999999999999999E-2</v>
      </c>
    </row>
    <row r="2394" spans="13:24">
      <c r="M2394">
        <v>2392</v>
      </c>
      <c r="N2394">
        <v>43015</v>
      </c>
      <c r="O2394" t="s">
        <v>165</v>
      </c>
      <c r="P2394" t="s">
        <v>136</v>
      </c>
      <c r="Q2394">
        <v>277</v>
      </c>
      <c r="R2394" s="296">
        <v>0</v>
      </c>
      <c r="S2394" s="296">
        <v>0.9819</v>
      </c>
      <c r="T2394" s="297">
        <v>24160</v>
      </c>
      <c r="U2394" s="340">
        <v>127824</v>
      </c>
      <c r="V2394" s="340">
        <v>429525</v>
      </c>
      <c r="W2394" s="297">
        <v>64482</v>
      </c>
      <c r="X2394" s="296">
        <v>2.7E-2</v>
      </c>
    </row>
    <row r="2395" spans="13:24">
      <c r="M2395">
        <v>2393</v>
      </c>
      <c r="N2395">
        <v>53523</v>
      </c>
      <c r="O2395" t="s">
        <v>323</v>
      </c>
      <c r="P2395" t="s">
        <v>149</v>
      </c>
      <c r="Q2395">
        <v>86</v>
      </c>
      <c r="R2395" s="296">
        <v>0</v>
      </c>
      <c r="S2395" s="296">
        <v>0.9819</v>
      </c>
      <c r="T2395" s="297">
        <v>2345</v>
      </c>
      <c r="U2395" s="340">
        <v>127805</v>
      </c>
      <c r="V2395" s="340">
        <v>441784</v>
      </c>
      <c r="W2395" s="297">
        <v>5553</v>
      </c>
      <c r="X2395" s="296">
        <v>0.01</v>
      </c>
    </row>
    <row r="2396" spans="13:24">
      <c r="M2396">
        <v>2394</v>
      </c>
      <c r="N2396">
        <v>25414</v>
      </c>
      <c r="O2396" t="s">
        <v>1903</v>
      </c>
      <c r="P2396" t="s">
        <v>227</v>
      </c>
      <c r="Q2396">
        <v>556</v>
      </c>
      <c r="R2396" s="296">
        <v>0</v>
      </c>
      <c r="S2396" s="296">
        <v>0.9819</v>
      </c>
      <c r="T2396" s="297">
        <v>8394</v>
      </c>
      <c r="U2396" s="340">
        <v>127662</v>
      </c>
      <c r="V2396" s="340">
        <v>376098</v>
      </c>
      <c r="W2396" s="297">
        <v>22156</v>
      </c>
      <c r="X2396" s="296">
        <v>1.9E-2</v>
      </c>
    </row>
    <row r="2397" spans="13:24">
      <c r="M2397">
        <v>2395</v>
      </c>
      <c r="N2397">
        <v>33455</v>
      </c>
      <c r="O2397" t="s">
        <v>1904</v>
      </c>
      <c r="P2397" t="s">
        <v>127</v>
      </c>
      <c r="Q2397">
        <v>1127</v>
      </c>
      <c r="R2397" s="296">
        <v>0</v>
      </c>
      <c r="S2397" s="296">
        <v>0.9819</v>
      </c>
      <c r="T2397" s="297">
        <v>9854</v>
      </c>
      <c r="U2397" s="340">
        <v>127648</v>
      </c>
      <c r="V2397" s="340">
        <v>571828</v>
      </c>
      <c r="W2397" s="297">
        <v>20744</v>
      </c>
      <c r="X2397" s="296">
        <v>-1E-3</v>
      </c>
    </row>
    <row r="2398" spans="13:24">
      <c r="M2398">
        <v>2396</v>
      </c>
      <c r="N2398">
        <v>1501</v>
      </c>
      <c r="O2398" t="s">
        <v>336</v>
      </c>
      <c r="P2398" t="s">
        <v>135</v>
      </c>
      <c r="Q2398">
        <v>815</v>
      </c>
      <c r="R2398" s="296">
        <v>0</v>
      </c>
      <c r="S2398" s="296">
        <v>0.9819</v>
      </c>
      <c r="T2398" s="297">
        <v>6778</v>
      </c>
      <c r="U2398" s="340">
        <v>127640</v>
      </c>
      <c r="V2398" s="340">
        <v>495083</v>
      </c>
      <c r="W2398" s="297">
        <v>16887</v>
      </c>
      <c r="X2398" s="296">
        <v>5.0000000000000001E-3</v>
      </c>
    </row>
    <row r="2399" spans="13:24">
      <c r="M2399">
        <v>2397</v>
      </c>
      <c r="N2399">
        <v>6339</v>
      </c>
      <c r="O2399" t="s">
        <v>664</v>
      </c>
      <c r="P2399" t="s">
        <v>141</v>
      </c>
      <c r="Q2399">
        <v>814</v>
      </c>
      <c r="R2399" s="296">
        <v>0</v>
      </c>
      <c r="S2399" s="296">
        <v>0.9819</v>
      </c>
      <c r="T2399" s="297">
        <v>3183</v>
      </c>
      <c r="U2399" s="340">
        <v>127606</v>
      </c>
      <c r="V2399" s="340">
        <v>354643</v>
      </c>
      <c r="W2399" s="297">
        <v>8220</v>
      </c>
      <c r="X2399" s="296">
        <v>3.0000000000000001E-3</v>
      </c>
    </row>
    <row r="2400" spans="13:24">
      <c r="M2400">
        <v>2398</v>
      </c>
      <c r="N2400">
        <v>19711</v>
      </c>
      <c r="O2400" t="s">
        <v>300</v>
      </c>
      <c r="P2400" t="s">
        <v>164</v>
      </c>
      <c r="Q2400">
        <v>651</v>
      </c>
      <c r="R2400" s="296">
        <v>0</v>
      </c>
      <c r="S2400" s="296">
        <v>0.98199999999999998</v>
      </c>
      <c r="T2400" s="297">
        <v>19787</v>
      </c>
      <c r="U2400" s="340">
        <v>127415</v>
      </c>
      <c r="V2400" s="340">
        <v>444268</v>
      </c>
      <c r="W2400" s="297">
        <v>51825</v>
      </c>
      <c r="X2400" s="296">
        <v>0</v>
      </c>
    </row>
    <row r="2401" spans="13:24">
      <c r="M2401">
        <v>2399</v>
      </c>
      <c r="N2401">
        <v>48346</v>
      </c>
      <c r="O2401" t="s">
        <v>620</v>
      </c>
      <c r="P2401" t="s">
        <v>140</v>
      </c>
      <c r="Q2401">
        <v>226</v>
      </c>
      <c r="R2401" s="296">
        <v>0</v>
      </c>
      <c r="S2401" s="296">
        <v>0.98199999999999998</v>
      </c>
      <c r="T2401" s="297">
        <v>9648</v>
      </c>
      <c r="U2401" s="340">
        <v>127234</v>
      </c>
      <c r="V2401" s="340">
        <v>387856</v>
      </c>
      <c r="W2401" s="297">
        <v>22728</v>
      </c>
      <c r="X2401" s="296">
        <v>-3.0000000000000001E-3</v>
      </c>
    </row>
    <row r="2402" spans="13:24">
      <c r="M2402">
        <v>2400</v>
      </c>
      <c r="N2402">
        <v>8724</v>
      </c>
      <c r="O2402" t="s">
        <v>1905</v>
      </c>
      <c r="P2402" t="s">
        <v>129</v>
      </c>
      <c r="Q2402">
        <v>725</v>
      </c>
      <c r="R2402" s="296">
        <v>0</v>
      </c>
      <c r="S2402" s="296">
        <v>0.98199999999999998</v>
      </c>
      <c r="T2402" s="297">
        <v>17508</v>
      </c>
      <c r="U2402" s="340">
        <v>127173</v>
      </c>
      <c r="V2402" s="340">
        <v>501415</v>
      </c>
      <c r="W2402" s="297">
        <v>42267</v>
      </c>
      <c r="X2402" s="296">
        <v>4.0000000000000001E-3</v>
      </c>
    </row>
    <row r="2403" spans="13:24">
      <c r="M2403">
        <v>2401</v>
      </c>
      <c r="N2403">
        <v>77583</v>
      </c>
      <c r="O2403" t="s">
        <v>1906</v>
      </c>
      <c r="P2403" t="s">
        <v>134</v>
      </c>
      <c r="Q2403">
        <v>978</v>
      </c>
      <c r="R2403" s="296">
        <v>0</v>
      </c>
      <c r="S2403" s="296">
        <v>0.98199999999999998</v>
      </c>
      <c r="T2403" s="297">
        <v>17458</v>
      </c>
      <c r="U2403" s="340">
        <v>127100</v>
      </c>
      <c r="V2403" s="340">
        <v>381307</v>
      </c>
      <c r="W2403" s="297">
        <v>61278</v>
      </c>
      <c r="X2403" s="296">
        <v>7.6999999999999999E-2</v>
      </c>
    </row>
    <row r="2404" spans="13:24">
      <c r="M2404">
        <v>2402</v>
      </c>
      <c r="N2404">
        <v>95356</v>
      </c>
      <c r="O2404" t="s">
        <v>1318</v>
      </c>
      <c r="P2404" t="s">
        <v>132</v>
      </c>
      <c r="Q2404">
        <v>1776</v>
      </c>
      <c r="R2404" s="296">
        <v>0</v>
      </c>
      <c r="S2404" s="296">
        <v>0.98199999999999998</v>
      </c>
      <c r="T2404" s="297">
        <v>12815</v>
      </c>
      <c r="U2404" s="340">
        <v>127019</v>
      </c>
      <c r="V2404" s="340">
        <v>596867</v>
      </c>
      <c r="W2404" s="297">
        <v>35668</v>
      </c>
      <c r="X2404" s="296">
        <v>8.9999999999999993E-3</v>
      </c>
    </row>
    <row r="2405" spans="13:24">
      <c r="M2405">
        <v>2403</v>
      </c>
      <c r="N2405">
        <v>74037</v>
      </c>
      <c r="O2405" t="s">
        <v>1907</v>
      </c>
      <c r="P2405" t="s">
        <v>205</v>
      </c>
      <c r="Q2405">
        <v>610</v>
      </c>
      <c r="R2405" s="296">
        <v>0</v>
      </c>
      <c r="S2405" s="296">
        <v>0.98199999999999998</v>
      </c>
      <c r="T2405" s="297">
        <v>8629</v>
      </c>
      <c r="U2405" s="340">
        <v>126964</v>
      </c>
      <c r="V2405" s="340">
        <v>374804</v>
      </c>
      <c r="W2405" s="297">
        <v>25296</v>
      </c>
      <c r="X2405" s="296">
        <v>1.4E-2</v>
      </c>
    </row>
    <row r="2406" spans="13:24">
      <c r="M2406">
        <v>2404</v>
      </c>
      <c r="N2406">
        <v>49087</v>
      </c>
      <c r="O2406" t="s">
        <v>1908</v>
      </c>
      <c r="P2406" t="s">
        <v>140</v>
      </c>
      <c r="Q2406">
        <v>109</v>
      </c>
      <c r="R2406" s="296">
        <v>0</v>
      </c>
      <c r="S2406" s="296">
        <v>0.98199999999999998</v>
      </c>
      <c r="T2406" s="297">
        <v>2287</v>
      </c>
      <c r="U2406" s="340">
        <v>126936</v>
      </c>
      <c r="V2406" s="340">
        <v>334258</v>
      </c>
      <c r="W2406" s="297">
        <v>6112</v>
      </c>
      <c r="X2406" s="296">
        <v>3.0000000000000001E-3</v>
      </c>
    </row>
    <row r="2407" spans="13:24">
      <c r="M2407">
        <v>2405</v>
      </c>
      <c r="N2407">
        <v>55431</v>
      </c>
      <c r="O2407" t="s">
        <v>576</v>
      </c>
      <c r="P2407" t="s">
        <v>151</v>
      </c>
      <c r="Q2407">
        <v>333</v>
      </c>
      <c r="R2407" s="296">
        <v>0</v>
      </c>
      <c r="S2407" s="296">
        <v>0.98199999999999998</v>
      </c>
      <c r="T2407" s="297">
        <v>8745</v>
      </c>
      <c r="U2407" s="340">
        <v>126813</v>
      </c>
      <c r="V2407" s="340">
        <v>424411</v>
      </c>
      <c r="W2407" s="297">
        <v>20261</v>
      </c>
      <c r="X2407" s="296">
        <v>0</v>
      </c>
    </row>
    <row r="2408" spans="13:24">
      <c r="M2408">
        <v>2406</v>
      </c>
      <c r="N2408">
        <v>55033</v>
      </c>
      <c r="O2408" t="s">
        <v>1909</v>
      </c>
      <c r="P2408" t="s">
        <v>151</v>
      </c>
      <c r="Q2408">
        <v>310</v>
      </c>
      <c r="R2408" s="296">
        <v>0</v>
      </c>
      <c r="S2408" s="296">
        <v>0.98209999999999997</v>
      </c>
      <c r="T2408" s="297">
        <v>11938</v>
      </c>
      <c r="U2408" s="340">
        <v>126783</v>
      </c>
      <c r="V2408" s="340">
        <v>413451</v>
      </c>
      <c r="W2408" s="297">
        <v>29964</v>
      </c>
      <c r="X2408" s="296">
        <v>3.0000000000000001E-3</v>
      </c>
    </row>
    <row r="2409" spans="13:24">
      <c r="M2409">
        <v>2407</v>
      </c>
      <c r="N2409">
        <v>30518</v>
      </c>
      <c r="O2409" t="s">
        <v>1447</v>
      </c>
      <c r="P2409" t="s">
        <v>130</v>
      </c>
      <c r="Q2409">
        <v>592</v>
      </c>
      <c r="R2409" s="296">
        <v>0</v>
      </c>
      <c r="S2409" s="296">
        <v>0.98209999999999997</v>
      </c>
      <c r="T2409" s="297">
        <v>20717</v>
      </c>
      <c r="U2409" s="340">
        <v>126756</v>
      </c>
      <c r="V2409" s="340">
        <v>463270</v>
      </c>
      <c r="W2409" s="297">
        <v>62510</v>
      </c>
      <c r="X2409" s="296">
        <v>2.3E-2</v>
      </c>
    </row>
    <row r="2410" spans="13:24">
      <c r="M2410">
        <v>2408</v>
      </c>
      <c r="N2410">
        <v>49460</v>
      </c>
      <c r="O2410" t="s">
        <v>1910</v>
      </c>
      <c r="P2410" t="s">
        <v>140</v>
      </c>
      <c r="Q2410">
        <v>99</v>
      </c>
      <c r="R2410" s="296">
        <v>0</v>
      </c>
      <c r="S2410" s="296">
        <v>0.98209999999999997</v>
      </c>
      <c r="T2410" s="297">
        <v>3519</v>
      </c>
      <c r="U2410" s="340">
        <v>126740</v>
      </c>
      <c r="V2410" s="340">
        <v>442904</v>
      </c>
      <c r="W2410" s="297">
        <v>9755</v>
      </c>
      <c r="X2410" s="296">
        <v>6.0000000000000001E-3</v>
      </c>
    </row>
    <row r="2411" spans="13:24">
      <c r="M2411">
        <v>2409</v>
      </c>
      <c r="N2411">
        <v>63132</v>
      </c>
      <c r="O2411" t="s">
        <v>536</v>
      </c>
      <c r="P2411" t="s">
        <v>186</v>
      </c>
      <c r="Q2411">
        <v>276</v>
      </c>
      <c r="R2411" s="296">
        <v>0</v>
      </c>
      <c r="S2411" s="296">
        <v>0.98209999999999997</v>
      </c>
      <c r="T2411" s="297">
        <v>5992</v>
      </c>
      <c r="U2411" s="340">
        <v>126676</v>
      </c>
      <c r="V2411" s="340">
        <v>465343</v>
      </c>
      <c r="W2411" s="297">
        <v>14396</v>
      </c>
      <c r="X2411" s="296">
        <v>-2E-3</v>
      </c>
    </row>
    <row r="2412" spans="13:24">
      <c r="M2412">
        <v>2410</v>
      </c>
      <c r="N2412">
        <v>1757</v>
      </c>
      <c r="O2412" t="s">
        <v>400</v>
      </c>
      <c r="P2412" t="s">
        <v>135</v>
      </c>
      <c r="Q2412">
        <v>832</v>
      </c>
      <c r="R2412" s="296">
        <v>0</v>
      </c>
      <c r="S2412" s="296">
        <v>0.98209999999999997</v>
      </c>
      <c r="T2412" s="297">
        <v>12076</v>
      </c>
      <c r="U2412" s="340">
        <v>126610</v>
      </c>
      <c r="V2412" s="340">
        <v>501233</v>
      </c>
      <c r="W2412" s="297">
        <v>31546</v>
      </c>
      <c r="X2412" s="296">
        <v>7.0000000000000001E-3</v>
      </c>
    </row>
    <row r="2413" spans="13:24">
      <c r="M2413">
        <v>2411</v>
      </c>
      <c r="N2413">
        <v>8081</v>
      </c>
      <c r="O2413" t="s">
        <v>1911</v>
      </c>
      <c r="P2413" t="s">
        <v>129</v>
      </c>
      <c r="Q2413">
        <v>688</v>
      </c>
      <c r="R2413" s="296">
        <v>0</v>
      </c>
      <c r="S2413" s="296">
        <v>0.98209999999999997</v>
      </c>
      <c r="T2413" s="297">
        <v>18117</v>
      </c>
      <c r="U2413" s="340">
        <v>126517</v>
      </c>
      <c r="V2413" s="340">
        <v>346036</v>
      </c>
      <c r="W2413" s="297">
        <v>51456</v>
      </c>
      <c r="X2413" s="296">
        <v>6.0000000000000001E-3</v>
      </c>
    </row>
    <row r="2414" spans="13:24">
      <c r="M2414">
        <v>2412</v>
      </c>
      <c r="N2414">
        <v>38632</v>
      </c>
      <c r="O2414" t="s">
        <v>1912</v>
      </c>
      <c r="P2414" t="s">
        <v>188</v>
      </c>
      <c r="Q2414">
        <v>521</v>
      </c>
      <c r="R2414" s="296">
        <v>0</v>
      </c>
      <c r="S2414" s="296">
        <v>0.98209999999999997</v>
      </c>
      <c r="T2414" s="297">
        <v>11444</v>
      </c>
      <c r="U2414" s="340">
        <v>126486</v>
      </c>
      <c r="V2414" s="340">
        <v>364421</v>
      </c>
      <c r="W2414" s="297">
        <v>31642</v>
      </c>
      <c r="X2414" s="296">
        <v>1.4E-2</v>
      </c>
    </row>
    <row r="2415" spans="13:24">
      <c r="M2415">
        <v>2413</v>
      </c>
      <c r="N2415">
        <v>66109</v>
      </c>
      <c r="O2415" t="s">
        <v>490</v>
      </c>
      <c r="P2415" t="s">
        <v>176</v>
      </c>
      <c r="Q2415">
        <v>421</v>
      </c>
      <c r="R2415" s="296">
        <v>0</v>
      </c>
      <c r="S2415" s="296">
        <v>0.98209999999999997</v>
      </c>
      <c r="T2415" s="297">
        <v>9737</v>
      </c>
      <c r="U2415" s="340">
        <v>126330</v>
      </c>
      <c r="V2415" s="340">
        <v>287618</v>
      </c>
      <c r="W2415" s="297">
        <v>26091</v>
      </c>
      <c r="X2415" s="296">
        <v>-3.0000000000000001E-3</v>
      </c>
    </row>
    <row r="2416" spans="13:24">
      <c r="M2416">
        <v>2414</v>
      </c>
      <c r="N2416">
        <v>10306</v>
      </c>
      <c r="O2416" t="s">
        <v>644</v>
      </c>
      <c r="P2416" t="s">
        <v>128</v>
      </c>
      <c r="Q2416">
        <v>716</v>
      </c>
      <c r="R2416" s="296">
        <v>0</v>
      </c>
      <c r="S2416" s="296">
        <v>0.98219999999999996</v>
      </c>
      <c r="T2416" s="297">
        <v>20777</v>
      </c>
      <c r="U2416" s="340">
        <v>126270</v>
      </c>
      <c r="V2416" s="340">
        <v>709716</v>
      </c>
      <c r="W2416" s="297">
        <v>57603</v>
      </c>
      <c r="X2416" s="296">
        <v>0</v>
      </c>
    </row>
    <row r="2417" spans="13:24">
      <c r="M2417">
        <v>2415</v>
      </c>
      <c r="N2417">
        <v>7660</v>
      </c>
      <c r="O2417" t="s">
        <v>1913</v>
      </c>
      <c r="P2417" t="s">
        <v>129</v>
      </c>
      <c r="Q2417">
        <v>717</v>
      </c>
      <c r="R2417" s="296">
        <v>0</v>
      </c>
      <c r="S2417" s="296">
        <v>0.98219999999999996</v>
      </c>
      <c r="T2417" s="297">
        <v>5046</v>
      </c>
      <c r="U2417" s="340">
        <v>126003</v>
      </c>
      <c r="V2417" s="340">
        <v>519951</v>
      </c>
      <c r="W2417" s="297">
        <v>13293</v>
      </c>
      <c r="X2417" s="296">
        <v>-1E-3</v>
      </c>
    </row>
    <row r="2418" spans="13:24">
      <c r="M2418">
        <v>2416</v>
      </c>
      <c r="N2418">
        <v>80216</v>
      </c>
      <c r="O2418" t="s">
        <v>330</v>
      </c>
      <c r="P2418" t="s">
        <v>142</v>
      </c>
      <c r="Q2418">
        <v>909</v>
      </c>
      <c r="R2418" s="296">
        <v>0</v>
      </c>
      <c r="S2418" s="296">
        <v>0.98219999999999996</v>
      </c>
      <c r="T2418" s="297">
        <v>8665</v>
      </c>
      <c r="U2418" s="340">
        <v>125887</v>
      </c>
      <c r="V2418" s="340">
        <v>521578</v>
      </c>
      <c r="W2418" s="297">
        <v>20398</v>
      </c>
      <c r="X2418" s="296">
        <v>3.5999999999999997E-2</v>
      </c>
    </row>
    <row r="2419" spans="13:24">
      <c r="M2419">
        <v>2417</v>
      </c>
      <c r="N2419">
        <v>77095</v>
      </c>
      <c r="O2419" t="s">
        <v>314</v>
      </c>
      <c r="P2419" t="s">
        <v>134</v>
      </c>
      <c r="Q2419">
        <v>952</v>
      </c>
      <c r="R2419" s="296">
        <v>0</v>
      </c>
      <c r="S2419" s="296">
        <v>0.98219999999999996</v>
      </c>
      <c r="T2419" s="297">
        <v>24680</v>
      </c>
      <c r="U2419" s="340">
        <v>125849</v>
      </c>
      <c r="V2419" s="340">
        <v>312770</v>
      </c>
      <c r="W2419" s="297">
        <v>70326</v>
      </c>
      <c r="X2419" s="296">
        <v>-5.0000000000000001E-3</v>
      </c>
    </row>
    <row r="2420" spans="13:24">
      <c r="M2420">
        <v>2418</v>
      </c>
      <c r="N2420">
        <v>37419</v>
      </c>
      <c r="O2420" t="s">
        <v>728</v>
      </c>
      <c r="P2420" t="s">
        <v>146</v>
      </c>
      <c r="Q2420">
        <v>507</v>
      </c>
      <c r="R2420" s="296">
        <v>0</v>
      </c>
      <c r="S2420" s="296">
        <v>0.98219999999999996</v>
      </c>
      <c r="T2420" s="297">
        <v>2882</v>
      </c>
      <c r="U2420" s="340">
        <v>125809</v>
      </c>
      <c r="V2420" s="340">
        <v>438248</v>
      </c>
      <c r="W2420" s="297">
        <v>6607</v>
      </c>
      <c r="X2420" s="296">
        <v>8.9999999999999993E-3</v>
      </c>
    </row>
    <row r="2421" spans="13:24">
      <c r="M2421">
        <v>2419</v>
      </c>
      <c r="N2421">
        <v>53086</v>
      </c>
      <c r="O2421" t="s">
        <v>1914</v>
      </c>
      <c r="P2421" t="s">
        <v>149</v>
      </c>
      <c r="Q2421">
        <v>85</v>
      </c>
      <c r="R2421" s="296">
        <v>0</v>
      </c>
      <c r="S2421" s="296">
        <v>0.98219999999999996</v>
      </c>
      <c r="T2421" s="297">
        <v>3596</v>
      </c>
      <c r="U2421" s="340">
        <v>125776</v>
      </c>
      <c r="V2421" s="340">
        <v>431349</v>
      </c>
      <c r="W2421" s="297">
        <v>9094</v>
      </c>
      <c r="X2421" s="296">
        <v>0.01</v>
      </c>
    </row>
    <row r="2422" spans="13:24">
      <c r="M2422">
        <v>2420</v>
      </c>
      <c r="N2422">
        <v>61748</v>
      </c>
      <c r="O2422" t="s">
        <v>425</v>
      </c>
      <c r="P2422" t="s">
        <v>131</v>
      </c>
      <c r="Q2422">
        <v>122</v>
      </c>
      <c r="R2422" s="296">
        <v>0</v>
      </c>
      <c r="S2422" s="296">
        <v>0.98219999999999996</v>
      </c>
      <c r="T2422" s="297">
        <v>1095</v>
      </c>
      <c r="U2422" s="340">
        <v>125474</v>
      </c>
      <c r="V2422" s="340">
        <v>267175</v>
      </c>
      <c r="W2422" s="297">
        <v>2721</v>
      </c>
      <c r="X2422" s="296">
        <v>0</v>
      </c>
    </row>
    <row r="2423" spans="13:24">
      <c r="M2423">
        <v>2421</v>
      </c>
      <c r="N2423">
        <v>62281</v>
      </c>
      <c r="O2423" t="s">
        <v>1915</v>
      </c>
      <c r="P2423" t="s">
        <v>131</v>
      </c>
      <c r="Q2423">
        <v>260</v>
      </c>
      <c r="R2423" s="296">
        <v>0</v>
      </c>
      <c r="S2423" s="296">
        <v>0.98219999999999996</v>
      </c>
      <c r="T2423" s="297">
        <v>1093</v>
      </c>
      <c r="U2423" s="340">
        <v>125468</v>
      </c>
      <c r="V2423" s="340">
        <v>295768</v>
      </c>
      <c r="W2423" s="297">
        <v>3000</v>
      </c>
      <c r="X2423" s="296">
        <v>-3.0000000000000001E-3</v>
      </c>
    </row>
    <row r="2424" spans="13:24">
      <c r="M2424">
        <v>2422</v>
      </c>
      <c r="N2424">
        <v>46256</v>
      </c>
      <c r="O2424" t="s">
        <v>561</v>
      </c>
      <c r="P2424" t="s">
        <v>144</v>
      </c>
      <c r="Q2424">
        <v>181</v>
      </c>
      <c r="R2424" s="296">
        <v>0</v>
      </c>
      <c r="S2424" s="296">
        <v>0.98229999999999995</v>
      </c>
      <c r="T2424" s="297">
        <v>9839</v>
      </c>
      <c r="U2424" s="340">
        <v>125424</v>
      </c>
      <c r="V2424" s="340">
        <v>333792</v>
      </c>
      <c r="W2424" s="297">
        <v>22419</v>
      </c>
      <c r="X2424" s="296">
        <v>-2E-3</v>
      </c>
    </row>
    <row r="2425" spans="13:24">
      <c r="M2425">
        <v>2423</v>
      </c>
      <c r="N2425">
        <v>11420</v>
      </c>
      <c r="O2425" t="s">
        <v>1916</v>
      </c>
      <c r="P2425" t="s">
        <v>128</v>
      </c>
      <c r="Q2425">
        <v>730</v>
      </c>
      <c r="R2425" s="296">
        <v>0</v>
      </c>
      <c r="S2425" s="296">
        <v>0.98229999999999995</v>
      </c>
      <c r="T2425" s="297">
        <v>13605</v>
      </c>
      <c r="U2425" s="340">
        <v>125260</v>
      </c>
      <c r="V2425" s="340">
        <v>748462</v>
      </c>
      <c r="W2425" s="297">
        <v>45727</v>
      </c>
      <c r="X2425" s="296">
        <v>-7.0000000000000001E-3</v>
      </c>
    </row>
    <row r="2426" spans="13:24">
      <c r="M2426">
        <v>2424</v>
      </c>
      <c r="N2426">
        <v>43235</v>
      </c>
      <c r="O2426" t="s">
        <v>468</v>
      </c>
      <c r="P2426" t="s">
        <v>136</v>
      </c>
      <c r="Q2426">
        <v>287</v>
      </c>
      <c r="R2426" s="296">
        <v>0</v>
      </c>
      <c r="S2426" s="296">
        <v>0.98229999999999995</v>
      </c>
      <c r="T2426" s="297">
        <v>20250</v>
      </c>
      <c r="U2426" s="340">
        <v>125243</v>
      </c>
      <c r="V2426" s="340">
        <v>382890</v>
      </c>
      <c r="W2426" s="297">
        <v>45373</v>
      </c>
      <c r="X2426" s="296">
        <v>-2E-3</v>
      </c>
    </row>
    <row r="2427" spans="13:24">
      <c r="M2427">
        <v>2425</v>
      </c>
      <c r="N2427">
        <v>92264</v>
      </c>
      <c r="O2427" t="s">
        <v>1917</v>
      </c>
      <c r="P2427" t="s">
        <v>132</v>
      </c>
      <c r="Q2427">
        <v>1658</v>
      </c>
      <c r="R2427" s="296">
        <v>0</v>
      </c>
      <c r="S2427" s="296">
        <v>0.98229999999999995</v>
      </c>
      <c r="T2427" s="297">
        <v>11215</v>
      </c>
      <c r="U2427" s="340">
        <v>125217</v>
      </c>
      <c r="V2427" s="340">
        <v>782702</v>
      </c>
      <c r="W2427" s="297">
        <v>18682</v>
      </c>
      <c r="X2427" s="296">
        <v>3.0000000000000001E-3</v>
      </c>
    </row>
    <row r="2428" spans="13:24">
      <c r="M2428">
        <v>2426</v>
      </c>
      <c r="N2428">
        <v>60461</v>
      </c>
      <c r="O2428" t="s">
        <v>1918</v>
      </c>
      <c r="P2428" t="s">
        <v>131</v>
      </c>
      <c r="Q2428">
        <v>44</v>
      </c>
      <c r="R2428" s="296">
        <v>0</v>
      </c>
      <c r="S2428" s="296">
        <v>0.98229999999999995</v>
      </c>
      <c r="T2428" s="297">
        <v>1780</v>
      </c>
      <c r="U2428" s="340">
        <v>125150</v>
      </c>
      <c r="V2428" s="340">
        <v>322623</v>
      </c>
      <c r="W2428" s="297">
        <v>4699</v>
      </c>
      <c r="X2428" s="296">
        <v>-8.0000000000000002E-3</v>
      </c>
    </row>
    <row r="2429" spans="13:24">
      <c r="M2429">
        <v>2427</v>
      </c>
      <c r="N2429">
        <v>84738</v>
      </c>
      <c r="O2429" t="s">
        <v>1919</v>
      </c>
      <c r="P2429" t="s">
        <v>219</v>
      </c>
      <c r="Q2429">
        <v>1414</v>
      </c>
      <c r="R2429" s="296">
        <v>0</v>
      </c>
      <c r="S2429" s="296">
        <v>0.98229999999999995</v>
      </c>
      <c r="T2429" s="297">
        <v>4071</v>
      </c>
      <c r="U2429" s="340">
        <v>125045</v>
      </c>
      <c r="V2429" s="340">
        <v>753379</v>
      </c>
      <c r="W2429" s="297">
        <v>10521</v>
      </c>
      <c r="X2429" s="296">
        <v>3.6999999999999998E-2</v>
      </c>
    </row>
    <row r="2430" spans="13:24">
      <c r="M2430">
        <v>2428</v>
      </c>
      <c r="N2430">
        <v>90305</v>
      </c>
      <c r="O2430" t="s">
        <v>722</v>
      </c>
      <c r="P2430" t="s">
        <v>132</v>
      </c>
      <c r="Q2430">
        <v>1744</v>
      </c>
      <c r="R2430" s="296">
        <v>0</v>
      </c>
      <c r="S2430" s="296">
        <v>0.98229999999999995</v>
      </c>
      <c r="T2430" s="297">
        <v>6257</v>
      </c>
      <c r="U2430" s="340">
        <v>125005</v>
      </c>
      <c r="V2430" s="340">
        <v>850678</v>
      </c>
      <c r="W2430" s="297">
        <v>14988</v>
      </c>
      <c r="X2430" s="296">
        <v>-6.0000000000000001E-3</v>
      </c>
    </row>
    <row r="2431" spans="13:24">
      <c r="M2431">
        <v>2429</v>
      </c>
      <c r="N2431">
        <v>93546</v>
      </c>
      <c r="O2431" t="s">
        <v>1920</v>
      </c>
      <c r="P2431" t="s">
        <v>132</v>
      </c>
      <c r="Q2431">
        <v>1668</v>
      </c>
      <c r="R2431" s="296">
        <v>0</v>
      </c>
      <c r="S2431" s="296">
        <v>0.98240000000000005</v>
      </c>
      <c r="T2431" s="297">
        <v>3564</v>
      </c>
      <c r="U2431" s="340">
        <v>124881</v>
      </c>
      <c r="V2431" s="340">
        <v>743439</v>
      </c>
      <c r="W2431" s="297">
        <v>8405</v>
      </c>
      <c r="X2431" s="296">
        <v>-3.0000000000000001E-3</v>
      </c>
    </row>
    <row r="2432" spans="13:24">
      <c r="M2432">
        <v>2430</v>
      </c>
      <c r="N2432">
        <v>90814</v>
      </c>
      <c r="O2432" t="s">
        <v>1345</v>
      </c>
      <c r="P2432" t="s">
        <v>132</v>
      </c>
      <c r="Q2432">
        <v>1741</v>
      </c>
      <c r="R2432" s="296">
        <v>0</v>
      </c>
      <c r="S2432" s="296">
        <v>0.98240000000000005</v>
      </c>
      <c r="T2432" s="297">
        <v>8710</v>
      </c>
      <c r="U2432" s="340">
        <v>124881</v>
      </c>
      <c r="V2432" s="340">
        <v>1242549</v>
      </c>
      <c r="W2432" s="297">
        <v>18240</v>
      </c>
      <c r="X2432" s="296">
        <v>-7.0000000000000001E-3</v>
      </c>
    </row>
    <row r="2433" spans="13:24">
      <c r="M2433">
        <v>2431</v>
      </c>
      <c r="N2433">
        <v>93536</v>
      </c>
      <c r="O2433" t="s">
        <v>803</v>
      </c>
      <c r="P2433" t="s">
        <v>132</v>
      </c>
      <c r="Q2433">
        <v>1723</v>
      </c>
      <c r="R2433" s="296">
        <v>0</v>
      </c>
      <c r="S2433" s="296">
        <v>0.98240000000000005</v>
      </c>
      <c r="T2433" s="297">
        <v>23871</v>
      </c>
      <c r="U2433" s="340">
        <v>124810</v>
      </c>
      <c r="V2433" s="340">
        <v>621373</v>
      </c>
      <c r="W2433" s="297">
        <v>73855</v>
      </c>
      <c r="X2433" s="296">
        <v>-3.0000000000000001E-3</v>
      </c>
    </row>
    <row r="2434" spans="13:24">
      <c r="M2434">
        <v>2432</v>
      </c>
      <c r="N2434">
        <v>79382</v>
      </c>
      <c r="O2434" t="s">
        <v>1921</v>
      </c>
      <c r="P2434" t="s">
        <v>134</v>
      </c>
      <c r="Q2434">
        <v>977</v>
      </c>
      <c r="R2434" s="296">
        <v>0</v>
      </c>
      <c r="S2434" s="296">
        <v>0.98240000000000005</v>
      </c>
      <c r="T2434" s="297">
        <v>3255</v>
      </c>
      <c r="U2434" s="340">
        <v>124384</v>
      </c>
      <c r="V2434" s="340">
        <v>346729</v>
      </c>
      <c r="W2434" s="297">
        <v>9019</v>
      </c>
      <c r="X2434" s="296">
        <v>1.4E-2</v>
      </c>
    </row>
    <row r="2435" spans="13:24">
      <c r="M2435">
        <v>2433</v>
      </c>
      <c r="N2435">
        <v>53531</v>
      </c>
      <c r="O2435" t="s">
        <v>850</v>
      </c>
      <c r="P2435" t="s">
        <v>149</v>
      </c>
      <c r="Q2435">
        <v>91</v>
      </c>
      <c r="R2435" s="296">
        <v>0</v>
      </c>
      <c r="S2435" s="296">
        <v>0.98240000000000005</v>
      </c>
      <c r="T2435" s="297">
        <v>1748</v>
      </c>
      <c r="U2435" s="340">
        <v>124350</v>
      </c>
      <c r="V2435" s="340">
        <v>523269</v>
      </c>
      <c r="W2435" s="297">
        <v>4692</v>
      </c>
      <c r="X2435" s="296">
        <v>8.9999999999999993E-3</v>
      </c>
    </row>
    <row r="2436" spans="13:24">
      <c r="M2436">
        <v>2434</v>
      </c>
      <c r="N2436">
        <v>34135</v>
      </c>
      <c r="O2436" t="s">
        <v>568</v>
      </c>
      <c r="P2436" t="s">
        <v>127</v>
      </c>
      <c r="Q2436">
        <v>1144</v>
      </c>
      <c r="R2436" s="296">
        <v>0</v>
      </c>
      <c r="S2436" s="296">
        <v>0.98240000000000005</v>
      </c>
      <c r="T2436" s="297">
        <v>23360</v>
      </c>
      <c r="U2436" s="340">
        <v>124343</v>
      </c>
      <c r="V2436" s="340">
        <v>595024</v>
      </c>
      <c r="W2436" s="297">
        <v>51220</v>
      </c>
      <c r="X2436" s="296">
        <v>2.5999999999999999E-2</v>
      </c>
    </row>
    <row r="2437" spans="13:24">
      <c r="M2437">
        <v>2435</v>
      </c>
      <c r="N2437">
        <v>61517</v>
      </c>
      <c r="O2437" t="s">
        <v>1922</v>
      </c>
      <c r="P2437" t="s">
        <v>131</v>
      </c>
      <c r="Q2437">
        <v>141</v>
      </c>
      <c r="R2437" s="296">
        <v>0</v>
      </c>
      <c r="S2437" s="296">
        <v>0.98240000000000005</v>
      </c>
      <c r="T2437" s="297">
        <v>1202</v>
      </c>
      <c r="U2437" s="340">
        <v>124303</v>
      </c>
      <c r="V2437" s="340">
        <v>293632</v>
      </c>
      <c r="W2437" s="297">
        <v>3050</v>
      </c>
      <c r="X2437" s="296">
        <v>-6.0000000000000001E-3</v>
      </c>
    </row>
    <row r="2438" spans="13:24">
      <c r="M2438">
        <v>2436</v>
      </c>
      <c r="N2438">
        <v>34293</v>
      </c>
      <c r="O2438" t="s">
        <v>1923</v>
      </c>
      <c r="P2438" t="s">
        <v>127</v>
      </c>
      <c r="Q2438">
        <v>1087</v>
      </c>
      <c r="R2438" s="296">
        <v>0</v>
      </c>
      <c r="S2438" s="296">
        <v>0.98240000000000005</v>
      </c>
      <c r="T2438" s="297">
        <v>24055</v>
      </c>
      <c r="U2438" s="340">
        <v>124294</v>
      </c>
      <c r="V2438" s="340">
        <v>517849</v>
      </c>
      <c r="W2438" s="297">
        <v>49658</v>
      </c>
      <c r="X2438" s="296">
        <v>2.1999999999999999E-2</v>
      </c>
    </row>
    <row r="2439" spans="13:24">
      <c r="M2439">
        <v>2437</v>
      </c>
      <c r="N2439">
        <v>61273</v>
      </c>
      <c r="O2439" t="s">
        <v>1924</v>
      </c>
      <c r="P2439" t="s">
        <v>131</v>
      </c>
      <c r="Q2439">
        <v>144</v>
      </c>
      <c r="R2439" s="296">
        <v>0</v>
      </c>
      <c r="S2439" s="296">
        <v>0.98240000000000005</v>
      </c>
      <c r="T2439" s="297">
        <v>1315</v>
      </c>
      <c r="U2439" s="340">
        <v>124293</v>
      </c>
      <c r="V2439" s="340">
        <v>242854</v>
      </c>
      <c r="W2439" s="297">
        <v>3254</v>
      </c>
      <c r="X2439" s="296">
        <v>-4.0000000000000001E-3</v>
      </c>
    </row>
    <row r="2440" spans="13:24">
      <c r="M2440">
        <v>2438</v>
      </c>
      <c r="N2440">
        <v>46543</v>
      </c>
      <c r="O2440" t="s">
        <v>796</v>
      </c>
      <c r="P2440" t="s">
        <v>144</v>
      </c>
      <c r="Q2440">
        <v>115</v>
      </c>
      <c r="R2440" s="296">
        <v>0</v>
      </c>
      <c r="S2440" s="296">
        <v>0.98250000000000004</v>
      </c>
      <c r="T2440" s="297">
        <v>1179</v>
      </c>
      <c r="U2440" s="340">
        <v>124040</v>
      </c>
      <c r="V2440" s="340">
        <v>449270</v>
      </c>
      <c r="W2440" s="297">
        <v>4553</v>
      </c>
      <c r="X2440" s="296">
        <v>3.0000000000000001E-3</v>
      </c>
    </row>
    <row r="2441" spans="13:24">
      <c r="M2441">
        <v>2439</v>
      </c>
      <c r="N2441">
        <v>80204</v>
      </c>
      <c r="O2441" t="s">
        <v>330</v>
      </c>
      <c r="P2441" t="s">
        <v>142</v>
      </c>
      <c r="Q2441">
        <v>913</v>
      </c>
      <c r="R2441" s="296">
        <v>0</v>
      </c>
      <c r="S2441" s="296">
        <v>0.98250000000000004</v>
      </c>
      <c r="T2441" s="297">
        <v>18298</v>
      </c>
      <c r="U2441" s="340">
        <v>123889</v>
      </c>
      <c r="V2441" s="340">
        <v>722681</v>
      </c>
      <c r="W2441" s="297">
        <v>40480</v>
      </c>
      <c r="X2441" s="296">
        <v>0.03</v>
      </c>
    </row>
    <row r="2442" spans="13:24">
      <c r="M2442">
        <v>2440</v>
      </c>
      <c r="N2442">
        <v>19129</v>
      </c>
      <c r="O2442" t="s">
        <v>469</v>
      </c>
      <c r="P2442" t="s">
        <v>133</v>
      </c>
      <c r="Q2442">
        <v>672</v>
      </c>
      <c r="R2442" s="296">
        <v>0</v>
      </c>
      <c r="S2442" s="296">
        <v>0.98250000000000004</v>
      </c>
      <c r="T2442" s="297">
        <v>6211</v>
      </c>
      <c r="U2442" s="340">
        <v>123887</v>
      </c>
      <c r="V2442" s="340">
        <v>336843</v>
      </c>
      <c r="W2442" s="297">
        <v>13243</v>
      </c>
      <c r="X2442" s="296">
        <v>6.0000000000000001E-3</v>
      </c>
    </row>
    <row r="2443" spans="13:24">
      <c r="M2443">
        <v>2441</v>
      </c>
      <c r="N2443">
        <v>6770</v>
      </c>
      <c r="O2443" t="s">
        <v>730</v>
      </c>
      <c r="P2443" t="s">
        <v>141</v>
      </c>
      <c r="Q2443">
        <v>759</v>
      </c>
      <c r="R2443" s="296">
        <v>0</v>
      </c>
      <c r="S2443" s="296">
        <v>0.98250000000000004</v>
      </c>
      <c r="T2443" s="297">
        <v>12541</v>
      </c>
      <c r="U2443" s="340">
        <v>123824</v>
      </c>
      <c r="V2443" s="340">
        <v>326096</v>
      </c>
      <c r="W2443" s="297">
        <v>31417</v>
      </c>
      <c r="X2443" s="296">
        <v>-2E-3</v>
      </c>
    </row>
    <row r="2444" spans="13:24">
      <c r="M2444">
        <v>2442</v>
      </c>
      <c r="N2444">
        <v>90717</v>
      </c>
      <c r="O2444" t="s">
        <v>1925</v>
      </c>
      <c r="P2444" t="s">
        <v>132</v>
      </c>
      <c r="Q2444">
        <v>1749</v>
      </c>
      <c r="R2444" s="296">
        <v>0</v>
      </c>
      <c r="S2444" s="296">
        <v>0.98250000000000004</v>
      </c>
      <c r="T2444" s="297">
        <v>8622</v>
      </c>
      <c r="U2444" s="340">
        <v>123797</v>
      </c>
      <c r="V2444" s="340">
        <v>890907</v>
      </c>
      <c r="W2444" s="297">
        <v>21510</v>
      </c>
      <c r="X2444" s="296">
        <v>-6.0000000000000001E-3</v>
      </c>
    </row>
    <row r="2445" spans="13:24">
      <c r="M2445">
        <v>2443</v>
      </c>
      <c r="N2445">
        <v>52753</v>
      </c>
      <c r="O2445" t="s">
        <v>544</v>
      </c>
      <c r="P2445" t="s">
        <v>170</v>
      </c>
      <c r="Q2445">
        <v>138</v>
      </c>
      <c r="R2445" s="296">
        <v>0</v>
      </c>
      <c r="S2445" s="296">
        <v>0.98250000000000004</v>
      </c>
      <c r="T2445" s="297">
        <v>2418</v>
      </c>
      <c r="U2445" s="340">
        <v>123737</v>
      </c>
      <c r="V2445" s="340">
        <v>424188</v>
      </c>
      <c r="W2445" s="297">
        <v>6149</v>
      </c>
      <c r="X2445" s="296">
        <v>1E-3</v>
      </c>
    </row>
    <row r="2446" spans="13:24">
      <c r="M2446">
        <v>2444</v>
      </c>
      <c r="N2446">
        <v>84780</v>
      </c>
      <c r="O2446" t="s">
        <v>225</v>
      </c>
      <c r="P2446" t="s">
        <v>219</v>
      </c>
      <c r="Q2446">
        <v>1404</v>
      </c>
      <c r="R2446" s="296">
        <v>0</v>
      </c>
      <c r="S2446" s="296">
        <v>0.98250000000000004</v>
      </c>
      <c r="T2446" s="297">
        <v>12402</v>
      </c>
      <c r="U2446" s="340">
        <v>123707</v>
      </c>
      <c r="V2446" s="340">
        <v>619469</v>
      </c>
      <c r="W2446" s="297">
        <v>36100</v>
      </c>
      <c r="X2446" s="296">
        <v>5.8000000000000003E-2</v>
      </c>
    </row>
    <row r="2447" spans="13:24">
      <c r="M2447">
        <v>2445</v>
      </c>
      <c r="N2447">
        <v>53718</v>
      </c>
      <c r="O2447" t="s">
        <v>823</v>
      </c>
      <c r="P2447" t="s">
        <v>149</v>
      </c>
      <c r="Q2447">
        <v>100</v>
      </c>
      <c r="R2447" s="296">
        <v>0</v>
      </c>
      <c r="S2447" s="296">
        <v>0.98250000000000004</v>
      </c>
      <c r="T2447" s="297">
        <v>8807</v>
      </c>
      <c r="U2447" s="340">
        <v>123695</v>
      </c>
      <c r="V2447" s="340">
        <v>409212</v>
      </c>
      <c r="W2447" s="297">
        <v>19137</v>
      </c>
      <c r="X2447" s="296">
        <v>2.7E-2</v>
      </c>
    </row>
    <row r="2448" spans="13:24">
      <c r="M2448">
        <v>2446</v>
      </c>
      <c r="N2448">
        <v>52324</v>
      </c>
      <c r="O2448" t="s">
        <v>1926</v>
      </c>
      <c r="P2448" t="s">
        <v>170</v>
      </c>
      <c r="Q2448">
        <v>206</v>
      </c>
      <c r="R2448" s="296">
        <v>0</v>
      </c>
      <c r="S2448" s="296">
        <v>0.98260000000000003</v>
      </c>
      <c r="T2448" s="297">
        <v>1078</v>
      </c>
      <c r="U2448" s="340">
        <v>123268</v>
      </c>
      <c r="V2448" s="340">
        <v>339849</v>
      </c>
      <c r="W2448" s="297">
        <v>2908</v>
      </c>
      <c r="X2448" s="296">
        <v>2E-3</v>
      </c>
    </row>
    <row r="2449" spans="13:24">
      <c r="M2449">
        <v>2447</v>
      </c>
      <c r="N2449">
        <v>61275</v>
      </c>
      <c r="O2449" t="s">
        <v>1927</v>
      </c>
      <c r="P2449" t="s">
        <v>131</v>
      </c>
      <c r="Q2449">
        <v>135</v>
      </c>
      <c r="R2449" s="296">
        <v>0</v>
      </c>
      <c r="S2449" s="296">
        <v>0.98260000000000003</v>
      </c>
      <c r="T2449" s="297">
        <v>1886</v>
      </c>
      <c r="U2449" s="340">
        <v>123153</v>
      </c>
      <c r="V2449" s="340">
        <v>296420</v>
      </c>
      <c r="W2449" s="297">
        <v>4489</v>
      </c>
      <c r="X2449" s="296">
        <v>-0.01</v>
      </c>
    </row>
    <row r="2450" spans="13:24">
      <c r="M2450">
        <v>2448</v>
      </c>
      <c r="N2450">
        <v>61843</v>
      </c>
      <c r="O2450" t="s">
        <v>1928</v>
      </c>
      <c r="P2450" t="s">
        <v>131</v>
      </c>
      <c r="Q2450">
        <v>131</v>
      </c>
      <c r="R2450" s="296">
        <v>0</v>
      </c>
      <c r="S2450" s="296">
        <v>0.98260000000000003</v>
      </c>
      <c r="T2450" s="297">
        <v>1021</v>
      </c>
      <c r="U2450" s="340">
        <v>123114</v>
      </c>
      <c r="V2450" s="340">
        <v>260554</v>
      </c>
      <c r="W2450" s="297">
        <v>2561</v>
      </c>
      <c r="X2450" s="296">
        <v>3.0000000000000001E-3</v>
      </c>
    </row>
    <row r="2451" spans="13:24">
      <c r="M2451">
        <v>2449</v>
      </c>
      <c r="N2451">
        <v>76107</v>
      </c>
      <c r="O2451" t="s">
        <v>688</v>
      </c>
      <c r="P2451" t="s">
        <v>134</v>
      </c>
      <c r="Q2451">
        <v>835</v>
      </c>
      <c r="R2451" s="296">
        <v>0</v>
      </c>
      <c r="S2451" s="296">
        <v>0.98260000000000003</v>
      </c>
      <c r="T2451" s="297">
        <v>15783</v>
      </c>
      <c r="U2451" s="340">
        <v>123073</v>
      </c>
      <c r="V2451" s="340">
        <v>562185</v>
      </c>
      <c r="W2451" s="297">
        <v>31675</v>
      </c>
      <c r="X2451" s="296">
        <v>1E-3</v>
      </c>
    </row>
    <row r="2452" spans="13:24">
      <c r="M2452">
        <v>2450</v>
      </c>
      <c r="N2452">
        <v>33315</v>
      </c>
      <c r="O2452" t="s">
        <v>506</v>
      </c>
      <c r="P2452" t="s">
        <v>127</v>
      </c>
      <c r="Q2452">
        <v>1191</v>
      </c>
      <c r="R2452" s="296">
        <v>0</v>
      </c>
      <c r="S2452" s="296">
        <v>0.98260000000000003</v>
      </c>
      <c r="T2452" s="297">
        <v>6671</v>
      </c>
      <c r="U2452" s="340">
        <v>123072</v>
      </c>
      <c r="V2452" s="340">
        <v>630728</v>
      </c>
      <c r="W2452" s="297">
        <v>14141</v>
      </c>
      <c r="X2452" s="296">
        <v>0.01</v>
      </c>
    </row>
    <row r="2453" spans="13:24">
      <c r="M2453">
        <v>2451</v>
      </c>
      <c r="N2453">
        <v>12110</v>
      </c>
      <c r="O2453" t="s">
        <v>1929</v>
      </c>
      <c r="P2453" t="s">
        <v>128</v>
      </c>
      <c r="Q2453">
        <v>715</v>
      </c>
      <c r="R2453" s="296">
        <v>0</v>
      </c>
      <c r="S2453" s="296">
        <v>0.98260000000000003</v>
      </c>
      <c r="T2453" s="297">
        <v>7721</v>
      </c>
      <c r="U2453" s="340">
        <v>122870</v>
      </c>
      <c r="V2453" s="340">
        <v>396376</v>
      </c>
      <c r="W2453" s="297">
        <v>19868</v>
      </c>
      <c r="X2453" s="296">
        <v>3.0000000000000001E-3</v>
      </c>
    </row>
    <row r="2454" spans="13:24">
      <c r="M2454">
        <v>2452</v>
      </c>
      <c r="N2454">
        <v>32566</v>
      </c>
      <c r="O2454" t="s">
        <v>1930</v>
      </c>
      <c r="P2454" t="s">
        <v>127</v>
      </c>
      <c r="Q2454">
        <v>812</v>
      </c>
      <c r="R2454" s="296">
        <v>0</v>
      </c>
      <c r="S2454" s="296">
        <v>0.98260000000000003</v>
      </c>
      <c r="T2454" s="297">
        <v>17590</v>
      </c>
      <c r="U2454" s="340">
        <v>122776</v>
      </c>
      <c r="V2454" s="340">
        <v>420282</v>
      </c>
      <c r="W2454" s="297">
        <v>47601</v>
      </c>
      <c r="X2454" s="296">
        <v>1.6E-2</v>
      </c>
    </row>
    <row r="2455" spans="13:24">
      <c r="M2455">
        <v>2453</v>
      </c>
      <c r="N2455">
        <v>78101</v>
      </c>
      <c r="O2455" t="s">
        <v>1931</v>
      </c>
      <c r="P2455" t="s">
        <v>134</v>
      </c>
      <c r="Q2455">
        <v>1059</v>
      </c>
      <c r="R2455" s="296">
        <v>0</v>
      </c>
      <c r="S2455" s="296">
        <v>0.98260000000000003</v>
      </c>
      <c r="T2455" s="297">
        <v>3572</v>
      </c>
      <c r="U2455" s="340">
        <v>122714</v>
      </c>
      <c r="V2455" s="340">
        <v>370129</v>
      </c>
      <c r="W2455" s="297">
        <v>9983</v>
      </c>
      <c r="X2455" s="296">
        <v>1.0999999999999999E-2</v>
      </c>
    </row>
    <row r="2456" spans="13:24">
      <c r="M2456">
        <v>2454</v>
      </c>
      <c r="N2456">
        <v>89139</v>
      </c>
      <c r="O2456" t="s">
        <v>706</v>
      </c>
      <c r="P2456" t="s">
        <v>148</v>
      </c>
      <c r="Q2456">
        <v>1523</v>
      </c>
      <c r="R2456" s="296">
        <v>0</v>
      </c>
      <c r="S2456" s="296">
        <v>0.98270000000000002</v>
      </c>
      <c r="T2456" s="297">
        <v>16100</v>
      </c>
      <c r="U2456" s="340">
        <v>122581</v>
      </c>
      <c r="V2456" s="340">
        <v>540270</v>
      </c>
      <c r="W2456" s="297">
        <v>49066</v>
      </c>
      <c r="X2456" s="296">
        <v>2.1999999999999999E-2</v>
      </c>
    </row>
    <row r="2457" spans="13:24">
      <c r="M2457">
        <v>2455</v>
      </c>
      <c r="N2457">
        <v>53726</v>
      </c>
      <c r="O2457" t="s">
        <v>823</v>
      </c>
      <c r="P2457" t="s">
        <v>149</v>
      </c>
      <c r="Q2457">
        <v>105</v>
      </c>
      <c r="R2457" s="296">
        <v>0</v>
      </c>
      <c r="S2457" s="296">
        <v>0.98270000000000002</v>
      </c>
      <c r="T2457" s="297">
        <v>2411</v>
      </c>
      <c r="U2457" s="340">
        <v>122572</v>
      </c>
      <c r="V2457" s="340">
        <v>646156</v>
      </c>
      <c r="W2457" s="297">
        <v>5314</v>
      </c>
      <c r="X2457" s="296">
        <v>2E-3</v>
      </c>
    </row>
    <row r="2458" spans="13:24">
      <c r="M2458">
        <v>2456</v>
      </c>
      <c r="N2458">
        <v>7753</v>
      </c>
      <c r="O2458" t="s">
        <v>1932</v>
      </c>
      <c r="P2458" t="s">
        <v>129</v>
      </c>
      <c r="Q2458">
        <v>725</v>
      </c>
      <c r="R2458" s="296">
        <v>0</v>
      </c>
      <c r="S2458" s="296">
        <v>0.98270000000000002</v>
      </c>
      <c r="T2458" s="297">
        <v>15825</v>
      </c>
      <c r="U2458" s="340">
        <v>122517</v>
      </c>
      <c r="V2458" s="340">
        <v>494412</v>
      </c>
      <c r="W2458" s="297">
        <v>37378</v>
      </c>
      <c r="X2458" s="296">
        <v>0</v>
      </c>
    </row>
    <row r="2459" spans="13:24">
      <c r="M2459">
        <v>2457</v>
      </c>
      <c r="N2459">
        <v>91501</v>
      </c>
      <c r="O2459" t="s">
        <v>676</v>
      </c>
      <c r="P2459" t="s">
        <v>132</v>
      </c>
      <c r="Q2459">
        <v>1736</v>
      </c>
      <c r="R2459" s="296">
        <v>0</v>
      </c>
      <c r="S2459" s="296">
        <v>0.98270000000000002</v>
      </c>
      <c r="T2459" s="297">
        <v>8380</v>
      </c>
      <c r="U2459" s="340">
        <v>122470</v>
      </c>
      <c r="V2459" s="340">
        <v>1176013</v>
      </c>
      <c r="W2459" s="297">
        <v>20437</v>
      </c>
      <c r="X2459" s="296">
        <v>-6.0000000000000001E-3</v>
      </c>
    </row>
    <row r="2460" spans="13:24">
      <c r="M2460">
        <v>2458</v>
      </c>
      <c r="N2460">
        <v>55909</v>
      </c>
      <c r="O2460" t="s">
        <v>1933</v>
      </c>
      <c r="P2460" t="s">
        <v>151</v>
      </c>
      <c r="Q2460">
        <v>269</v>
      </c>
      <c r="R2460" s="296">
        <v>0</v>
      </c>
      <c r="S2460" s="296">
        <v>0.98270000000000002</v>
      </c>
      <c r="T2460">
        <v>555</v>
      </c>
      <c r="U2460" s="340">
        <v>122469</v>
      </c>
      <c r="V2460" s="340">
        <v>320510</v>
      </c>
      <c r="W2460" s="297">
        <v>1358</v>
      </c>
      <c r="X2460" s="296">
        <v>0.01</v>
      </c>
    </row>
    <row r="2461" spans="13:24">
      <c r="M2461">
        <v>2459</v>
      </c>
      <c r="N2461">
        <v>40243</v>
      </c>
      <c r="O2461" t="s">
        <v>830</v>
      </c>
      <c r="P2461" t="s">
        <v>143</v>
      </c>
      <c r="Q2461">
        <v>295</v>
      </c>
      <c r="R2461" s="296">
        <v>0</v>
      </c>
      <c r="S2461" s="296">
        <v>0.98270000000000002</v>
      </c>
      <c r="T2461" s="297">
        <v>5598</v>
      </c>
      <c r="U2461" s="340">
        <v>122427</v>
      </c>
      <c r="V2461" s="340">
        <v>347015</v>
      </c>
      <c r="W2461" s="297">
        <v>12337</v>
      </c>
      <c r="X2461" s="296">
        <v>1.4E-2</v>
      </c>
    </row>
    <row r="2462" spans="13:24">
      <c r="M2462">
        <v>2460</v>
      </c>
      <c r="N2462">
        <v>5036</v>
      </c>
      <c r="O2462" t="s">
        <v>615</v>
      </c>
      <c r="P2462" t="s">
        <v>222</v>
      </c>
      <c r="Q2462">
        <v>777</v>
      </c>
      <c r="R2462" s="296">
        <v>0</v>
      </c>
      <c r="S2462" s="296">
        <v>0.98270000000000002</v>
      </c>
      <c r="T2462">
        <v>450</v>
      </c>
      <c r="U2462" s="340">
        <v>122421</v>
      </c>
      <c r="V2462" s="340">
        <v>371883</v>
      </c>
      <c r="W2462" s="297">
        <v>1009</v>
      </c>
      <c r="X2462" s="296">
        <v>1.2E-2</v>
      </c>
    </row>
    <row r="2463" spans="13:24">
      <c r="M2463">
        <v>2461</v>
      </c>
      <c r="N2463">
        <v>18104</v>
      </c>
      <c r="O2463" t="s">
        <v>684</v>
      </c>
      <c r="P2463" t="s">
        <v>133</v>
      </c>
      <c r="Q2463">
        <v>643</v>
      </c>
      <c r="R2463" s="296">
        <v>0</v>
      </c>
      <c r="S2463" s="296">
        <v>0.98270000000000002</v>
      </c>
      <c r="T2463" s="297">
        <v>18775</v>
      </c>
      <c r="U2463" s="340">
        <v>122286</v>
      </c>
      <c r="V2463" s="340">
        <v>378782</v>
      </c>
      <c r="W2463" s="297">
        <v>49111</v>
      </c>
      <c r="X2463" s="296">
        <v>8.9999999999999993E-3</v>
      </c>
    </row>
    <row r="2464" spans="13:24">
      <c r="M2464">
        <v>2462</v>
      </c>
      <c r="N2464">
        <v>45440</v>
      </c>
      <c r="O2464" t="s">
        <v>767</v>
      </c>
      <c r="P2464" t="s">
        <v>136</v>
      </c>
      <c r="Q2464">
        <v>257</v>
      </c>
      <c r="R2464" s="296">
        <v>0</v>
      </c>
      <c r="S2464" s="296">
        <v>0.98280000000000001</v>
      </c>
      <c r="T2464" s="297">
        <v>10143</v>
      </c>
      <c r="U2464" s="340">
        <v>121969</v>
      </c>
      <c r="V2464" s="340">
        <v>292170</v>
      </c>
      <c r="W2464" s="297">
        <v>24125</v>
      </c>
      <c r="X2464" s="296">
        <v>1.2999999999999999E-2</v>
      </c>
    </row>
    <row r="2465" spans="13:24">
      <c r="M2465">
        <v>2463</v>
      </c>
      <c r="N2465">
        <v>46382</v>
      </c>
      <c r="O2465" t="s">
        <v>1934</v>
      </c>
      <c r="P2465" t="s">
        <v>144</v>
      </c>
      <c r="Q2465">
        <v>68</v>
      </c>
      <c r="R2465" s="296">
        <v>0</v>
      </c>
      <c r="S2465" s="296">
        <v>0.98280000000000001</v>
      </c>
      <c r="T2465">
        <v>810</v>
      </c>
      <c r="U2465" s="340">
        <v>121869</v>
      </c>
      <c r="V2465" s="340">
        <v>336528</v>
      </c>
      <c r="W2465" s="297">
        <v>2119</v>
      </c>
      <c r="X2465" s="296">
        <v>-2E-3</v>
      </c>
    </row>
    <row r="2466" spans="13:24">
      <c r="M2466">
        <v>2464</v>
      </c>
      <c r="N2466">
        <v>52002</v>
      </c>
      <c r="O2466" t="s">
        <v>1058</v>
      </c>
      <c r="P2466" t="s">
        <v>170</v>
      </c>
      <c r="Q2466">
        <v>153</v>
      </c>
      <c r="R2466" s="296">
        <v>0</v>
      </c>
      <c r="S2466" s="296">
        <v>0.98280000000000001</v>
      </c>
      <c r="T2466" s="297">
        <v>6962</v>
      </c>
      <c r="U2466" s="340">
        <v>121713</v>
      </c>
      <c r="V2466" s="340">
        <v>337234</v>
      </c>
      <c r="W2466" s="297">
        <v>17361</v>
      </c>
      <c r="X2466" s="296">
        <v>6.0000000000000001E-3</v>
      </c>
    </row>
    <row r="2467" spans="13:24">
      <c r="M2467">
        <v>2465</v>
      </c>
      <c r="N2467">
        <v>46565</v>
      </c>
      <c r="O2467" t="s">
        <v>1935</v>
      </c>
      <c r="P2467" t="s">
        <v>144</v>
      </c>
      <c r="Q2467">
        <v>117</v>
      </c>
      <c r="R2467" s="296">
        <v>0</v>
      </c>
      <c r="S2467" s="296">
        <v>0.98280000000000001</v>
      </c>
      <c r="T2467" s="297">
        <v>2677</v>
      </c>
      <c r="U2467" s="340">
        <v>121656</v>
      </c>
      <c r="V2467" s="340">
        <v>481604</v>
      </c>
      <c r="W2467" s="297">
        <v>9261</v>
      </c>
      <c r="X2467" s="296">
        <v>5.0000000000000001E-3</v>
      </c>
    </row>
    <row r="2468" spans="13:24">
      <c r="M2468">
        <v>2466</v>
      </c>
      <c r="N2468">
        <v>2148</v>
      </c>
      <c r="O2468" t="s">
        <v>376</v>
      </c>
      <c r="P2468" t="s">
        <v>135</v>
      </c>
      <c r="Q2468">
        <v>854</v>
      </c>
      <c r="R2468" s="296">
        <v>0</v>
      </c>
      <c r="S2468" s="296">
        <v>0.98280000000000001</v>
      </c>
      <c r="T2468" s="297">
        <v>26392</v>
      </c>
      <c r="U2468" s="340">
        <v>121561</v>
      </c>
      <c r="V2468" s="340">
        <v>733740</v>
      </c>
      <c r="W2468" s="297">
        <v>67047</v>
      </c>
      <c r="X2468" s="296">
        <v>2E-3</v>
      </c>
    </row>
    <row r="2469" spans="13:24">
      <c r="M2469">
        <v>2467</v>
      </c>
      <c r="N2469">
        <v>30067</v>
      </c>
      <c r="O2469" t="s">
        <v>611</v>
      </c>
      <c r="P2469" t="s">
        <v>130</v>
      </c>
      <c r="Q2469">
        <v>596</v>
      </c>
      <c r="R2469" s="296">
        <v>0</v>
      </c>
      <c r="S2469" s="296">
        <v>0.98280000000000001</v>
      </c>
      <c r="T2469" s="297">
        <v>21377</v>
      </c>
      <c r="U2469" s="340">
        <v>121519</v>
      </c>
      <c r="V2469" s="340">
        <v>589961</v>
      </c>
      <c r="W2469" s="297">
        <v>49910</v>
      </c>
      <c r="X2469" s="296">
        <v>0.01</v>
      </c>
    </row>
    <row r="2470" spans="13:24">
      <c r="M2470">
        <v>2468</v>
      </c>
      <c r="N2470">
        <v>68123</v>
      </c>
      <c r="O2470" t="s">
        <v>1603</v>
      </c>
      <c r="P2470" t="s">
        <v>195</v>
      </c>
      <c r="Q2470">
        <v>427</v>
      </c>
      <c r="R2470" s="296">
        <v>0</v>
      </c>
      <c r="S2470" s="296">
        <v>0.98280000000000001</v>
      </c>
      <c r="T2470" s="297">
        <v>12149</v>
      </c>
      <c r="U2470" s="340">
        <v>121475</v>
      </c>
      <c r="V2470" s="340">
        <v>332278</v>
      </c>
      <c r="W2470" s="297">
        <v>32210</v>
      </c>
      <c r="X2470" s="296">
        <v>4.0000000000000001E-3</v>
      </c>
    </row>
    <row r="2471" spans="13:24">
      <c r="M2471">
        <v>2469</v>
      </c>
      <c r="N2471">
        <v>46064</v>
      </c>
      <c r="O2471" t="s">
        <v>1936</v>
      </c>
      <c r="P2471" t="s">
        <v>144</v>
      </c>
      <c r="Q2471">
        <v>183</v>
      </c>
      <c r="R2471" s="296">
        <v>0</v>
      </c>
      <c r="S2471" s="296">
        <v>0.98280000000000001</v>
      </c>
      <c r="T2471" s="297">
        <v>6050</v>
      </c>
      <c r="U2471" s="340">
        <v>121403</v>
      </c>
      <c r="V2471" s="340">
        <v>289666</v>
      </c>
      <c r="W2471" s="297">
        <v>19104</v>
      </c>
      <c r="X2471" s="296">
        <v>0.02</v>
      </c>
    </row>
    <row r="2472" spans="13:24">
      <c r="M2472">
        <v>2470</v>
      </c>
      <c r="N2472">
        <v>61854</v>
      </c>
      <c r="O2472" t="s">
        <v>456</v>
      </c>
      <c r="P2472" t="s">
        <v>131</v>
      </c>
      <c r="Q2472">
        <v>140</v>
      </c>
      <c r="R2472" s="296">
        <v>0</v>
      </c>
      <c r="S2472" s="296">
        <v>0.9829</v>
      </c>
      <c r="T2472">
        <v>633</v>
      </c>
      <c r="U2472" s="340">
        <v>121391</v>
      </c>
      <c r="V2472" s="340">
        <v>277041</v>
      </c>
      <c r="W2472" s="297">
        <v>1499</v>
      </c>
      <c r="X2472" s="296">
        <v>2E-3</v>
      </c>
    </row>
    <row r="2473" spans="13:24">
      <c r="M2473">
        <v>2471</v>
      </c>
      <c r="N2473">
        <v>85338</v>
      </c>
      <c r="O2473" t="s">
        <v>1937</v>
      </c>
      <c r="P2473" t="s">
        <v>158</v>
      </c>
      <c r="Q2473">
        <v>1468</v>
      </c>
      <c r="R2473" s="296">
        <v>0</v>
      </c>
      <c r="S2473" s="296">
        <v>0.9829</v>
      </c>
      <c r="T2473" s="297">
        <v>23754</v>
      </c>
      <c r="U2473" s="340">
        <v>121363</v>
      </c>
      <c r="V2473" s="340">
        <v>508211</v>
      </c>
      <c r="W2473" s="297">
        <v>71859</v>
      </c>
      <c r="X2473" s="296">
        <v>4.9000000000000002E-2</v>
      </c>
    </row>
    <row r="2474" spans="13:24">
      <c r="M2474">
        <v>2472</v>
      </c>
      <c r="N2474">
        <v>52220</v>
      </c>
      <c r="O2474" t="s">
        <v>1938</v>
      </c>
      <c r="P2474" t="s">
        <v>170</v>
      </c>
      <c r="Q2474">
        <v>218</v>
      </c>
      <c r="R2474" s="296">
        <v>0</v>
      </c>
      <c r="S2474" s="296">
        <v>0.9829</v>
      </c>
      <c r="T2474">
        <v>94</v>
      </c>
      <c r="U2474" s="340">
        <v>121360</v>
      </c>
      <c r="V2474" s="340">
        <v>359036</v>
      </c>
      <c r="W2474">
        <v>246</v>
      </c>
      <c r="X2474" s="296">
        <v>-6.0000000000000001E-3</v>
      </c>
    </row>
    <row r="2475" spans="13:24">
      <c r="M2475">
        <v>2473</v>
      </c>
      <c r="N2475">
        <v>95632</v>
      </c>
      <c r="O2475" t="s">
        <v>1939</v>
      </c>
      <c r="P2475" t="s">
        <v>132</v>
      </c>
      <c r="Q2475">
        <v>1774</v>
      </c>
      <c r="R2475" s="296">
        <v>0</v>
      </c>
      <c r="S2475" s="296">
        <v>0.9829</v>
      </c>
      <c r="T2475" s="297">
        <v>10184</v>
      </c>
      <c r="U2475" s="340">
        <v>121281</v>
      </c>
      <c r="V2475" s="340">
        <v>576276</v>
      </c>
      <c r="W2475" s="297">
        <v>31810</v>
      </c>
      <c r="X2475" s="296">
        <v>2E-3</v>
      </c>
    </row>
    <row r="2476" spans="13:24">
      <c r="M2476">
        <v>2474</v>
      </c>
      <c r="N2476">
        <v>1230</v>
      </c>
      <c r="O2476" t="s">
        <v>1940</v>
      </c>
      <c r="P2476" t="s">
        <v>135</v>
      </c>
      <c r="Q2476">
        <v>740</v>
      </c>
      <c r="R2476" s="296">
        <v>0</v>
      </c>
      <c r="S2476" s="296">
        <v>0.9829</v>
      </c>
      <c r="T2476" s="297">
        <v>3789</v>
      </c>
      <c r="U2476" s="340">
        <v>121274</v>
      </c>
      <c r="V2476" s="340">
        <v>711833</v>
      </c>
      <c r="W2476" s="297">
        <v>8948</v>
      </c>
      <c r="X2476" s="296">
        <v>8.9999999999999993E-3</v>
      </c>
    </row>
    <row r="2477" spans="13:24">
      <c r="M2477">
        <v>2475</v>
      </c>
      <c r="N2477">
        <v>55112</v>
      </c>
      <c r="O2477" t="s">
        <v>445</v>
      </c>
      <c r="P2477" t="s">
        <v>151</v>
      </c>
      <c r="Q2477">
        <v>337</v>
      </c>
      <c r="R2477" s="296">
        <v>0</v>
      </c>
      <c r="S2477" s="296">
        <v>0.9829</v>
      </c>
      <c r="T2477" s="297">
        <v>17775</v>
      </c>
      <c r="U2477" s="340">
        <v>121173</v>
      </c>
      <c r="V2477" s="340">
        <v>401246</v>
      </c>
      <c r="W2477" s="297">
        <v>46948</v>
      </c>
      <c r="X2477" s="296">
        <v>1E-3</v>
      </c>
    </row>
    <row r="2478" spans="13:24">
      <c r="M2478">
        <v>2476</v>
      </c>
      <c r="N2478">
        <v>23005</v>
      </c>
      <c r="O2478" t="s">
        <v>474</v>
      </c>
      <c r="P2478" t="s">
        <v>139</v>
      </c>
      <c r="Q2478">
        <v>624</v>
      </c>
      <c r="R2478" s="296">
        <v>0</v>
      </c>
      <c r="S2478" s="296">
        <v>0.9829</v>
      </c>
      <c r="T2478" s="297">
        <v>7406</v>
      </c>
      <c r="U2478" s="340">
        <v>121157</v>
      </c>
      <c r="V2478" s="340">
        <v>458083</v>
      </c>
      <c r="W2478" s="297">
        <v>19562</v>
      </c>
      <c r="X2478" s="296">
        <v>1.9E-2</v>
      </c>
    </row>
    <row r="2479" spans="13:24">
      <c r="M2479">
        <v>2477</v>
      </c>
      <c r="N2479">
        <v>50219</v>
      </c>
      <c r="O2479" t="s">
        <v>1941</v>
      </c>
      <c r="P2479" t="s">
        <v>170</v>
      </c>
      <c r="Q2479">
        <v>268</v>
      </c>
      <c r="R2479" s="296">
        <v>0</v>
      </c>
      <c r="S2479" s="296">
        <v>0.9829</v>
      </c>
      <c r="T2479" s="297">
        <v>5360</v>
      </c>
      <c r="U2479" s="340">
        <v>121015</v>
      </c>
      <c r="V2479" s="340">
        <v>306314</v>
      </c>
      <c r="W2479" s="297">
        <v>14439</v>
      </c>
      <c r="X2479" s="296">
        <v>-1E-3</v>
      </c>
    </row>
    <row r="2480" spans="13:24">
      <c r="M2480">
        <v>2478</v>
      </c>
      <c r="N2480">
        <v>34677</v>
      </c>
      <c r="O2480" t="s">
        <v>1942</v>
      </c>
      <c r="P2480" t="s">
        <v>127</v>
      </c>
      <c r="Q2480">
        <v>1015</v>
      </c>
      <c r="R2480" s="296">
        <v>0</v>
      </c>
      <c r="S2480" s="296">
        <v>0.98299999999999998</v>
      </c>
      <c r="T2480" s="297">
        <v>9566</v>
      </c>
      <c r="U2480" s="340">
        <v>120872</v>
      </c>
      <c r="V2480" s="340">
        <v>528204</v>
      </c>
      <c r="W2480" s="297">
        <v>22470</v>
      </c>
      <c r="X2480" s="296">
        <v>-1E-3</v>
      </c>
    </row>
    <row r="2481" spans="13:24">
      <c r="M2481">
        <v>2479</v>
      </c>
      <c r="N2481">
        <v>33138</v>
      </c>
      <c r="O2481" t="s">
        <v>293</v>
      </c>
      <c r="P2481" t="s">
        <v>127</v>
      </c>
      <c r="Q2481">
        <v>1206</v>
      </c>
      <c r="R2481" s="296">
        <v>0</v>
      </c>
      <c r="S2481" s="296">
        <v>0.98299999999999998</v>
      </c>
      <c r="T2481" s="297">
        <v>12359</v>
      </c>
      <c r="U2481" s="340">
        <v>120795</v>
      </c>
      <c r="V2481" s="340">
        <v>815569</v>
      </c>
      <c r="W2481" s="297">
        <v>27539</v>
      </c>
      <c r="X2481" s="296">
        <v>-2E-3</v>
      </c>
    </row>
    <row r="2482" spans="13:24">
      <c r="M2482">
        <v>2480</v>
      </c>
      <c r="N2482">
        <v>53561</v>
      </c>
      <c r="O2482" t="s">
        <v>1943</v>
      </c>
      <c r="P2482" t="s">
        <v>149</v>
      </c>
      <c r="Q2482">
        <v>128</v>
      </c>
      <c r="R2482" s="296">
        <v>0</v>
      </c>
      <c r="S2482" s="296">
        <v>0.98299999999999998</v>
      </c>
      <c r="T2482">
        <v>878</v>
      </c>
      <c r="U2482" s="340">
        <v>120634</v>
      </c>
      <c r="V2482" s="340">
        <v>486154</v>
      </c>
      <c r="W2482" s="297">
        <v>2137</v>
      </c>
      <c r="X2482" s="296">
        <v>1E-3</v>
      </c>
    </row>
    <row r="2483" spans="13:24">
      <c r="M2483">
        <v>2481</v>
      </c>
      <c r="N2483">
        <v>54026</v>
      </c>
      <c r="O2483" t="s">
        <v>1944</v>
      </c>
      <c r="P2483" t="s">
        <v>149</v>
      </c>
      <c r="Q2483">
        <v>319</v>
      </c>
      <c r="R2483" s="296">
        <v>0</v>
      </c>
      <c r="S2483" s="296">
        <v>0.98299999999999998</v>
      </c>
      <c r="T2483">
        <v>790</v>
      </c>
      <c r="U2483" s="340">
        <v>120606</v>
      </c>
      <c r="V2483" s="340">
        <v>386664</v>
      </c>
      <c r="W2483" s="297">
        <v>1985</v>
      </c>
      <c r="X2483" s="296">
        <v>2E-3</v>
      </c>
    </row>
    <row r="2484" spans="13:24">
      <c r="M2484">
        <v>2482</v>
      </c>
      <c r="N2484">
        <v>62265</v>
      </c>
      <c r="O2484" t="s">
        <v>1945</v>
      </c>
      <c r="P2484" t="s">
        <v>131</v>
      </c>
      <c r="Q2484">
        <v>269</v>
      </c>
      <c r="R2484" s="296">
        <v>0</v>
      </c>
      <c r="S2484" s="296">
        <v>0.98299999999999998</v>
      </c>
      <c r="T2484" s="297">
        <v>1674</v>
      </c>
      <c r="U2484" s="340">
        <v>120324</v>
      </c>
      <c r="V2484" s="340">
        <v>221401</v>
      </c>
      <c r="W2484" s="297">
        <v>4417</v>
      </c>
      <c r="X2484" s="296">
        <v>-1E-3</v>
      </c>
    </row>
    <row r="2485" spans="13:24">
      <c r="M2485">
        <v>2483</v>
      </c>
      <c r="N2485">
        <v>55113</v>
      </c>
      <c r="O2485" t="s">
        <v>445</v>
      </c>
      <c r="P2485" t="s">
        <v>151</v>
      </c>
      <c r="Q2485">
        <v>334</v>
      </c>
      <c r="R2485" s="296">
        <v>0</v>
      </c>
      <c r="S2485" s="296">
        <v>0.98299999999999998</v>
      </c>
      <c r="T2485" s="297">
        <v>17304</v>
      </c>
      <c r="U2485" s="340">
        <v>120316</v>
      </c>
      <c r="V2485" s="340">
        <v>432263</v>
      </c>
      <c r="W2485" s="297">
        <v>40680</v>
      </c>
      <c r="X2485" s="296">
        <v>0</v>
      </c>
    </row>
    <row r="2486" spans="13:24">
      <c r="M2486">
        <v>2484</v>
      </c>
      <c r="N2486">
        <v>55426</v>
      </c>
      <c r="O2486" t="s">
        <v>576</v>
      </c>
      <c r="P2486" t="s">
        <v>151</v>
      </c>
      <c r="Q2486">
        <v>341</v>
      </c>
      <c r="R2486" s="296">
        <v>0</v>
      </c>
      <c r="S2486" s="296">
        <v>0.98299999999999998</v>
      </c>
      <c r="T2486" s="297">
        <v>11917</v>
      </c>
      <c r="U2486" s="340">
        <v>120222</v>
      </c>
      <c r="V2486" s="340">
        <v>448307</v>
      </c>
      <c r="W2486" s="297">
        <v>26337</v>
      </c>
      <c r="X2486" s="296">
        <v>-6.0000000000000001E-3</v>
      </c>
    </row>
    <row r="2487" spans="13:24">
      <c r="M2487">
        <v>2485</v>
      </c>
      <c r="N2487">
        <v>48623</v>
      </c>
      <c r="O2487" t="s">
        <v>1946</v>
      </c>
      <c r="P2487" t="s">
        <v>140</v>
      </c>
      <c r="Q2487">
        <v>208</v>
      </c>
      <c r="R2487" s="296">
        <v>0</v>
      </c>
      <c r="S2487" s="296">
        <v>0.98299999999999998</v>
      </c>
      <c r="T2487" s="297">
        <v>5234</v>
      </c>
      <c r="U2487" s="340">
        <v>120139</v>
      </c>
      <c r="V2487" s="340">
        <v>300835</v>
      </c>
      <c r="W2487" s="297">
        <v>15331</v>
      </c>
      <c r="X2487" s="296">
        <v>1E-3</v>
      </c>
    </row>
    <row r="2488" spans="13:24">
      <c r="M2488">
        <v>2486</v>
      </c>
      <c r="N2488">
        <v>42103</v>
      </c>
      <c r="O2488" t="s">
        <v>1229</v>
      </c>
      <c r="P2488" t="s">
        <v>143</v>
      </c>
      <c r="Q2488">
        <v>367</v>
      </c>
      <c r="R2488" s="296">
        <v>0</v>
      </c>
      <c r="S2488" s="296">
        <v>0.98309999999999997</v>
      </c>
      <c r="T2488" s="297">
        <v>10597</v>
      </c>
      <c r="U2488" s="340">
        <v>120004</v>
      </c>
      <c r="V2488" s="340">
        <v>412349</v>
      </c>
      <c r="W2488" s="297">
        <v>25341</v>
      </c>
      <c r="X2488" s="296">
        <v>2.8000000000000001E-2</v>
      </c>
    </row>
    <row r="2489" spans="13:24">
      <c r="M2489">
        <v>2487</v>
      </c>
      <c r="N2489">
        <v>17519</v>
      </c>
      <c r="O2489" t="s">
        <v>1947</v>
      </c>
      <c r="P2489" t="s">
        <v>133</v>
      </c>
      <c r="Q2489">
        <v>627</v>
      </c>
      <c r="R2489" s="296">
        <v>0</v>
      </c>
      <c r="S2489" s="296">
        <v>0.98309999999999997</v>
      </c>
      <c r="T2489" s="297">
        <v>2197</v>
      </c>
      <c r="U2489" s="340">
        <v>119918</v>
      </c>
      <c r="V2489" s="340">
        <v>447280</v>
      </c>
      <c r="W2489" s="297">
        <v>6503</v>
      </c>
      <c r="X2489" s="296">
        <v>-1E-3</v>
      </c>
    </row>
    <row r="2490" spans="13:24">
      <c r="M2490">
        <v>2488</v>
      </c>
      <c r="N2490">
        <v>14226</v>
      </c>
      <c r="O2490" t="s">
        <v>789</v>
      </c>
      <c r="P2490" t="s">
        <v>128</v>
      </c>
      <c r="Q2490">
        <v>461</v>
      </c>
      <c r="R2490" s="296">
        <v>0</v>
      </c>
      <c r="S2490" s="296">
        <v>0.98309999999999997</v>
      </c>
      <c r="T2490" s="297">
        <v>13230</v>
      </c>
      <c r="U2490" s="340">
        <v>119775</v>
      </c>
      <c r="V2490" s="340">
        <v>331140</v>
      </c>
      <c r="W2490" s="297">
        <v>30983</v>
      </c>
      <c r="X2490" s="296">
        <v>6.0000000000000001E-3</v>
      </c>
    </row>
    <row r="2491" spans="13:24">
      <c r="M2491">
        <v>2489</v>
      </c>
      <c r="N2491">
        <v>55388</v>
      </c>
      <c r="O2491" t="s">
        <v>396</v>
      </c>
      <c r="P2491" t="s">
        <v>151</v>
      </c>
      <c r="Q2491">
        <v>360</v>
      </c>
      <c r="R2491" s="296">
        <v>0</v>
      </c>
      <c r="S2491" s="296">
        <v>0.98309999999999997</v>
      </c>
      <c r="T2491" s="297">
        <v>2313</v>
      </c>
      <c r="U2491" s="340">
        <v>119736</v>
      </c>
      <c r="V2491" s="340">
        <v>425319</v>
      </c>
      <c r="W2491" s="297">
        <v>6090</v>
      </c>
      <c r="X2491" s="296">
        <v>5.0000000000000001E-3</v>
      </c>
    </row>
    <row r="2492" spans="13:24">
      <c r="M2492">
        <v>2490</v>
      </c>
      <c r="N2492">
        <v>34117</v>
      </c>
      <c r="O2492" t="s">
        <v>322</v>
      </c>
      <c r="P2492" t="s">
        <v>127</v>
      </c>
      <c r="Q2492">
        <v>1164</v>
      </c>
      <c r="R2492" s="296">
        <v>0</v>
      </c>
      <c r="S2492" s="296">
        <v>0.98309999999999997</v>
      </c>
      <c r="T2492" s="297">
        <v>5893</v>
      </c>
      <c r="U2492" s="340">
        <v>119724</v>
      </c>
      <c r="V2492" s="340">
        <v>541681</v>
      </c>
      <c r="W2492" s="297">
        <v>17940</v>
      </c>
      <c r="X2492" s="296">
        <v>1.2999999999999999E-2</v>
      </c>
    </row>
    <row r="2493" spans="13:24">
      <c r="M2493">
        <v>2491</v>
      </c>
      <c r="N2493">
        <v>60421</v>
      </c>
      <c r="O2493" t="s">
        <v>1948</v>
      </c>
      <c r="P2493" t="s">
        <v>131</v>
      </c>
      <c r="Q2493">
        <v>52</v>
      </c>
      <c r="R2493" s="296">
        <v>0</v>
      </c>
      <c r="S2493" s="296">
        <v>0.98309999999999997</v>
      </c>
      <c r="T2493" s="297">
        <v>1507</v>
      </c>
      <c r="U2493" s="340">
        <v>119724</v>
      </c>
      <c r="V2493" s="340">
        <v>306778</v>
      </c>
      <c r="W2493" s="297">
        <v>3719</v>
      </c>
      <c r="X2493" s="296">
        <v>5.0000000000000001E-3</v>
      </c>
    </row>
    <row r="2494" spans="13:24">
      <c r="M2494">
        <v>2492</v>
      </c>
      <c r="N2494">
        <v>46538</v>
      </c>
      <c r="O2494" t="s">
        <v>1949</v>
      </c>
      <c r="P2494" t="s">
        <v>144</v>
      </c>
      <c r="Q2494">
        <v>116</v>
      </c>
      <c r="R2494" s="296">
        <v>0</v>
      </c>
      <c r="S2494" s="296">
        <v>0.98309999999999997</v>
      </c>
      <c r="T2494" s="297">
        <v>1736</v>
      </c>
      <c r="U2494" s="340">
        <v>119704</v>
      </c>
      <c r="V2494" s="340">
        <v>403090</v>
      </c>
      <c r="W2494" s="297">
        <v>4340</v>
      </c>
      <c r="X2494" s="296">
        <v>1E-3</v>
      </c>
    </row>
    <row r="2495" spans="13:24">
      <c r="M2495">
        <v>2493</v>
      </c>
      <c r="N2495">
        <v>58077</v>
      </c>
      <c r="O2495" t="s">
        <v>1950</v>
      </c>
      <c r="P2495" t="s">
        <v>193</v>
      </c>
      <c r="Q2495">
        <v>548</v>
      </c>
      <c r="R2495" s="296">
        <v>0</v>
      </c>
      <c r="S2495" s="296">
        <v>0.98309999999999997</v>
      </c>
      <c r="T2495">
        <v>309</v>
      </c>
      <c r="U2495" s="340">
        <v>119687</v>
      </c>
      <c r="V2495" s="340">
        <v>298670</v>
      </c>
      <c r="W2495">
        <v>868</v>
      </c>
      <c r="X2495" s="296">
        <v>-3.0000000000000001E-3</v>
      </c>
    </row>
    <row r="2496" spans="13:24">
      <c r="M2496">
        <v>2494</v>
      </c>
      <c r="N2496">
        <v>49684</v>
      </c>
      <c r="O2496" t="s">
        <v>1095</v>
      </c>
      <c r="P2496" t="s">
        <v>140</v>
      </c>
      <c r="Q2496">
        <v>205</v>
      </c>
      <c r="R2496" s="296">
        <v>0</v>
      </c>
      <c r="S2496" s="296">
        <v>0.98319999999999996</v>
      </c>
      <c r="T2496" s="297">
        <v>10527</v>
      </c>
      <c r="U2496" s="340">
        <v>119673</v>
      </c>
      <c r="V2496" s="340">
        <v>505416</v>
      </c>
      <c r="W2496" s="297">
        <v>22812</v>
      </c>
      <c r="X2496" s="296">
        <v>7.0000000000000001E-3</v>
      </c>
    </row>
    <row r="2497" spans="13:24">
      <c r="M2497">
        <v>2495</v>
      </c>
      <c r="N2497">
        <v>30184</v>
      </c>
      <c r="O2497" t="s">
        <v>1951</v>
      </c>
      <c r="P2497" t="s">
        <v>130</v>
      </c>
      <c r="Q2497">
        <v>570</v>
      </c>
      <c r="R2497" s="296">
        <v>0</v>
      </c>
      <c r="S2497" s="296">
        <v>0.98319999999999996</v>
      </c>
      <c r="T2497" s="297">
        <v>2808</v>
      </c>
      <c r="U2497" s="340">
        <v>119599</v>
      </c>
      <c r="V2497" s="340">
        <v>423017</v>
      </c>
      <c r="W2497" s="297">
        <v>7918</v>
      </c>
      <c r="X2497" s="296">
        <v>0.01</v>
      </c>
    </row>
    <row r="2498" spans="13:24">
      <c r="M2498">
        <v>2496</v>
      </c>
      <c r="N2498">
        <v>54742</v>
      </c>
      <c r="O2498" t="s">
        <v>1952</v>
      </c>
      <c r="P2498" t="s">
        <v>149</v>
      </c>
      <c r="Q2498">
        <v>251</v>
      </c>
      <c r="R2498" s="296">
        <v>0</v>
      </c>
      <c r="S2498" s="296">
        <v>0.98319999999999996</v>
      </c>
      <c r="T2498" s="297">
        <v>1845</v>
      </c>
      <c r="U2498" s="340">
        <v>119554</v>
      </c>
      <c r="V2498" s="340">
        <v>404387</v>
      </c>
      <c r="W2498" s="297">
        <v>4838</v>
      </c>
      <c r="X2498" s="296">
        <v>1E-3</v>
      </c>
    </row>
    <row r="2499" spans="13:24">
      <c r="M2499">
        <v>2497</v>
      </c>
      <c r="N2499">
        <v>37219</v>
      </c>
      <c r="O2499" t="s">
        <v>500</v>
      </c>
      <c r="P2499" t="s">
        <v>146</v>
      </c>
      <c r="Q2499">
        <v>417</v>
      </c>
      <c r="R2499" s="296">
        <v>0</v>
      </c>
      <c r="S2499" s="296">
        <v>0.98319999999999996</v>
      </c>
      <c r="T2499" s="297">
        <v>1736</v>
      </c>
      <c r="U2499" s="340">
        <v>119530</v>
      </c>
      <c r="V2499" s="340">
        <v>784091</v>
      </c>
      <c r="W2499" s="297">
        <v>2071</v>
      </c>
      <c r="X2499" s="296">
        <v>-1.7999999999999999E-2</v>
      </c>
    </row>
    <row r="2500" spans="13:24">
      <c r="M2500">
        <v>2498</v>
      </c>
      <c r="N2500">
        <v>36879</v>
      </c>
      <c r="O2500" t="s">
        <v>1953</v>
      </c>
      <c r="P2500" t="s">
        <v>154</v>
      </c>
      <c r="Q2500">
        <v>660</v>
      </c>
      <c r="R2500" s="296">
        <v>0</v>
      </c>
      <c r="S2500" s="296">
        <v>0.98319999999999996</v>
      </c>
      <c r="T2500" s="297">
        <v>1252</v>
      </c>
      <c r="U2500" s="340">
        <v>119512</v>
      </c>
      <c r="V2500" s="340">
        <v>345651</v>
      </c>
      <c r="W2500" s="297">
        <v>3328</v>
      </c>
      <c r="X2500" s="296">
        <v>2.8000000000000001E-2</v>
      </c>
    </row>
    <row r="2501" spans="13:24">
      <c r="M2501">
        <v>2499</v>
      </c>
      <c r="N2501">
        <v>1007</v>
      </c>
      <c r="O2501" t="s">
        <v>1954</v>
      </c>
      <c r="P2501" t="s">
        <v>135</v>
      </c>
      <c r="Q2501">
        <v>786</v>
      </c>
      <c r="R2501" s="296">
        <v>0</v>
      </c>
      <c r="S2501" s="296">
        <v>0.98319999999999996</v>
      </c>
      <c r="T2501" s="297">
        <v>6095</v>
      </c>
      <c r="U2501" s="340">
        <v>119503</v>
      </c>
      <c r="V2501" s="340">
        <v>412917</v>
      </c>
      <c r="W2501" s="297">
        <v>15151</v>
      </c>
      <c r="X2501" s="296">
        <v>-3.0000000000000001E-3</v>
      </c>
    </row>
    <row r="2502" spans="13:24">
      <c r="M2502">
        <v>2500</v>
      </c>
      <c r="N2502">
        <v>44124</v>
      </c>
      <c r="O2502" t="s">
        <v>1251</v>
      </c>
      <c r="P2502" t="s">
        <v>136</v>
      </c>
      <c r="Q2502">
        <v>328</v>
      </c>
      <c r="R2502" s="296">
        <v>0</v>
      </c>
      <c r="S2502" s="296">
        <v>0.98319999999999996</v>
      </c>
      <c r="T2502" s="297">
        <v>18686</v>
      </c>
      <c r="U2502" s="340">
        <v>119334</v>
      </c>
      <c r="V2502" s="340">
        <v>285822</v>
      </c>
      <c r="W2502" s="297">
        <v>40446</v>
      </c>
      <c r="X2502" s="296">
        <v>-1E-3</v>
      </c>
    </row>
    <row r="2503" spans="13:24">
      <c r="M2503">
        <v>2501</v>
      </c>
      <c r="N2503">
        <v>44081</v>
      </c>
      <c r="O2503" t="s">
        <v>1955</v>
      </c>
      <c r="P2503" t="s">
        <v>136</v>
      </c>
      <c r="Q2503">
        <v>342</v>
      </c>
      <c r="R2503" s="296">
        <v>0</v>
      </c>
      <c r="S2503" s="296">
        <v>0.98319999999999996</v>
      </c>
      <c r="T2503" s="297">
        <v>2670</v>
      </c>
      <c r="U2503" s="340">
        <v>119252</v>
      </c>
      <c r="V2503" s="340">
        <v>292721</v>
      </c>
      <c r="W2503" s="297">
        <v>7097</v>
      </c>
      <c r="X2503" s="296">
        <v>2E-3</v>
      </c>
    </row>
    <row r="2504" spans="13:24">
      <c r="M2504">
        <v>2502</v>
      </c>
      <c r="N2504">
        <v>55056</v>
      </c>
      <c r="O2504" t="s">
        <v>1956</v>
      </c>
      <c r="P2504" t="s">
        <v>151</v>
      </c>
      <c r="Q2504">
        <v>347</v>
      </c>
      <c r="R2504" s="296">
        <v>0</v>
      </c>
      <c r="S2504" s="296">
        <v>0.98329999999999995</v>
      </c>
      <c r="T2504" s="297">
        <v>5638</v>
      </c>
      <c r="U2504" s="340">
        <v>119234</v>
      </c>
      <c r="V2504" s="340">
        <v>364990</v>
      </c>
      <c r="W2504" s="297">
        <v>15451</v>
      </c>
      <c r="X2504" s="296">
        <v>1.7000000000000001E-2</v>
      </c>
    </row>
    <row r="2505" spans="13:24">
      <c r="M2505">
        <v>2503</v>
      </c>
      <c r="N2505">
        <v>53589</v>
      </c>
      <c r="O2505" t="s">
        <v>397</v>
      </c>
      <c r="P2505" t="s">
        <v>149</v>
      </c>
      <c r="Q2505">
        <v>90</v>
      </c>
      <c r="R2505" s="296">
        <v>0</v>
      </c>
      <c r="S2505" s="296">
        <v>0.98329999999999995</v>
      </c>
      <c r="T2505" s="297">
        <v>8445</v>
      </c>
      <c r="U2505" s="340">
        <v>119170</v>
      </c>
      <c r="V2505" s="340">
        <v>472569</v>
      </c>
      <c r="W2505" s="297">
        <v>20243</v>
      </c>
      <c r="X2505" s="296">
        <v>3.0000000000000001E-3</v>
      </c>
    </row>
    <row r="2506" spans="13:24">
      <c r="M2506">
        <v>2504</v>
      </c>
      <c r="N2506">
        <v>80223</v>
      </c>
      <c r="O2506" t="s">
        <v>330</v>
      </c>
      <c r="P2506" t="s">
        <v>142</v>
      </c>
      <c r="Q2506">
        <v>913</v>
      </c>
      <c r="R2506" s="296">
        <v>0</v>
      </c>
      <c r="S2506" s="296">
        <v>0.98329999999999995</v>
      </c>
      <c r="T2506" s="297">
        <v>10294</v>
      </c>
      <c r="U2506" s="340">
        <v>119049</v>
      </c>
      <c r="V2506" s="340">
        <v>662873</v>
      </c>
      <c r="W2506" s="297">
        <v>23608</v>
      </c>
      <c r="X2506" s="296">
        <v>2.5999999999999999E-2</v>
      </c>
    </row>
    <row r="2507" spans="13:24">
      <c r="M2507">
        <v>2505</v>
      </c>
      <c r="N2507">
        <v>7882</v>
      </c>
      <c r="O2507" t="s">
        <v>225</v>
      </c>
      <c r="P2507" t="s">
        <v>129</v>
      </c>
      <c r="Q2507">
        <v>669</v>
      </c>
      <c r="R2507" s="296">
        <v>0</v>
      </c>
      <c r="S2507" s="296">
        <v>0.98329999999999995</v>
      </c>
      <c r="T2507" s="297">
        <v>6188</v>
      </c>
      <c r="U2507" s="340">
        <v>118806</v>
      </c>
      <c r="V2507" s="340">
        <v>364137</v>
      </c>
      <c r="W2507" s="297">
        <v>15391</v>
      </c>
      <c r="X2507" s="296">
        <v>8.9999999999999993E-3</v>
      </c>
    </row>
    <row r="2508" spans="13:24">
      <c r="M2508">
        <v>2506</v>
      </c>
      <c r="N2508">
        <v>10801</v>
      </c>
      <c r="O2508" t="s">
        <v>1957</v>
      </c>
      <c r="P2508" t="s">
        <v>128</v>
      </c>
      <c r="Q2508">
        <v>728</v>
      </c>
      <c r="R2508" s="296">
        <v>0</v>
      </c>
      <c r="S2508" s="296">
        <v>0.98329999999999995</v>
      </c>
      <c r="T2508" s="297">
        <v>15427</v>
      </c>
      <c r="U2508" s="340">
        <v>118732</v>
      </c>
      <c r="V2508" s="340">
        <v>618107</v>
      </c>
      <c r="W2508" s="297">
        <v>44615</v>
      </c>
      <c r="X2508" s="296">
        <v>1.2999999999999999E-2</v>
      </c>
    </row>
    <row r="2509" spans="13:24">
      <c r="M2509">
        <v>2507</v>
      </c>
      <c r="N2509">
        <v>2128</v>
      </c>
      <c r="O2509" t="s">
        <v>381</v>
      </c>
      <c r="P2509" t="s">
        <v>135</v>
      </c>
      <c r="Q2509">
        <v>856</v>
      </c>
      <c r="R2509" s="296">
        <v>0</v>
      </c>
      <c r="S2509" s="296">
        <v>0.98329999999999995</v>
      </c>
      <c r="T2509" s="297">
        <v>17327</v>
      </c>
      <c r="U2509" s="340">
        <v>118638</v>
      </c>
      <c r="V2509" s="340">
        <v>810408</v>
      </c>
      <c r="W2509" s="297">
        <v>43685</v>
      </c>
      <c r="X2509" s="296">
        <v>3.0000000000000001E-3</v>
      </c>
    </row>
    <row r="2510" spans="13:24">
      <c r="M2510">
        <v>2508</v>
      </c>
      <c r="N2510">
        <v>17584</v>
      </c>
      <c r="O2510" t="s">
        <v>1958</v>
      </c>
      <c r="P2510" t="s">
        <v>133</v>
      </c>
      <c r="Q2510">
        <v>619</v>
      </c>
      <c r="R2510" s="296">
        <v>0</v>
      </c>
      <c r="S2510" s="296">
        <v>0.98329999999999995</v>
      </c>
      <c r="T2510" s="297">
        <v>4721</v>
      </c>
      <c r="U2510" s="340">
        <v>118635</v>
      </c>
      <c r="V2510" s="340">
        <v>426395</v>
      </c>
      <c r="W2510" s="297">
        <v>10571</v>
      </c>
      <c r="X2510" s="296">
        <v>1E-3</v>
      </c>
    </row>
    <row r="2511" spans="13:24">
      <c r="M2511">
        <v>2509</v>
      </c>
      <c r="N2511">
        <v>43062</v>
      </c>
      <c r="O2511" t="s">
        <v>1959</v>
      </c>
      <c r="P2511" t="s">
        <v>136</v>
      </c>
      <c r="Q2511">
        <v>304</v>
      </c>
      <c r="R2511" s="296">
        <v>0</v>
      </c>
      <c r="S2511" s="296">
        <v>0.98329999999999995</v>
      </c>
      <c r="T2511" s="297">
        <v>12452</v>
      </c>
      <c r="U2511" s="340">
        <v>118627</v>
      </c>
      <c r="V2511" s="340">
        <v>401797</v>
      </c>
      <c r="W2511" s="297">
        <v>34431</v>
      </c>
      <c r="X2511" s="296">
        <v>1.4E-2</v>
      </c>
    </row>
    <row r="2512" spans="13:24">
      <c r="M2512">
        <v>2510</v>
      </c>
      <c r="N2512">
        <v>30135</v>
      </c>
      <c r="O2512" t="s">
        <v>1960</v>
      </c>
      <c r="P2512" t="s">
        <v>130</v>
      </c>
      <c r="Q2512">
        <v>607</v>
      </c>
      <c r="R2512" s="296">
        <v>0</v>
      </c>
      <c r="S2512" s="296">
        <v>0.98340000000000005</v>
      </c>
      <c r="T2512" s="297">
        <v>24194</v>
      </c>
      <c r="U2512" s="340">
        <v>118551</v>
      </c>
      <c r="V2512" s="340">
        <v>366397</v>
      </c>
      <c r="W2512" s="297">
        <v>71099</v>
      </c>
      <c r="X2512" s="296">
        <v>1.2999999999999999E-2</v>
      </c>
    </row>
    <row r="2513" spans="13:24">
      <c r="M2513">
        <v>2511</v>
      </c>
      <c r="N2513">
        <v>54022</v>
      </c>
      <c r="O2513" t="s">
        <v>1961</v>
      </c>
      <c r="P2513" t="s">
        <v>149</v>
      </c>
      <c r="Q2513">
        <v>305</v>
      </c>
      <c r="R2513" s="296">
        <v>0</v>
      </c>
      <c r="S2513" s="296">
        <v>0.98340000000000005</v>
      </c>
      <c r="T2513" s="297">
        <v>9033</v>
      </c>
      <c r="U2513" s="340">
        <v>118393</v>
      </c>
      <c r="V2513" s="340">
        <v>412309</v>
      </c>
      <c r="W2513" s="297">
        <v>24262</v>
      </c>
      <c r="X2513" s="296">
        <v>6.0000000000000001E-3</v>
      </c>
    </row>
    <row r="2514" spans="13:24">
      <c r="M2514">
        <v>2512</v>
      </c>
      <c r="N2514">
        <v>46204</v>
      </c>
      <c r="O2514" t="s">
        <v>561</v>
      </c>
      <c r="P2514" t="s">
        <v>144</v>
      </c>
      <c r="Q2514">
        <v>185</v>
      </c>
      <c r="R2514" s="296">
        <v>0</v>
      </c>
      <c r="S2514" s="296">
        <v>0.98340000000000005</v>
      </c>
      <c r="T2514" s="297">
        <v>5806</v>
      </c>
      <c r="U2514" s="340">
        <v>118381</v>
      </c>
      <c r="V2514" s="340">
        <v>437310</v>
      </c>
      <c r="W2514" s="297">
        <v>9530</v>
      </c>
      <c r="X2514" s="296">
        <v>1.2999999999999999E-2</v>
      </c>
    </row>
    <row r="2515" spans="13:24">
      <c r="M2515">
        <v>2513</v>
      </c>
      <c r="N2515">
        <v>29582</v>
      </c>
      <c r="O2515" t="s">
        <v>786</v>
      </c>
      <c r="P2515" t="s">
        <v>145</v>
      </c>
      <c r="Q2515">
        <v>759</v>
      </c>
      <c r="R2515" s="296">
        <v>0</v>
      </c>
      <c r="S2515" s="296">
        <v>0.98340000000000005</v>
      </c>
      <c r="T2515" s="297">
        <v>10880</v>
      </c>
      <c r="U2515" s="340">
        <v>118333</v>
      </c>
      <c r="V2515" s="340">
        <v>454258</v>
      </c>
      <c r="W2515" s="297">
        <v>21154</v>
      </c>
      <c r="X2515" s="296">
        <v>2.7E-2</v>
      </c>
    </row>
    <row r="2516" spans="13:24">
      <c r="M2516">
        <v>2514</v>
      </c>
      <c r="N2516">
        <v>11421</v>
      </c>
      <c r="O2516" t="s">
        <v>1962</v>
      </c>
      <c r="P2516" t="s">
        <v>128</v>
      </c>
      <c r="Q2516">
        <v>728</v>
      </c>
      <c r="R2516" s="296">
        <v>0</v>
      </c>
      <c r="S2516" s="296">
        <v>0.98340000000000005</v>
      </c>
      <c r="T2516" s="297">
        <v>12389</v>
      </c>
      <c r="U2516" s="340">
        <v>118311</v>
      </c>
      <c r="V2516" s="340">
        <v>772441</v>
      </c>
      <c r="W2516" s="297">
        <v>41627</v>
      </c>
      <c r="X2516" s="296">
        <v>-5.0000000000000001E-3</v>
      </c>
    </row>
    <row r="2517" spans="13:24">
      <c r="M2517">
        <v>2515</v>
      </c>
      <c r="N2517">
        <v>48083</v>
      </c>
      <c r="O2517" t="s">
        <v>511</v>
      </c>
      <c r="P2517" t="s">
        <v>140</v>
      </c>
      <c r="Q2517">
        <v>240</v>
      </c>
      <c r="R2517" s="296">
        <v>0</v>
      </c>
      <c r="S2517" s="296">
        <v>0.98340000000000005</v>
      </c>
      <c r="T2517" s="297">
        <v>10374</v>
      </c>
      <c r="U2517" s="340">
        <v>118299</v>
      </c>
      <c r="V2517" s="340">
        <v>389231</v>
      </c>
      <c r="W2517" s="297">
        <v>24706</v>
      </c>
      <c r="X2517" s="296">
        <v>7.0000000000000001E-3</v>
      </c>
    </row>
    <row r="2518" spans="13:24">
      <c r="M2518">
        <v>2516</v>
      </c>
      <c r="N2518">
        <v>50265</v>
      </c>
      <c r="O2518" t="s">
        <v>1109</v>
      </c>
      <c r="P2518" t="s">
        <v>170</v>
      </c>
      <c r="Q2518">
        <v>309</v>
      </c>
      <c r="R2518" s="296">
        <v>0</v>
      </c>
      <c r="S2518" s="296">
        <v>0.98340000000000005</v>
      </c>
      <c r="T2518" s="297">
        <v>14173</v>
      </c>
      <c r="U2518" s="340">
        <v>118228</v>
      </c>
      <c r="V2518" s="340">
        <v>343867</v>
      </c>
      <c r="W2518" s="297">
        <v>32744</v>
      </c>
      <c r="X2518" s="296">
        <v>6.0000000000000001E-3</v>
      </c>
    </row>
    <row r="2519" spans="13:24">
      <c r="M2519">
        <v>2517</v>
      </c>
      <c r="N2519">
        <v>55085</v>
      </c>
      <c r="O2519" t="s">
        <v>1963</v>
      </c>
      <c r="P2519" t="s">
        <v>151</v>
      </c>
      <c r="Q2519">
        <v>313</v>
      </c>
      <c r="R2519" s="296">
        <v>0</v>
      </c>
      <c r="S2519" s="296">
        <v>0.98340000000000005</v>
      </c>
      <c r="T2519">
        <v>158</v>
      </c>
      <c r="U2519" s="340">
        <v>118161</v>
      </c>
      <c r="V2519" s="340">
        <v>482692</v>
      </c>
      <c r="W2519">
        <v>403</v>
      </c>
      <c r="X2519" s="296">
        <v>-5.0000000000000001E-3</v>
      </c>
    </row>
    <row r="2520" spans="13:24">
      <c r="M2520">
        <v>2518</v>
      </c>
      <c r="N2520">
        <v>77536</v>
      </c>
      <c r="O2520" t="s">
        <v>1964</v>
      </c>
      <c r="P2520" t="s">
        <v>134</v>
      </c>
      <c r="Q2520">
        <v>952</v>
      </c>
      <c r="R2520" s="296">
        <v>0</v>
      </c>
      <c r="S2520" s="296">
        <v>0.98350000000000004</v>
      </c>
      <c r="T2520" s="297">
        <v>11887</v>
      </c>
      <c r="U2520" s="340">
        <v>118128</v>
      </c>
      <c r="V2520" s="340">
        <v>329840</v>
      </c>
      <c r="W2520" s="297">
        <v>34055</v>
      </c>
      <c r="X2520" s="296">
        <v>-2E-3</v>
      </c>
    </row>
    <row r="2521" spans="13:24">
      <c r="M2521">
        <v>2519</v>
      </c>
      <c r="N2521">
        <v>8005</v>
      </c>
      <c r="O2521" t="s">
        <v>1965</v>
      </c>
      <c r="P2521" t="s">
        <v>129</v>
      </c>
      <c r="Q2521">
        <v>720</v>
      </c>
      <c r="R2521" s="296">
        <v>0</v>
      </c>
      <c r="S2521" s="296">
        <v>0.98350000000000004</v>
      </c>
      <c r="T2521" s="297">
        <v>11400</v>
      </c>
      <c r="U2521" s="340">
        <v>118054</v>
      </c>
      <c r="V2521" s="340">
        <v>429846</v>
      </c>
      <c r="W2521" s="297">
        <v>27858</v>
      </c>
      <c r="X2521" s="296">
        <v>1.6E-2</v>
      </c>
    </row>
    <row r="2522" spans="13:24">
      <c r="M2522">
        <v>2520</v>
      </c>
      <c r="N2522">
        <v>30052</v>
      </c>
      <c r="O2522" t="s">
        <v>1966</v>
      </c>
      <c r="P2522" t="s">
        <v>130</v>
      </c>
      <c r="Q2522">
        <v>609</v>
      </c>
      <c r="R2522" s="296">
        <v>0</v>
      </c>
      <c r="S2522" s="296">
        <v>0.98350000000000004</v>
      </c>
      <c r="T2522" s="297">
        <v>26701</v>
      </c>
      <c r="U2522" s="340">
        <v>117996</v>
      </c>
      <c r="V2522" s="340">
        <v>405929</v>
      </c>
      <c r="W2522" s="297">
        <v>83329</v>
      </c>
      <c r="X2522" s="296">
        <v>2.7E-2</v>
      </c>
    </row>
    <row r="2523" spans="13:24">
      <c r="M2523">
        <v>2521</v>
      </c>
      <c r="N2523">
        <v>48336</v>
      </c>
      <c r="O2523" t="s">
        <v>533</v>
      </c>
      <c r="P2523" t="s">
        <v>140</v>
      </c>
      <c r="Q2523">
        <v>228</v>
      </c>
      <c r="R2523" s="296">
        <v>0</v>
      </c>
      <c r="S2523" s="296">
        <v>0.98350000000000004</v>
      </c>
      <c r="T2523" s="297">
        <v>11462</v>
      </c>
      <c r="U2523" s="340">
        <v>117952</v>
      </c>
      <c r="V2523" s="340">
        <v>274430</v>
      </c>
      <c r="W2523" s="297">
        <v>25896</v>
      </c>
      <c r="X2523" s="296">
        <v>-4.0000000000000001E-3</v>
      </c>
    </row>
    <row r="2524" spans="13:24">
      <c r="M2524">
        <v>2522</v>
      </c>
      <c r="N2524">
        <v>43537</v>
      </c>
      <c r="O2524" t="s">
        <v>1967</v>
      </c>
      <c r="P2524" t="s">
        <v>136</v>
      </c>
      <c r="Q2524">
        <v>215</v>
      </c>
      <c r="R2524" s="296">
        <v>0</v>
      </c>
      <c r="S2524" s="296">
        <v>0.98350000000000004</v>
      </c>
      <c r="T2524" s="297">
        <v>12502</v>
      </c>
      <c r="U2524" s="340">
        <v>117834</v>
      </c>
      <c r="V2524" s="340">
        <v>267742</v>
      </c>
      <c r="W2524" s="297">
        <v>28876</v>
      </c>
      <c r="X2524" s="296">
        <v>-4.0000000000000001E-3</v>
      </c>
    </row>
    <row r="2525" spans="13:24">
      <c r="M2525">
        <v>2523</v>
      </c>
      <c r="N2525">
        <v>50009</v>
      </c>
      <c r="O2525" t="s">
        <v>1968</v>
      </c>
      <c r="P2525" t="s">
        <v>170</v>
      </c>
      <c r="Q2525">
        <v>294</v>
      </c>
      <c r="R2525" s="296">
        <v>0</v>
      </c>
      <c r="S2525" s="296">
        <v>0.98350000000000004</v>
      </c>
      <c r="T2525" s="297">
        <v>9190</v>
      </c>
      <c r="U2525" s="340">
        <v>117665</v>
      </c>
      <c r="V2525" s="340">
        <v>317011</v>
      </c>
      <c r="W2525" s="297">
        <v>23715</v>
      </c>
      <c r="X2525" s="296">
        <v>2.4E-2</v>
      </c>
    </row>
    <row r="2526" spans="13:24">
      <c r="M2526">
        <v>2524</v>
      </c>
      <c r="N2526">
        <v>94102</v>
      </c>
      <c r="O2526" t="s">
        <v>290</v>
      </c>
      <c r="P2526" t="s">
        <v>132</v>
      </c>
      <c r="Q2526">
        <v>1846</v>
      </c>
      <c r="R2526" s="296">
        <v>0</v>
      </c>
      <c r="S2526" s="296">
        <v>0.98350000000000004</v>
      </c>
      <c r="T2526" s="297">
        <v>21046</v>
      </c>
      <c r="U2526" s="340">
        <v>117613</v>
      </c>
      <c r="V2526" s="340">
        <v>1252359</v>
      </c>
      <c r="W2526" s="297">
        <v>41271</v>
      </c>
      <c r="X2526" s="296">
        <v>5.0000000000000001E-3</v>
      </c>
    </row>
    <row r="2527" spans="13:24">
      <c r="M2527">
        <v>2525</v>
      </c>
      <c r="N2527">
        <v>76102</v>
      </c>
      <c r="O2527" t="s">
        <v>688</v>
      </c>
      <c r="P2527" t="s">
        <v>134</v>
      </c>
      <c r="Q2527">
        <v>832</v>
      </c>
      <c r="R2527" s="296">
        <v>0</v>
      </c>
      <c r="S2527" s="296">
        <v>0.98350000000000004</v>
      </c>
      <c r="T2527" s="297">
        <v>5767</v>
      </c>
      <c r="U2527" s="340">
        <v>117558</v>
      </c>
      <c r="V2527" s="340">
        <v>497590</v>
      </c>
      <c r="W2527" s="297">
        <v>15238</v>
      </c>
      <c r="X2527" s="296">
        <v>3.1E-2</v>
      </c>
    </row>
    <row r="2528" spans="13:24">
      <c r="M2528">
        <v>2526</v>
      </c>
      <c r="N2528">
        <v>15239</v>
      </c>
      <c r="O2528" t="s">
        <v>569</v>
      </c>
      <c r="P2528" t="s">
        <v>133</v>
      </c>
      <c r="Q2528">
        <v>433</v>
      </c>
      <c r="R2528" s="296">
        <v>0</v>
      </c>
      <c r="S2528" s="296">
        <v>0.98360000000000003</v>
      </c>
      <c r="T2528" s="297">
        <v>8324</v>
      </c>
      <c r="U2528" s="340">
        <v>117521</v>
      </c>
      <c r="V2528" s="340">
        <v>303868</v>
      </c>
      <c r="W2528" s="297">
        <v>20279</v>
      </c>
      <c r="X2528" s="296">
        <v>-5.0000000000000001E-3</v>
      </c>
    </row>
    <row r="2529" spans="13:24">
      <c r="M2529">
        <v>2527</v>
      </c>
      <c r="N2529">
        <v>55344</v>
      </c>
      <c r="O2529" t="s">
        <v>1392</v>
      </c>
      <c r="P2529" t="s">
        <v>151</v>
      </c>
      <c r="Q2529">
        <v>339</v>
      </c>
      <c r="R2529" s="296">
        <v>0</v>
      </c>
      <c r="S2529" s="296">
        <v>0.98360000000000003</v>
      </c>
      <c r="T2529" s="297">
        <v>6562</v>
      </c>
      <c r="U2529" s="340">
        <v>117354</v>
      </c>
      <c r="V2529" s="340">
        <v>553320</v>
      </c>
      <c r="W2529" s="297">
        <v>14654</v>
      </c>
      <c r="X2529" s="296">
        <v>8.9999999999999993E-3</v>
      </c>
    </row>
    <row r="2530" spans="13:24">
      <c r="M2530">
        <v>2528</v>
      </c>
      <c r="N2530">
        <v>92262</v>
      </c>
      <c r="O2530" t="s">
        <v>1917</v>
      </c>
      <c r="P2530" t="s">
        <v>132</v>
      </c>
      <c r="Q2530">
        <v>1658</v>
      </c>
      <c r="R2530" s="296">
        <v>0</v>
      </c>
      <c r="S2530" s="296">
        <v>0.98360000000000003</v>
      </c>
      <c r="T2530" s="297">
        <v>14208</v>
      </c>
      <c r="U2530" s="340">
        <v>117339</v>
      </c>
      <c r="V2530" s="340">
        <v>796767</v>
      </c>
      <c r="W2530" s="297">
        <v>28721</v>
      </c>
      <c r="X2530" s="296">
        <v>1.2999999999999999E-2</v>
      </c>
    </row>
    <row r="2531" spans="13:24">
      <c r="M2531">
        <v>2529</v>
      </c>
      <c r="N2531">
        <v>15642</v>
      </c>
      <c r="O2531" t="s">
        <v>1969</v>
      </c>
      <c r="P2531" t="s">
        <v>133</v>
      </c>
      <c r="Q2531">
        <v>438</v>
      </c>
      <c r="R2531" s="296">
        <v>0</v>
      </c>
      <c r="S2531" s="296">
        <v>0.98360000000000003</v>
      </c>
      <c r="T2531" s="297">
        <v>19213</v>
      </c>
      <c r="U2531" s="340">
        <v>117225</v>
      </c>
      <c r="V2531" s="340">
        <v>317917</v>
      </c>
      <c r="W2531" s="297">
        <v>45905</v>
      </c>
      <c r="X2531" s="296">
        <v>-3.0000000000000001E-3</v>
      </c>
    </row>
    <row r="2532" spans="13:24">
      <c r="M2532">
        <v>2530</v>
      </c>
      <c r="N2532">
        <v>29414</v>
      </c>
      <c r="O2532" t="s">
        <v>431</v>
      </c>
      <c r="P2532" t="s">
        <v>145</v>
      </c>
      <c r="Q2532">
        <v>771</v>
      </c>
      <c r="R2532" s="296">
        <v>0</v>
      </c>
      <c r="S2532" s="296">
        <v>0.98360000000000003</v>
      </c>
      <c r="T2532" s="297">
        <v>21113</v>
      </c>
      <c r="U2532" s="340">
        <v>117192</v>
      </c>
      <c r="V2532" s="340">
        <v>479701</v>
      </c>
      <c r="W2532" s="297">
        <v>47404</v>
      </c>
      <c r="X2532" s="296">
        <v>1.0999999999999999E-2</v>
      </c>
    </row>
    <row r="2533" spans="13:24">
      <c r="M2533">
        <v>2531</v>
      </c>
      <c r="N2533">
        <v>75154</v>
      </c>
      <c r="O2533" t="s">
        <v>1970</v>
      </c>
      <c r="P2533" t="s">
        <v>134</v>
      </c>
      <c r="Q2533">
        <v>828</v>
      </c>
      <c r="R2533" s="296">
        <v>0</v>
      </c>
      <c r="S2533" s="296">
        <v>0.98360000000000003</v>
      </c>
      <c r="T2533" s="297">
        <v>17431</v>
      </c>
      <c r="U2533" s="340">
        <v>117013</v>
      </c>
      <c r="V2533" s="340">
        <v>354685</v>
      </c>
      <c r="W2533" s="297">
        <v>52253</v>
      </c>
      <c r="X2533" s="296">
        <v>3.4000000000000002E-2</v>
      </c>
    </row>
    <row r="2534" spans="13:24">
      <c r="M2534">
        <v>2532</v>
      </c>
      <c r="N2534">
        <v>17055</v>
      </c>
      <c r="O2534" t="s">
        <v>1971</v>
      </c>
      <c r="P2534" t="s">
        <v>133</v>
      </c>
      <c r="Q2534">
        <v>577</v>
      </c>
      <c r="R2534" s="296">
        <v>0</v>
      </c>
      <c r="S2534" s="296">
        <v>0.98360000000000003</v>
      </c>
      <c r="T2534" s="297">
        <v>18181</v>
      </c>
      <c r="U2534" s="340">
        <v>116990</v>
      </c>
      <c r="V2534" s="340">
        <v>354961</v>
      </c>
      <c r="W2534" s="297">
        <v>45506</v>
      </c>
      <c r="X2534" s="296">
        <v>0.02</v>
      </c>
    </row>
    <row r="2535" spans="13:24">
      <c r="M2535">
        <v>2533</v>
      </c>
      <c r="N2535">
        <v>84074</v>
      </c>
      <c r="O2535" t="s">
        <v>1972</v>
      </c>
      <c r="P2535" t="s">
        <v>219</v>
      </c>
      <c r="Q2535">
        <v>1276</v>
      </c>
      <c r="R2535" s="296">
        <v>0</v>
      </c>
      <c r="S2535" s="296">
        <v>0.98360000000000003</v>
      </c>
      <c r="T2535" s="297">
        <v>19057</v>
      </c>
      <c r="U2535" s="340">
        <v>116903</v>
      </c>
      <c r="V2535" s="340">
        <v>447579</v>
      </c>
      <c r="W2535" s="297">
        <v>63082</v>
      </c>
      <c r="X2535" s="296">
        <v>3.1E-2</v>
      </c>
    </row>
    <row r="2536" spans="13:24">
      <c r="M2536">
        <v>2534</v>
      </c>
      <c r="N2536">
        <v>55418</v>
      </c>
      <c r="O2536" t="s">
        <v>576</v>
      </c>
      <c r="P2536" t="s">
        <v>151</v>
      </c>
      <c r="Q2536">
        <v>338</v>
      </c>
      <c r="R2536" s="296">
        <v>0</v>
      </c>
      <c r="S2536" s="296">
        <v>0.98370000000000002</v>
      </c>
      <c r="T2536" s="297">
        <v>14005</v>
      </c>
      <c r="U2536" s="340">
        <v>116899</v>
      </c>
      <c r="V2536" s="340">
        <v>420120</v>
      </c>
      <c r="W2536" s="297">
        <v>32046</v>
      </c>
      <c r="X2536" s="296">
        <v>0</v>
      </c>
    </row>
    <row r="2537" spans="13:24">
      <c r="M2537">
        <v>2535</v>
      </c>
      <c r="N2537">
        <v>78597</v>
      </c>
      <c r="O2537" t="s">
        <v>1973</v>
      </c>
      <c r="P2537" t="s">
        <v>134</v>
      </c>
      <c r="Q2537">
        <v>1214</v>
      </c>
      <c r="R2537" s="296">
        <v>0</v>
      </c>
      <c r="S2537" s="296">
        <v>0.98370000000000002</v>
      </c>
      <c r="T2537" s="297">
        <v>1140</v>
      </c>
      <c r="U2537" s="340">
        <v>116848</v>
      </c>
      <c r="V2537" s="340">
        <v>476824</v>
      </c>
      <c r="W2537" s="297">
        <v>2398</v>
      </c>
      <c r="X2537" s="296">
        <v>-7.0000000000000001E-3</v>
      </c>
    </row>
    <row r="2538" spans="13:24">
      <c r="M2538">
        <v>2536</v>
      </c>
      <c r="N2538">
        <v>22903</v>
      </c>
      <c r="O2538" t="s">
        <v>1974</v>
      </c>
      <c r="P2538" t="s">
        <v>139</v>
      </c>
      <c r="Q2538">
        <v>563</v>
      </c>
      <c r="R2538" s="296">
        <v>0</v>
      </c>
      <c r="S2538" s="296">
        <v>0.98370000000000002</v>
      </c>
      <c r="T2538" s="297">
        <v>17339</v>
      </c>
      <c r="U2538" s="340">
        <v>116843</v>
      </c>
      <c r="V2538" s="340">
        <v>678984</v>
      </c>
      <c r="W2538" s="297">
        <v>43774</v>
      </c>
      <c r="X2538" s="296">
        <v>1E-3</v>
      </c>
    </row>
    <row r="2539" spans="13:24">
      <c r="M2539">
        <v>2537</v>
      </c>
      <c r="N2539">
        <v>18037</v>
      </c>
      <c r="O2539" t="s">
        <v>1975</v>
      </c>
      <c r="P2539" t="s">
        <v>133</v>
      </c>
      <c r="Q2539">
        <v>642</v>
      </c>
      <c r="R2539" s="296">
        <v>0</v>
      </c>
      <c r="S2539" s="296">
        <v>0.98370000000000002</v>
      </c>
      <c r="T2539" s="297">
        <v>3072</v>
      </c>
      <c r="U2539" s="340">
        <v>116835</v>
      </c>
      <c r="V2539" s="340">
        <v>347419</v>
      </c>
      <c r="W2539" s="297">
        <v>7762</v>
      </c>
      <c r="X2539" s="296">
        <v>-1E-3</v>
      </c>
    </row>
    <row r="2540" spans="13:24">
      <c r="M2540">
        <v>2538</v>
      </c>
      <c r="N2540">
        <v>80524</v>
      </c>
      <c r="O2540" t="s">
        <v>1134</v>
      </c>
      <c r="P2540" t="s">
        <v>142</v>
      </c>
      <c r="Q2540">
        <v>897</v>
      </c>
      <c r="R2540" s="296">
        <v>0</v>
      </c>
      <c r="S2540" s="296">
        <v>0.98370000000000002</v>
      </c>
      <c r="T2540" s="297">
        <v>17327</v>
      </c>
      <c r="U2540" s="340">
        <v>116772</v>
      </c>
      <c r="V2540" s="340">
        <v>636138</v>
      </c>
      <c r="W2540" s="297">
        <v>41881</v>
      </c>
      <c r="X2540" s="296">
        <v>1.7000000000000001E-2</v>
      </c>
    </row>
    <row r="2541" spans="13:24">
      <c r="M2541">
        <v>2539</v>
      </c>
      <c r="N2541">
        <v>62258</v>
      </c>
      <c r="O2541" t="s">
        <v>1976</v>
      </c>
      <c r="P2541" t="s">
        <v>131</v>
      </c>
      <c r="Q2541">
        <v>275</v>
      </c>
      <c r="R2541" s="296">
        <v>0</v>
      </c>
      <c r="S2541" s="296">
        <v>0.98370000000000002</v>
      </c>
      <c r="T2541" s="297">
        <v>3801</v>
      </c>
      <c r="U2541" s="340">
        <v>116673</v>
      </c>
      <c r="V2541" s="340">
        <v>287226</v>
      </c>
      <c r="W2541" s="297">
        <v>10218</v>
      </c>
      <c r="X2541" s="296">
        <v>-4.0000000000000001E-3</v>
      </c>
    </row>
    <row r="2542" spans="13:24">
      <c r="M2542">
        <v>2540</v>
      </c>
      <c r="N2542">
        <v>33444</v>
      </c>
      <c r="O2542" t="s">
        <v>1449</v>
      </c>
      <c r="P2542" t="s">
        <v>127</v>
      </c>
      <c r="Q2542">
        <v>1169</v>
      </c>
      <c r="R2542" s="296">
        <v>0</v>
      </c>
      <c r="S2542" s="296">
        <v>0.98370000000000002</v>
      </c>
      <c r="T2542" s="297">
        <v>9501</v>
      </c>
      <c r="U2542" s="340">
        <v>116549</v>
      </c>
      <c r="V2542" s="340">
        <v>718805</v>
      </c>
      <c r="W2542" s="297">
        <v>23068</v>
      </c>
      <c r="X2542" s="296">
        <v>4.0000000000000001E-3</v>
      </c>
    </row>
    <row r="2543" spans="13:24">
      <c r="M2543">
        <v>2541</v>
      </c>
      <c r="N2543">
        <v>36532</v>
      </c>
      <c r="O2543" t="s">
        <v>1977</v>
      </c>
      <c r="P2543" t="s">
        <v>154</v>
      </c>
      <c r="Q2543">
        <v>805</v>
      </c>
      <c r="R2543" s="296">
        <v>0</v>
      </c>
      <c r="S2543" s="296">
        <v>0.98370000000000002</v>
      </c>
      <c r="T2543" s="297">
        <v>16386</v>
      </c>
      <c r="U2543" s="340">
        <v>116535</v>
      </c>
      <c r="V2543" s="340">
        <v>518219</v>
      </c>
      <c r="W2543" s="297">
        <v>40300</v>
      </c>
      <c r="X2543" s="296">
        <v>1.9E-2</v>
      </c>
    </row>
    <row r="2544" spans="13:24">
      <c r="M2544">
        <v>2542</v>
      </c>
      <c r="N2544">
        <v>54021</v>
      </c>
      <c r="O2544" t="s">
        <v>689</v>
      </c>
      <c r="P2544" t="s">
        <v>149</v>
      </c>
      <c r="Q2544">
        <v>305</v>
      </c>
      <c r="R2544" s="296">
        <v>0</v>
      </c>
      <c r="S2544" s="296">
        <v>0.98380000000000001</v>
      </c>
      <c r="T2544" s="297">
        <v>2872</v>
      </c>
      <c r="U2544" s="340">
        <v>116426</v>
      </c>
      <c r="V2544" s="340">
        <v>381160</v>
      </c>
      <c r="W2544" s="297">
        <v>7261</v>
      </c>
      <c r="X2544" s="296">
        <v>1.2999999999999999E-2</v>
      </c>
    </row>
    <row r="2545" spans="13:24">
      <c r="M2545">
        <v>2543</v>
      </c>
      <c r="N2545">
        <v>47550</v>
      </c>
      <c r="O2545" t="s">
        <v>1978</v>
      </c>
      <c r="P2545" t="s">
        <v>144</v>
      </c>
      <c r="Q2545">
        <v>287</v>
      </c>
      <c r="R2545" s="296">
        <v>0</v>
      </c>
      <c r="S2545" s="296">
        <v>0.98380000000000001</v>
      </c>
      <c r="T2545">
        <v>293</v>
      </c>
      <c r="U2545" s="340">
        <v>116410</v>
      </c>
      <c r="V2545" s="340">
        <v>310926</v>
      </c>
      <c r="W2545">
        <v>764</v>
      </c>
      <c r="X2545" s="296">
        <v>1E-3</v>
      </c>
    </row>
    <row r="2546" spans="13:24">
      <c r="M2546">
        <v>2544</v>
      </c>
      <c r="N2546">
        <v>78124</v>
      </c>
      <c r="O2546" t="s">
        <v>529</v>
      </c>
      <c r="P2546" t="s">
        <v>134</v>
      </c>
      <c r="Q2546">
        <v>1043</v>
      </c>
      <c r="R2546" s="296">
        <v>0</v>
      </c>
      <c r="S2546" s="296">
        <v>0.98380000000000001</v>
      </c>
      <c r="T2546" s="297">
        <v>3034</v>
      </c>
      <c r="U2546" s="340">
        <v>116363</v>
      </c>
      <c r="V2546" s="340">
        <v>390023</v>
      </c>
      <c r="W2546" s="297">
        <v>8391</v>
      </c>
      <c r="X2546" s="296">
        <v>4.1000000000000002E-2</v>
      </c>
    </row>
    <row r="2547" spans="13:24">
      <c r="M2547">
        <v>2545</v>
      </c>
      <c r="N2547">
        <v>44133</v>
      </c>
      <c r="O2547" t="s">
        <v>1979</v>
      </c>
      <c r="P2547" t="s">
        <v>136</v>
      </c>
      <c r="Q2547">
        <v>317</v>
      </c>
      <c r="R2547" s="296">
        <v>0</v>
      </c>
      <c r="S2547" s="296">
        <v>0.98380000000000001</v>
      </c>
      <c r="T2547" s="297">
        <v>13492</v>
      </c>
      <c r="U2547" s="340">
        <v>116363</v>
      </c>
      <c r="V2547" s="340">
        <v>299087</v>
      </c>
      <c r="W2547" s="297">
        <v>30951</v>
      </c>
      <c r="X2547" s="296">
        <v>-3.0000000000000001E-3</v>
      </c>
    </row>
    <row r="2548" spans="13:24">
      <c r="M2548">
        <v>2546</v>
      </c>
      <c r="N2548">
        <v>75104</v>
      </c>
      <c r="O2548" t="s">
        <v>1980</v>
      </c>
      <c r="P2548" t="s">
        <v>134</v>
      </c>
      <c r="Q2548">
        <v>830</v>
      </c>
      <c r="R2548" s="296">
        <v>0</v>
      </c>
      <c r="S2548" s="296">
        <v>0.98380000000000001</v>
      </c>
      <c r="T2548" s="297">
        <v>17252</v>
      </c>
      <c r="U2548" s="340">
        <v>116310</v>
      </c>
      <c r="V2548" s="340">
        <v>369731</v>
      </c>
      <c r="W2548" s="297">
        <v>50690</v>
      </c>
      <c r="X2548" s="296">
        <v>5.0000000000000001E-3</v>
      </c>
    </row>
    <row r="2549" spans="13:24">
      <c r="M2549">
        <v>2547</v>
      </c>
      <c r="N2549">
        <v>30907</v>
      </c>
      <c r="O2549" t="s">
        <v>513</v>
      </c>
      <c r="P2549" t="s">
        <v>130</v>
      </c>
      <c r="Q2549">
        <v>672</v>
      </c>
      <c r="R2549" s="296">
        <v>0</v>
      </c>
      <c r="S2549" s="296">
        <v>0.98380000000000001</v>
      </c>
      <c r="T2549" s="297">
        <v>21052</v>
      </c>
      <c r="U2549" s="340">
        <v>116238</v>
      </c>
      <c r="V2549" s="340">
        <v>313022</v>
      </c>
      <c r="W2549" s="297">
        <v>52440</v>
      </c>
      <c r="X2549" s="296">
        <v>8.0000000000000002E-3</v>
      </c>
    </row>
    <row r="2550" spans="13:24">
      <c r="M2550">
        <v>2548</v>
      </c>
      <c r="N2550">
        <v>15129</v>
      </c>
      <c r="O2550" t="s">
        <v>1981</v>
      </c>
      <c r="P2550" t="s">
        <v>133</v>
      </c>
      <c r="Q2550">
        <v>425</v>
      </c>
      <c r="R2550" s="296">
        <v>0</v>
      </c>
      <c r="S2550" s="296">
        <v>0.98380000000000001</v>
      </c>
      <c r="T2550" s="297">
        <v>4698</v>
      </c>
      <c r="U2550" s="340">
        <v>116220</v>
      </c>
      <c r="V2550" s="340">
        <v>309086</v>
      </c>
      <c r="W2550" s="297">
        <v>11188</v>
      </c>
      <c r="X2550" s="296">
        <v>1.2E-2</v>
      </c>
    </row>
    <row r="2551" spans="13:24">
      <c r="M2551">
        <v>2549</v>
      </c>
      <c r="N2551">
        <v>55306</v>
      </c>
      <c r="O2551" t="s">
        <v>1520</v>
      </c>
      <c r="P2551" t="s">
        <v>151</v>
      </c>
      <c r="Q2551">
        <v>329</v>
      </c>
      <c r="R2551" s="296">
        <v>0</v>
      </c>
      <c r="S2551" s="296">
        <v>0.98380000000000001</v>
      </c>
      <c r="T2551" s="297">
        <v>6925</v>
      </c>
      <c r="U2551" s="340">
        <v>116186</v>
      </c>
      <c r="V2551" s="340">
        <v>444844</v>
      </c>
      <c r="W2551" s="297">
        <v>17116</v>
      </c>
      <c r="X2551" s="296">
        <v>2E-3</v>
      </c>
    </row>
    <row r="2552" spans="13:24">
      <c r="M2552">
        <v>2550</v>
      </c>
      <c r="N2552">
        <v>30078</v>
      </c>
      <c r="O2552" t="s">
        <v>708</v>
      </c>
      <c r="P2552" t="s">
        <v>130</v>
      </c>
      <c r="Q2552">
        <v>608</v>
      </c>
      <c r="R2552" s="296">
        <v>0</v>
      </c>
      <c r="S2552" s="296">
        <v>0.9839</v>
      </c>
      <c r="T2552" s="297">
        <v>13344</v>
      </c>
      <c r="U2552" s="340">
        <v>116156</v>
      </c>
      <c r="V2552" s="340">
        <v>441399</v>
      </c>
      <c r="W2552" s="297">
        <v>40839</v>
      </c>
      <c r="X2552" s="296">
        <v>1.4E-2</v>
      </c>
    </row>
    <row r="2553" spans="13:24">
      <c r="M2553">
        <v>2551</v>
      </c>
      <c r="N2553">
        <v>17225</v>
      </c>
      <c r="O2553" t="s">
        <v>1621</v>
      </c>
      <c r="P2553" t="s">
        <v>133</v>
      </c>
      <c r="Q2553">
        <v>548</v>
      </c>
      <c r="R2553" s="296">
        <v>0</v>
      </c>
      <c r="S2553" s="296">
        <v>0.9839</v>
      </c>
      <c r="T2553" s="297">
        <v>7797</v>
      </c>
      <c r="U2553" s="340">
        <v>116059</v>
      </c>
      <c r="V2553" s="340">
        <v>360480</v>
      </c>
      <c r="W2553" s="297">
        <v>20078</v>
      </c>
      <c r="X2553" s="296">
        <v>1E-3</v>
      </c>
    </row>
    <row r="2554" spans="13:24">
      <c r="M2554">
        <v>2552</v>
      </c>
      <c r="N2554">
        <v>38018</v>
      </c>
      <c r="O2554" t="s">
        <v>1336</v>
      </c>
      <c r="P2554" t="s">
        <v>146</v>
      </c>
      <c r="Q2554">
        <v>496</v>
      </c>
      <c r="R2554" s="296">
        <v>0</v>
      </c>
      <c r="S2554" s="296">
        <v>0.9839</v>
      </c>
      <c r="T2554" s="297">
        <v>14922</v>
      </c>
      <c r="U2554" s="340">
        <v>116046</v>
      </c>
      <c r="V2554" s="340">
        <v>347708</v>
      </c>
      <c r="W2554" s="297">
        <v>36971</v>
      </c>
      <c r="X2554" s="296">
        <v>0</v>
      </c>
    </row>
    <row r="2555" spans="13:24">
      <c r="M2555">
        <v>2553</v>
      </c>
      <c r="N2555">
        <v>66006</v>
      </c>
      <c r="O2555" t="s">
        <v>1982</v>
      </c>
      <c r="P2555" t="s">
        <v>176</v>
      </c>
      <c r="Q2555">
        <v>454</v>
      </c>
      <c r="R2555" s="296">
        <v>0</v>
      </c>
      <c r="S2555" s="296">
        <v>0.9839</v>
      </c>
      <c r="T2555" s="297">
        <v>3004</v>
      </c>
      <c r="U2555" s="340">
        <v>115862</v>
      </c>
      <c r="V2555" s="340">
        <v>405837</v>
      </c>
      <c r="W2555" s="297">
        <v>8254</v>
      </c>
      <c r="X2555" s="296">
        <v>1.2E-2</v>
      </c>
    </row>
    <row r="2556" spans="13:24">
      <c r="M2556">
        <v>2554</v>
      </c>
      <c r="N2556">
        <v>60541</v>
      </c>
      <c r="O2556" t="s">
        <v>300</v>
      </c>
      <c r="P2556" t="s">
        <v>131</v>
      </c>
      <c r="Q2556">
        <v>57</v>
      </c>
      <c r="R2556" s="296">
        <v>0</v>
      </c>
      <c r="S2556" s="296">
        <v>0.9839</v>
      </c>
      <c r="T2556" s="297">
        <v>1123</v>
      </c>
      <c r="U2556" s="340">
        <v>115854</v>
      </c>
      <c r="V2556" s="340">
        <v>375727</v>
      </c>
      <c r="W2556" s="297">
        <v>3019</v>
      </c>
      <c r="X2556" s="296">
        <v>1E-3</v>
      </c>
    </row>
    <row r="2557" spans="13:24">
      <c r="M2557">
        <v>2555</v>
      </c>
      <c r="N2557">
        <v>27529</v>
      </c>
      <c r="O2557" t="s">
        <v>1983</v>
      </c>
      <c r="P2557" t="s">
        <v>138</v>
      </c>
      <c r="Q2557">
        <v>668</v>
      </c>
      <c r="R2557" s="296">
        <v>0</v>
      </c>
      <c r="S2557" s="296">
        <v>0.9839</v>
      </c>
      <c r="T2557" s="297">
        <v>24065</v>
      </c>
      <c r="U2557" s="340">
        <v>115599</v>
      </c>
      <c r="V2557" s="340">
        <v>426477</v>
      </c>
      <c r="W2557" s="297">
        <v>62321</v>
      </c>
      <c r="X2557" s="296">
        <v>3.4000000000000002E-2</v>
      </c>
    </row>
    <row r="2558" spans="13:24">
      <c r="M2558">
        <v>2556</v>
      </c>
      <c r="N2558">
        <v>43123</v>
      </c>
      <c r="O2558" t="s">
        <v>1984</v>
      </c>
      <c r="P2558" t="s">
        <v>136</v>
      </c>
      <c r="Q2558">
        <v>291</v>
      </c>
      <c r="R2558" s="296">
        <v>0</v>
      </c>
      <c r="S2558" s="296">
        <v>0.9839</v>
      </c>
      <c r="T2558" s="297">
        <v>27088</v>
      </c>
      <c r="U2558" s="340">
        <v>115545</v>
      </c>
      <c r="V2558" s="340">
        <v>324742</v>
      </c>
      <c r="W2558" s="297">
        <v>69180</v>
      </c>
      <c r="X2558" s="296">
        <v>0.01</v>
      </c>
    </row>
    <row r="2559" spans="13:24">
      <c r="M2559">
        <v>2557</v>
      </c>
      <c r="N2559">
        <v>37216</v>
      </c>
      <c r="O2559" t="s">
        <v>500</v>
      </c>
      <c r="P2559" t="s">
        <v>146</v>
      </c>
      <c r="Q2559">
        <v>414</v>
      </c>
      <c r="R2559" s="296">
        <v>0</v>
      </c>
      <c r="S2559" s="296">
        <v>0.9839</v>
      </c>
      <c r="T2559" s="297">
        <v>8872</v>
      </c>
      <c r="U2559" s="340">
        <v>115538</v>
      </c>
      <c r="V2559" s="340">
        <v>522574</v>
      </c>
      <c r="W2559" s="297">
        <v>19289</v>
      </c>
      <c r="X2559" s="296">
        <v>1.0999999999999999E-2</v>
      </c>
    </row>
    <row r="2560" spans="13:24">
      <c r="M2560">
        <v>2558</v>
      </c>
      <c r="N2560">
        <v>63044</v>
      </c>
      <c r="O2560" t="s">
        <v>1985</v>
      </c>
      <c r="P2560" t="s">
        <v>186</v>
      </c>
      <c r="Q2560">
        <v>272</v>
      </c>
      <c r="R2560" s="296">
        <v>0</v>
      </c>
      <c r="S2560" s="296">
        <v>0.98399999999999999</v>
      </c>
      <c r="T2560" s="297">
        <v>4160</v>
      </c>
      <c r="U2560" s="340">
        <v>115392</v>
      </c>
      <c r="V2560" s="340">
        <v>268930</v>
      </c>
      <c r="W2560" s="297">
        <v>10438</v>
      </c>
      <c r="X2560" s="296">
        <v>-3.0000000000000001E-3</v>
      </c>
    </row>
    <row r="2561" spans="13:24">
      <c r="M2561">
        <v>2559</v>
      </c>
      <c r="N2561">
        <v>34239</v>
      </c>
      <c r="O2561" t="s">
        <v>677</v>
      </c>
      <c r="P2561" t="s">
        <v>127</v>
      </c>
      <c r="Q2561">
        <v>1067</v>
      </c>
      <c r="R2561" s="296">
        <v>0</v>
      </c>
      <c r="S2561" s="296">
        <v>0.98399999999999999</v>
      </c>
      <c r="T2561" s="297">
        <v>7026</v>
      </c>
      <c r="U2561" s="340">
        <v>115353</v>
      </c>
      <c r="V2561" s="340">
        <v>657710</v>
      </c>
      <c r="W2561" s="297">
        <v>15034</v>
      </c>
      <c r="X2561" s="296">
        <v>1E-3</v>
      </c>
    </row>
    <row r="2562" spans="13:24">
      <c r="M2562">
        <v>2560</v>
      </c>
      <c r="N2562">
        <v>61360</v>
      </c>
      <c r="O2562" t="s">
        <v>1210</v>
      </c>
      <c r="P2562" t="s">
        <v>131</v>
      </c>
      <c r="Q2562">
        <v>71</v>
      </c>
      <c r="R2562" s="296">
        <v>0</v>
      </c>
      <c r="S2562" s="296">
        <v>0.98399999999999999</v>
      </c>
      <c r="T2562" s="297">
        <v>1240</v>
      </c>
      <c r="U2562" s="340">
        <v>115331</v>
      </c>
      <c r="V2562" s="340">
        <v>271542</v>
      </c>
      <c r="W2562" s="297">
        <v>3118</v>
      </c>
      <c r="X2562" s="296">
        <v>-6.0000000000000001E-3</v>
      </c>
    </row>
    <row r="2563" spans="13:24">
      <c r="M2563">
        <v>2561</v>
      </c>
      <c r="N2563">
        <v>48642</v>
      </c>
      <c r="O2563" t="s">
        <v>662</v>
      </c>
      <c r="P2563" t="s">
        <v>140</v>
      </c>
      <c r="Q2563">
        <v>210</v>
      </c>
      <c r="R2563" s="296">
        <v>0</v>
      </c>
      <c r="S2563" s="296">
        <v>0.98399999999999999</v>
      </c>
      <c r="T2563" s="297">
        <v>14188</v>
      </c>
      <c r="U2563" s="340">
        <v>115230</v>
      </c>
      <c r="V2563" s="340">
        <v>256441</v>
      </c>
      <c r="W2563" s="297">
        <v>34661</v>
      </c>
      <c r="X2563" s="296">
        <v>2E-3</v>
      </c>
    </row>
    <row r="2564" spans="13:24">
      <c r="M2564">
        <v>2562</v>
      </c>
      <c r="N2564">
        <v>59937</v>
      </c>
      <c r="O2564" t="s">
        <v>1986</v>
      </c>
      <c r="P2564" t="s">
        <v>190</v>
      </c>
      <c r="Q2564">
        <v>1354</v>
      </c>
      <c r="R2564" s="296">
        <v>0</v>
      </c>
      <c r="S2564" s="296">
        <v>0.98399999999999999</v>
      </c>
      <c r="T2564" s="297">
        <v>7127</v>
      </c>
      <c r="U2564" s="340">
        <v>115225</v>
      </c>
      <c r="V2564" s="340">
        <v>961041</v>
      </c>
      <c r="W2564" s="297">
        <v>16213</v>
      </c>
      <c r="X2564" s="296">
        <v>2.5000000000000001E-2</v>
      </c>
    </row>
    <row r="2565" spans="13:24">
      <c r="M2565">
        <v>2563</v>
      </c>
      <c r="N2565">
        <v>91910</v>
      </c>
      <c r="O2565" t="s">
        <v>669</v>
      </c>
      <c r="P2565" t="s">
        <v>132</v>
      </c>
      <c r="Q2565">
        <v>1726</v>
      </c>
      <c r="R2565" s="296">
        <v>0</v>
      </c>
      <c r="S2565" s="296">
        <v>0.98399999999999999</v>
      </c>
      <c r="T2565" s="297">
        <v>26738</v>
      </c>
      <c r="U2565" s="340">
        <v>115214</v>
      </c>
      <c r="V2565" s="340">
        <v>743579</v>
      </c>
      <c r="W2565" s="297">
        <v>78998</v>
      </c>
      <c r="X2565" s="296">
        <v>-1E-3</v>
      </c>
    </row>
    <row r="2566" spans="13:24">
      <c r="M2566">
        <v>2564</v>
      </c>
      <c r="N2566">
        <v>99654</v>
      </c>
      <c r="O2566" t="s">
        <v>1987</v>
      </c>
      <c r="P2566" t="s">
        <v>152</v>
      </c>
      <c r="Q2566">
        <v>2813</v>
      </c>
      <c r="R2566" s="296">
        <v>0</v>
      </c>
      <c r="S2566" s="296">
        <v>0.98399999999999999</v>
      </c>
      <c r="T2566" s="297">
        <v>15399</v>
      </c>
      <c r="U2566" s="340">
        <v>115171</v>
      </c>
      <c r="V2566" s="340">
        <v>426650</v>
      </c>
      <c r="W2566" s="297">
        <v>43898</v>
      </c>
      <c r="X2566" s="296">
        <v>1.9E-2</v>
      </c>
    </row>
    <row r="2567" spans="13:24">
      <c r="M2567">
        <v>2565</v>
      </c>
      <c r="N2567">
        <v>44039</v>
      </c>
      <c r="O2567" t="s">
        <v>1988</v>
      </c>
      <c r="P2567" t="s">
        <v>136</v>
      </c>
      <c r="Q2567">
        <v>302</v>
      </c>
      <c r="R2567" s="296">
        <v>0</v>
      </c>
      <c r="S2567" s="296">
        <v>0.98399999999999999</v>
      </c>
      <c r="T2567" s="297">
        <v>15166</v>
      </c>
      <c r="U2567" s="340">
        <v>115158</v>
      </c>
      <c r="V2567" s="340">
        <v>280491</v>
      </c>
      <c r="W2567" s="297">
        <v>37339</v>
      </c>
      <c r="X2567" s="296">
        <v>1.0999999999999999E-2</v>
      </c>
    </row>
    <row r="2568" spans="13:24">
      <c r="M2568">
        <v>2566</v>
      </c>
      <c r="N2568">
        <v>37066</v>
      </c>
      <c r="O2568" t="s">
        <v>1989</v>
      </c>
      <c r="P2568" t="s">
        <v>146</v>
      </c>
      <c r="Q2568">
        <v>405</v>
      </c>
      <c r="R2568" s="296">
        <v>0</v>
      </c>
      <c r="S2568" s="296">
        <v>0.98409999999999997</v>
      </c>
      <c r="T2568" s="297">
        <v>26899</v>
      </c>
      <c r="U2568" s="340">
        <v>115085</v>
      </c>
      <c r="V2568" s="340">
        <v>520674</v>
      </c>
      <c r="W2568" s="297">
        <v>67938</v>
      </c>
      <c r="X2568" s="296">
        <v>3.2000000000000001E-2</v>
      </c>
    </row>
    <row r="2569" spans="13:24">
      <c r="M2569">
        <v>2567</v>
      </c>
      <c r="N2569">
        <v>54448</v>
      </c>
      <c r="O2569" t="s">
        <v>1990</v>
      </c>
      <c r="P2569" t="s">
        <v>149</v>
      </c>
      <c r="Q2569">
        <v>219</v>
      </c>
      <c r="R2569" s="296">
        <v>0</v>
      </c>
      <c r="S2569" s="296">
        <v>0.98409999999999997</v>
      </c>
      <c r="T2569" s="297">
        <v>1723</v>
      </c>
      <c r="U2569" s="340">
        <v>115037</v>
      </c>
      <c r="V2569" s="340">
        <v>335226</v>
      </c>
      <c r="W2569" s="297">
        <v>4228</v>
      </c>
      <c r="X2569" s="296">
        <v>-5.0000000000000001E-3</v>
      </c>
    </row>
    <row r="2570" spans="13:24">
      <c r="M2570">
        <v>2568</v>
      </c>
      <c r="N2570">
        <v>85042</v>
      </c>
      <c r="O2570" t="s">
        <v>548</v>
      </c>
      <c r="P2570" t="s">
        <v>158</v>
      </c>
      <c r="Q2570">
        <v>1450</v>
      </c>
      <c r="R2570" s="296">
        <v>0</v>
      </c>
      <c r="S2570" s="296">
        <v>0.98409999999999997</v>
      </c>
      <c r="T2570" s="297">
        <v>15759</v>
      </c>
      <c r="U2570" s="340">
        <v>114942</v>
      </c>
      <c r="V2570" s="340">
        <v>469384</v>
      </c>
      <c r="W2570" s="297">
        <v>47032</v>
      </c>
      <c r="X2570" s="296">
        <v>1.2999999999999999E-2</v>
      </c>
    </row>
    <row r="2571" spans="13:24">
      <c r="M2571">
        <v>2569</v>
      </c>
      <c r="N2571">
        <v>32605</v>
      </c>
      <c r="O2571" t="s">
        <v>606</v>
      </c>
      <c r="P2571" t="s">
        <v>127</v>
      </c>
      <c r="Q2571">
        <v>913</v>
      </c>
      <c r="R2571" s="296">
        <v>0</v>
      </c>
      <c r="S2571" s="296">
        <v>0.98409999999999997</v>
      </c>
      <c r="T2571" s="297">
        <v>10298</v>
      </c>
      <c r="U2571" s="340">
        <v>114872</v>
      </c>
      <c r="V2571" s="340">
        <v>341367</v>
      </c>
      <c r="W2571" s="297">
        <v>23887</v>
      </c>
      <c r="X2571" s="296">
        <v>-3.0000000000000001E-3</v>
      </c>
    </row>
    <row r="2572" spans="13:24">
      <c r="M2572">
        <v>2570</v>
      </c>
      <c r="N2572">
        <v>19020</v>
      </c>
      <c r="O2572" t="s">
        <v>1991</v>
      </c>
      <c r="P2572" t="s">
        <v>133</v>
      </c>
      <c r="Q2572">
        <v>683</v>
      </c>
      <c r="R2572" s="296">
        <v>0</v>
      </c>
      <c r="S2572" s="296">
        <v>0.98409999999999997</v>
      </c>
      <c r="T2572" s="297">
        <v>22747</v>
      </c>
      <c r="U2572" s="340">
        <v>114833</v>
      </c>
      <c r="V2572" s="340">
        <v>436803</v>
      </c>
      <c r="W2572" s="297">
        <v>57707</v>
      </c>
      <c r="X2572" s="296">
        <v>3.0000000000000001E-3</v>
      </c>
    </row>
    <row r="2573" spans="13:24">
      <c r="M2573">
        <v>2571</v>
      </c>
      <c r="N2573">
        <v>44273</v>
      </c>
      <c r="O2573" t="s">
        <v>1992</v>
      </c>
      <c r="P2573" t="s">
        <v>136</v>
      </c>
      <c r="Q2573">
        <v>315</v>
      </c>
      <c r="R2573" s="296">
        <v>0</v>
      </c>
      <c r="S2573" s="296">
        <v>0.98409999999999997</v>
      </c>
      <c r="T2573" s="297">
        <v>2911</v>
      </c>
      <c r="U2573" s="340">
        <v>114684</v>
      </c>
      <c r="V2573" s="340">
        <v>349951</v>
      </c>
      <c r="W2573" s="297">
        <v>7119</v>
      </c>
      <c r="X2573" s="296">
        <v>5.0000000000000001E-3</v>
      </c>
    </row>
    <row r="2574" spans="13:24">
      <c r="M2574">
        <v>2572</v>
      </c>
      <c r="N2574">
        <v>80538</v>
      </c>
      <c r="O2574" t="s">
        <v>759</v>
      </c>
      <c r="P2574" t="s">
        <v>142</v>
      </c>
      <c r="Q2574">
        <v>904</v>
      </c>
      <c r="R2574" s="296">
        <v>0</v>
      </c>
      <c r="S2574" s="296">
        <v>0.98409999999999997</v>
      </c>
      <c r="T2574" s="297">
        <v>22775</v>
      </c>
      <c r="U2574" s="340">
        <v>114668</v>
      </c>
      <c r="V2574" s="340">
        <v>622640</v>
      </c>
      <c r="W2574" s="297">
        <v>52987</v>
      </c>
      <c r="X2574" s="296">
        <v>1.7000000000000001E-2</v>
      </c>
    </row>
    <row r="2575" spans="13:24">
      <c r="M2575">
        <v>2573</v>
      </c>
      <c r="N2575">
        <v>54423</v>
      </c>
      <c r="O2575" t="s">
        <v>1993</v>
      </c>
      <c r="P2575" t="s">
        <v>149</v>
      </c>
      <c r="Q2575">
        <v>187</v>
      </c>
      <c r="R2575" s="296">
        <v>0</v>
      </c>
      <c r="S2575" s="296">
        <v>0.98409999999999997</v>
      </c>
      <c r="T2575">
        <v>791</v>
      </c>
      <c r="U2575" s="340">
        <v>114581</v>
      </c>
      <c r="V2575" s="340">
        <v>403980</v>
      </c>
      <c r="W2575" s="297">
        <v>2058</v>
      </c>
      <c r="X2575" s="296">
        <v>-1E-3</v>
      </c>
    </row>
    <row r="2576" spans="13:24">
      <c r="M2576">
        <v>2574</v>
      </c>
      <c r="N2576">
        <v>35053</v>
      </c>
      <c r="O2576" t="s">
        <v>1994</v>
      </c>
      <c r="P2576" t="s">
        <v>154</v>
      </c>
      <c r="Q2576">
        <v>561</v>
      </c>
      <c r="R2576" s="296">
        <v>0</v>
      </c>
      <c r="S2576" s="296">
        <v>0.98419999999999996</v>
      </c>
      <c r="T2576" s="297">
        <v>1306</v>
      </c>
      <c r="U2576" s="340">
        <v>114540</v>
      </c>
      <c r="V2576" s="340">
        <v>373239</v>
      </c>
      <c r="W2576" s="297">
        <v>2905</v>
      </c>
      <c r="X2576" s="296">
        <v>1.7000000000000001E-2</v>
      </c>
    </row>
    <row r="2577" spans="13:24">
      <c r="M2577">
        <v>2575</v>
      </c>
      <c r="N2577">
        <v>34681</v>
      </c>
      <c r="O2577" t="s">
        <v>1995</v>
      </c>
      <c r="P2577" t="s">
        <v>127</v>
      </c>
      <c r="Q2577">
        <v>1011</v>
      </c>
      <c r="R2577" s="296">
        <v>0</v>
      </c>
      <c r="S2577" s="296">
        <v>0.98419999999999996</v>
      </c>
      <c r="T2577">
        <v>929</v>
      </c>
      <c r="U2577" s="340">
        <v>114533</v>
      </c>
      <c r="V2577" s="340">
        <v>724718</v>
      </c>
      <c r="W2577" s="297">
        <v>2072</v>
      </c>
      <c r="X2577" s="296">
        <v>2E-3</v>
      </c>
    </row>
    <row r="2578" spans="13:24">
      <c r="M2578">
        <v>2576</v>
      </c>
      <c r="N2578">
        <v>40047</v>
      </c>
      <c r="O2578" t="s">
        <v>1996</v>
      </c>
      <c r="P2578" t="s">
        <v>143</v>
      </c>
      <c r="Q2578">
        <v>307</v>
      </c>
      <c r="R2578" s="296">
        <v>0</v>
      </c>
      <c r="S2578" s="296">
        <v>0.98419999999999996</v>
      </c>
      <c r="T2578" s="297">
        <v>9238</v>
      </c>
      <c r="U2578" s="340">
        <v>114512</v>
      </c>
      <c r="V2578" s="340">
        <v>323570</v>
      </c>
      <c r="W2578" s="297">
        <v>24251</v>
      </c>
      <c r="X2578" s="296">
        <v>0.01</v>
      </c>
    </row>
    <row r="2579" spans="13:24">
      <c r="M2579">
        <v>2577</v>
      </c>
      <c r="N2579">
        <v>53137</v>
      </c>
      <c r="O2579" t="s">
        <v>1997</v>
      </c>
      <c r="P2579" t="s">
        <v>149</v>
      </c>
      <c r="Q2579">
        <v>74</v>
      </c>
      <c r="R2579" s="296">
        <v>0</v>
      </c>
      <c r="S2579" s="296">
        <v>0.98419999999999996</v>
      </c>
      <c r="T2579">
        <v>667</v>
      </c>
      <c r="U2579" s="340">
        <v>114504</v>
      </c>
      <c r="V2579" s="340">
        <v>456670</v>
      </c>
      <c r="W2579" s="297">
        <v>1659</v>
      </c>
      <c r="X2579" s="296">
        <v>-1E-3</v>
      </c>
    </row>
    <row r="2580" spans="13:24">
      <c r="M2580">
        <v>2578</v>
      </c>
      <c r="N2580">
        <v>11550</v>
      </c>
      <c r="O2580" t="s">
        <v>1998</v>
      </c>
      <c r="P2580" t="s">
        <v>128</v>
      </c>
      <c r="Q2580">
        <v>740</v>
      </c>
      <c r="R2580" s="296">
        <v>0</v>
      </c>
      <c r="S2580" s="296">
        <v>0.98419999999999996</v>
      </c>
      <c r="T2580" s="297">
        <v>16962</v>
      </c>
      <c r="U2580" s="340">
        <v>114485</v>
      </c>
      <c r="V2580" s="340">
        <v>521572</v>
      </c>
      <c r="W2580" s="297">
        <v>61248</v>
      </c>
      <c r="X2580" s="296">
        <v>-3.0000000000000001E-3</v>
      </c>
    </row>
    <row r="2581" spans="13:24">
      <c r="M2581">
        <v>2579</v>
      </c>
      <c r="N2581">
        <v>54482</v>
      </c>
      <c r="O2581" t="s">
        <v>1663</v>
      </c>
      <c r="P2581" t="s">
        <v>149</v>
      </c>
      <c r="Q2581">
        <v>188</v>
      </c>
      <c r="R2581" s="296">
        <v>0</v>
      </c>
      <c r="S2581" s="296">
        <v>0.98419999999999996</v>
      </c>
      <c r="T2581" s="297">
        <v>4069</v>
      </c>
      <c r="U2581" s="340">
        <v>114478</v>
      </c>
      <c r="V2581" s="340">
        <v>358459</v>
      </c>
      <c r="W2581" s="297">
        <v>9749</v>
      </c>
      <c r="X2581" s="296">
        <v>-2E-3</v>
      </c>
    </row>
    <row r="2582" spans="13:24">
      <c r="M2582">
        <v>2580</v>
      </c>
      <c r="N2582">
        <v>77571</v>
      </c>
      <c r="O2582" t="s">
        <v>1144</v>
      </c>
      <c r="P2582" t="s">
        <v>134</v>
      </c>
      <c r="Q2582">
        <v>951</v>
      </c>
      <c r="R2582" s="296">
        <v>0</v>
      </c>
      <c r="S2582" s="296">
        <v>0.98419999999999996</v>
      </c>
      <c r="T2582" s="297">
        <v>14719</v>
      </c>
      <c r="U2582" s="340">
        <v>114437</v>
      </c>
      <c r="V2582" s="340">
        <v>299138</v>
      </c>
      <c r="W2582" s="297">
        <v>39804</v>
      </c>
      <c r="X2582" s="296">
        <v>1.6E-2</v>
      </c>
    </row>
    <row r="2583" spans="13:24">
      <c r="M2583">
        <v>2581</v>
      </c>
      <c r="N2583">
        <v>53192</v>
      </c>
      <c r="O2583" t="s">
        <v>1999</v>
      </c>
      <c r="P2583" t="s">
        <v>149</v>
      </c>
      <c r="Q2583">
        <v>32</v>
      </c>
      <c r="R2583" s="296">
        <v>0</v>
      </c>
      <c r="S2583" s="296">
        <v>0.98419999999999996</v>
      </c>
      <c r="T2583">
        <v>52</v>
      </c>
      <c r="U2583" s="340">
        <v>114379</v>
      </c>
      <c r="V2583" s="340">
        <v>340104</v>
      </c>
      <c r="W2583">
        <v>136</v>
      </c>
      <c r="X2583" s="296">
        <v>2.5999999999999999E-2</v>
      </c>
    </row>
    <row r="2584" spans="13:24">
      <c r="M2584">
        <v>2582</v>
      </c>
      <c r="N2584">
        <v>7008</v>
      </c>
      <c r="O2584" t="s">
        <v>2000</v>
      </c>
      <c r="P2584" t="s">
        <v>129</v>
      </c>
      <c r="Q2584">
        <v>711</v>
      </c>
      <c r="R2584" s="296">
        <v>0</v>
      </c>
      <c r="S2584" s="296">
        <v>0.98429999999999995</v>
      </c>
      <c r="T2584" s="297">
        <v>8501</v>
      </c>
      <c r="U2584" s="340">
        <v>114365</v>
      </c>
      <c r="V2584" s="340">
        <v>478277</v>
      </c>
      <c r="W2584" s="297">
        <v>25516</v>
      </c>
      <c r="X2584" s="296">
        <v>2E-3</v>
      </c>
    </row>
    <row r="2585" spans="13:24">
      <c r="M2585">
        <v>2583</v>
      </c>
      <c r="N2585">
        <v>20903</v>
      </c>
      <c r="O2585" t="s">
        <v>501</v>
      </c>
      <c r="P2585" t="s">
        <v>137</v>
      </c>
      <c r="Q2585">
        <v>606</v>
      </c>
      <c r="R2585" s="296">
        <v>0</v>
      </c>
      <c r="S2585" s="296">
        <v>0.98429999999999995</v>
      </c>
      <c r="T2585" s="297">
        <v>6225</v>
      </c>
      <c r="U2585" s="340">
        <v>114318</v>
      </c>
      <c r="V2585" s="340">
        <v>572835</v>
      </c>
      <c r="W2585" s="297">
        <v>22547</v>
      </c>
      <c r="X2585" s="296">
        <v>-3.0000000000000001E-3</v>
      </c>
    </row>
    <row r="2586" spans="13:24">
      <c r="M2586">
        <v>2584</v>
      </c>
      <c r="N2586">
        <v>19702</v>
      </c>
      <c r="O2586" t="s">
        <v>300</v>
      </c>
      <c r="P2586" t="s">
        <v>164</v>
      </c>
      <c r="Q2586">
        <v>653</v>
      </c>
      <c r="R2586" s="296">
        <v>0</v>
      </c>
      <c r="S2586" s="296">
        <v>0.98429999999999995</v>
      </c>
      <c r="T2586" s="297">
        <v>21182</v>
      </c>
      <c r="U2586" s="340">
        <v>114264</v>
      </c>
      <c r="V2586" s="340">
        <v>362299</v>
      </c>
      <c r="W2586" s="297">
        <v>55468</v>
      </c>
      <c r="X2586" s="296">
        <v>1E-3</v>
      </c>
    </row>
    <row r="2587" spans="13:24">
      <c r="M2587">
        <v>2585</v>
      </c>
      <c r="N2587">
        <v>43215</v>
      </c>
      <c r="O2587" t="s">
        <v>468</v>
      </c>
      <c r="P2587" t="s">
        <v>136</v>
      </c>
      <c r="Q2587">
        <v>291</v>
      </c>
      <c r="R2587" s="296">
        <v>0</v>
      </c>
      <c r="S2587" s="296">
        <v>0.98429999999999995</v>
      </c>
      <c r="T2587" s="297">
        <v>15280</v>
      </c>
      <c r="U2587" s="340">
        <v>114136</v>
      </c>
      <c r="V2587" s="340">
        <v>575796</v>
      </c>
      <c r="W2587" s="297">
        <v>23773</v>
      </c>
      <c r="X2587" s="296">
        <v>3.1E-2</v>
      </c>
    </row>
    <row r="2588" spans="13:24">
      <c r="M2588">
        <v>2586</v>
      </c>
      <c r="N2588">
        <v>84604</v>
      </c>
      <c r="O2588" t="s">
        <v>2001</v>
      </c>
      <c r="P2588" t="s">
        <v>219</v>
      </c>
      <c r="Q2588">
        <v>1243</v>
      </c>
      <c r="R2588" s="296">
        <v>0</v>
      </c>
      <c r="S2588" s="296">
        <v>0.98429999999999995</v>
      </c>
      <c r="T2588" s="297">
        <v>13149</v>
      </c>
      <c r="U2588" s="340">
        <v>114118</v>
      </c>
      <c r="V2588" s="340">
        <v>745014</v>
      </c>
      <c r="W2588" s="297">
        <v>46094</v>
      </c>
      <c r="X2588" s="296">
        <v>0</v>
      </c>
    </row>
    <row r="2589" spans="13:24">
      <c r="M2589">
        <v>2587</v>
      </c>
      <c r="N2589">
        <v>59421</v>
      </c>
      <c r="O2589" t="s">
        <v>2002</v>
      </c>
      <c r="P2589" t="s">
        <v>190</v>
      </c>
      <c r="Q2589">
        <v>1222</v>
      </c>
      <c r="R2589" s="296">
        <v>0</v>
      </c>
      <c r="S2589" s="296">
        <v>0.98429999999999995</v>
      </c>
      <c r="T2589">
        <v>884</v>
      </c>
      <c r="U2589" s="340">
        <v>114110</v>
      </c>
      <c r="V2589" s="340">
        <v>515676</v>
      </c>
      <c r="W2589" s="297">
        <v>2088</v>
      </c>
      <c r="X2589" s="296">
        <v>4.0000000000000001E-3</v>
      </c>
    </row>
    <row r="2590" spans="13:24">
      <c r="M2590">
        <v>2588</v>
      </c>
      <c r="N2590">
        <v>54211</v>
      </c>
      <c r="O2590" t="s">
        <v>2003</v>
      </c>
      <c r="P2590" t="s">
        <v>149</v>
      </c>
      <c r="Q2590">
        <v>210</v>
      </c>
      <c r="R2590" s="296">
        <v>0</v>
      </c>
      <c r="S2590" s="296">
        <v>0.98429999999999995</v>
      </c>
      <c r="T2590">
        <v>108</v>
      </c>
      <c r="U2590" s="340">
        <v>114098</v>
      </c>
      <c r="V2590" s="340">
        <v>516927</v>
      </c>
      <c r="W2590">
        <v>229</v>
      </c>
      <c r="X2590" s="296">
        <v>2.1000000000000001E-2</v>
      </c>
    </row>
    <row r="2591" spans="13:24">
      <c r="M2591">
        <v>2589</v>
      </c>
      <c r="N2591">
        <v>58104</v>
      </c>
      <c r="O2591" t="s">
        <v>2004</v>
      </c>
      <c r="P2591" t="s">
        <v>193</v>
      </c>
      <c r="Q2591">
        <v>549</v>
      </c>
      <c r="R2591" s="296">
        <v>0</v>
      </c>
      <c r="S2591" s="296">
        <v>0.98429999999999995</v>
      </c>
      <c r="T2591" s="297">
        <v>21618</v>
      </c>
      <c r="U2591" s="340">
        <v>114062</v>
      </c>
      <c r="V2591" s="340">
        <v>432895</v>
      </c>
      <c r="W2591" s="297">
        <v>51949</v>
      </c>
      <c r="X2591" s="296">
        <v>2.1000000000000001E-2</v>
      </c>
    </row>
    <row r="2592" spans="13:24">
      <c r="M2592">
        <v>2590</v>
      </c>
      <c r="N2592">
        <v>68048</v>
      </c>
      <c r="O2592" t="s">
        <v>2005</v>
      </c>
      <c r="P2592" t="s">
        <v>195</v>
      </c>
      <c r="Q2592">
        <v>429</v>
      </c>
      <c r="R2592" s="296">
        <v>0</v>
      </c>
      <c r="S2592" s="296">
        <v>0.98440000000000005</v>
      </c>
      <c r="T2592" s="297">
        <v>5294</v>
      </c>
      <c r="U2592" s="340">
        <v>114056</v>
      </c>
      <c r="V2592" s="340">
        <v>299315</v>
      </c>
      <c r="W2592" s="297">
        <v>13475</v>
      </c>
      <c r="X2592" s="296">
        <v>8.0000000000000002E-3</v>
      </c>
    </row>
    <row r="2593" spans="13:24">
      <c r="M2593">
        <v>2591</v>
      </c>
      <c r="N2593">
        <v>50322</v>
      </c>
      <c r="O2593" t="s">
        <v>1265</v>
      </c>
      <c r="P2593" t="s">
        <v>170</v>
      </c>
      <c r="Q2593">
        <v>307</v>
      </c>
      <c r="R2593" s="296">
        <v>0</v>
      </c>
      <c r="S2593" s="296">
        <v>0.98440000000000005</v>
      </c>
      <c r="T2593" s="297">
        <v>13476</v>
      </c>
      <c r="U2593" s="340">
        <v>113971</v>
      </c>
      <c r="V2593" s="340">
        <v>284210</v>
      </c>
      <c r="W2593" s="297">
        <v>32151</v>
      </c>
      <c r="X2593" s="296">
        <v>3.0000000000000001E-3</v>
      </c>
    </row>
    <row r="2594" spans="13:24">
      <c r="M2594">
        <v>2592</v>
      </c>
      <c r="N2594">
        <v>70123</v>
      </c>
      <c r="O2594" t="s">
        <v>574</v>
      </c>
      <c r="P2594" t="s">
        <v>147</v>
      </c>
      <c r="Q2594">
        <v>853</v>
      </c>
      <c r="R2594" s="296">
        <v>0</v>
      </c>
      <c r="S2594" s="296">
        <v>0.98440000000000005</v>
      </c>
      <c r="T2594" s="297">
        <v>12688</v>
      </c>
      <c r="U2594" s="340">
        <v>113840</v>
      </c>
      <c r="V2594" s="340">
        <v>422171</v>
      </c>
      <c r="W2594" s="297">
        <v>27063</v>
      </c>
      <c r="X2594" s="296">
        <v>-3.0000000000000001E-3</v>
      </c>
    </row>
    <row r="2595" spans="13:24">
      <c r="M2595">
        <v>2593</v>
      </c>
      <c r="N2595">
        <v>33026</v>
      </c>
      <c r="O2595" t="s">
        <v>542</v>
      </c>
      <c r="P2595" t="s">
        <v>127</v>
      </c>
      <c r="Q2595">
        <v>1192</v>
      </c>
      <c r="R2595" s="296">
        <v>0</v>
      </c>
      <c r="S2595" s="296">
        <v>0.98440000000000005</v>
      </c>
      <c r="T2595" s="297">
        <v>11704</v>
      </c>
      <c r="U2595" s="340">
        <v>113675</v>
      </c>
      <c r="V2595" s="340">
        <v>482141</v>
      </c>
      <c r="W2595" s="297">
        <v>30137</v>
      </c>
      <c r="X2595" s="296">
        <v>-3.0000000000000001E-3</v>
      </c>
    </row>
    <row r="2596" spans="13:24">
      <c r="M2596">
        <v>2594</v>
      </c>
      <c r="N2596">
        <v>77632</v>
      </c>
      <c r="O2596" t="s">
        <v>528</v>
      </c>
      <c r="P2596" t="s">
        <v>134</v>
      </c>
      <c r="Q2596">
        <v>893</v>
      </c>
      <c r="R2596" s="296">
        <v>0</v>
      </c>
      <c r="S2596" s="296">
        <v>0.98440000000000005</v>
      </c>
      <c r="T2596" s="297">
        <v>8902</v>
      </c>
      <c r="U2596" s="340">
        <v>113560</v>
      </c>
      <c r="V2596" s="340">
        <v>259515</v>
      </c>
      <c r="W2596" s="297">
        <v>23008</v>
      </c>
      <c r="X2596" s="296">
        <v>0</v>
      </c>
    </row>
    <row r="2597" spans="13:24">
      <c r="M2597">
        <v>2595</v>
      </c>
      <c r="N2597">
        <v>59718</v>
      </c>
      <c r="O2597" t="s">
        <v>1476</v>
      </c>
      <c r="P2597" t="s">
        <v>190</v>
      </c>
      <c r="Q2597">
        <v>1188</v>
      </c>
      <c r="R2597" s="296">
        <v>0</v>
      </c>
      <c r="S2597" s="296">
        <v>0.98440000000000005</v>
      </c>
      <c r="T2597" s="297">
        <v>20141</v>
      </c>
      <c r="U2597" s="340">
        <v>113536</v>
      </c>
      <c r="V2597" s="340">
        <v>703903</v>
      </c>
      <c r="W2597" s="297">
        <v>49542</v>
      </c>
      <c r="X2597" s="296">
        <v>3.2000000000000001E-2</v>
      </c>
    </row>
    <row r="2598" spans="13:24">
      <c r="M2598">
        <v>2596</v>
      </c>
      <c r="N2598">
        <v>53955</v>
      </c>
      <c r="O2598" t="s">
        <v>2006</v>
      </c>
      <c r="P2598" t="s">
        <v>149</v>
      </c>
      <c r="Q2598">
        <v>119</v>
      </c>
      <c r="R2598" s="296">
        <v>0</v>
      </c>
      <c r="S2598" s="296">
        <v>0.98440000000000005</v>
      </c>
      <c r="T2598" s="297">
        <v>2571</v>
      </c>
      <c r="U2598" s="340">
        <v>113437</v>
      </c>
      <c r="V2598" s="340">
        <v>363408</v>
      </c>
      <c r="W2598" s="297">
        <v>6033</v>
      </c>
      <c r="X2598" s="296">
        <v>5.0000000000000001E-3</v>
      </c>
    </row>
    <row r="2599" spans="13:24">
      <c r="M2599">
        <v>2597</v>
      </c>
      <c r="N2599">
        <v>49331</v>
      </c>
      <c r="O2599" t="s">
        <v>398</v>
      </c>
      <c r="P2599" t="s">
        <v>140</v>
      </c>
      <c r="Q2599">
        <v>136</v>
      </c>
      <c r="R2599" s="296">
        <v>0</v>
      </c>
      <c r="S2599" s="296">
        <v>0.98440000000000005</v>
      </c>
      <c r="T2599" s="297">
        <v>6828</v>
      </c>
      <c r="U2599" s="340">
        <v>113393</v>
      </c>
      <c r="V2599" s="340">
        <v>371445</v>
      </c>
      <c r="W2599" s="297">
        <v>18304</v>
      </c>
      <c r="X2599" s="296">
        <v>8.0000000000000002E-3</v>
      </c>
    </row>
    <row r="2600" spans="13:24">
      <c r="M2600">
        <v>2598</v>
      </c>
      <c r="N2600">
        <v>14414</v>
      </c>
      <c r="O2600" t="s">
        <v>563</v>
      </c>
      <c r="P2600" t="s">
        <v>128</v>
      </c>
      <c r="Q2600">
        <v>514</v>
      </c>
      <c r="R2600" s="296">
        <v>0</v>
      </c>
      <c r="S2600" s="296">
        <v>0.98450000000000004</v>
      </c>
      <c r="T2600" s="297">
        <v>2979</v>
      </c>
      <c r="U2600" s="340">
        <v>113325</v>
      </c>
      <c r="V2600" s="340">
        <v>215187</v>
      </c>
      <c r="W2600" s="297">
        <v>7013</v>
      </c>
      <c r="X2600" s="296">
        <v>-5.0000000000000001E-3</v>
      </c>
    </row>
    <row r="2601" spans="13:24">
      <c r="M2601">
        <v>2599</v>
      </c>
      <c r="N2601">
        <v>32771</v>
      </c>
      <c r="O2601" t="s">
        <v>773</v>
      </c>
      <c r="P2601" t="s">
        <v>127</v>
      </c>
      <c r="Q2601">
        <v>991</v>
      </c>
      <c r="R2601" s="296">
        <v>0</v>
      </c>
      <c r="S2601" s="296">
        <v>0.98450000000000004</v>
      </c>
      <c r="T2601" s="297">
        <v>24211</v>
      </c>
      <c r="U2601" s="340">
        <v>113250</v>
      </c>
      <c r="V2601" s="340">
        <v>476409</v>
      </c>
      <c r="W2601" s="297">
        <v>63245</v>
      </c>
      <c r="X2601" s="296">
        <v>2.5000000000000001E-2</v>
      </c>
    </row>
    <row r="2602" spans="13:24">
      <c r="M2602">
        <v>2600</v>
      </c>
      <c r="N2602">
        <v>23452</v>
      </c>
      <c r="O2602" t="s">
        <v>695</v>
      </c>
      <c r="P2602" t="s">
        <v>139</v>
      </c>
      <c r="Q2602">
        <v>722</v>
      </c>
      <c r="R2602" s="296">
        <v>0</v>
      </c>
      <c r="S2602" s="296">
        <v>0.98450000000000004</v>
      </c>
      <c r="T2602" s="297">
        <v>22926</v>
      </c>
      <c r="U2602" s="340">
        <v>113217</v>
      </c>
      <c r="V2602" s="340">
        <v>512693</v>
      </c>
      <c r="W2602" s="297">
        <v>58345</v>
      </c>
      <c r="X2602" s="296">
        <v>-1E-3</v>
      </c>
    </row>
    <row r="2603" spans="13:24">
      <c r="M2603">
        <v>2601</v>
      </c>
      <c r="N2603">
        <v>10304</v>
      </c>
      <c r="O2603" t="s">
        <v>644</v>
      </c>
      <c r="P2603" t="s">
        <v>128</v>
      </c>
      <c r="Q2603">
        <v>717</v>
      </c>
      <c r="R2603" s="296">
        <v>0</v>
      </c>
      <c r="S2603" s="296">
        <v>0.98450000000000004</v>
      </c>
      <c r="T2603" s="297">
        <v>16011</v>
      </c>
      <c r="U2603" s="340">
        <v>113180</v>
      </c>
      <c r="V2603" s="340">
        <v>812144</v>
      </c>
      <c r="W2603" s="297">
        <v>47206</v>
      </c>
      <c r="X2603" s="296">
        <v>-1E-3</v>
      </c>
    </row>
    <row r="2604" spans="13:24">
      <c r="M2604">
        <v>2602</v>
      </c>
      <c r="N2604">
        <v>98498</v>
      </c>
      <c r="O2604" t="s">
        <v>694</v>
      </c>
      <c r="P2604" t="s">
        <v>224</v>
      </c>
      <c r="Q2604">
        <v>1728</v>
      </c>
      <c r="R2604" s="296">
        <v>0</v>
      </c>
      <c r="S2604" s="296">
        <v>0.98450000000000004</v>
      </c>
      <c r="T2604" s="297">
        <v>11904</v>
      </c>
      <c r="U2604" s="340">
        <v>113164</v>
      </c>
      <c r="V2604" s="340">
        <v>632138</v>
      </c>
      <c r="W2604" s="297">
        <v>29744</v>
      </c>
      <c r="X2604" s="296">
        <v>3.0000000000000001E-3</v>
      </c>
    </row>
    <row r="2605" spans="13:24">
      <c r="M2605">
        <v>2603</v>
      </c>
      <c r="N2605">
        <v>36526</v>
      </c>
      <c r="O2605" t="s">
        <v>2007</v>
      </c>
      <c r="P2605" t="s">
        <v>154</v>
      </c>
      <c r="Q2605">
        <v>796</v>
      </c>
      <c r="R2605" s="296">
        <v>0</v>
      </c>
      <c r="S2605" s="296">
        <v>0.98450000000000004</v>
      </c>
      <c r="T2605" s="297">
        <v>16124</v>
      </c>
      <c r="U2605" s="340">
        <v>113046</v>
      </c>
      <c r="V2605" s="340">
        <v>397530</v>
      </c>
      <c r="W2605" s="297">
        <v>40825</v>
      </c>
      <c r="X2605" s="296">
        <v>3.2000000000000001E-2</v>
      </c>
    </row>
    <row r="2606" spans="13:24">
      <c r="M2606">
        <v>2604</v>
      </c>
      <c r="N2606">
        <v>62254</v>
      </c>
      <c r="O2606" t="s">
        <v>464</v>
      </c>
      <c r="P2606" t="s">
        <v>131</v>
      </c>
      <c r="Q2606">
        <v>267</v>
      </c>
      <c r="R2606" s="296">
        <v>0</v>
      </c>
      <c r="S2606" s="296">
        <v>0.98450000000000004</v>
      </c>
      <c r="T2606" s="297">
        <v>2346</v>
      </c>
      <c r="U2606" s="340">
        <v>113013</v>
      </c>
      <c r="V2606" s="340">
        <v>297358</v>
      </c>
      <c r="W2606" s="297">
        <v>6319</v>
      </c>
      <c r="X2606" s="296">
        <v>-6.0000000000000001E-3</v>
      </c>
    </row>
    <row r="2607" spans="13:24">
      <c r="M2607">
        <v>2605</v>
      </c>
      <c r="N2607">
        <v>34997</v>
      </c>
      <c r="O2607" t="s">
        <v>801</v>
      </c>
      <c r="P2607" t="s">
        <v>127</v>
      </c>
      <c r="Q2607">
        <v>1124</v>
      </c>
      <c r="R2607" s="296">
        <v>0</v>
      </c>
      <c r="S2607" s="296">
        <v>0.98450000000000004</v>
      </c>
      <c r="T2607" s="297">
        <v>19678</v>
      </c>
      <c r="U2607" s="340">
        <v>112995</v>
      </c>
      <c r="V2607" s="340">
        <v>507373</v>
      </c>
      <c r="W2607" s="297">
        <v>45268</v>
      </c>
      <c r="X2607" s="296">
        <v>8.0000000000000002E-3</v>
      </c>
    </row>
    <row r="2608" spans="13:24">
      <c r="M2608">
        <v>2606</v>
      </c>
      <c r="N2608">
        <v>92557</v>
      </c>
      <c r="O2608" t="s">
        <v>1372</v>
      </c>
      <c r="P2608" t="s">
        <v>132</v>
      </c>
      <c r="Q2608">
        <v>1690</v>
      </c>
      <c r="R2608" s="296">
        <v>0</v>
      </c>
      <c r="S2608" s="296">
        <v>0.98460000000000003</v>
      </c>
      <c r="T2608" s="297">
        <v>15810</v>
      </c>
      <c r="U2608" s="340">
        <v>112978</v>
      </c>
      <c r="V2608" s="340">
        <v>550804</v>
      </c>
      <c r="W2608" s="297">
        <v>54925</v>
      </c>
      <c r="X2608" s="296">
        <v>3.0000000000000001E-3</v>
      </c>
    </row>
    <row r="2609" spans="13:24">
      <c r="M2609">
        <v>2607</v>
      </c>
      <c r="N2609">
        <v>8086</v>
      </c>
      <c r="O2609" t="s">
        <v>2008</v>
      </c>
      <c r="P2609" t="s">
        <v>129</v>
      </c>
      <c r="Q2609">
        <v>675</v>
      </c>
      <c r="R2609" s="296">
        <v>0</v>
      </c>
      <c r="S2609" s="296">
        <v>0.98460000000000003</v>
      </c>
      <c r="T2609" s="297">
        <v>3663</v>
      </c>
      <c r="U2609" s="340">
        <v>112931</v>
      </c>
      <c r="V2609" s="340">
        <v>315299</v>
      </c>
      <c r="W2609" s="297">
        <v>8425</v>
      </c>
      <c r="X2609" s="296">
        <v>4.0000000000000001E-3</v>
      </c>
    </row>
    <row r="2610" spans="13:24">
      <c r="M2610">
        <v>2608</v>
      </c>
      <c r="N2610">
        <v>56003</v>
      </c>
      <c r="O2610" t="s">
        <v>2009</v>
      </c>
      <c r="P2610" t="s">
        <v>151</v>
      </c>
      <c r="Q2610">
        <v>348</v>
      </c>
      <c r="R2610" s="296">
        <v>0</v>
      </c>
      <c r="S2610" s="296">
        <v>0.98460000000000003</v>
      </c>
      <c r="T2610" s="297">
        <v>6332</v>
      </c>
      <c r="U2610" s="340">
        <v>112921</v>
      </c>
      <c r="V2610" s="340">
        <v>326542</v>
      </c>
      <c r="W2610" s="297">
        <v>15397</v>
      </c>
      <c r="X2610" s="296">
        <v>3.0000000000000001E-3</v>
      </c>
    </row>
    <row r="2611" spans="13:24">
      <c r="M2611">
        <v>2609</v>
      </c>
      <c r="N2611">
        <v>92407</v>
      </c>
      <c r="O2611" t="s">
        <v>2010</v>
      </c>
      <c r="P2611" t="s">
        <v>132</v>
      </c>
      <c r="Q2611">
        <v>1683</v>
      </c>
      <c r="R2611" s="296">
        <v>0</v>
      </c>
      <c r="S2611" s="296">
        <v>0.98460000000000003</v>
      </c>
      <c r="T2611" s="297">
        <v>19124</v>
      </c>
      <c r="U2611" s="340">
        <v>112854</v>
      </c>
      <c r="V2611" s="340">
        <v>548210</v>
      </c>
      <c r="W2611" s="297">
        <v>69174</v>
      </c>
      <c r="X2611" s="296">
        <v>3.0000000000000001E-3</v>
      </c>
    </row>
    <row r="2612" spans="13:24">
      <c r="M2612">
        <v>2610</v>
      </c>
      <c r="N2612">
        <v>15232</v>
      </c>
      <c r="O2612" t="s">
        <v>569</v>
      </c>
      <c r="P2612" t="s">
        <v>133</v>
      </c>
      <c r="Q2612">
        <v>424</v>
      </c>
      <c r="R2612" s="296">
        <v>0</v>
      </c>
      <c r="S2612" s="296">
        <v>0.98460000000000003</v>
      </c>
      <c r="T2612" s="297">
        <v>6517</v>
      </c>
      <c r="U2612" s="340">
        <v>112760</v>
      </c>
      <c r="V2612" s="340">
        <v>595671</v>
      </c>
      <c r="W2612" s="297">
        <v>11778</v>
      </c>
      <c r="X2612" s="296">
        <v>0</v>
      </c>
    </row>
    <row r="2613" spans="13:24">
      <c r="M2613">
        <v>2611</v>
      </c>
      <c r="N2613">
        <v>91762</v>
      </c>
      <c r="O2613" t="s">
        <v>1313</v>
      </c>
      <c r="P2613" t="s">
        <v>132</v>
      </c>
      <c r="Q2613">
        <v>1708</v>
      </c>
      <c r="R2613" s="296">
        <v>0</v>
      </c>
      <c r="S2613" s="296">
        <v>0.98460000000000003</v>
      </c>
      <c r="T2613" s="297">
        <v>19412</v>
      </c>
      <c r="U2613" s="340">
        <v>112710</v>
      </c>
      <c r="V2613" s="340">
        <v>619487</v>
      </c>
      <c r="W2613" s="297">
        <v>64104</v>
      </c>
      <c r="X2613" s="296">
        <v>1.4E-2</v>
      </c>
    </row>
    <row r="2614" spans="13:24">
      <c r="M2614">
        <v>2612</v>
      </c>
      <c r="N2614">
        <v>94804</v>
      </c>
      <c r="O2614" t="s">
        <v>302</v>
      </c>
      <c r="P2614" t="s">
        <v>132</v>
      </c>
      <c r="Q2614">
        <v>1838</v>
      </c>
      <c r="R2614" s="296">
        <v>0</v>
      </c>
      <c r="S2614" s="296">
        <v>0.98460000000000003</v>
      </c>
      <c r="T2614" s="297">
        <v>15294</v>
      </c>
      <c r="U2614" s="340">
        <v>112686</v>
      </c>
      <c r="V2614" s="340">
        <v>795220</v>
      </c>
      <c r="W2614" s="297">
        <v>45265</v>
      </c>
      <c r="X2614" s="296">
        <v>-1E-3</v>
      </c>
    </row>
    <row r="2615" spans="13:24">
      <c r="M2615">
        <v>2613</v>
      </c>
      <c r="N2615">
        <v>82053</v>
      </c>
      <c r="O2615" t="s">
        <v>2011</v>
      </c>
      <c r="P2615" t="s">
        <v>229</v>
      </c>
      <c r="Q2615">
        <v>856</v>
      </c>
      <c r="R2615" s="296">
        <v>0</v>
      </c>
      <c r="S2615" s="296">
        <v>0.98460000000000003</v>
      </c>
      <c r="T2615">
        <v>594</v>
      </c>
      <c r="U2615" s="340">
        <v>112675</v>
      </c>
      <c r="V2615" s="340">
        <v>510786</v>
      </c>
      <c r="W2615" s="297">
        <v>1503</v>
      </c>
      <c r="X2615" s="296">
        <v>4.0000000000000001E-3</v>
      </c>
    </row>
    <row r="2616" spans="13:24">
      <c r="M2616">
        <v>2614</v>
      </c>
      <c r="N2616">
        <v>45227</v>
      </c>
      <c r="O2616" t="s">
        <v>599</v>
      </c>
      <c r="P2616" t="s">
        <v>136</v>
      </c>
      <c r="Q2616">
        <v>273</v>
      </c>
      <c r="R2616" s="296">
        <v>0</v>
      </c>
      <c r="S2616" s="296">
        <v>0.98470000000000002</v>
      </c>
      <c r="T2616" s="297">
        <v>8696</v>
      </c>
      <c r="U2616" s="340">
        <v>112602</v>
      </c>
      <c r="V2616" s="340">
        <v>416437</v>
      </c>
      <c r="W2616" s="297">
        <v>18964</v>
      </c>
      <c r="X2616" s="296">
        <v>5.0000000000000001E-3</v>
      </c>
    </row>
    <row r="2617" spans="13:24">
      <c r="M2617">
        <v>2615</v>
      </c>
      <c r="N2617">
        <v>28468</v>
      </c>
      <c r="O2617" t="s">
        <v>2012</v>
      </c>
      <c r="P2617" t="s">
        <v>138</v>
      </c>
      <c r="Q2617">
        <v>761</v>
      </c>
      <c r="R2617" s="296">
        <v>0</v>
      </c>
      <c r="S2617" s="296">
        <v>0.98470000000000002</v>
      </c>
      <c r="T2617" s="297">
        <v>3041</v>
      </c>
      <c r="U2617" s="340">
        <v>112558</v>
      </c>
      <c r="V2617" s="340">
        <v>420527</v>
      </c>
      <c r="W2617" s="297">
        <v>5817</v>
      </c>
      <c r="X2617" s="296">
        <v>3.4000000000000002E-2</v>
      </c>
    </row>
    <row r="2618" spans="13:24">
      <c r="M2618">
        <v>2616</v>
      </c>
      <c r="N2618">
        <v>60549</v>
      </c>
      <c r="O2618" t="s">
        <v>2013</v>
      </c>
      <c r="P2618" t="s">
        <v>131</v>
      </c>
      <c r="Q2618">
        <v>67</v>
      </c>
      <c r="R2618" s="296">
        <v>0</v>
      </c>
      <c r="S2618" s="296">
        <v>0.98470000000000002</v>
      </c>
      <c r="T2618">
        <v>226</v>
      </c>
      <c r="U2618" s="340">
        <v>112497</v>
      </c>
      <c r="V2618" s="340">
        <v>330740</v>
      </c>
      <c r="W2618">
        <v>617</v>
      </c>
      <c r="X2618" s="296">
        <v>-8.0000000000000002E-3</v>
      </c>
    </row>
    <row r="2619" spans="13:24">
      <c r="M2619">
        <v>2617</v>
      </c>
      <c r="N2619">
        <v>97008</v>
      </c>
      <c r="O2619" t="s">
        <v>1855</v>
      </c>
      <c r="P2619" t="s">
        <v>207</v>
      </c>
      <c r="Q2619">
        <v>1747</v>
      </c>
      <c r="R2619" s="296">
        <v>0</v>
      </c>
      <c r="S2619" s="296">
        <v>0.98470000000000002</v>
      </c>
      <c r="T2619" s="297">
        <v>12163</v>
      </c>
      <c r="U2619" s="340">
        <v>112176</v>
      </c>
      <c r="V2619" s="340">
        <v>589797</v>
      </c>
      <c r="W2619" s="297">
        <v>29771</v>
      </c>
      <c r="X2619" s="296">
        <v>-1E-3</v>
      </c>
    </row>
    <row r="2620" spans="13:24">
      <c r="M2620">
        <v>2618</v>
      </c>
      <c r="N2620">
        <v>64155</v>
      </c>
      <c r="O2620" t="s">
        <v>490</v>
      </c>
      <c r="P2620" t="s">
        <v>186</v>
      </c>
      <c r="Q2620">
        <v>407</v>
      </c>
      <c r="R2620" s="296">
        <v>0</v>
      </c>
      <c r="S2620" s="296">
        <v>0.98470000000000002</v>
      </c>
      <c r="T2620" s="297">
        <v>11126</v>
      </c>
      <c r="U2620" s="340">
        <v>112101</v>
      </c>
      <c r="V2620" s="340">
        <v>332936</v>
      </c>
      <c r="W2620" s="297">
        <v>29241</v>
      </c>
      <c r="X2620" s="296">
        <v>1.4999999999999999E-2</v>
      </c>
    </row>
    <row r="2621" spans="13:24">
      <c r="M2621">
        <v>2619</v>
      </c>
      <c r="N2621">
        <v>37203</v>
      </c>
      <c r="O2621" t="s">
        <v>500</v>
      </c>
      <c r="P2621" t="s">
        <v>146</v>
      </c>
      <c r="Q2621">
        <v>418</v>
      </c>
      <c r="R2621" s="296">
        <v>0</v>
      </c>
      <c r="S2621" s="296">
        <v>0.98470000000000002</v>
      </c>
      <c r="T2621" s="297">
        <v>15611</v>
      </c>
      <c r="U2621" s="340">
        <v>112097</v>
      </c>
      <c r="V2621" s="340">
        <v>651703</v>
      </c>
      <c r="W2621" s="297">
        <v>25636</v>
      </c>
      <c r="X2621" s="296">
        <v>6.0999999999999999E-2</v>
      </c>
    </row>
    <row r="2622" spans="13:24">
      <c r="M2622">
        <v>2620</v>
      </c>
      <c r="N2622">
        <v>53551</v>
      </c>
      <c r="O2622" t="s">
        <v>2014</v>
      </c>
      <c r="P2622" t="s">
        <v>149</v>
      </c>
      <c r="Q2622">
        <v>86</v>
      </c>
      <c r="R2622" s="296">
        <v>0</v>
      </c>
      <c r="S2622" s="296">
        <v>0.98470000000000002</v>
      </c>
      <c r="T2622" s="297">
        <v>3743</v>
      </c>
      <c r="U2622" s="340">
        <v>112079</v>
      </c>
      <c r="V2622" s="340">
        <v>451627</v>
      </c>
      <c r="W2622" s="297">
        <v>9029</v>
      </c>
      <c r="X2622" s="296">
        <v>7.0000000000000001E-3</v>
      </c>
    </row>
    <row r="2623" spans="13:24">
      <c r="M2623">
        <v>2621</v>
      </c>
      <c r="N2623">
        <v>77057</v>
      </c>
      <c r="O2623" t="s">
        <v>314</v>
      </c>
      <c r="P2623" t="s">
        <v>134</v>
      </c>
      <c r="Q2623">
        <v>958</v>
      </c>
      <c r="R2623" s="296">
        <v>0</v>
      </c>
      <c r="S2623" s="296">
        <v>0.98470000000000002</v>
      </c>
      <c r="T2623" s="297">
        <v>22022</v>
      </c>
      <c r="U2623" s="340">
        <v>112051</v>
      </c>
      <c r="V2623" s="340">
        <v>608933</v>
      </c>
      <c r="W2623" s="297">
        <v>43221</v>
      </c>
      <c r="X2623" s="296">
        <v>4.0000000000000001E-3</v>
      </c>
    </row>
    <row r="2624" spans="13:24">
      <c r="M2624">
        <v>2622</v>
      </c>
      <c r="N2624">
        <v>90021</v>
      </c>
      <c r="O2624" t="s">
        <v>309</v>
      </c>
      <c r="P2624" t="s">
        <v>132</v>
      </c>
      <c r="Q2624">
        <v>1737</v>
      </c>
      <c r="R2624" s="296">
        <v>0</v>
      </c>
      <c r="S2624" s="296">
        <v>0.98480000000000001</v>
      </c>
      <c r="T2624" s="297">
        <v>1859</v>
      </c>
      <c r="U2624" s="340">
        <v>112008</v>
      </c>
      <c r="V2624" s="340">
        <v>1112705</v>
      </c>
      <c r="W2624" s="297">
        <v>5668</v>
      </c>
      <c r="X2624" s="296">
        <v>4.3999999999999997E-2</v>
      </c>
    </row>
    <row r="2625" spans="13:24">
      <c r="M2625">
        <v>2623</v>
      </c>
      <c r="N2625">
        <v>61733</v>
      </c>
      <c r="O2625" t="s">
        <v>2015</v>
      </c>
      <c r="P2625" t="s">
        <v>131</v>
      </c>
      <c r="Q2625">
        <v>132</v>
      </c>
      <c r="R2625" s="296">
        <v>0</v>
      </c>
      <c r="S2625" s="296">
        <v>0.98480000000000001</v>
      </c>
      <c r="T2625">
        <v>482</v>
      </c>
      <c r="U2625" s="340">
        <v>111946</v>
      </c>
      <c r="V2625" s="340">
        <v>295147</v>
      </c>
      <c r="W2625" s="297">
        <v>1216</v>
      </c>
      <c r="X2625" s="296">
        <v>6.0000000000000001E-3</v>
      </c>
    </row>
    <row r="2626" spans="13:24">
      <c r="M2626">
        <v>2624</v>
      </c>
      <c r="N2626">
        <v>55406</v>
      </c>
      <c r="O2626" t="s">
        <v>576</v>
      </c>
      <c r="P2626" t="s">
        <v>151</v>
      </c>
      <c r="Q2626">
        <v>333</v>
      </c>
      <c r="R2626" s="296">
        <v>0</v>
      </c>
      <c r="S2626" s="296">
        <v>0.98480000000000001</v>
      </c>
      <c r="T2626" s="297">
        <v>15961</v>
      </c>
      <c r="U2626" s="340">
        <v>111889</v>
      </c>
      <c r="V2626" s="340">
        <v>447561</v>
      </c>
      <c r="W2626" s="297">
        <v>34213</v>
      </c>
      <c r="X2626" s="296">
        <v>-2E-3</v>
      </c>
    </row>
    <row r="2627" spans="13:24">
      <c r="M2627">
        <v>2625</v>
      </c>
      <c r="N2627">
        <v>62249</v>
      </c>
      <c r="O2627" t="s">
        <v>727</v>
      </c>
      <c r="P2627" t="s">
        <v>131</v>
      </c>
      <c r="Q2627">
        <v>255</v>
      </c>
      <c r="R2627" s="296">
        <v>0</v>
      </c>
      <c r="S2627" s="296">
        <v>0.98480000000000001</v>
      </c>
      <c r="T2627" s="297">
        <v>6619</v>
      </c>
      <c r="U2627" s="340">
        <v>111803</v>
      </c>
      <c r="V2627" s="340">
        <v>290369</v>
      </c>
      <c r="W2627" s="297">
        <v>15991</v>
      </c>
      <c r="X2627" s="296">
        <v>-3.0000000000000001E-3</v>
      </c>
    </row>
    <row r="2628" spans="13:24">
      <c r="M2628">
        <v>2626</v>
      </c>
      <c r="N2628">
        <v>47639</v>
      </c>
      <c r="O2628" t="s">
        <v>2016</v>
      </c>
      <c r="P2628" t="s">
        <v>144</v>
      </c>
      <c r="Q2628">
        <v>274</v>
      </c>
      <c r="R2628" s="296">
        <v>0</v>
      </c>
      <c r="S2628" s="296">
        <v>0.98480000000000001</v>
      </c>
      <c r="T2628" s="297">
        <v>1833</v>
      </c>
      <c r="U2628" s="340">
        <v>111679</v>
      </c>
      <c r="V2628" s="340">
        <v>316897</v>
      </c>
      <c r="W2628" s="297">
        <v>4560</v>
      </c>
      <c r="X2628" s="296">
        <v>-4.0000000000000001E-3</v>
      </c>
    </row>
    <row r="2629" spans="13:24">
      <c r="M2629">
        <v>2627</v>
      </c>
      <c r="N2629">
        <v>68164</v>
      </c>
      <c r="O2629" t="s">
        <v>337</v>
      </c>
      <c r="P2629" t="s">
        <v>195</v>
      </c>
      <c r="Q2629">
        <v>433</v>
      </c>
      <c r="R2629" s="296">
        <v>0</v>
      </c>
      <c r="S2629" s="296">
        <v>0.98480000000000001</v>
      </c>
      <c r="T2629" s="297">
        <v>12173</v>
      </c>
      <c r="U2629" s="340">
        <v>111556</v>
      </c>
      <c r="V2629" s="340">
        <v>312698</v>
      </c>
      <c r="W2629" s="297">
        <v>28912</v>
      </c>
      <c r="X2629" s="296">
        <v>6.0000000000000001E-3</v>
      </c>
    </row>
    <row r="2630" spans="13:24">
      <c r="M2630">
        <v>2628</v>
      </c>
      <c r="N2630">
        <v>61742</v>
      </c>
      <c r="O2630" t="s">
        <v>2017</v>
      </c>
      <c r="P2630" t="s">
        <v>131</v>
      </c>
      <c r="Q2630">
        <v>130</v>
      </c>
      <c r="R2630" s="296">
        <v>0</v>
      </c>
      <c r="S2630" s="296">
        <v>0.98480000000000001</v>
      </c>
      <c r="T2630">
        <v>475</v>
      </c>
      <c r="U2630" s="340">
        <v>111500</v>
      </c>
      <c r="V2630" s="340">
        <v>285777</v>
      </c>
      <c r="W2630" s="297">
        <v>1303</v>
      </c>
      <c r="X2630" s="296">
        <v>2E-3</v>
      </c>
    </row>
    <row r="2631" spans="13:24">
      <c r="M2631">
        <v>2629</v>
      </c>
      <c r="N2631">
        <v>5446</v>
      </c>
      <c r="O2631" t="s">
        <v>480</v>
      </c>
      <c r="P2631" t="s">
        <v>222</v>
      </c>
      <c r="Q2631">
        <v>750</v>
      </c>
      <c r="R2631" s="296">
        <v>0</v>
      </c>
      <c r="S2631" s="296">
        <v>0.98480000000000001</v>
      </c>
      <c r="T2631" s="297">
        <v>7178</v>
      </c>
      <c r="U2631" s="340">
        <v>111496</v>
      </c>
      <c r="V2631" s="340">
        <v>544742</v>
      </c>
      <c r="W2631" s="297">
        <v>17844</v>
      </c>
      <c r="X2631" s="296">
        <v>4.0000000000000001E-3</v>
      </c>
    </row>
    <row r="2632" spans="13:24">
      <c r="M2632">
        <v>2630</v>
      </c>
      <c r="N2632">
        <v>75703</v>
      </c>
      <c r="O2632" t="s">
        <v>584</v>
      </c>
      <c r="P2632" t="s">
        <v>134</v>
      </c>
      <c r="Q2632">
        <v>800</v>
      </c>
      <c r="R2632" s="296">
        <v>0</v>
      </c>
      <c r="S2632" s="296">
        <v>0.9849</v>
      </c>
      <c r="T2632" s="297">
        <v>19786</v>
      </c>
      <c r="U2632" s="340">
        <v>111469</v>
      </c>
      <c r="V2632" s="340">
        <v>359770</v>
      </c>
      <c r="W2632" s="297">
        <v>45880</v>
      </c>
      <c r="X2632" s="296">
        <v>8.0000000000000002E-3</v>
      </c>
    </row>
    <row r="2633" spans="13:24">
      <c r="M2633">
        <v>2631</v>
      </c>
      <c r="N2633">
        <v>49418</v>
      </c>
      <c r="O2633" t="s">
        <v>2018</v>
      </c>
      <c r="P2633" t="s">
        <v>140</v>
      </c>
      <c r="Q2633">
        <v>115</v>
      </c>
      <c r="R2633" s="296">
        <v>0</v>
      </c>
      <c r="S2633" s="296">
        <v>0.9849</v>
      </c>
      <c r="T2633" s="297">
        <v>12239</v>
      </c>
      <c r="U2633" s="340">
        <v>111403</v>
      </c>
      <c r="V2633" s="340">
        <v>375477</v>
      </c>
      <c r="W2633" s="297">
        <v>31548</v>
      </c>
      <c r="X2633" s="296">
        <v>1.0999999999999999E-2</v>
      </c>
    </row>
    <row r="2634" spans="13:24">
      <c r="M2634">
        <v>2632</v>
      </c>
      <c r="N2634">
        <v>28205</v>
      </c>
      <c r="O2634" t="s">
        <v>477</v>
      </c>
      <c r="P2634" t="s">
        <v>138</v>
      </c>
      <c r="Q2634">
        <v>609</v>
      </c>
      <c r="R2634" s="296">
        <v>0</v>
      </c>
      <c r="S2634" s="296">
        <v>0.9849</v>
      </c>
      <c r="T2634" s="297">
        <v>23536</v>
      </c>
      <c r="U2634" s="340">
        <v>111285</v>
      </c>
      <c r="V2634" s="340">
        <v>527025</v>
      </c>
      <c r="W2634" s="297">
        <v>51038</v>
      </c>
      <c r="X2634" s="296">
        <v>7.0000000000000001E-3</v>
      </c>
    </row>
    <row r="2635" spans="13:24">
      <c r="M2635">
        <v>2633</v>
      </c>
      <c r="N2635">
        <v>22546</v>
      </c>
      <c r="O2635" t="s">
        <v>2019</v>
      </c>
      <c r="P2635" t="s">
        <v>139</v>
      </c>
      <c r="Q2635">
        <v>619</v>
      </c>
      <c r="R2635" s="296">
        <v>0</v>
      </c>
      <c r="S2635" s="296">
        <v>0.9849</v>
      </c>
      <c r="T2635" s="297">
        <v>6882</v>
      </c>
      <c r="U2635" s="340">
        <v>111181</v>
      </c>
      <c r="V2635" s="340">
        <v>320587</v>
      </c>
      <c r="W2635" s="297">
        <v>18843</v>
      </c>
      <c r="X2635" s="296">
        <v>1.4E-2</v>
      </c>
    </row>
    <row r="2636" spans="13:24">
      <c r="M2636">
        <v>2634</v>
      </c>
      <c r="N2636">
        <v>53004</v>
      </c>
      <c r="O2636" t="s">
        <v>2020</v>
      </c>
      <c r="P2636" t="s">
        <v>149</v>
      </c>
      <c r="Q2636">
        <v>93</v>
      </c>
      <c r="R2636" s="296">
        <v>0</v>
      </c>
      <c r="S2636" s="296">
        <v>0.9849</v>
      </c>
      <c r="T2636" s="297">
        <v>1434</v>
      </c>
      <c r="U2636" s="340">
        <v>111181</v>
      </c>
      <c r="V2636" s="340">
        <v>443454</v>
      </c>
      <c r="W2636" s="297">
        <v>3631</v>
      </c>
      <c r="X2636" s="296">
        <v>-2E-3</v>
      </c>
    </row>
    <row r="2637" spans="13:24">
      <c r="M2637">
        <v>2635</v>
      </c>
      <c r="N2637">
        <v>58545</v>
      </c>
      <c r="O2637" t="s">
        <v>2021</v>
      </c>
      <c r="P2637" t="s">
        <v>193</v>
      </c>
      <c r="Q2637">
        <v>765</v>
      </c>
      <c r="R2637" s="296">
        <v>0</v>
      </c>
      <c r="S2637" s="296">
        <v>0.9849</v>
      </c>
      <c r="T2637" s="297">
        <v>1416</v>
      </c>
      <c r="U2637" s="340">
        <v>111073</v>
      </c>
      <c r="V2637" s="340">
        <v>295182</v>
      </c>
      <c r="W2637" s="297">
        <v>3267</v>
      </c>
      <c r="X2637" s="296">
        <v>-4.0000000000000001E-3</v>
      </c>
    </row>
    <row r="2638" spans="13:24">
      <c r="M2638">
        <v>2636</v>
      </c>
      <c r="N2638">
        <v>39211</v>
      </c>
      <c r="O2638" t="s">
        <v>1140</v>
      </c>
      <c r="P2638" t="s">
        <v>188</v>
      </c>
      <c r="Q2638">
        <v>687</v>
      </c>
      <c r="R2638" s="296">
        <v>0</v>
      </c>
      <c r="S2638" s="296">
        <v>0.9849</v>
      </c>
      <c r="T2638" s="297">
        <v>10980</v>
      </c>
      <c r="U2638" s="340">
        <v>110943</v>
      </c>
      <c r="V2638" s="340">
        <v>310355</v>
      </c>
      <c r="W2638" s="297">
        <v>24415</v>
      </c>
      <c r="X2638" s="296">
        <v>-7.0000000000000001E-3</v>
      </c>
    </row>
    <row r="2639" spans="13:24">
      <c r="M2639">
        <v>2637</v>
      </c>
      <c r="N2639">
        <v>30084</v>
      </c>
      <c r="O2639" t="s">
        <v>2022</v>
      </c>
      <c r="P2639" t="s">
        <v>130</v>
      </c>
      <c r="Q2639">
        <v>605</v>
      </c>
      <c r="R2639" s="296">
        <v>0</v>
      </c>
      <c r="S2639" s="296">
        <v>0.9849</v>
      </c>
      <c r="T2639" s="297">
        <v>16326</v>
      </c>
      <c r="U2639" s="340">
        <v>110891</v>
      </c>
      <c r="V2639" s="340">
        <v>394320</v>
      </c>
      <c r="W2639" s="297">
        <v>42807</v>
      </c>
      <c r="X2639" s="296">
        <v>7.0000000000000001E-3</v>
      </c>
    </row>
    <row r="2640" spans="13:24">
      <c r="M2640">
        <v>2638</v>
      </c>
      <c r="N2640">
        <v>29205</v>
      </c>
      <c r="O2640" t="s">
        <v>344</v>
      </c>
      <c r="P2640" t="s">
        <v>145</v>
      </c>
      <c r="Q2640">
        <v>673</v>
      </c>
      <c r="R2640" s="296">
        <v>0</v>
      </c>
      <c r="S2640" s="296">
        <v>0.98499999999999999</v>
      </c>
      <c r="T2640" s="297">
        <v>11776</v>
      </c>
      <c r="U2640" s="340">
        <v>110763</v>
      </c>
      <c r="V2640" s="340">
        <v>400184</v>
      </c>
      <c r="W2640" s="297">
        <v>24098</v>
      </c>
      <c r="X2640" s="296">
        <v>5.0000000000000001E-3</v>
      </c>
    </row>
    <row r="2641" spans="13:24">
      <c r="M2641">
        <v>2639</v>
      </c>
      <c r="N2641">
        <v>33436</v>
      </c>
      <c r="O2641" t="s">
        <v>1325</v>
      </c>
      <c r="P2641" t="s">
        <v>127</v>
      </c>
      <c r="Q2641">
        <v>1164</v>
      </c>
      <c r="R2641" s="296">
        <v>0</v>
      </c>
      <c r="S2641" s="296">
        <v>0.98499999999999999</v>
      </c>
      <c r="T2641" s="297">
        <v>19267</v>
      </c>
      <c r="U2641" s="340">
        <v>110732</v>
      </c>
      <c r="V2641" s="340">
        <v>504962</v>
      </c>
      <c r="W2641" s="297">
        <v>44202</v>
      </c>
      <c r="X2641" s="296">
        <v>-3.0000000000000001E-3</v>
      </c>
    </row>
    <row r="2642" spans="13:24">
      <c r="M2642">
        <v>2640</v>
      </c>
      <c r="N2642">
        <v>61877</v>
      </c>
      <c r="O2642" t="s">
        <v>2023</v>
      </c>
      <c r="P2642" t="s">
        <v>131</v>
      </c>
      <c r="Q2642">
        <v>149</v>
      </c>
      <c r="R2642" s="296">
        <v>0</v>
      </c>
      <c r="S2642" s="296">
        <v>0.98499999999999999</v>
      </c>
      <c r="T2642">
        <v>670</v>
      </c>
      <c r="U2642" s="340">
        <v>110687</v>
      </c>
      <c r="V2642" s="340">
        <v>278080</v>
      </c>
      <c r="W2642" s="297">
        <v>1655</v>
      </c>
      <c r="X2642" s="296">
        <v>-1E-3</v>
      </c>
    </row>
    <row r="2643" spans="13:24">
      <c r="M2643">
        <v>2641</v>
      </c>
      <c r="N2643">
        <v>18017</v>
      </c>
      <c r="O2643" t="s">
        <v>711</v>
      </c>
      <c r="P2643" t="s">
        <v>133</v>
      </c>
      <c r="Q2643">
        <v>650</v>
      </c>
      <c r="R2643" s="296">
        <v>0</v>
      </c>
      <c r="S2643" s="296">
        <v>0.98499999999999999</v>
      </c>
      <c r="T2643" s="297">
        <v>16240</v>
      </c>
      <c r="U2643" s="340">
        <v>110593</v>
      </c>
      <c r="V2643" s="340">
        <v>355838</v>
      </c>
      <c r="W2643" s="297">
        <v>39600</v>
      </c>
      <c r="X2643" s="296">
        <v>3.0000000000000001E-3</v>
      </c>
    </row>
    <row r="2644" spans="13:24">
      <c r="M2644">
        <v>2642</v>
      </c>
      <c r="N2644">
        <v>45372</v>
      </c>
      <c r="O2644" t="s">
        <v>2024</v>
      </c>
      <c r="P2644" t="s">
        <v>136</v>
      </c>
      <c r="Q2644">
        <v>253</v>
      </c>
      <c r="R2644" s="296">
        <v>0</v>
      </c>
      <c r="S2644" s="296">
        <v>0.98499999999999999</v>
      </c>
      <c r="T2644">
        <v>130</v>
      </c>
      <c r="U2644" s="340">
        <v>110557</v>
      </c>
      <c r="V2644" s="340">
        <v>358716</v>
      </c>
      <c r="W2644">
        <v>338</v>
      </c>
      <c r="X2644" s="296">
        <v>1.2E-2</v>
      </c>
    </row>
    <row r="2645" spans="13:24">
      <c r="M2645">
        <v>2643</v>
      </c>
      <c r="N2645">
        <v>27701</v>
      </c>
      <c r="O2645" t="s">
        <v>505</v>
      </c>
      <c r="P2645" t="s">
        <v>138</v>
      </c>
      <c r="Q2645">
        <v>638</v>
      </c>
      <c r="R2645" s="296">
        <v>0</v>
      </c>
      <c r="S2645" s="296">
        <v>0.98499999999999999</v>
      </c>
      <c r="T2645" s="297">
        <v>12669</v>
      </c>
      <c r="U2645" s="340">
        <v>110521</v>
      </c>
      <c r="V2645" s="340">
        <v>545542</v>
      </c>
      <c r="W2645" s="297">
        <v>29703</v>
      </c>
      <c r="X2645" s="296">
        <v>2.5000000000000001E-2</v>
      </c>
    </row>
    <row r="2646" spans="13:24">
      <c r="M2646">
        <v>2644</v>
      </c>
      <c r="N2646">
        <v>33914</v>
      </c>
      <c r="O2646" t="s">
        <v>817</v>
      </c>
      <c r="P2646" t="s">
        <v>127</v>
      </c>
      <c r="Q2646">
        <v>1126</v>
      </c>
      <c r="R2646" s="296">
        <v>0</v>
      </c>
      <c r="S2646" s="296">
        <v>0.98499999999999999</v>
      </c>
      <c r="T2646" s="297">
        <v>19531</v>
      </c>
      <c r="U2646" s="340">
        <v>110482</v>
      </c>
      <c r="V2646" s="340">
        <v>534335</v>
      </c>
      <c r="W2646" s="297">
        <v>46368</v>
      </c>
      <c r="X2646" s="296">
        <v>2.3E-2</v>
      </c>
    </row>
    <row r="2647" spans="13:24">
      <c r="M2647">
        <v>2645</v>
      </c>
      <c r="N2647">
        <v>83638</v>
      </c>
      <c r="O2647" t="s">
        <v>2025</v>
      </c>
      <c r="P2647" t="s">
        <v>172</v>
      </c>
      <c r="Q2647">
        <v>1394</v>
      </c>
      <c r="R2647" s="296">
        <v>0</v>
      </c>
      <c r="S2647" s="296">
        <v>0.98499999999999999</v>
      </c>
      <c r="T2647" s="297">
        <v>3410</v>
      </c>
      <c r="U2647" s="340">
        <v>110474</v>
      </c>
      <c r="V2647" s="340">
        <v>705383</v>
      </c>
      <c r="W2647" s="297">
        <v>8298</v>
      </c>
      <c r="X2647" s="296">
        <v>2.1999999999999999E-2</v>
      </c>
    </row>
    <row r="2648" spans="13:24">
      <c r="M2648">
        <v>2646</v>
      </c>
      <c r="N2648">
        <v>37375</v>
      </c>
      <c r="O2648" t="s">
        <v>2026</v>
      </c>
      <c r="P2648" t="s">
        <v>146</v>
      </c>
      <c r="Q2648">
        <v>490</v>
      </c>
      <c r="R2648" s="296">
        <v>0</v>
      </c>
      <c r="S2648" s="296">
        <v>0.98509999999999998</v>
      </c>
      <c r="T2648" s="297">
        <v>1076</v>
      </c>
      <c r="U2648" s="340">
        <v>110464</v>
      </c>
      <c r="V2648" s="340">
        <v>340782</v>
      </c>
      <c r="W2648" s="297">
        <v>3925</v>
      </c>
      <c r="X2648" s="296">
        <v>4.0000000000000001E-3</v>
      </c>
    </row>
    <row r="2649" spans="13:24">
      <c r="M2649">
        <v>2647</v>
      </c>
      <c r="N2649">
        <v>93901</v>
      </c>
      <c r="O2649" t="s">
        <v>761</v>
      </c>
      <c r="P2649" t="s">
        <v>132</v>
      </c>
      <c r="Q2649">
        <v>1835</v>
      </c>
      <c r="R2649" s="296">
        <v>0</v>
      </c>
      <c r="S2649" s="296">
        <v>0.98509999999999998</v>
      </c>
      <c r="T2649" s="297">
        <v>10342</v>
      </c>
      <c r="U2649" s="340">
        <v>110414</v>
      </c>
      <c r="V2649" s="340">
        <v>813610</v>
      </c>
      <c r="W2649" s="297">
        <v>29486</v>
      </c>
      <c r="X2649" s="296">
        <v>-1E-3</v>
      </c>
    </row>
    <row r="2650" spans="13:24">
      <c r="M2650">
        <v>2648</v>
      </c>
      <c r="N2650">
        <v>98597</v>
      </c>
      <c r="O2650" t="s">
        <v>2027</v>
      </c>
      <c r="P2650" t="s">
        <v>224</v>
      </c>
      <c r="Q2650">
        <v>1731</v>
      </c>
      <c r="R2650" s="296">
        <v>0</v>
      </c>
      <c r="S2650" s="296">
        <v>0.98509999999999998</v>
      </c>
      <c r="T2650" s="297">
        <v>9721</v>
      </c>
      <c r="U2650" s="340">
        <v>110243</v>
      </c>
      <c r="V2650" s="340">
        <v>567049</v>
      </c>
      <c r="W2650" s="297">
        <v>28672</v>
      </c>
      <c r="X2650" s="296">
        <v>1.2E-2</v>
      </c>
    </row>
    <row r="2651" spans="13:24">
      <c r="M2651">
        <v>2649</v>
      </c>
      <c r="N2651">
        <v>33145</v>
      </c>
      <c r="O2651" t="s">
        <v>293</v>
      </c>
      <c r="P2651" t="s">
        <v>127</v>
      </c>
      <c r="Q2651">
        <v>1211</v>
      </c>
      <c r="R2651" s="296">
        <v>0</v>
      </c>
      <c r="S2651" s="296">
        <v>0.98509999999999998</v>
      </c>
      <c r="T2651" s="297">
        <v>11831</v>
      </c>
      <c r="U2651" s="340">
        <v>110202</v>
      </c>
      <c r="V2651" s="340">
        <v>630085</v>
      </c>
      <c r="W2651" s="297">
        <v>29586</v>
      </c>
      <c r="X2651" s="296">
        <v>-2E-3</v>
      </c>
    </row>
    <row r="2652" spans="13:24">
      <c r="M2652">
        <v>2650</v>
      </c>
      <c r="N2652">
        <v>76039</v>
      </c>
      <c r="O2652" t="s">
        <v>2028</v>
      </c>
      <c r="P2652" t="s">
        <v>134</v>
      </c>
      <c r="Q2652">
        <v>818</v>
      </c>
      <c r="R2652" s="296">
        <v>0</v>
      </c>
      <c r="S2652" s="296">
        <v>0.98509999999999998</v>
      </c>
      <c r="T2652" s="297">
        <v>16864</v>
      </c>
      <c r="U2652" s="340">
        <v>110143</v>
      </c>
      <c r="V2652" s="340">
        <v>437248</v>
      </c>
      <c r="W2652" s="297">
        <v>39562</v>
      </c>
      <c r="X2652" s="296">
        <v>-3.0000000000000001E-3</v>
      </c>
    </row>
    <row r="2653" spans="13:24">
      <c r="M2653">
        <v>2651</v>
      </c>
      <c r="N2653">
        <v>21133</v>
      </c>
      <c r="O2653" t="s">
        <v>2029</v>
      </c>
      <c r="P2653" t="s">
        <v>137</v>
      </c>
      <c r="Q2653">
        <v>605</v>
      </c>
      <c r="R2653" s="296">
        <v>0</v>
      </c>
      <c r="S2653" s="296">
        <v>0.98509999999999998</v>
      </c>
      <c r="T2653" s="297">
        <v>11552</v>
      </c>
      <c r="U2653" s="340">
        <v>110078</v>
      </c>
      <c r="V2653" s="340">
        <v>399855</v>
      </c>
      <c r="W2653" s="297">
        <v>30674</v>
      </c>
      <c r="X2653" s="296">
        <v>-1E-3</v>
      </c>
    </row>
    <row r="2654" spans="13:24">
      <c r="M2654">
        <v>2652</v>
      </c>
      <c r="N2654">
        <v>54130</v>
      </c>
      <c r="O2654" t="s">
        <v>2030</v>
      </c>
      <c r="P2654" t="s">
        <v>149</v>
      </c>
      <c r="Q2654">
        <v>152</v>
      </c>
      <c r="R2654" s="296">
        <v>0</v>
      </c>
      <c r="S2654" s="296">
        <v>0.98509999999999998</v>
      </c>
      <c r="T2654" s="297">
        <v>11318</v>
      </c>
      <c r="U2654" s="340">
        <v>110036</v>
      </c>
      <c r="V2654" s="340">
        <v>336217</v>
      </c>
      <c r="W2654" s="297">
        <v>28687</v>
      </c>
      <c r="X2654" s="296">
        <v>8.0000000000000002E-3</v>
      </c>
    </row>
    <row r="2655" spans="13:24">
      <c r="M2655">
        <v>2653</v>
      </c>
      <c r="N2655">
        <v>58504</v>
      </c>
      <c r="O2655" t="s">
        <v>2031</v>
      </c>
      <c r="P2655" t="s">
        <v>193</v>
      </c>
      <c r="Q2655">
        <v>709</v>
      </c>
      <c r="R2655" s="296">
        <v>0</v>
      </c>
      <c r="S2655" s="296">
        <v>0.98509999999999998</v>
      </c>
      <c r="T2655" s="297">
        <v>11932</v>
      </c>
      <c r="U2655" s="340">
        <v>109939</v>
      </c>
      <c r="V2655" s="340">
        <v>356939</v>
      </c>
      <c r="W2655" s="297">
        <v>29912</v>
      </c>
      <c r="X2655" s="296">
        <v>5.0000000000000001E-3</v>
      </c>
    </row>
    <row r="2656" spans="13:24">
      <c r="M2656">
        <v>2654</v>
      </c>
      <c r="N2656">
        <v>65032</v>
      </c>
      <c r="O2656" t="s">
        <v>347</v>
      </c>
      <c r="P2656" t="s">
        <v>186</v>
      </c>
      <c r="Q2656">
        <v>357</v>
      </c>
      <c r="R2656" s="296">
        <v>0</v>
      </c>
      <c r="S2656" s="296">
        <v>0.98519999999999996</v>
      </c>
      <c r="T2656">
        <v>599</v>
      </c>
      <c r="U2656" s="340">
        <v>109709</v>
      </c>
      <c r="V2656" s="340">
        <v>263031</v>
      </c>
      <c r="W2656" s="297">
        <v>1556</v>
      </c>
      <c r="X2656" s="296">
        <v>3.0000000000000001E-3</v>
      </c>
    </row>
    <row r="2657" spans="13:24">
      <c r="M2657">
        <v>2655</v>
      </c>
      <c r="N2657">
        <v>34233</v>
      </c>
      <c r="O2657" t="s">
        <v>677</v>
      </c>
      <c r="P2657" t="s">
        <v>127</v>
      </c>
      <c r="Q2657">
        <v>1070</v>
      </c>
      <c r="R2657" s="296">
        <v>0</v>
      </c>
      <c r="S2657" s="296">
        <v>0.98519999999999996</v>
      </c>
      <c r="T2657" s="297">
        <v>8417</v>
      </c>
      <c r="U2657" s="340">
        <v>109642</v>
      </c>
      <c r="V2657" s="340">
        <v>452080</v>
      </c>
      <c r="W2657" s="297">
        <v>18577</v>
      </c>
      <c r="X2657" s="296">
        <v>-1E-3</v>
      </c>
    </row>
    <row r="2658" spans="13:24">
      <c r="M2658">
        <v>2656</v>
      </c>
      <c r="N2658">
        <v>80233</v>
      </c>
      <c r="O2658" t="s">
        <v>330</v>
      </c>
      <c r="P2658" t="s">
        <v>142</v>
      </c>
      <c r="Q2658">
        <v>906</v>
      </c>
      <c r="R2658" s="296">
        <v>0</v>
      </c>
      <c r="S2658" s="296">
        <v>0.98519999999999996</v>
      </c>
      <c r="T2658" s="297">
        <v>16214</v>
      </c>
      <c r="U2658" s="340">
        <v>109607</v>
      </c>
      <c r="V2658" s="340">
        <v>536097</v>
      </c>
      <c r="W2658" s="297">
        <v>46021</v>
      </c>
      <c r="X2658" s="296">
        <v>1E-3</v>
      </c>
    </row>
    <row r="2659" spans="13:24">
      <c r="M2659">
        <v>2657</v>
      </c>
      <c r="N2659">
        <v>65079</v>
      </c>
      <c r="O2659" t="s">
        <v>2032</v>
      </c>
      <c r="P2659" t="s">
        <v>186</v>
      </c>
      <c r="Q2659">
        <v>382</v>
      </c>
      <c r="R2659" s="296">
        <v>0</v>
      </c>
      <c r="S2659" s="296">
        <v>0.98519999999999996</v>
      </c>
      <c r="T2659" s="297">
        <v>2181</v>
      </c>
      <c r="U2659" s="340">
        <v>109572</v>
      </c>
      <c r="V2659" s="340">
        <v>477889</v>
      </c>
      <c r="W2659" s="297">
        <v>4405</v>
      </c>
      <c r="X2659" s="296">
        <v>-2E-3</v>
      </c>
    </row>
    <row r="2660" spans="13:24">
      <c r="M2660">
        <v>2658</v>
      </c>
      <c r="N2660">
        <v>80537</v>
      </c>
      <c r="O2660" t="s">
        <v>759</v>
      </c>
      <c r="P2660" t="s">
        <v>142</v>
      </c>
      <c r="Q2660">
        <v>910</v>
      </c>
      <c r="R2660" s="296">
        <v>0</v>
      </c>
      <c r="S2660" s="296">
        <v>0.98519999999999996</v>
      </c>
      <c r="T2660" s="297">
        <v>18666</v>
      </c>
      <c r="U2660" s="340">
        <v>109500</v>
      </c>
      <c r="V2660" s="340">
        <v>597898</v>
      </c>
      <c r="W2660" s="297">
        <v>43300</v>
      </c>
      <c r="X2660" s="296">
        <v>0</v>
      </c>
    </row>
    <row r="2661" spans="13:24">
      <c r="M2661">
        <v>2659</v>
      </c>
      <c r="N2661">
        <v>85304</v>
      </c>
      <c r="O2661" t="s">
        <v>1477</v>
      </c>
      <c r="P2661" t="s">
        <v>158</v>
      </c>
      <c r="Q2661">
        <v>1449</v>
      </c>
      <c r="R2661" s="296">
        <v>0</v>
      </c>
      <c r="S2661" s="296">
        <v>0.98519999999999996</v>
      </c>
      <c r="T2661" s="297">
        <v>9888</v>
      </c>
      <c r="U2661" s="340">
        <v>109475</v>
      </c>
      <c r="V2661" s="340">
        <v>525665</v>
      </c>
      <c r="W2661" s="297">
        <v>27873</v>
      </c>
      <c r="X2661" s="296">
        <v>0</v>
      </c>
    </row>
    <row r="2662" spans="13:24">
      <c r="M2662">
        <v>2660</v>
      </c>
      <c r="N2662">
        <v>55343</v>
      </c>
      <c r="O2662" t="s">
        <v>2033</v>
      </c>
      <c r="P2662" t="s">
        <v>151</v>
      </c>
      <c r="Q2662">
        <v>340</v>
      </c>
      <c r="R2662" s="296">
        <v>0</v>
      </c>
      <c r="S2662" s="296">
        <v>0.98519999999999996</v>
      </c>
      <c r="T2662" s="297">
        <v>12586</v>
      </c>
      <c r="U2662" s="340">
        <v>109447</v>
      </c>
      <c r="V2662" s="340">
        <v>470005</v>
      </c>
      <c r="W2662" s="297">
        <v>25820</v>
      </c>
      <c r="X2662" s="296">
        <v>-3.0000000000000001E-3</v>
      </c>
    </row>
    <row r="2663" spans="13:24">
      <c r="M2663">
        <v>2661</v>
      </c>
      <c r="N2663">
        <v>4963</v>
      </c>
      <c r="O2663" t="s">
        <v>301</v>
      </c>
      <c r="P2663" t="s">
        <v>182</v>
      </c>
      <c r="Q2663">
        <v>916</v>
      </c>
      <c r="R2663" s="296">
        <v>0</v>
      </c>
      <c r="S2663" s="296">
        <v>0.98519999999999996</v>
      </c>
      <c r="T2663" s="297">
        <v>3251</v>
      </c>
      <c r="U2663" s="340">
        <v>109427</v>
      </c>
      <c r="V2663" s="340">
        <v>297203</v>
      </c>
      <c r="W2663" s="297">
        <v>7688</v>
      </c>
      <c r="X2663" s="296">
        <v>7.0000000000000001E-3</v>
      </c>
    </row>
    <row r="2664" spans="13:24">
      <c r="M2664">
        <v>2662</v>
      </c>
      <c r="N2664">
        <v>52403</v>
      </c>
      <c r="O2664" t="s">
        <v>969</v>
      </c>
      <c r="P2664" t="s">
        <v>170</v>
      </c>
      <c r="Q2664">
        <v>195</v>
      </c>
      <c r="R2664" s="296">
        <v>0</v>
      </c>
      <c r="S2664" s="296">
        <v>0.98529999999999995</v>
      </c>
      <c r="T2664" s="297">
        <v>10335</v>
      </c>
      <c r="U2664" s="340">
        <v>109369</v>
      </c>
      <c r="V2664" s="340">
        <v>295301</v>
      </c>
      <c r="W2664" s="297">
        <v>23419</v>
      </c>
      <c r="X2664" s="296">
        <v>0</v>
      </c>
    </row>
    <row r="2665" spans="13:24">
      <c r="M2665">
        <v>2663</v>
      </c>
      <c r="N2665">
        <v>38125</v>
      </c>
      <c r="O2665" t="s">
        <v>678</v>
      </c>
      <c r="P2665" t="s">
        <v>146</v>
      </c>
      <c r="Q2665">
        <v>504</v>
      </c>
      <c r="R2665" s="296">
        <v>0</v>
      </c>
      <c r="S2665" s="296">
        <v>0.98529999999999995</v>
      </c>
      <c r="T2665" s="297">
        <v>16158</v>
      </c>
      <c r="U2665" s="340">
        <v>109286</v>
      </c>
      <c r="V2665" s="340">
        <v>316811</v>
      </c>
      <c r="W2665" s="297">
        <v>40761</v>
      </c>
      <c r="X2665" s="296">
        <v>2E-3</v>
      </c>
    </row>
    <row r="2666" spans="13:24">
      <c r="M2666">
        <v>2664</v>
      </c>
      <c r="N2666">
        <v>34232</v>
      </c>
      <c r="O2666" t="s">
        <v>677</v>
      </c>
      <c r="P2666" t="s">
        <v>127</v>
      </c>
      <c r="Q2666">
        <v>1067</v>
      </c>
      <c r="R2666" s="296">
        <v>0</v>
      </c>
      <c r="S2666" s="296">
        <v>0.98529999999999995</v>
      </c>
      <c r="T2666" s="297">
        <v>15389</v>
      </c>
      <c r="U2666" s="340">
        <v>109235</v>
      </c>
      <c r="V2666" s="340">
        <v>514708</v>
      </c>
      <c r="W2666" s="297">
        <v>35364</v>
      </c>
      <c r="X2666" s="296">
        <v>6.0000000000000001E-3</v>
      </c>
    </row>
    <row r="2667" spans="13:24">
      <c r="M2667">
        <v>2665</v>
      </c>
      <c r="N2667">
        <v>95811</v>
      </c>
      <c r="O2667" t="s">
        <v>313</v>
      </c>
      <c r="P2667" t="s">
        <v>132</v>
      </c>
      <c r="Q2667">
        <v>1780</v>
      </c>
      <c r="R2667" s="296">
        <v>0</v>
      </c>
      <c r="S2667" s="296">
        <v>0.98529999999999995</v>
      </c>
      <c r="T2667" s="297">
        <v>4371</v>
      </c>
      <c r="U2667" s="340">
        <v>109166</v>
      </c>
      <c r="V2667" s="340">
        <v>776735</v>
      </c>
      <c r="W2667" s="297">
        <v>11991</v>
      </c>
      <c r="X2667" s="296">
        <v>1.0999999999999999E-2</v>
      </c>
    </row>
    <row r="2668" spans="13:24">
      <c r="M2668">
        <v>2666</v>
      </c>
      <c r="N2668">
        <v>66086</v>
      </c>
      <c r="O2668" t="s">
        <v>2034</v>
      </c>
      <c r="P2668" t="s">
        <v>176</v>
      </c>
      <c r="Q2668">
        <v>437</v>
      </c>
      <c r="R2668" s="296">
        <v>0</v>
      </c>
      <c r="S2668" s="296">
        <v>0.98529999999999995</v>
      </c>
      <c r="T2668" s="297">
        <v>4168</v>
      </c>
      <c r="U2668" s="340">
        <v>109157</v>
      </c>
      <c r="V2668" s="340">
        <v>367993</v>
      </c>
      <c r="W2668" s="297">
        <v>11305</v>
      </c>
      <c r="X2668" s="296">
        <v>1.4E-2</v>
      </c>
    </row>
    <row r="2669" spans="13:24">
      <c r="M2669">
        <v>2667</v>
      </c>
      <c r="N2669">
        <v>27948</v>
      </c>
      <c r="O2669" t="s">
        <v>2035</v>
      </c>
      <c r="P2669" t="s">
        <v>138</v>
      </c>
      <c r="Q2669">
        <v>774</v>
      </c>
      <c r="R2669" s="296">
        <v>0</v>
      </c>
      <c r="S2669" s="296">
        <v>0.98529999999999995</v>
      </c>
      <c r="T2669" s="297">
        <v>5466</v>
      </c>
      <c r="U2669" s="340">
        <v>109066</v>
      </c>
      <c r="V2669" s="340">
        <v>443718</v>
      </c>
      <c r="W2669" s="297">
        <v>12570</v>
      </c>
      <c r="X2669" s="296">
        <v>8.9999999999999993E-3</v>
      </c>
    </row>
    <row r="2670" spans="13:24">
      <c r="M2670">
        <v>2668</v>
      </c>
      <c r="N2670">
        <v>37188</v>
      </c>
      <c r="O2670" t="s">
        <v>2036</v>
      </c>
      <c r="P2670" t="s">
        <v>146</v>
      </c>
      <c r="Q2670">
        <v>396</v>
      </c>
      <c r="R2670" s="296">
        <v>0</v>
      </c>
      <c r="S2670" s="296">
        <v>0.98529999999999995</v>
      </c>
      <c r="T2670" s="297">
        <v>7415</v>
      </c>
      <c r="U2670" s="340">
        <v>109030</v>
      </c>
      <c r="V2670" s="340">
        <v>376691</v>
      </c>
      <c r="W2670" s="297">
        <v>19708</v>
      </c>
      <c r="X2670" s="296">
        <v>5.0999999999999997E-2</v>
      </c>
    </row>
    <row r="2671" spans="13:24">
      <c r="M2671">
        <v>2669</v>
      </c>
      <c r="N2671">
        <v>32065</v>
      </c>
      <c r="O2671" t="s">
        <v>2037</v>
      </c>
      <c r="P2671" t="s">
        <v>127</v>
      </c>
      <c r="Q2671">
        <v>894</v>
      </c>
      <c r="R2671" s="296">
        <v>0</v>
      </c>
      <c r="S2671" s="296">
        <v>0.98529999999999995</v>
      </c>
      <c r="T2671" s="297">
        <v>14654</v>
      </c>
      <c r="U2671" s="340">
        <v>109028</v>
      </c>
      <c r="V2671" s="340">
        <v>361545</v>
      </c>
      <c r="W2671" s="297">
        <v>42698</v>
      </c>
      <c r="X2671" s="296">
        <v>1.2999999999999999E-2</v>
      </c>
    </row>
    <row r="2672" spans="13:24">
      <c r="M2672">
        <v>2670</v>
      </c>
      <c r="N2672">
        <v>2124</v>
      </c>
      <c r="O2672" t="s">
        <v>373</v>
      </c>
      <c r="P2672" t="s">
        <v>135</v>
      </c>
      <c r="Q2672">
        <v>854</v>
      </c>
      <c r="R2672" s="296">
        <v>0</v>
      </c>
      <c r="S2672" s="296">
        <v>0.98529999999999995</v>
      </c>
      <c r="T2672" s="297">
        <v>18077</v>
      </c>
      <c r="U2672" s="340">
        <v>109020</v>
      </c>
      <c r="V2672" s="340">
        <v>705928</v>
      </c>
      <c r="W2672" s="297">
        <v>48912</v>
      </c>
      <c r="X2672" s="296">
        <v>-1.2999999999999999E-2</v>
      </c>
    </row>
    <row r="2673" spans="13:24">
      <c r="M2673">
        <v>2671</v>
      </c>
      <c r="N2673">
        <v>49088</v>
      </c>
      <c r="O2673" t="s">
        <v>2038</v>
      </c>
      <c r="P2673" t="s">
        <v>140</v>
      </c>
      <c r="Q2673">
        <v>119</v>
      </c>
      <c r="R2673" s="296">
        <v>0</v>
      </c>
      <c r="S2673" s="296">
        <v>0.98540000000000005</v>
      </c>
      <c r="T2673" s="297">
        <v>1271</v>
      </c>
      <c r="U2673" s="340">
        <v>108968</v>
      </c>
      <c r="V2673" s="340">
        <v>322938</v>
      </c>
      <c r="W2673" s="297">
        <v>3268</v>
      </c>
      <c r="X2673" s="296">
        <v>-1E-3</v>
      </c>
    </row>
    <row r="2674" spans="13:24">
      <c r="M2674">
        <v>2672</v>
      </c>
      <c r="N2674">
        <v>44044</v>
      </c>
      <c r="O2674" t="s">
        <v>613</v>
      </c>
      <c r="P2674" t="s">
        <v>136</v>
      </c>
      <c r="Q2674">
        <v>303</v>
      </c>
      <c r="R2674" s="296">
        <v>0</v>
      </c>
      <c r="S2674" s="296">
        <v>0.98540000000000005</v>
      </c>
      <c r="T2674" s="297">
        <v>4706</v>
      </c>
      <c r="U2674" s="340">
        <v>108763</v>
      </c>
      <c r="V2674" s="340">
        <v>307222</v>
      </c>
      <c r="W2674" s="297">
        <v>14658</v>
      </c>
      <c r="X2674" s="296">
        <v>-3.0000000000000001E-3</v>
      </c>
    </row>
    <row r="2675" spans="13:24">
      <c r="M2675">
        <v>2673</v>
      </c>
      <c r="N2675">
        <v>27591</v>
      </c>
      <c r="O2675" t="s">
        <v>758</v>
      </c>
      <c r="P2675" t="s">
        <v>138</v>
      </c>
      <c r="Q2675">
        <v>668</v>
      </c>
      <c r="R2675" s="296">
        <v>0</v>
      </c>
      <c r="S2675" s="296">
        <v>0.98540000000000005</v>
      </c>
      <c r="T2675" s="297">
        <v>10874</v>
      </c>
      <c r="U2675" s="340">
        <v>108727</v>
      </c>
      <c r="V2675" s="340">
        <v>469638</v>
      </c>
      <c r="W2675" s="297">
        <v>29379</v>
      </c>
      <c r="X2675" s="296">
        <v>4.2999999999999997E-2</v>
      </c>
    </row>
    <row r="2676" spans="13:24">
      <c r="M2676">
        <v>2674</v>
      </c>
      <c r="N2676">
        <v>77064</v>
      </c>
      <c r="O2676" t="s">
        <v>314</v>
      </c>
      <c r="P2676" t="s">
        <v>134</v>
      </c>
      <c r="Q2676">
        <v>949</v>
      </c>
      <c r="R2676" s="296">
        <v>0</v>
      </c>
      <c r="S2676" s="296">
        <v>0.98540000000000005</v>
      </c>
      <c r="T2676" s="297">
        <v>16045</v>
      </c>
      <c r="U2676" s="340">
        <v>108648</v>
      </c>
      <c r="V2676" s="340">
        <v>265122</v>
      </c>
      <c r="W2676" s="297">
        <v>47339</v>
      </c>
      <c r="X2676" s="296">
        <v>-4.0000000000000001E-3</v>
      </c>
    </row>
    <row r="2677" spans="13:24">
      <c r="M2677">
        <v>2675</v>
      </c>
      <c r="N2677">
        <v>40291</v>
      </c>
      <c r="O2677" t="s">
        <v>830</v>
      </c>
      <c r="P2677" t="s">
        <v>143</v>
      </c>
      <c r="Q2677">
        <v>301</v>
      </c>
      <c r="R2677" s="296">
        <v>0</v>
      </c>
      <c r="S2677" s="296">
        <v>0.98540000000000005</v>
      </c>
      <c r="T2677" s="297">
        <v>16414</v>
      </c>
      <c r="U2677" s="340">
        <v>108630</v>
      </c>
      <c r="V2677" s="340">
        <v>306649</v>
      </c>
      <c r="W2677" s="297">
        <v>40876</v>
      </c>
      <c r="X2677" s="296">
        <v>4.0000000000000001E-3</v>
      </c>
    </row>
    <row r="2678" spans="13:24">
      <c r="M2678">
        <v>2676</v>
      </c>
      <c r="N2678">
        <v>55423</v>
      </c>
      <c r="O2678" t="s">
        <v>576</v>
      </c>
      <c r="P2678" t="s">
        <v>151</v>
      </c>
      <c r="Q2678">
        <v>333</v>
      </c>
      <c r="R2678" s="296">
        <v>0</v>
      </c>
      <c r="S2678" s="296">
        <v>0.98540000000000005</v>
      </c>
      <c r="T2678" s="297">
        <v>16683</v>
      </c>
      <c r="U2678" s="340">
        <v>108624</v>
      </c>
      <c r="V2678" s="340">
        <v>391506</v>
      </c>
      <c r="W2678" s="297">
        <v>38269</v>
      </c>
      <c r="X2678" s="296">
        <v>7.0000000000000001E-3</v>
      </c>
    </row>
    <row r="2679" spans="13:24">
      <c r="M2679">
        <v>2677</v>
      </c>
      <c r="N2679">
        <v>61012</v>
      </c>
      <c r="O2679" t="s">
        <v>2039</v>
      </c>
      <c r="P2679" t="s">
        <v>131</v>
      </c>
      <c r="Q2679">
        <v>52</v>
      </c>
      <c r="R2679" s="296">
        <v>0</v>
      </c>
      <c r="S2679" s="296">
        <v>0.98540000000000005</v>
      </c>
      <c r="T2679">
        <v>774</v>
      </c>
      <c r="U2679" s="340">
        <v>108617</v>
      </c>
      <c r="V2679" s="340">
        <v>243317</v>
      </c>
      <c r="W2679" s="297">
        <v>2191</v>
      </c>
      <c r="X2679" s="296">
        <v>-2E-3</v>
      </c>
    </row>
    <row r="2680" spans="13:24">
      <c r="M2680">
        <v>2678</v>
      </c>
      <c r="N2680">
        <v>89123</v>
      </c>
      <c r="O2680" t="s">
        <v>706</v>
      </c>
      <c r="P2680" t="s">
        <v>148</v>
      </c>
      <c r="Q2680">
        <v>1519</v>
      </c>
      <c r="R2680" s="296">
        <v>0</v>
      </c>
      <c r="S2680" s="296">
        <v>0.98550000000000004</v>
      </c>
      <c r="T2680" s="297">
        <v>24932</v>
      </c>
      <c r="U2680" s="340">
        <v>108576</v>
      </c>
      <c r="V2680" s="340">
        <v>486609</v>
      </c>
      <c r="W2680" s="297">
        <v>58357</v>
      </c>
      <c r="X2680" s="296">
        <v>0</v>
      </c>
    </row>
    <row r="2681" spans="13:24">
      <c r="M2681">
        <v>2679</v>
      </c>
      <c r="N2681">
        <v>32904</v>
      </c>
      <c r="O2681" t="s">
        <v>2040</v>
      </c>
      <c r="P2681" t="s">
        <v>127</v>
      </c>
      <c r="Q2681">
        <v>1052</v>
      </c>
      <c r="R2681" s="296">
        <v>0</v>
      </c>
      <c r="S2681" s="296">
        <v>0.98550000000000004</v>
      </c>
      <c r="T2681" s="297">
        <v>16504</v>
      </c>
      <c r="U2681" s="340">
        <v>108443</v>
      </c>
      <c r="V2681" s="340">
        <v>405299</v>
      </c>
      <c r="W2681" s="297">
        <v>40462</v>
      </c>
      <c r="X2681" s="296">
        <v>3.2000000000000001E-2</v>
      </c>
    </row>
    <row r="2682" spans="13:24">
      <c r="M2682">
        <v>2680</v>
      </c>
      <c r="N2682">
        <v>47126</v>
      </c>
      <c r="O2682" t="s">
        <v>2041</v>
      </c>
      <c r="P2682" t="s">
        <v>144</v>
      </c>
      <c r="Q2682">
        <v>271</v>
      </c>
      <c r="R2682" s="296">
        <v>0</v>
      </c>
      <c r="S2682" s="296">
        <v>0.98550000000000004</v>
      </c>
      <c r="T2682" s="297">
        <v>1825</v>
      </c>
      <c r="U2682" s="340">
        <v>108335</v>
      </c>
      <c r="V2682" s="340">
        <v>313892</v>
      </c>
      <c r="W2682" s="297">
        <v>4707</v>
      </c>
      <c r="X2682" s="296">
        <v>6.0000000000000001E-3</v>
      </c>
    </row>
    <row r="2683" spans="13:24">
      <c r="M2683">
        <v>2681</v>
      </c>
      <c r="N2683">
        <v>53925</v>
      </c>
      <c r="O2683" t="s">
        <v>468</v>
      </c>
      <c r="P2683" t="s">
        <v>149</v>
      </c>
      <c r="Q2683">
        <v>103</v>
      </c>
      <c r="R2683" s="296">
        <v>0</v>
      </c>
      <c r="S2683" s="296">
        <v>0.98550000000000004</v>
      </c>
      <c r="T2683" s="297">
        <v>3445</v>
      </c>
      <c r="U2683" s="340">
        <v>108254</v>
      </c>
      <c r="V2683" s="340">
        <v>339037</v>
      </c>
      <c r="W2683" s="297">
        <v>8382</v>
      </c>
      <c r="X2683" s="296">
        <v>-2E-3</v>
      </c>
    </row>
    <row r="2684" spans="13:24">
      <c r="M2684">
        <v>2682</v>
      </c>
      <c r="N2684">
        <v>84333</v>
      </c>
      <c r="O2684" t="s">
        <v>302</v>
      </c>
      <c r="P2684" t="s">
        <v>219</v>
      </c>
      <c r="Q2684">
        <v>1229</v>
      </c>
      <c r="R2684" s="296">
        <v>0</v>
      </c>
      <c r="S2684" s="296">
        <v>0.98550000000000004</v>
      </c>
      <c r="T2684" s="297">
        <v>1016</v>
      </c>
      <c r="U2684" s="340">
        <v>108227</v>
      </c>
      <c r="V2684" s="340">
        <v>497870</v>
      </c>
      <c r="W2684" s="297">
        <v>3292</v>
      </c>
      <c r="X2684" s="296">
        <v>5.0000000000000001E-3</v>
      </c>
    </row>
    <row r="2685" spans="13:24">
      <c r="M2685">
        <v>2683</v>
      </c>
      <c r="N2685">
        <v>48821</v>
      </c>
      <c r="O2685" t="s">
        <v>2042</v>
      </c>
      <c r="P2685" t="s">
        <v>140</v>
      </c>
      <c r="Q2685">
        <v>164</v>
      </c>
      <c r="R2685" s="296">
        <v>0</v>
      </c>
      <c r="S2685" s="296">
        <v>0.98550000000000004</v>
      </c>
      <c r="T2685" s="297">
        <v>2548</v>
      </c>
      <c r="U2685" s="340">
        <v>108212</v>
      </c>
      <c r="V2685" s="340">
        <v>246275</v>
      </c>
      <c r="W2685" s="297">
        <v>6060</v>
      </c>
      <c r="X2685" s="296">
        <v>-1E-3</v>
      </c>
    </row>
    <row r="2686" spans="13:24">
      <c r="M2686">
        <v>2684</v>
      </c>
      <c r="N2686">
        <v>24184</v>
      </c>
      <c r="O2686" t="s">
        <v>2043</v>
      </c>
      <c r="P2686" t="s">
        <v>139</v>
      </c>
      <c r="Q2686">
        <v>552</v>
      </c>
      <c r="R2686" s="296">
        <v>0</v>
      </c>
      <c r="S2686" s="296">
        <v>0.98550000000000004</v>
      </c>
      <c r="T2686" s="297">
        <v>1871</v>
      </c>
      <c r="U2686" s="340">
        <v>108166</v>
      </c>
      <c r="V2686" s="340">
        <v>405131</v>
      </c>
      <c r="W2686" s="297">
        <v>4433</v>
      </c>
      <c r="X2686" s="296">
        <v>3.0000000000000001E-3</v>
      </c>
    </row>
    <row r="2687" spans="13:24">
      <c r="M2687">
        <v>2685</v>
      </c>
      <c r="N2687">
        <v>6457</v>
      </c>
      <c r="O2687" t="s">
        <v>318</v>
      </c>
      <c r="P2687" t="s">
        <v>141</v>
      </c>
      <c r="Q2687">
        <v>778</v>
      </c>
      <c r="R2687" s="296">
        <v>0</v>
      </c>
      <c r="S2687" s="296">
        <v>0.98550000000000004</v>
      </c>
      <c r="T2687" s="297">
        <v>20387</v>
      </c>
      <c r="U2687" s="340">
        <v>108118</v>
      </c>
      <c r="V2687" s="340">
        <v>373322</v>
      </c>
      <c r="W2687" s="297">
        <v>47279</v>
      </c>
      <c r="X2687" s="296">
        <v>3.0000000000000001E-3</v>
      </c>
    </row>
    <row r="2688" spans="13:24">
      <c r="M2688">
        <v>2686</v>
      </c>
      <c r="N2688">
        <v>63050</v>
      </c>
      <c r="O2688" t="s">
        <v>1444</v>
      </c>
      <c r="P2688" t="s">
        <v>186</v>
      </c>
      <c r="Q2688">
        <v>306</v>
      </c>
      <c r="R2688" s="296">
        <v>0</v>
      </c>
      <c r="S2688" s="296">
        <v>0.98560000000000003</v>
      </c>
      <c r="T2688" s="297">
        <v>6393</v>
      </c>
      <c r="U2688" s="340">
        <v>108104</v>
      </c>
      <c r="V2688" s="340">
        <v>307311</v>
      </c>
      <c r="W2688" s="297">
        <v>17220</v>
      </c>
      <c r="X2688" s="296">
        <v>6.0000000000000001E-3</v>
      </c>
    </row>
    <row r="2689" spans="13:24">
      <c r="M2689">
        <v>2687</v>
      </c>
      <c r="N2689">
        <v>40046</v>
      </c>
      <c r="O2689" t="s">
        <v>2044</v>
      </c>
      <c r="P2689" t="s">
        <v>143</v>
      </c>
      <c r="Q2689">
        <v>317</v>
      </c>
      <c r="R2689" s="296">
        <v>0</v>
      </c>
      <c r="S2689" s="296">
        <v>0.98560000000000003</v>
      </c>
      <c r="T2689">
        <v>860</v>
      </c>
      <c r="U2689" s="340">
        <v>108045</v>
      </c>
      <c r="V2689" s="340">
        <v>347400</v>
      </c>
      <c r="W2689" s="297">
        <v>2286</v>
      </c>
      <c r="X2689" s="296">
        <v>0.02</v>
      </c>
    </row>
    <row r="2690" spans="13:24">
      <c r="M2690">
        <v>2688</v>
      </c>
      <c r="N2690">
        <v>11370</v>
      </c>
      <c r="O2690" t="s">
        <v>1349</v>
      </c>
      <c r="P2690" t="s">
        <v>128</v>
      </c>
      <c r="Q2690">
        <v>725</v>
      </c>
      <c r="R2690" s="296">
        <v>0</v>
      </c>
      <c r="S2690" s="296">
        <v>0.98560000000000003</v>
      </c>
      <c r="T2690" s="297">
        <v>9778</v>
      </c>
      <c r="U2690" s="340">
        <v>107997</v>
      </c>
      <c r="V2690" s="340">
        <v>908452</v>
      </c>
      <c r="W2690" s="297">
        <v>29721</v>
      </c>
      <c r="X2690" s="296">
        <v>-7.0000000000000001E-3</v>
      </c>
    </row>
    <row r="2691" spans="13:24">
      <c r="M2691">
        <v>2689</v>
      </c>
      <c r="N2691">
        <v>59027</v>
      </c>
      <c r="O2691" t="s">
        <v>2045</v>
      </c>
      <c r="P2691" t="s">
        <v>190</v>
      </c>
      <c r="Q2691">
        <v>1165</v>
      </c>
      <c r="R2691" s="296">
        <v>0</v>
      </c>
      <c r="S2691" s="296">
        <v>0.98560000000000003</v>
      </c>
      <c r="T2691">
        <v>399</v>
      </c>
      <c r="U2691" s="340">
        <v>107892</v>
      </c>
      <c r="V2691" s="340">
        <v>990780</v>
      </c>
      <c r="W2691">
        <v>781</v>
      </c>
      <c r="X2691" s="296">
        <v>-0.01</v>
      </c>
    </row>
    <row r="2692" spans="13:24">
      <c r="M2692">
        <v>2690</v>
      </c>
      <c r="N2692">
        <v>98226</v>
      </c>
      <c r="O2692" t="s">
        <v>413</v>
      </c>
      <c r="P2692" t="s">
        <v>224</v>
      </c>
      <c r="Q2692">
        <v>1724</v>
      </c>
      <c r="R2692" s="296">
        <v>0</v>
      </c>
      <c r="S2692" s="296">
        <v>0.98560000000000003</v>
      </c>
      <c r="T2692" s="297">
        <v>20086</v>
      </c>
      <c r="U2692" s="340">
        <v>107890</v>
      </c>
      <c r="V2692" s="340">
        <v>716904</v>
      </c>
      <c r="W2692" s="297">
        <v>49445</v>
      </c>
      <c r="X2692" s="296">
        <v>1.2E-2</v>
      </c>
    </row>
    <row r="2693" spans="13:24">
      <c r="M2693">
        <v>2691</v>
      </c>
      <c r="N2693">
        <v>66030</v>
      </c>
      <c r="O2693" t="s">
        <v>489</v>
      </c>
      <c r="P2693" t="s">
        <v>176</v>
      </c>
      <c r="Q2693">
        <v>441</v>
      </c>
      <c r="R2693" s="296">
        <v>0</v>
      </c>
      <c r="S2693" s="296">
        <v>0.98560000000000003</v>
      </c>
      <c r="T2693" s="297">
        <v>9224</v>
      </c>
      <c r="U2693" s="340">
        <v>107872</v>
      </c>
      <c r="V2693" s="340">
        <v>365779</v>
      </c>
      <c r="W2693" s="297">
        <v>26295</v>
      </c>
      <c r="X2693" s="296">
        <v>1.2E-2</v>
      </c>
    </row>
    <row r="2694" spans="13:24">
      <c r="M2694">
        <v>2692</v>
      </c>
      <c r="N2694">
        <v>78247</v>
      </c>
      <c r="O2694" t="s">
        <v>326</v>
      </c>
      <c r="P2694" t="s">
        <v>134</v>
      </c>
      <c r="Q2694">
        <v>1050</v>
      </c>
      <c r="R2694" s="296">
        <v>0</v>
      </c>
      <c r="S2694" s="296">
        <v>0.98560000000000003</v>
      </c>
      <c r="T2694" s="297">
        <v>18794</v>
      </c>
      <c r="U2694" s="340">
        <v>107842</v>
      </c>
      <c r="V2694" s="340">
        <v>296995</v>
      </c>
      <c r="W2694" s="297">
        <v>49474</v>
      </c>
      <c r="X2694" s="296">
        <v>4.0000000000000001E-3</v>
      </c>
    </row>
    <row r="2695" spans="13:24">
      <c r="M2695">
        <v>2693</v>
      </c>
      <c r="N2695">
        <v>85143</v>
      </c>
      <c r="O2695" t="s">
        <v>1301</v>
      </c>
      <c r="P2695" t="s">
        <v>158</v>
      </c>
      <c r="Q2695">
        <v>1432</v>
      </c>
      <c r="R2695" s="296">
        <v>0</v>
      </c>
      <c r="S2695" s="296">
        <v>0.98560000000000003</v>
      </c>
      <c r="T2695" s="297">
        <v>14666</v>
      </c>
      <c r="U2695" s="340">
        <v>107833</v>
      </c>
      <c r="V2695" s="340">
        <v>432956</v>
      </c>
      <c r="W2695" s="297">
        <v>45493</v>
      </c>
      <c r="X2695" s="296">
        <v>1.7999999999999999E-2</v>
      </c>
    </row>
    <row r="2696" spans="13:24">
      <c r="M2696">
        <v>2694</v>
      </c>
      <c r="N2696">
        <v>79703</v>
      </c>
      <c r="O2696" t="s">
        <v>662</v>
      </c>
      <c r="P2696" t="s">
        <v>134</v>
      </c>
      <c r="Q2696">
        <v>1056</v>
      </c>
      <c r="R2696" s="296">
        <v>0</v>
      </c>
      <c r="S2696" s="296">
        <v>0.98560000000000003</v>
      </c>
      <c r="T2696" s="297">
        <v>7523</v>
      </c>
      <c r="U2696" s="340">
        <v>107765</v>
      </c>
      <c r="V2696" s="340">
        <v>226387</v>
      </c>
      <c r="W2696" s="297">
        <v>21077</v>
      </c>
      <c r="X2696" s="296">
        <v>-1E-3</v>
      </c>
    </row>
    <row r="2697" spans="13:24">
      <c r="M2697">
        <v>2695</v>
      </c>
      <c r="N2697">
        <v>82937</v>
      </c>
      <c r="O2697" t="s">
        <v>2046</v>
      </c>
      <c r="P2697" t="s">
        <v>229</v>
      </c>
      <c r="Q2697">
        <v>1159</v>
      </c>
      <c r="R2697" s="296">
        <v>0</v>
      </c>
      <c r="S2697" s="296">
        <v>0.98570000000000002</v>
      </c>
      <c r="T2697" s="297">
        <v>1227</v>
      </c>
      <c r="U2697" s="340">
        <v>107700</v>
      </c>
      <c r="V2697" s="340">
        <v>334614</v>
      </c>
      <c r="W2697" s="297">
        <v>3323</v>
      </c>
      <c r="X2697" s="296">
        <v>-3.0000000000000001E-3</v>
      </c>
    </row>
    <row r="2698" spans="13:24">
      <c r="M2698">
        <v>2696</v>
      </c>
      <c r="N2698">
        <v>92020</v>
      </c>
      <c r="O2698" t="s">
        <v>2047</v>
      </c>
      <c r="P2698" t="s">
        <v>132</v>
      </c>
      <c r="Q2698">
        <v>1715</v>
      </c>
      <c r="R2698" s="296">
        <v>0</v>
      </c>
      <c r="S2698" s="296">
        <v>0.98570000000000002</v>
      </c>
      <c r="T2698" s="297">
        <v>21462</v>
      </c>
      <c r="U2698" s="340">
        <v>107699</v>
      </c>
      <c r="V2698" s="340">
        <v>888878</v>
      </c>
      <c r="W2698" s="297">
        <v>62241</v>
      </c>
      <c r="X2698" s="296">
        <v>-3.0000000000000001E-3</v>
      </c>
    </row>
    <row r="2699" spans="13:24">
      <c r="M2699">
        <v>2697</v>
      </c>
      <c r="N2699">
        <v>34285</v>
      </c>
      <c r="O2699" t="s">
        <v>1923</v>
      </c>
      <c r="P2699" t="s">
        <v>127</v>
      </c>
      <c r="Q2699">
        <v>1083</v>
      </c>
      <c r="R2699" s="296">
        <v>0</v>
      </c>
      <c r="S2699" s="296">
        <v>0.98570000000000002</v>
      </c>
      <c r="T2699" s="297">
        <v>10619</v>
      </c>
      <c r="U2699" s="340">
        <v>107691</v>
      </c>
      <c r="V2699" s="340">
        <v>530053</v>
      </c>
      <c r="W2699" s="297">
        <v>18860</v>
      </c>
      <c r="X2699" s="296">
        <v>0</v>
      </c>
    </row>
    <row r="2700" spans="13:24">
      <c r="M2700">
        <v>2698</v>
      </c>
      <c r="N2700">
        <v>44050</v>
      </c>
      <c r="O2700" t="s">
        <v>2048</v>
      </c>
      <c r="P2700" t="s">
        <v>136</v>
      </c>
      <c r="Q2700">
        <v>299</v>
      </c>
      <c r="R2700" s="296">
        <v>0</v>
      </c>
      <c r="S2700" s="296">
        <v>0.98570000000000002</v>
      </c>
      <c r="T2700" s="297">
        <v>2728</v>
      </c>
      <c r="U2700" s="340">
        <v>107683</v>
      </c>
      <c r="V2700" s="340">
        <v>298931</v>
      </c>
      <c r="W2700" s="297">
        <v>7115</v>
      </c>
      <c r="X2700" s="296">
        <v>5.0000000000000001E-3</v>
      </c>
    </row>
    <row r="2701" spans="13:24">
      <c r="M2701">
        <v>2699</v>
      </c>
      <c r="N2701">
        <v>53057</v>
      </c>
      <c r="O2701" t="s">
        <v>2049</v>
      </c>
      <c r="P2701" t="s">
        <v>149</v>
      </c>
      <c r="Q2701">
        <v>116</v>
      </c>
      <c r="R2701" s="296">
        <v>0</v>
      </c>
      <c r="S2701" s="296">
        <v>0.98570000000000002</v>
      </c>
      <c r="T2701">
        <v>598</v>
      </c>
      <c r="U2701" s="340">
        <v>107671</v>
      </c>
      <c r="V2701" s="340">
        <v>340976</v>
      </c>
      <c r="W2701" s="297">
        <v>1542</v>
      </c>
      <c r="X2701" s="296">
        <v>2E-3</v>
      </c>
    </row>
    <row r="2702" spans="13:24">
      <c r="M2702">
        <v>2700</v>
      </c>
      <c r="N2702">
        <v>27707</v>
      </c>
      <c r="O2702" t="s">
        <v>505</v>
      </c>
      <c r="P2702" t="s">
        <v>138</v>
      </c>
      <c r="Q2702">
        <v>638</v>
      </c>
      <c r="R2702" s="296">
        <v>0</v>
      </c>
      <c r="S2702" s="296">
        <v>0.98570000000000002</v>
      </c>
      <c r="T2702" s="297">
        <v>21083</v>
      </c>
      <c r="U2702" s="340">
        <v>107643</v>
      </c>
      <c r="V2702" s="340">
        <v>501595</v>
      </c>
      <c r="W2702" s="297">
        <v>50990</v>
      </c>
      <c r="X2702" s="296">
        <v>0.01</v>
      </c>
    </row>
    <row r="2703" spans="13:24">
      <c r="M2703">
        <v>2701</v>
      </c>
      <c r="N2703">
        <v>48836</v>
      </c>
      <c r="O2703" t="s">
        <v>2050</v>
      </c>
      <c r="P2703" t="s">
        <v>140</v>
      </c>
      <c r="Q2703">
        <v>193</v>
      </c>
      <c r="R2703" s="296">
        <v>0</v>
      </c>
      <c r="S2703" s="296">
        <v>0.98570000000000002</v>
      </c>
      <c r="T2703" s="297">
        <v>5377</v>
      </c>
      <c r="U2703" s="340">
        <v>107599</v>
      </c>
      <c r="V2703" s="340">
        <v>323709</v>
      </c>
      <c r="W2703" s="297">
        <v>14442</v>
      </c>
      <c r="X2703" s="296">
        <v>8.9999999999999993E-3</v>
      </c>
    </row>
    <row r="2704" spans="13:24">
      <c r="M2704">
        <v>2702</v>
      </c>
      <c r="N2704">
        <v>44514</v>
      </c>
      <c r="O2704" t="s">
        <v>835</v>
      </c>
      <c r="P2704" t="s">
        <v>136</v>
      </c>
      <c r="Q2704">
        <v>379</v>
      </c>
      <c r="R2704" s="296">
        <v>0</v>
      </c>
      <c r="S2704" s="296">
        <v>0.98570000000000002</v>
      </c>
      <c r="T2704" s="297">
        <v>9856</v>
      </c>
      <c r="U2704" s="340">
        <v>107556</v>
      </c>
      <c r="V2704" s="340">
        <v>245630</v>
      </c>
      <c r="W2704" s="297">
        <v>22742</v>
      </c>
      <c r="X2704" s="296">
        <v>-4.0000000000000001E-3</v>
      </c>
    </row>
    <row r="2705" spans="13:24">
      <c r="M2705">
        <v>2703</v>
      </c>
      <c r="N2705">
        <v>48892</v>
      </c>
      <c r="O2705" t="s">
        <v>2051</v>
      </c>
      <c r="P2705" t="s">
        <v>140</v>
      </c>
      <c r="Q2705">
        <v>188</v>
      </c>
      <c r="R2705" s="296">
        <v>0</v>
      </c>
      <c r="S2705" s="296">
        <v>0.98580000000000001</v>
      </c>
      <c r="T2705" s="297">
        <v>1705</v>
      </c>
      <c r="U2705" s="340">
        <v>107547</v>
      </c>
      <c r="V2705" s="340">
        <v>321971</v>
      </c>
      <c r="W2705" s="297">
        <v>4582</v>
      </c>
      <c r="X2705" s="296">
        <v>1E-3</v>
      </c>
    </row>
    <row r="2706" spans="13:24">
      <c r="M2706">
        <v>2704</v>
      </c>
      <c r="N2706">
        <v>76108</v>
      </c>
      <c r="O2706" t="s">
        <v>688</v>
      </c>
      <c r="P2706" t="s">
        <v>134</v>
      </c>
      <c r="Q2706">
        <v>838</v>
      </c>
      <c r="R2706" s="296">
        <v>0</v>
      </c>
      <c r="S2706" s="296">
        <v>0.98580000000000001</v>
      </c>
      <c r="T2706" s="297">
        <v>18071</v>
      </c>
      <c r="U2706" s="340">
        <v>107546</v>
      </c>
      <c r="V2706" s="340">
        <v>377379</v>
      </c>
      <c r="W2706" s="297">
        <v>48716</v>
      </c>
      <c r="X2706" s="296">
        <v>1.4E-2</v>
      </c>
    </row>
    <row r="2707" spans="13:24">
      <c r="M2707">
        <v>2705</v>
      </c>
      <c r="N2707">
        <v>28791</v>
      </c>
      <c r="O2707" t="s">
        <v>1874</v>
      </c>
      <c r="P2707" t="s">
        <v>138</v>
      </c>
      <c r="Q2707">
        <v>549</v>
      </c>
      <c r="R2707" s="296">
        <v>0</v>
      </c>
      <c r="S2707" s="296">
        <v>0.98580000000000001</v>
      </c>
      <c r="T2707" s="297">
        <v>6597</v>
      </c>
      <c r="U2707" s="340">
        <v>107527</v>
      </c>
      <c r="V2707" s="340">
        <v>434695</v>
      </c>
      <c r="W2707" s="297">
        <v>15113</v>
      </c>
      <c r="X2707" s="296">
        <v>4.0000000000000001E-3</v>
      </c>
    </row>
    <row r="2708" spans="13:24">
      <c r="M2708">
        <v>2706</v>
      </c>
      <c r="N2708">
        <v>61772</v>
      </c>
      <c r="O2708" t="s">
        <v>459</v>
      </c>
      <c r="P2708" t="s">
        <v>131</v>
      </c>
      <c r="Q2708">
        <v>137</v>
      </c>
      <c r="R2708" s="296">
        <v>0</v>
      </c>
      <c r="S2708" s="296">
        <v>0.98580000000000001</v>
      </c>
      <c r="T2708">
        <v>135</v>
      </c>
      <c r="U2708" s="340">
        <v>107428</v>
      </c>
      <c r="V2708" s="340">
        <v>223542</v>
      </c>
      <c r="W2708">
        <v>339</v>
      </c>
      <c r="X2708" s="296">
        <v>1E-3</v>
      </c>
    </row>
    <row r="2709" spans="13:24">
      <c r="M2709">
        <v>2707</v>
      </c>
      <c r="N2709">
        <v>23508</v>
      </c>
      <c r="O2709" t="s">
        <v>453</v>
      </c>
      <c r="P2709" t="s">
        <v>139</v>
      </c>
      <c r="Q2709">
        <v>711</v>
      </c>
      <c r="R2709" s="296">
        <v>0</v>
      </c>
      <c r="S2709" s="296">
        <v>0.98580000000000001</v>
      </c>
      <c r="T2709" s="297">
        <v>6963</v>
      </c>
      <c r="U2709" s="340">
        <v>107393</v>
      </c>
      <c r="V2709" s="340">
        <v>521023</v>
      </c>
      <c r="W2709" s="297">
        <v>20497</v>
      </c>
      <c r="X2709" s="296">
        <v>-1E-3</v>
      </c>
    </row>
    <row r="2710" spans="13:24">
      <c r="M2710">
        <v>2708</v>
      </c>
      <c r="N2710">
        <v>43119</v>
      </c>
      <c r="O2710" t="s">
        <v>2052</v>
      </c>
      <c r="P2710" t="s">
        <v>136</v>
      </c>
      <c r="Q2710">
        <v>284</v>
      </c>
      <c r="R2710" s="296">
        <v>0</v>
      </c>
      <c r="S2710" s="296">
        <v>0.98580000000000001</v>
      </c>
      <c r="T2710" s="297">
        <v>11440</v>
      </c>
      <c r="U2710" s="340">
        <v>107324</v>
      </c>
      <c r="V2710" s="340">
        <v>295476</v>
      </c>
      <c r="W2710" s="297">
        <v>31313</v>
      </c>
      <c r="X2710" s="296">
        <v>8.0000000000000002E-3</v>
      </c>
    </row>
    <row r="2711" spans="13:24">
      <c r="M2711">
        <v>2709</v>
      </c>
      <c r="N2711">
        <v>45314</v>
      </c>
      <c r="O2711" t="s">
        <v>2053</v>
      </c>
      <c r="P2711" t="s">
        <v>136</v>
      </c>
      <c r="Q2711">
        <v>267</v>
      </c>
      <c r="R2711" s="296">
        <v>0</v>
      </c>
      <c r="S2711" s="296">
        <v>0.98580000000000001</v>
      </c>
      <c r="T2711" s="297">
        <v>1425</v>
      </c>
      <c r="U2711" s="340">
        <v>107293</v>
      </c>
      <c r="V2711" s="340">
        <v>372016</v>
      </c>
      <c r="W2711" s="297">
        <v>6116</v>
      </c>
      <c r="X2711" s="296">
        <v>-7.0000000000000001E-3</v>
      </c>
    </row>
    <row r="2712" spans="13:24">
      <c r="M2712">
        <v>2710</v>
      </c>
      <c r="N2712">
        <v>11423</v>
      </c>
      <c r="O2712" t="s">
        <v>602</v>
      </c>
      <c r="P2712" t="s">
        <v>128</v>
      </c>
      <c r="Q2712">
        <v>732</v>
      </c>
      <c r="R2712" s="296">
        <v>0</v>
      </c>
      <c r="S2712" s="296">
        <v>0.98580000000000001</v>
      </c>
      <c r="T2712" s="297">
        <v>9930</v>
      </c>
      <c r="U2712" s="340">
        <v>107181</v>
      </c>
      <c r="V2712" s="340">
        <v>765830</v>
      </c>
      <c r="W2712" s="297">
        <v>31959</v>
      </c>
      <c r="X2712" s="296">
        <v>-6.0000000000000001E-3</v>
      </c>
    </row>
    <row r="2713" spans="13:24">
      <c r="M2713">
        <v>2711</v>
      </c>
      <c r="N2713">
        <v>54017</v>
      </c>
      <c r="O2713" t="s">
        <v>2054</v>
      </c>
      <c r="P2713" t="s">
        <v>149</v>
      </c>
      <c r="Q2713">
        <v>313</v>
      </c>
      <c r="R2713" s="296">
        <v>0</v>
      </c>
      <c r="S2713" s="296">
        <v>0.9859</v>
      </c>
      <c r="T2713" s="297">
        <v>8042</v>
      </c>
      <c r="U2713" s="340">
        <v>107173</v>
      </c>
      <c r="V2713" s="340">
        <v>396228</v>
      </c>
      <c r="W2713" s="297">
        <v>20979</v>
      </c>
      <c r="X2713" s="296">
        <v>1.6E-2</v>
      </c>
    </row>
    <row r="2714" spans="13:24">
      <c r="M2714">
        <v>2712</v>
      </c>
      <c r="N2714">
        <v>46140</v>
      </c>
      <c r="O2714" t="s">
        <v>2055</v>
      </c>
      <c r="P2714" t="s">
        <v>144</v>
      </c>
      <c r="Q2714">
        <v>193</v>
      </c>
      <c r="R2714" s="296">
        <v>0</v>
      </c>
      <c r="S2714" s="296">
        <v>0.9859</v>
      </c>
      <c r="T2714" s="297">
        <v>18091</v>
      </c>
      <c r="U2714" s="340">
        <v>107169</v>
      </c>
      <c r="V2714" s="340">
        <v>281937</v>
      </c>
      <c r="W2714" s="297">
        <v>44183</v>
      </c>
      <c r="X2714" s="296">
        <v>1.0999999999999999E-2</v>
      </c>
    </row>
    <row r="2715" spans="13:24">
      <c r="M2715">
        <v>2713</v>
      </c>
      <c r="N2715">
        <v>33711</v>
      </c>
      <c r="O2715" t="s">
        <v>782</v>
      </c>
      <c r="P2715" t="s">
        <v>127</v>
      </c>
      <c r="Q2715">
        <v>1036</v>
      </c>
      <c r="R2715" s="296">
        <v>0</v>
      </c>
      <c r="S2715" s="296">
        <v>0.9859</v>
      </c>
      <c r="T2715" s="297">
        <v>8424</v>
      </c>
      <c r="U2715" s="340">
        <v>107152</v>
      </c>
      <c r="V2715" s="340">
        <v>449227</v>
      </c>
      <c r="W2715" s="297">
        <v>21191</v>
      </c>
      <c r="X2715" s="296">
        <v>1.2999999999999999E-2</v>
      </c>
    </row>
    <row r="2716" spans="13:24">
      <c r="M2716">
        <v>2714</v>
      </c>
      <c r="N2716">
        <v>46069</v>
      </c>
      <c r="O2716" t="s">
        <v>1136</v>
      </c>
      <c r="P2716" t="s">
        <v>144</v>
      </c>
      <c r="Q2716">
        <v>161</v>
      </c>
      <c r="R2716" s="296">
        <v>0</v>
      </c>
      <c r="S2716" s="296">
        <v>0.9859</v>
      </c>
      <c r="T2716" s="297">
        <v>3143</v>
      </c>
      <c r="U2716" s="340">
        <v>107056</v>
      </c>
      <c r="V2716" s="340">
        <v>413375</v>
      </c>
      <c r="W2716" s="297">
        <v>8304</v>
      </c>
      <c r="X2716" s="296">
        <v>3.9E-2</v>
      </c>
    </row>
    <row r="2717" spans="13:24">
      <c r="M2717">
        <v>2715</v>
      </c>
      <c r="N2717">
        <v>64015</v>
      </c>
      <c r="O2717" t="s">
        <v>2056</v>
      </c>
      <c r="P2717" t="s">
        <v>186</v>
      </c>
      <c r="Q2717">
        <v>404</v>
      </c>
      <c r="R2717" s="296">
        <v>0</v>
      </c>
      <c r="S2717" s="296">
        <v>0.9859</v>
      </c>
      <c r="T2717" s="297">
        <v>12614</v>
      </c>
      <c r="U2717" s="340">
        <v>107014</v>
      </c>
      <c r="V2717" s="340">
        <v>307672</v>
      </c>
      <c r="W2717" s="297">
        <v>32798</v>
      </c>
      <c r="X2717" s="296">
        <v>1E-3</v>
      </c>
    </row>
    <row r="2718" spans="13:24">
      <c r="M2718">
        <v>2716</v>
      </c>
      <c r="N2718">
        <v>94806</v>
      </c>
      <c r="O2718" t="s">
        <v>2057</v>
      </c>
      <c r="P2718" t="s">
        <v>132</v>
      </c>
      <c r="Q2718">
        <v>1837</v>
      </c>
      <c r="R2718" s="296">
        <v>0</v>
      </c>
      <c r="S2718" s="296">
        <v>0.9859</v>
      </c>
      <c r="T2718" s="297">
        <v>19963</v>
      </c>
      <c r="U2718" s="340">
        <v>106948</v>
      </c>
      <c r="V2718" s="340">
        <v>759385</v>
      </c>
      <c r="W2718" s="297">
        <v>64128</v>
      </c>
      <c r="X2718" s="296">
        <v>-3.0000000000000001E-3</v>
      </c>
    </row>
    <row r="2719" spans="13:24">
      <c r="M2719">
        <v>2717</v>
      </c>
      <c r="N2719">
        <v>30248</v>
      </c>
      <c r="O2719" t="s">
        <v>2058</v>
      </c>
      <c r="P2719" t="s">
        <v>130</v>
      </c>
      <c r="Q2719">
        <v>640</v>
      </c>
      <c r="R2719" s="296">
        <v>0</v>
      </c>
      <c r="S2719" s="296">
        <v>0.9859</v>
      </c>
      <c r="T2719" s="297">
        <v>10939</v>
      </c>
      <c r="U2719" s="340">
        <v>106902</v>
      </c>
      <c r="V2719" s="340">
        <v>355719</v>
      </c>
      <c r="W2719" s="297">
        <v>32978</v>
      </c>
      <c r="X2719" s="296">
        <v>0.03</v>
      </c>
    </row>
    <row r="2720" spans="13:24">
      <c r="M2720">
        <v>2718</v>
      </c>
      <c r="N2720">
        <v>35806</v>
      </c>
      <c r="O2720" t="s">
        <v>565</v>
      </c>
      <c r="P2720" t="s">
        <v>154</v>
      </c>
      <c r="Q2720">
        <v>513</v>
      </c>
      <c r="R2720" s="296">
        <v>0</v>
      </c>
      <c r="S2720" s="296">
        <v>0.9859</v>
      </c>
      <c r="T2720" s="297">
        <v>14365</v>
      </c>
      <c r="U2720" s="340">
        <v>106886</v>
      </c>
      <c r="V2720" s="340">
        <v>361589</v>
      </c>
      <c r="W2720" s="297">
        <v>29607</v>
      </c>
      <c r="X2720" s="296">
        <v>4.2999999999999997E-2</v>
      </c>
    </row>
    <row r="2721" spans="13:24">
      <c r="M2721">
        <v>2719</v>
      </c>
      <c r="N2721">
        <v>49345</v>
      </c>
      <c r="O2721" t="s">
        <v>441</v>
      </c>
      <c r="P2721" t="s">
        <v>140</v>
      </c>
      <c r="Q2721">
        <v>127</v>
      </c>
      <c r="R2721" s="296">
        <v>0</v>
      </c>
      <c r="S2721" s="296">
        <v>0.98599999999999999</v>
      </c>
      <c r="T2721" s="297">
        <v>5176</v>
      </c>
      <c r="U2721" s="340">
        <v>106822</v>
      </c>
      <c r="V2721" s="340">
        <v>344429</v>
      </c>
      <c r="W2721" s="297">
        <v>13574</v>
      </c>
      <c r="X2721" s="296">
        <v>-1E-3</v>
      </c>
    </row>
    <row r="2722" spans="13:24">
      <c r="M2722">
        <v>2720</v>
      </c>
      <c r="N2722">
        <v>48657</v>
      </c>
      <c r="O2722" t="s">
        <v>773</v>
      </c>
      <c r="P2722" t="s">
        <v>140</v>
      </c>
      <c r="Q2722">
        <v>202</v>
      </c>
      <c r="R2722" s="296">
        <v>0</v>
      </c>
      <c r="S2722" s="296">
        <v>0.98599999999999999</v>
      </c>
      <c r="T2722" s="297">
        <v>3365</v>
      </c>
      <c r="U2722" s="340">
        <v>106763</v>
      </c>
      <c r="V2722" s="340">
        <v>265531</v>
      </c>
      <c r="W2722" s="297">
        <v>7725</v>
      </c>
      <c r="X2722" s="296">
        <v>1E-3</v>
      </c>
    </row>
    <row r="2723" spans="13:24">
      <c r="M2723">
        <v>2721</v>
      </c>
      <c r="N2723">
        <v>52241</v>
      </c>
      <c r="O2723" t="s">
        <v>2059</v>
      </c>
      <c r="P2723" t="s">
        <v>170</v>
      </c>
      <c r="Q2723">
        <v>198</v>
      </c>
      <c r="R2723" s="296">
        <v>0</v>
      </c>
      <c r="S2723" s="296">
        <v>0.98599999999999999</v>
      </c>
      <c r="T2723" s="297">
        <v>10132</v>
      </c>
      <c r="U2723" s="340">
        <v>106748</v>
      </c>
      <c r="V2723" s="340">
        <v>360074</v>
      </c>
      <c r="W2723" s="297">
        <v>23420</v>
      </c>
      <c r="X2723" s="296">
        <v>1.4E-2</v>
      </c>
    </row>
    <row r="2724" spans="13:24">
      <c r="M2724">
        <v>2722</v>
      </c>
      <c r="N2724">
        <v>53583</v>
      </c>
      <c r="O2724" t="s">
        <v>2060</v>
      </c>
      <c r="P2724" t="s">
        <v>149</v>
      </c>
      <c r="Q2724">
        <v>128</v>
      </c>
      <c r="R2724" s="296">
        <v>0</v>
      </c>
      <c r="S2724" s="296">
        <v>0.98599999999999999</v>
      </c>
      <c r="T2724" s="297">
        <v>2419</v>
      </c>
      <c r="U2724" s="340">
        <v>106700</v>
      </c>
      <c r="V2724" s="340">
        <v>395164</v>
      </c>
      <c r="W2724" s="297">
        <v>5661</v>
      </c>
      <c r="X2724" s="296">
        <v>-1E-3</v>
      </c>
    </row>
    <row r="2725" spans="13:24">
      <c r="M2725">
        <v>2723</v>
      </c>
      <c r="N2725">
        <v>47177</v>
      </c>
      <c r="O2725" t="s">
        <v>2061</v>
      </c>
      <c r="P2725" t="s">
        <v>144</v>
      </c>
      <c r="Q2725">
        <v>267</v>
      </c>
      <c r="R2725" s="296">
        <v>0</v>
      </c>
      <c r="S2725" s="296">
        <v>0.98599999999999999</v>
      </c>
      <c r="T2725">
        <v>557</v>
      </c>
      <c r="U2725" s="340">
        <v>106659</v>
      </c>
      <c r="V2725" s="340">
        <v>291071</v>
      </c>
      <c r="W2725" s="297">
        <v>1375</v>
      </c>
      <c r="X2725" s="296">
        <v>1E-3</v>
      </c>
    </row>
    <row r="2726" spans="13:24">
      <c r="M2726">
        <v>2724</v>
      </c>
      <c r="N2726">
        <v>78605</v>
      </c>
      <c r="O2726" t="s">
        <v>2062</v>
      </c>
      <c r="P2726" t="s">
        <v>134</v>
      </c>
      <c r="Q2726">
        <v>970</v>
      </c>
      <c r="R2726" s="296">
        <v>0</v>
      </c>
      <c r="S2726" s="296">
        <v>0.98599999999999999</v>
      </c>
      <c r="T2726" s="297">
        <v>2313</v>
      </c>
      <c r="U2726" s="340">
        <v>106596</v>
      </c>
      <c r="V2726" s="340">
        <v>419212</v>
      </c>
      <c r="W2726" s="297">
        <v>6430</v>
      </c>
      <c r="X2726" s="296">
        <v>1.2E-2</v>
      </c>
    </row>
    <row r="2727" spans="13:24">
      <c r="M2727">
        <v>2725</v>
      </c>
      <c r="N2727">
        <v>37860</v>
      </c>
      <c r="O2727" t="s">
        <v>2063</v>
      </c>
      <c r="P2727" t="s">
        <v>146</v>
      </c>
      <c r="Q2727">
        <v>475</v>
      </c>
      <c r="R2727" s="296">
        <v>0</v>
      </c>
      <c r="S2727" s="296">
        <v>0.98599999999999999</v>
      </c>
      <c r="T2727" s="297">
        <v>1653</v>
      </c>
      <c r="U2727" s="340">
        <v>106580</v>
      </c>
      <c r="V2727" s="340">
        <v>291414</v>
      </c>
      <c r="W2727" s="297">
        <v>4117</v>
      </c>
      <c r="X2727" s="296">
        <v>-3.0000000000000001E-3</v>
      </c>
    </row>
    <row r="2728" spans="13:24">
      <c r="M2728">
        <v>2726</v>
      </c>
      <c r="N2728">
        <v>47234</v>
      </c>
      <c r="O2728" t="s">
        <v>2064</v>
      </c>
      <c r="P2728" t="s">
        <v>144</v>
      </c>
      <c r="Q2728">
        <v>219</v>
      </c>
      <c r="R2728" s="296">
        <v>0</v>
      </c>
      <c r="S2728" s="296">
        <v>0.98599999999999999</v>
      </c>
      <c r="T2728">
        <v>524</v>
      </c>
      <c r="U2728" s="340">
        <v>106503</v>
      </c>
      <c r="V2728" s="340">
        <v>268131</v>
      </c>
      <c r="W2728" s="297">
        <v>1288</v>
      </c>
      <c r="X2728" s="296">
        <v>-4.0000000000000001E-3</v>
      </c>
    </row>
    <row r="2729" spans="13:24">
      <c r="M2729">
        <v>2727</v>
      </c>
      <c r="N2729">
        <v>32618</v>
      </c>
      <c r="O2729" t="s">
        <v>2065</v>
      </c>
      <c r="P2729" t="s">
        <v>127</v>
      </c>
      <c r="Q2729">
        <v>918</v>
      </c>
      <c r="R2729" s="296">
        <v>0</v>
      </c>
      <c r="S2729" s="296">
        <v>0.98609999999999998</v>
      </c>
      <c r="T2729" s="297">
        <v>2990</v>
      </c>
      <c r="U2729" s="340">
        <v>106413</v>
      </c>
      <c r="V2729" s="340">
        <v>312475</v>
      </c>
      <c r="W2729" s="297">
        <v>7479</v>
      </c>
      <c r="X2729" s="296">
        <v>7.0000000000000001E-3</v>
      </c>
    </row>
    <row r="2730" spans="13:24">
      <c r="M2730">
        <v>2728</v>
      </c>
      <c r="N2730">
        <v>8260</v>
      </c>
      <c r="O2730" t="s">
        <v>494</v>
      </c>
      <c r="P2730" t="s">
        <v>129</v>
      </c>
      <c r="Q2730">
        <v>713</v>
      </c>
      <c r="R2730" s="296">
        <v>0</v>
      </c>
      <c r="S2730" s="296">
        <v>0.98609999999999998</v>
      </c>
      <c r="T2730" s="297">
        <v>6279</v>
      </c>
      <c r="U2730" s="340">
        <v>106371</v>
      </c>
      <c r="V2730" s="340">
        <v>666707</v>
      </c>
      <c r="W2730" s="297">
        <v>12848</v>
      </c>
      <c r="X2730" s="296">
        <v>-2E-3</v>
      </c>
    </row>
    <row r="2731" spans="13:24">
      <c r="M2731">
        <v>2729</v>
      </c>
      <c r="N2731">
        <v>50613</v>
      </c>
      <c r="O2731" t="s">
        <v>2066</v>
      </c>
      <c r="P2731" t="s">
        <v>170</v>
      </c>
      <c r="Q2731">
        <v>242</v>
      </c>
      <c r="R2731" s="296">
        <v>0</v>
      </c>
      <c r="S2731" s="296">
        <v>0.98609999999999998</v>
      </c>
      <c r="T2731" s="297">
        <v>17014</v>
      </c>
      <c r="U2731" s="340">
        <v>106337</v>
      </c>
      <c r="V2731" s="340">
        <v>290515</v>
      </c>
      <c r="W2731" s="297">
        <v>43040</v>
      </c>
      <c r="X2731" s="296">
        <v>2E-3</v>
      </c>
    </row>
    <row r="2732" spans="13:24">
      <c r="M2732">
        <v>2730</v>
      </c>
      <c r="N2732">
        <v>89117</v>
      </c>
      <c r="O2732" t="s">
        <v>706</v>
      </c>
      <c r="P2732" t="s">
        <v>148</v>
      </c>
      <c r="Q2732">
        <v>1523</v>
      </c>
      <c r="R2732" s="296">
        <v>0</v>
      </c>
      <c r="S2732" s="296">
        <v>0.98609999999999998</v>
      </c>
      <c r="T2732" s="297">
        <v>23669</v>
      </c>
      <c r="U2732" s="340">
        <v>106256</v>
      </c>
      <c r="V2732" s="340">
        <v>597125</v>
      </c>
      <c r="W2732" s="297">
        <v>55144</v>
      </c>
      <c r="X2732" s="296">
        <v>-2E-3</v>
      </c>
    </row>
    <row r="2733" spans="13:24">
      <c r="M2733">
        <v>2731</v>
      </c>
      <c r="N2733">
        <v>92571</v>
      </c>
      <c r="O2733" t="s">
        <v>792</v>
      </c>
      <c r="P2733" t="s">
        <v>132</v>
      </c>
      <c r="Q2733">
        <v>1693</v>
      </c>
      <c r="R2733" s="296">
        <v>0</v>
      </c>
      <c r="S2733" s="296">
        <v>0.98609999999999998</v>
      </c>
      <c r="T2733" s="297">
        <v>14335</v>
      </c>
      <c r="U2733" s="340">
        <v>106232</v>
      </c>
      <c r="V2733" s="340">
        <v>523717</v>
      </c>
      <c r="W2733" s="297">
        <v>59956</v>
      </c>
      <c r="X2733" s="296">
        <v>2E-3</v>
      </c>
    </row>
    <row r="2734" spans="13:24">
      <c r="M2734">
        <v>2732</v>
      </c>
      <c r="N2734">
        <v>16127</v>
      </c>
      <c r="O2734" t="s">
        <v>1984</v>
      </c>
      <c r="P2734" t="s">
        <v>133</v>
      </c>
      <c r="Q2734">
        <v>403</v>
      </c>
      <c r="R2734" s="296">
        <v>0</v>
      </c>
      <c r="S2734" s="296">
        <v>0.98609999999999998</v>
      </c>
      <c r="T2734" s="297">
        <v>5467</v>
      </c>
      <c r="U2734" s="340">
        <v>106086</v>
      </c>
      <c r="V2734" s="340">
        <v>280510</v>
      </c>
      <c r="W2734" s="297">
        <v>15219</v>
      </c>
      <c r="X2734" s="296">
        <v>-3.0000000000000001E-3</v>
      </c>
    </row>
    <row r="2735" spans="13:24">
      <c r="M2735">
        <v>2733</v>
      </c>
      <c r="N2735">
        <v>61729</v>
      </c>
      <c r="O2735" t="s">
        <v>2067</v>
      </c>
      <c r="P2735" t="s">
        <v>131</v>
      </c>
      <c r="Q2735">
        <v>128</v>
      </c>
      <c r="R2735" s="296">
        <v>0</v>
      </c>
      <c r="S2735" s="296">
        <v>0.98609999999999998</v>
      </c>
      <c r="T2735">
        <v>369</v>
      </c>
      <c r="U2735" s="340">
        <v>106086</v>
      </c>
      <c r="V2735" s="340">
        <v>297377</v>
      </c>
      <c r="W2735" s="297">
        <v>1117</v>
      </c>
      <c r="X2735" s="296">
        <v>-5.0000000000000001E-3</v>
      </c>
    </row>
    <row r="2736" spans="13:24">
      <c r="M2736">
        <v>2734</v>
      </c>
      <c r="N2736">
        <v>62305</v>
      </c>
      <c r="O2736" t="s">
        <v>372</v>
      </c>
      <c r="P2736" t="s">
        <v>131</v>
      </c>
      <c r="Q2736">
        <v>239</v>
      </c>
      <c r="R2736" s="296">
        <v>0</v>
      </c>
      <c r="S2736" s="296">
        <v>0.98609999999999998</v>
      </c>
      <c r="T2736" s="297">
        <v>7929</v>
      </c>
      <c r="U2736" s="340">
        <v>106068</v>
      </c>
      <c r="V2736" s="340">
        <v>255681</v>
      </c>
      <c r="W2736" s="297">
        <v>18711</v>
      </c>
      <c r="X2736" s="296">
        <v>-6.0000000000000001E-3</v>
      </c>
    </row>
    <row r="2737" spans="13:24">
      <c r="M2737">
        <v>2735</v>
      </c>
      <c r="N2737">
        <v>2920</v>
      </c>
      <c r="O2737" t="s">
        <v>446</v>
      </c>
      <c r="P2737" t="s">
        <v>212</v>
      </c>
      <c r="Q2737">
        <v>838</v>
      </c>
      <c r="R2737" s="296">
        <v>0</v>
      </c>
      <c r="S2737" s="296">
        <v>0.98619999999999997</v>
      </c>
      <c r="T2737" s="297">
        <v>14989</v>
      </c>
      <c r="U2737" s="340">
        <v>105989</v>
      </c>
      <c r="V2737" s="340">
        <v>409400</v>
      </c>
      <c r="W2737" s="297">
        <v>37855</v>
      </c>
      <c r="X2737" s="296">
        <v>-1E-3</v>
      </c>
    </row>
    <row r="2738" spans="13:24">
      <c r="M2738">
        <v>2736</v>
      </c>
      <c r="N2738">
        <v>29732</v>
      </c>
      <c r="O2738" t="s">
        <v>752</v>
      </c>
      <c r="P2738" t="s">
        <v>145</v>
      </c>
      <c r="Q2738">
        <v>614</v>
      </c>
      <c r="R2738" s="296">
        <v>0</v>
      </c>
      <c r="S2738" s="296">
        <v>0.98619999999999997</v>
      </c>
      <c r="T2738" s="297">
        <v>25504</v>
      </c>
      <c r="U2738" s="340">
        <v>105982</v>
      </c>
      <c r="V2738" s="340">
        <v>387803</v>
      </c>
      <c r="W2738" s="297">
        <v>62070</v>
      </c>
      <c r="X2738" s="296">
        <v>0.01</v>
      </c>
    </row>
    <row r="2739" spans="13:24">
      <c r="M2739">
        <v>2737</v>
      </c>
      <c r="N2739">
        <v>54730</v>
      </c>
      <c r="O2739" t="s">
        <v>2068</v>
      </c>
      <c r="P2739" t="s">
        <v>149</v>
      </c>
      <c r="Q2739">
        <v>279</v>
      </c>
      <c r="R2739" s="296">
        <v>0</v>
      </c>
      <c r="S2739" s="296">
        <v>0.98619999999999997</v>
      </c>
      <c r="T2739" s="297">
        <v>2101</v>
      </c>
      <c r="U2739" s="340">
        <v>105876</v>
      </c>
      <c r="V2739" s="340">
        <v>294962</v>
      </c>
      <c r="W2739" s="297">
        <v>5222</v>
      </c>
      <c r="X2739" s="296">
        <v>2E-3</v>
      </c>
    </row>
    <row r="2740" spans="13:24">
      <c r="M2740">
        <v>2738</v>
      </c>
      <c r="N2740">
        <v>55947</v>
      </c>
      <c r="O2740" t="s">
        <v>2069</v>
      </c>
      <c r="P2740" t="s">
        <v>151</v>
      </c>
      <c r="Q2740">
        <v>215</v>
      </c>
      <c r="R2740" s="296">
        <v>0</v>
      </c>
      <c r="S2740" s="296">
        <v>0.98619999999999997</v>
      </c>
      <c r="T2740" s="297">
        <v>3192</v>
      </c>
      <c r="U2740" s="340">
        <v>105863</v>
      </c>
      <c r="V2740" s="340">
        <v>325099</v>
      </c>
      <c r="W2740" s="297">
        <v>7407</v>
      </c>
      <c r="X2740" s="296">
        <v>1E-3</v>
      </c>
    </row>
    <row r="2741" spans="13:24">
      <c r="M2741">
        <v>2739</v>
      </c>
      <c r="N2741">
        <v>72404</v>
      </c>
      <c r="O2741" t="s">
        <v>1599</v>
      </c>
      <c r="P2741" t="s">
        <v>156</v>
      </c>
      <c r="Q2741">
        <v>468</v>
      </c>
      <c r="R2741" s="296">
        <v>0</v>
      </c>
      <c r="S2741" s="296">
        <v>0.98619999999999997</v>
      </c>
      <c r="T2741" s="297">
        <v>11974</v>
      </c>
      <c r="U2741" s="340">
        <v>105838</v>
      </c>
      <c r="V2741" s="340">
        <v>361070</v>
      </c>
      <c r="W2741" s="297">
        <v>30175</v>
      </c>
      <c r="X2741" s="296">
        <v>8.0000000000000002E-3</v>
      </c>
    </row>
    <row r="2742" spans="13:24">
      <c r="M2742">
        <v>2740</v>
      </c>
      <c r="N2742">
        <v>41094</v>
      </c>
      <c r="O2742" t="s">
        <v>2070</v>
      </c>
      <c r="P2742" t="s">
        <v>143</v>
      </c>
      <c r="Q2742">
        <v>280</v>
      </c>
      <c r="R2742" s="296">
        <v>0</v>
      </c>
      <c r="S2742" s="296">
        <v>0.98619999999999997</v>
      </c>
      <c r="T2742" s="297">
        <v>5358</v>
      </c>
      <c r="U2742" s="340">
        <v>105812</v>
      </c>
      <c r="V2742" s="340">
        <v>324920</v>
      </c>
      <c r="W2742" s="297">
        <v>15380</v>
      </c>
      <c r="X2742" s="296">
        <v>7.0000000000000001E-3</v>
      </c>
    </row>
    <row r="2743" spans="13:24">
      <c r="M2743">
        <v>2741</v>
      </c>
      <c r="N2743">
        <v>33511</v>
      </c>
      <c r="O2743" t="s">
        <v>2071</v>
      </c>
      <c r="P2743" t="s">
        <v>127</v>
      </c>
      <c r="Q2743">
        <v>1031</v>
      </c>
      <c r="R2743" s="296">
        <v>0</v>
      </c>
      <c r="S2743" s="296">
        <v>0.98619999999999997</v>
      </c>
      <c r="T2743" s="297">
        <v>22986</v>
      </c>
      <c r="U2743" s="340">
        <v>105723</v>
      </c>
      <c r="V2743" s="340">
        <v>468968</v>
      </c>
      <c r="W2743" s="297">
        <v>58595</v>
      </c>
      <c r="X2743" s="296">
        <v>0.01</v>
      </c>
    </row>
    <row r="2744" spans="13:24">
      <c r="M2744">
        <v>2742</v>
      </c>
      <c r="N2744">
        <v>49080</v>
      </c>
      <c r="O2744" t="s">
        <v>2072</v>
      </c>
      <c r="P2744" t="s">
        <v>140</v>
      </c>
      <c r="Q2744">
        <v>114</v>
      </c>
      <c r="R2744" s="296">
        <v>0</v>
      </c>
      <c r="S2744" s="296">
        <v>0.98619999999999997</v>
      </c>
      <c r="T2744" s="297">
        <v>6133</v>
      </c>
      <c r="U2744" s="340">
        <v>105693</v>
      </c>
      <c r="V2744" s="340">
        <v>336323</v>
      </c>
      <c r="W2744" s="297">
        <v>15743</v>
      </c>
      <c r="X2744" s="296">
        <v>0</v>
      </c>
    </row>
    <row r="2745" spans="13:24">
      <c r="M2745">
        <v>2743</v>
      </c>
      <c r="N2745">
        <v>1453</v>
      </c>
      <c r="O2745" t="s">
        <v>433</v>
      </c>
      <c r="P2745" t="s">
        <v>135</v>
      </c>
      <c r="Q2745">
        <v>817</v>
      </c>
      <c r="R2745" s="296">
        <v>0</v>
      </c>
      <c r="S2745" s="296">
        <v>0.98629999999999995</v>
      </c>
      <c r="T2745" s="297">
        <v>18208</v>
      </c>
      <c r="U2745" s="340">
        <v>105674</v>
      </c>
      <c r="V2745" s="340">
        <v>415871</v>
      </c>
      <c r="W2745" s="297">
        <v>44167</v>
      </c>
      <c r="X2745" s="296">
        <v>1E-3</v>
      </c>
    </row>
    <row r="2746" spans="13:24">
      <c r="M2746">
        <v>2744</v>
      </c>
      <c r="N2746">
        <v>55408</v>
      </c>
      <c r="O2746" t="s">
        <v>576</v>
      </c>
      <c r="P2746" t="s">
        <v>151</v>
      </c>
      <c r="Q2746">
        <v>337</v>
      </c>
      <c r="R2746" s="296">
        <v>0</v>
      </c>
      <c r="S2746" s="296">
        <v>0.98629999999999995</v>
      </c>
      <c r="T2746" s="297">
        <v>18080</v>
      </c>
      <c r="U2746" s="340">
        <v>105663</v>
      </c>
      <c r="V2746" s="340">
        <v>570149</v>
      </c>
      <c r="W2746" s="297">
        <v>35712</v>
      </c>
      <c r="X2746" s="296">
        <v>7.0000000000000001E-3</v>
      </c>
    </row>
    <row r="2747" spans="13:24">
      <c r="M2747">
        <v>2745</v>
      </c>
      <c r="N2747">
        <v>33634</v>
      </c>
      <c r="O2747" t="s">
        <v>475</v>
      </c>
      <c r="P2747" t="s">
        <v>127</v>
      </c>
      <c r="Q2747">
        <v>1020</v>
      </c>
      <c r="R2747" s="296">
        <v>0</v>
      </c>
      <c r="S2747" s="296">
        <v>0.98629999999999995</v>
      </c>
      <c r="T2747" s="297">
        <v>8002</v>
      </c>
      <c r="U2747" s="340">
        <v>105627</v>
      </c>
      <c r="V2747" s="340">
        <v>374463</v>
      </c>
      <c r="W2747" s="297">
        <v>21878</v>
      </c>
      <c r="X2747" s="296">
        <v>5.0000000000000001E-3</v>
      </c>
    </row>
    <row r="2748" spans="13:24">
      <c r="M2748">
        <v>2746</v>
      </c>
      <c r="N2748">
        <v>72442</v>
      </c>
      <c r="O2748" t="s">
        <v>2073</v>
      </c>
      <c r="P2748" t="s">
        <v>156</v>
      </c>
      <c r="Q2748">
        <v>454</v>
      </c>
      <c r="R2748" s="296">
        <v>0</v>
      </c>
      <c r="S2748" s="296">
        <v>0.98629999999999995</v>
      </c>
      <c r="T2748" s="297">
        <v>1733</v>
      </c>
      <c r="U2748" s="340">
        <v>105553</v>
      </c>
      <c r="V2748" s="340">
        <v>177472</v>
      </c>
      <c r="W2748" s="297">
        <v>4383</v>
      </c>
      <c r="X2748" s="296">
        <v>-2.1999999999999999E-2</v>
      </c>
    </row>
    <row r="2749" spans="13:24">
      <c r="M2749">
        <v>2747</v>
      </c>
      <c r="N2749">
        <v>43460</v>
      </c>
      <c r="O2749" t="s">
        <v>2074</v>
      </c>
      <c r="P2749" t="s">
        <v>136</v>
      </c>
      <c r="Q2749">
        <v>220</v>
      </c>
      <c r="R2749" s="296">
        <v>0</v>
      </c>
      <c r="S2749" s="296">
        <v>0.98629999999999995</v>
      </c>
      <c r="T2749" s="297">
        <v>2698</v>
      </c>
      <c r="U2749" s="340">
        <v>105545</v>
      </c>
      <c r="V2749" s="340">
        <v>248664</v>
      </c>
      <c r="W2749" s="297">
        <v>6364</v>
      </c>
      <c r="X2749" s="296">
        <v>5.0000000000000001E-3</v>
      </c>
    </row>
    <row r="2750" spans="13:24">
      <c r="M2750">
        <v>2748</v>
      </c>
      <c r="N2750">
        <v>76137</v>
      </c>
      <c r="O2750" t="s">
        <v>688</v>
      </c>
      <c r="P2750" t="s">
        <v>134</v>
      </c>
      <c r="Q2750">
        <v>825</v>
      </c>
      <c r="R2750" s="296">
        <v>0</v>
      </c>
      <c r="S2750" s="296">
        <v>0.98629999999999995</v>
      </c>
      <c r="T2750" s="297">
        <v>21820</v>
      </c>
      <c r="U2750" s="340">
        <v>105465</v>
      </c>
      <c r="V2750" s="340">
        <v>342635</v>
      </c>
      <c r="W2750" s="297">
        <v>59573</v>
      </c>
      <c r="X2750" s="296">
        <v>1E-3</v>
      </c>
    </row>
    <row r="2751" spans="13:24">
      <c r="M2751">
        <v>2749</v>
      </c>
      <c r="N2751">
        <v>56308</v>
      </c>
      <c r="O2751" t="s">
        <v>521</v>
      </c>
      <c r="P2751" t="s">
        <v>151</v>
      </c>
      <c r="Q2751">
        <v>457</v>
      </c>
      <c r="R2751" s="296">
        <v>0</v>
      </c>
      <c r="S2751" s="296">
        <v>0.98629999999999995</v>
      </c>
      <c r="T2751" s="297">
        <v>11893</v>
      </c>
      <c r="U2751" s="340">
        <v>105398</v>
      </c>
      <c r="V2751" s="340">
        <v>394057</v>
      </c>
      <c r="W2751" s="297">
        <v>27371</v>
      </c>
      <c r="X2751" s="296">
        <v>8.0000000000000002E-3</v>
      </c>
    </row>
    <row r="2752" spans="13:24">
      <c r="M2752">
        <v>2750</v>
      </c>
      <c r="N2752">
        <v>47041</v>
      </c>
      <c r="O2752" t="s">
        <v>2075</v>
      </c>
      <c r="P2752" t="s">
        <v>144</v>
      </c>
      <c r="Q2752">
        <v>246</v>
      </c>
      <c r="R2752" s="296">
        <v>0</v>
      </c>
      <c r="S2752" s="296">
        <v>0.98629999999999995</v>
      </c>
      <c r="T2752" s="297">
        <v>2244</v>
      </c>
      <c r="U2752" s="340">
        <v>105324</v>
      </c>
      <c r="V2752" s="340">
        <v>311032</v>
      </c>
      <c r="W2752" s="297">
        <v>5950</v>
      </c>
      <c r="X2752" s="296">
        <v>4.0000000000000001E-3</v>
      </c>
    </row>
    <row r="2753" spans="13:24">
      <c r="M2753">
        <v>2751</v>
      </c>
      <c r="N2753">
        <v>19115</v>
      </c>
      <c r="O2753" t="s">
        <v>469</v>
      </c>
      <c r="P2753" t="s">
        <v>133</v>
      </c>
      <c r="Q2753">
        <v>678</v>
      </c>
      <c r="R2753" s="296">
        <v>0</v>
      </c>
      <c r="S2753" s="296">
        <v>0.98640000000000005</v>
      </c>
      <c r="T2753" s="297">
        <v>13956</v>
      </c>
      <c r="U2753" s="340">
        <v>105322</v>
      </c>
      <c r="V2753" s="340">
        <v>363326</v>
      </c>
      <c r="W2753" s="297">
        <v>35163</v>
      </c>
      <c r="X2753" s="296">
        <v>-1E-3</v>
      </c>
    </row>
    <row r="2754" spans="13:24">
      <c r="M2754">
        <v>2752</v>
      </c>
      <c r="N2754">
        <v>53011</v>
      </c>
      <c r="O2754" t="s">
        <v>2002</v>
      </c>
      <c r="P2754" t="s">
        <v>149</v>
      </c>
      <c r="Q2754">
        <v>105</v>
      </c>
      <c r="R2754" s="296">
        <v>0</v>
      </c>
      <c r="S2754" s="296">
        <v>0.98640000000000005</v>
      </c>
      <c r="T2754">
        <v>943</v>
      </c>
      <c r="U2754" s="340">
        <v>105171</v>
      </c>
      <c r="V2754" s="340">
        <v>377737</v>
      </c>
      <c r="W2754" s="297">
        <v>2174</v>
      </c>
      <c r="X2754" s="296">
        <v>4.0000000000000001E-3</v>
      </c>
    </row>
    <row r="2755" spans="13:24">
      <c r="M2755">
        <v>2753</v>
      </c>
      <c r="N2755">
        <v>53006</v>
      </c>
      <c r="O2755" t="s">
        <v>2076</v>
      </c>
      <c r="P2755" t="s">
        <v>149</v>
      </c>
      <c r="Q2755">
        <v>107</v>
      </c>
      <c r="R2755" s="296">
        <v>0</v>
      </c>
      <c r="S2755" s="296">
        <v>0.98640000000000005</v>
      </c>
      <c r="T2755">
        <v>845</v>
      </c>
      <c r="U2755" s="340">
        <v>105097</v>
      </c>
      <c r="V2755" s="340">
        <v>374636</v>
      </c>
      <c r="W2755" s="297">
        <v>2073</v>
      </c>
      <c r="X2755" s="296">
        <v>-2E-3</v>
      </c>
    </row>
    <row r="2756" spans="13:24">
      <c r="M2756">
        <v>2754</v>
      </c>
      <c r="N2756">
        <v>43022</v>
      </c>
      <c r="O2756" t="s">
        <v>2077</v>
      </c>
      <c r="P2756" t="s">
        <v>136</v>
      </c>
      <c r="Q2756">
        <v>309</v>
      </c>
      <c r="R2756" s="296">
        <v>0</v>
      </c>
      <c r="S2756" s="296">
        <v>0.98640000000000005</v>
      </c>
      <c r="T2756">
        <v>977</v>
      </c>
      <c r="U2756" s="340">
        <v>105090</v>
      </c>
      <c r="V2756" s="340">
        <v>346062</v>
      </c>
      <c r="W2756" s="297">
        <v>4217</v>
      </c>
      <c r="X2756" s="296">
        <v>4.0000000000000001E-3</v>
      </c>
    </row>
    <row r="2757" spans="13:24">
      <c r="M2757">
        <v>2755</v>
      </c>
      <c r="N2757">
        <v>29615</v>
      </c>
      <c r="O2757" t="s">
        <v>670</v>
      </c>
      <c r="P2757" t="s">
        <v>145</v>
      </c>
      <c r="Q2757">
        <v>583</v>
      </c>
      <c r="R2757" s="296">
        <v>0</v>
      </c>
      <c r="S2757" s="296">
        <v>0.98640000000000005</v>
      </c>
      <c r="T2757" s="297">
        <v>18626</v>
      </c>
      <c r="U2757" s="340">
        <v>105074</v>
      </c>
      <c r="V2757" s="340">
        <v>429891</v>
      </c>
      <c r="W2757" s="297">
        <v>40259</v>
      </c>
      <c r="X2757" s="296">
        <v>8.9999999999999993E-3</v>
      </c>
    </row>
    <row r="2758" spans="13:24">
      <c r="M2758">
        <v>2756</v>
      </c>
      <c r="N2758">
        <v>46202</v>
      </c>
      <c r="O2758" t="s">
        <v>561</v>
      </c>
      <c r="P2758" t="s">
        <v>144</v>
      </c>
      <c r="Q2758">
        <v>184</v>
      </c>
      <c r="R2758" s="296">
        <v>0</v>
      </c>
      <c r="S2758" s="296">
        <v>0.98640000000000005</v>
      </c>
      <c r="T2758" s="297">
        <v>11935</v>
      </c>
      <c r="U2758" s="340">
        <v>105072</v>
      </c>
      <c r="V2758" s="340">
        <v>412669</v>
      </c>
      <c r="W2758" s="297">
        <v>23867</v>
      </c>
      <c r="X2758" s="296">
        <v>1.7000000000000001E-2</v>
      </c>
    </row>
    <row r="2759" spans="13:24">
      <c r="M2759">
        <v>2757</v>
      </c>
      <c r="N2759">
        <v>55349</v>
      </c>
      <c r="O2759" t="s">
        <v>2078</v>
      </c>
      <c r="P2759" t="s">
        <v>151</v>
      </c>
      <c r="Q2759">
        <v>373</v>
      </c>
      <c r="R2759" s="296">
        <v>0</v>
      </c>
      <c r="S2759" s="296">
        <v>0.98640000000000005</v>
      </c>
      <c r="T2759" s="297">
        <v>1671</v>
      </c>
      <c r="U2759" s="340">
        <v>105021</v>
      </c>
      <c r="V2759" s="340">
        <v>446633</v>
      </c>
      <c r="W2759" s="297">
        <v>4209</v>
      </c>
      <c r="X2759" s="296">
        <v>7.0000000000000001E-3</v>
      </c>
    </row>
    <row r="2760" spans="13:24">
      <c r="M2760">
        <v>2758</v>
      </c>
      <c r="N2760">
        <v>16142</v>
      </c>
      <c r="O2760" t="s">
        <v>2079</v>
      </c>
      <c r="P2760" t="s">
        <v>133</v>
      </c>
      <c r="Q2760">
        <v>392</v>
      </c>
      <c r="R2760" s="296">
        <v>0</v>
      </c>
      <c r="S2760" s="296">
        <v>0.98640000000000005</v>
      </c>
      <c r="T2760" s="297">
        <v>2197</v>
      </c>
      <c r="U2760" s="340">
        <v>104991</v>
      </c>
      <c r="V2760" s="340">
        <v>336808</v>
      </c>
      <c r="W2760" s="297">
        <v>5994</v>
      </c>
      <c r="X2760" s="296">
        <v>-8.9999999999999993E-3</v>
      </c>
    </row>
    <row r="2761" spans="13:24">
      <c r="M2761">
        <v>2759</v>
      </c>
      <c r="N2761">
        <v>52327</v>
      </c>
      <c r="O2761" t="s">
        <v>578</v>
      </c>
      <c r="P2761" t="s">
        <v>170</v>
      </c>
      <c r="Q2761">
        <v>200</v>
      </c>
      <c r="R2761" s="296">
        <v>0</v>
      </c>
      <c r="S2761" s="296">
        <v>0.98650000000000004</v>
      </c>
      <c r="T2761" s="297">
        <v>1277</v>
      </c>
      <c r="U2761" s="340">
        <v>104889</v>
      </c>
      <c r="V2761" s="340">
        <v>328182</v>
      </c>
      <c r="W2761" s="297">
        <v>3348</v>
      </c>
      <c r="X2761" s="296">
        <v>6.0000000000000001E-3</v>
      </c>
    </row>
    <row r="2762" spans="13:24">
      <c r="M2762">
        <v>2760</v>
      </c>
      <c r="N2762">
        <v>1510</v>
      </c>
      <c r="O2762" t="s">
        <v>419</v>
      </c>
      <c r="P2762" t="s">
        <v>135</v>
      </c>
      <c r="Q2762">
        <v>822</v>
      </c>
      <c r="R2762" s="296">
        <v>0</v>
      </c>
      <c r="S2762" s="296">
        <v>0.98650000000000004</v>
      </c>
      <c r="T2762" s="297">
        <v>6756</v>
      </c>
      <c r="U2762" s="340">
        <v>104881</v>
      </c>
      <c r="V2762" s="340">
        <v>415678</v>
      </c>
      <c r="W2762" s="297">
        <v>15777</v>
      </c>
      <c r="X2762" s="296">
        <v>5.0000000000000001E-3</v>
      </c>
    </row>
    <row r="2763" spans="13:24">
      <c r="M2763">
        <v>2761</v>
      </c>
      <c r="N2763">
        <v>93033</v>
      </c>
      <c r="O2763" t="s">
        <v>2080</v>
      </c>
      <c r="P2763" t="s">
        <v>132</v>
      </c>
      <c r="Q2763">
        <v>1780</v>
      </c>
      <c r="R2763" s="296">
        <v>0</v>
      </c>
      <c r="S2763" s="296">
        <v>0.98650000000000004</v>
      </c>
      <c r="T2763" s="297">
        <v>17403</v>
      </c>
      <c r="U2763" s="340">
        <v>104872</v>
      </c>
      <c r="V2763" s="340">
        <v>593677</v>
      </c>
      <c r="W2763" s="297">
        <v>77995</v>
      </c>
      <c r="X2763" s="296">
        <v>-5.0000000000000001E-3</v>
      </c>
    </row>
    <row r="2764" spans="13:24">
      <c r="M2764">
        <v>2762</v>
      </c>
      <c r="N2764">
        <v>85225</v>
      </c>
      <c r="O2764" t="s">
        <v>735</v>
      </c>
      <c r="P2764" t="s">
        <v>158</v>
      </c>
      <c r="Q2764">
        <v>1442</v>
      </c>
      <c r="R2764" s="296">
        <v>0</v>
      </c>
      <c r="S2764" s="296">
        <v>0.98650000000000004</v>
      </c>
      <c r="T2764" s="297">
        <v>28010</v>
      </c>
      <c r="U2764" s="340">
        <v>104772</v>
      </c>
      <c r="V2764" s="340">
        <v>459620</v>
      </c>
      <c r="W2764" s="297">
        <v>74513</v>
      </c>
      <c r="X2764" s="296">
        <v>4.0000000000000001E-3</v>
      </c>
    </row>
    <row r="2765" spans="13:24">
      <c r="M2765">
        <v>2763</v>
      </c>
      <c r="N2765">
        <v>49448</v>
      </c>
      <c r="O2765" t="s">
        <v>2081</v>
      </c>
      <c r="P2765" t="s">
        <v>140</v>
      </c>
      <c r="Q2765">
        <v>109</v>
      </c>
      <c r="R2765" s="296">
        <v>0</v>
      </c>
      <c r="S2765" s="296">
        <v>0.98650000000000004</v>
      </c>
      <c r="T2765" s="297">
        <v>1649</v>
      </c>
      <c r="U2765" s="340">
        <v>104760</v>
      </c>
      <c r="V2765" s="340">
        <v>417561</v>
      </c>
      <c r="W2765" s="297">
        <v>4393</v>
      </c>
      <c r="X2765" s="296">
        <v>8.9999999999999993E-3</v>
      </c>
    </row>
    <row r="2766" spans="13:24">
      <c r="M2766">
        <v>2764</v>
      </c>
      <c r="N2766">
        <v>11226</v>
      </c>
      <c r="O2766" t="s">
        <v>472</v>
      </c>
      <c r="P2766" t="s">
        <v>128</v>
      </c>
      <c r="Q2766">
        <v>724</v>
      </c>
      <c r="R2766" s="296">
        <v>0</v>
      </c>
      <c r="S2766" s="296">
        <v>0.98650000000000004</v>
      </c>
      <c r="T2766" s="297">
        <v>39774</v>
      </c>
      <c r="U2766" s="340">
        <v>104716</v>
      </c>
      <c r="V2766" s="340">
        <v>965127</v>
      </c>
      <c r="W2766" s="297">
        <v>103639</v>
      </c>
      <c r="X2766" s="296">
        <v>-2E-3</v>
      </c>
    </row>
    <row r="2767" spans="13:24">
      <c r="M2767">
        <v>2765</v>
      </c>
      <c r="N2767">
        <v>31088</v>
      </c>
      <c r="O2767" t="s">
        <v>2082</v>
      </c>
      <c r="P2767" t="s">
        <v>130</v>
      </c>
      <c r="Q2767">
        <v>698</v>
      </c>
      <c r="R2767" s="296">
        <v>0</v>
      </c>
      <c r="S2767" s="296">
        <v>0.98650000000000004</v>
      </c>
      <c r="T2767" s="297">
        <v>23524</v>
      </c>
      <c r="U2767" s="340">
        <v>104707</v>
      </c>
      <c r="V2767" s="340">
        <v>303768</v>
      </c>
      <c r="W2767" s="297">
        <v>59851</v>
      </c>
      <c r="X2767" s="296">
        <v>1.2999999999999999E-2</v>
      </c>
    </row>
    <row r="2768" spans="13:24">
      <c r="M2768">
        <v>2766</v>
      </c>
      <c r="N2768">
        <v>52213</v>
      </c>
      <c r="O2768" t="s">
        <v>2083</v>
      </c>
      <c r="P2768" t="s">
        <v>170</v>
      </c>
      <c r="Q2768">
        <v>204</v>
      </c>
      <c r="R2768" s="296">
        <v>0</v>
      </c>
      <c r="S2768" s="296">
        <v>0.98650000000000004</v>
      </c>
      <c r="T2768" s="297">
        <v>1731</v>
      </c>
      <c r="U2768" s="340">
        <v>104688</v>
      </c>
      <c r="V2768" s="340">
        <v>388366</v>
      </c>
      <c r="W2768" s="297">
        <v>4599</v>
      </c>
      <c r="X2768" s="296">
        <v>5.0000000000000001E-3</v>
      </c>
    </row>
    <row r="2769" spans="13:24">
      <c r="M2769">
        <v>2767</v>
      </c>
      <c r="N2769">
        <v>82935</v>
      </c>
      <c r="O2769" t="s">
        <v>2084</v>
      </c>
      <c r="P2769" t="s">
        <v>229</v>
      </c>
      <c r="Q2769">
        <v>1114</v>
      </c>
      <c r="R2769" s="296">
        <v>0</v>
      </c>
      <c r="S2769" s="296">
        <v>0.98660000000000003</v>
      </c>
      <c r="T2769" s="297">
        <v>4798</v>
      </c>
      <c r="U2769" s="340">
        <v>104666</v>
      </c>
      <c r="V2769" s="340">
        <v>292274</v>
      </c>
      <c r="W2769" s="297">
        <v>12360</v>
      </c>
      <c r="X2769" s="296">
        <v>-3.0000000000000001E-3</v>
      </c>
    </row>
    <row r="2770" spans="13:24">
      <c r="M2770">
        <v>2768</v>
      </c>
      <c r="N2770">
        <v>6280</v>
      </c>
      <c r="O2770" t="s">
        <v>430</v>
      </c>
      <c r="P2770" t="s">
        <v>141</v>
      </c>
      <c r="Q2770">
        <v>803</v>
      </c>
      <c r="R2770" s="296">
        <v>0</v>
      </c>
      <c r="S2770" s="296">
        <v>0.98660000000000003</v>
      </c>
      <c r="T2770" s="297">
        <v>1272</v>
      </c>
      <c r="U2770" s="340">
        <v>104540</v>
      </c>
      <c r="V2770" s="340">
        <v>324619</v>
      </c>
      <c r="W2770" s="297">
        <v>3261</v>
      </c>
      <c r="X2770" s="296">
        <v>-6.0000000000000001E-3</v>
      </c>
    </row>
    <row r="2771" spans="13:24">
      <c r="M2771">
        <v>2769</v>
      </c>
      <c r="N2771">
        <v>49650</v>
      </c>
      <c r="O2771" t="s">
        <v>2085</v>
      </c>
      <c r="P2771" t="s">
        <v>140</v>
      </c>
      <c r="Q2771">
        <v>203</v>
      </c>
      <c r="R2771" s="296">
        <v>0</v>
      </c>
      <c r="S2771" s="296">
        <v>0.98660000000000003</v>
      </c>
      <c r="T2771" s="297">
        <v>1305</v>
      </c>
      <c r="U2771" s="340">
        <v>104479</v>
      </c>
      <c r="V2771" s="340">
        <v>289416</v>
      </c>
      <c r="W2771" s="297">
        <v>3304</v>
      </c>
      <c r="X2771" s="296">
        <v>8.0000000000000002E-3</v>
      </c>
    </row>
    <row r="2772" spans="13:24">
      <c r="M2772">
        <v>2770</v>
      </c>
      <c r="N2772">
        <v>34112</v>
      </c>
      <c r="O2772" t="s">
        <v>322</v>
      </c>
      <c r="P2772" t="s">
        <v>127</v>
      </c>
      <c r="Q2772">
        <v>1159</v>
      </c>
      <c r="R2772" s="296">
        <v>0</v>
      </c>
      <c r="S2772" s="296">
        <v>0.98660000000000003</v>
      </c>
      <c r="T2772" s="297">
        <v>13704</v>
      </c>
      <c r="U2772" s="340">
        <v>104478</v>
      </c>
      <c r="V2772" s="340">
        <v>608411</v>
      </c>
      <c r="W2772" s="297">
        <v>28289</v>
      </c>
      <c r="X2772" s="296">
        <v>1.2E-2</v>
      </c>
    </row>
    <row r="2773" spans="13:24">
      <c r="M2773">
        <v>2771</v>
      </c>
      <c r="N2773">
        <v>53960</v>
      </c>
      <c r="O2773" t="s">
        <v>2086</v>
      </c>
      <c r="P2773" t="s">
        <v>149</v>
      </c>
      <c r="Q2773">
        <v>115</v>
      </c>
      <c r="R2773" s="296">
        <v>0</v>
      </c>
      <c r="S2773" s="296">
        <v>0.98660000000000003</v>
      </c>
      <c r="T2773" s="297">
        <v>1393</v>
      </c>
      <c r="U2773" s="340">
        <v>104446</v>
      </c>
      <c r="V2773" s="340">
        <v>350128</v>
      </c>
      <c r="W2773" s="297">
        <v>3288</v>
      </c>
      <c r="X2773" s="296">
        <v>3.0000000000000001E-3</v>
      </c>
    </row>
    <row r="2774" spans="13:24">
      <c r="M2774">
        <v>2772</v>
      </c>
      <c r="N2774">
        <v>34243</v>
      </c>
      <c r="O2774" t="s">
        <v>677</v>
      </c>
      <c r="P2774" t="s">
        <v>127</v>
      </c>
      <c r="Q2774">
        <v>1061</v>
      </c>
      <c r="R2774" s="296">
        <v>0</v>
      </c>
      <c r="S2774" s="296">
        <v>0.98660000000000003</v>
      </c>
      <c r="T2774" s="297">
        <v>14767</v>
      </c>
      <c r="U2774" s="340">
        <v>104385</v>
      </c>
      <c r="V2774" s="340">
        <v>479674</v>
      </c>
      <c r="W2774" s="297">
        <v>31360</v>
      </c>
      <c r="X2774" s="296">
        <v>3.0000000000000001E-3</v>
      </c>
    </row>
    <row r="2775" spans="13:24">
      <c r="M2775">
        <v>2773</v>
      </c>
      <c r="N2775">
        <v>11235</v>
      </c>
      <c r="O2775" t="s">
        <v>472</v>
      </c>
      <c r="P2775" t="s">
        <v>128</v>
      </c>
      <c r="Q2775">
        <v>725</v>
      </c>
      <c r="R2775" s="296">
        <v>0</v>
      </c>
      <c r="S2775" s="296">
        <v>0.98660000000000003</v>
      </c>
      <c r="T2775" s="297">
        <v>32830</v>
      </c>
      <c r="U2775" s="340">
        <v>104305</v>
      </c>
      <c r="V2775" s="340">
        <v>830574</v>
      </c>
      <c r="W2775" s="297">
        <v>80759</v>
      </c>
      <c r="X2775" s="296">
        <v>-6.0000000000000001E-3</v>
      </c>
    </row>
    <row r="2776" spans="13:24">
      <c r="M2776">
        <v>2774</v>
      </c>
      <c r="N2776">
        <v>84118</v>
      </c>
      <c r="O2776" t="s">
        <v>333</v>
      </c>
      <c r="P2776" t="s">
        <v>219</v>
      </c>
      <c r="Q2776">
        <v>1257</v>
      </c>
      <c r="R2776" s="296">
        <v>0</v>
      </c>
      <c r="S2776" s="296">
        <v>0.98660000000000003</v>
      </c>
      <c r="T2776" s="297">
        <v>11334</v>
      </c>
      <c r="U2776" s="340">
        <v>104211</v>
      </c>
      <c r="V2776" s="340">
        <v>518534</v>
      </c>
      <c r="W2776" s="297">
        <v>40886</v>
      </c>
      <c r="X2776" s="296">
        <v>-4.0000000000000001E-3</v>
      </c>
    </row>
    <row r="2777" spans="13:24">
      <c r="M2777">
        <v>2775</v>
      </c>
      <c r="N2777">
        <v>80203</v>
      </c>
      <c r="O2777" t="s">
        <v>330</v>
      </c>
      <c r="P2777" t="s">
        <v>142</v>
      </c>
      <c r="Q2777">
        <v>911</v>
      </c>
      <c r="R2777" s="296">
        <v>0</v>
      </c>
      <c r="S2777" s="296">
        <v>0.98670000000000002</v>
      </c>
      <c r="T2777" s="297">
        <v>17258</v>
      </c>
      <c r="U2777" s="340">
        <v>104191</v>
      </c>
      <c r="V2777" s="340">
        <v>669943</v>
      </c>
      <c r="W2777" s="297">
        <v>25270</v>
      </c>
      <c r="X2777" s="296">
        <v>1.2E-2</v>
      </c>
    </row>
    <row r="2778" spans="13:24">
      <c r="M2778">
        <v>2776</v>
      </c>
      <c r="N2778">
        <v>3077</v>
      </c>
      <c r="O2778" t="s">
        <v>508</v>
      </c>
      <c r="P2778" t="s">
        <v>197</v>
      </c>
      <c r="Q2778">
        <v>845</v>
      </c>
      <c r="R2778" s="296">
        <v>0</v>
      </c>
      <c r="S2778" s="296">
        <v>0.98670000000000002</v>
      </c>
      <c r="T2778" s="297">
        <v>4406</v>
      </c>
      <c r="U2778" s="340">
        <v>104190</v>
      </c>
      <c r="V2778" s="340">
        <v>560630</v>
      </c>
      <c r="W2778" s="297">
        <v>10900</v>
      </c>
      <c r="X2778" s="296">
        <v>7.0000000000000001E-3</v>
      </c>
    </row>
    <row r="2779" spans="13:24">
      <c r="M2779">
        <v>2777</v>
      </c>
      <c r="N2779">
        <v>63090</v>
      </c>
      <c r="O2779" t="s">
        <v>225</v>
      </c>
      <c r="P2779" t="s">
        <v>186</v>
      </c>
      <c r="Q2779">
        <v>301</v>
      </c>
      <c r="R2779" s="296">
        <v>0</v>
      </c>
      <c r="S2779" s="296">
        <v>0.98670000000000002</v>
      </c>
      <c r="T2779" s="297">
        <v>9669</v>
      </c>
      <c r="U2779" s="340">
        <v>104042</v>
      </c>
      <c r="V2779" s="340">
        <v>307389</v>
      </c>
      <c r="W2779" s="297">
        <v>23636</v>
      </c>
      <c r="X2779" s="296">
        <v>0.01</v>
      </c>
    </row>
    <row r="2780" spans="13:24">
      <c r="M2780">
        <v>2778</v>
      </c>
      <c r="N2780">
        <v>78230</v>
      </c>
      <c r="O2780" t="s">
        <v>326</v>
      </c>
      <c r="P2780" t="s">
        <v>134</v>
      </c>
      <c r="Q2780">
        <v>1057</v>
      </c>
      <c r="R2780" s="296">
        <v>0</v>
      </c>
      <c r="S2780" s="296">
        <v>0.98670000000000002</v>
      </c>
      <c r="T2780" s="297">
        <v>18799</v>
      </c>
      <c r="U2780" s="340">
        <v>104008</v>
      </c>
      <c r="V2780" s="340">
        <v>401596</v>
      </c>
      <c r="W2780" s="297">
        <v>41118</v>
      </c>
      <c r="X2780" s="296">
        <v>-7.0000000000000001E-3</v>
      </c>
    </row>
    <row r="2781" spans="13:24">
      <c r="M2781">
        <v>2779</v>
      </c>
      <c r="N2781">
        <v>92307</v>
      </c>
      <c r="O2781" t="s">
        <v>2087</v>
      </c>
      <c r="P2781" t="s">
        <v>132</v>
      </c>
      <c r="Q2781">
        <v>1663</v>
      </c>
      <c r="R2781" s="296">
        <v>0</v>
      </c>
      <c r="S2781" s="296">
        <v>0.98670000000000002</v>
      </c>
      <c r="T2781" s="297">
        <v>13650</v>
      </c>
      <c r="U2781" s="340">
        <v>104008</v>
      </c>
      <c r="V2781" s="340">
        <v>564041</v>
      </c>
      <c r="W2781" s="297">
        <v>41209</v>
      </c>
      <c r="X2781" s="296">
        <v>-1E-3</v>
      </c>
    </row>
    <row r="2782" spans="13:24">
      <c r="M2782">
        <v>2780</v>
      </c>
      <c r="N2782">
        <v>14624</v>
      </c>
      <c r="O2782" t="s">
        <v>476</v>
      </c>
      <c r="P2782" t="s">
        <v>128</v>
      </c>
      <c r="Q2782">
        <v>515</v>
      </c>
      <c r="R2782" s="296">
        <v>0</v>
      </c>
      <c r="S2782" s="296">
        <v>0.98670000000000002</v>
      </c>
      <c r="T2782" s="297">
        <v>15525</v>
      </c>
      <c r="U2782" s="340">
        <v>103996</v>
      </c>
      <c r="V2782" s="340">
        <v>260253</v>
      </c>
      <c r="W2782" s="297">
        <v>36579</v>
      </c>
      <c r="X2782" s="296">
        <v>-4.0000000000000001E-3</v>
      </c>
    </row>
    <row r="2783" spans="13:24">
      <c r="M2783">
        <v>2781</v>
      </c>
      <c r="N2783">
        <v>8070</v>
      </c>
      <c r="O2783" t="s">
        <v>2088</v>
      </c>
      <c r="P2783" t="s">
        <v>129</v>
      </c>
      <c r="Q2783">
        <v>663</v>
      </c>
      <c r="R2783" s="296">
        <v>0</v>
      </c>
      <c r="S2783" s="296">
        <v>0.98670000000000002</v>
      </c>
      <c r="T2783" s="297">
        <v>5189</v>
      </c>
      <c r="U2783" s="340">
        <v>103989</v>
      </c>
      <c r="V2783" s="340">
        <v>436113</v>
      </c>
      <c r="W2783" s="297">
        <v>12184</v>
      </c>
      <c r="X2783" s="296">
        <v>-4.0000000000000001E-3</v>
      </c>
    </row>
    <row r="2784" spans="13:24">
      <c r="M2784">
        <v>2782</v>
      </c>
      <c r="N2784">
        <v>29607</v>
      </c>
      <c r="O2784" t="s">
        <v>670</v>
      </c>
      <c r="P2784" t="s">
        <v>145</v>
      </c>
      <c r="Q2784">
        <v>585</v>
      </c>
      <c r="R2784" s="296">
        <v>0</v>
      </c>
      <c r="S2784" s="296">
        <v>0.98670000000000002</v>
      </c>
      <c r="T2784" s="297">
        <v>22414</v>
      </c>
      <c r="U2784" s="340">
        <v>103806</v>
      </c>
      <c r="V2784" s="340">
        <v>423047</v>
      </c>
      <c r="W2784" s="297">
        <v>49152</v>
      </c>
      <c r="X2784" s="296">
        <v>2.8000000000000001E-2</v>
      </c>
    </row>
    <row r="2785" spans="13:24">
      <c r="M2785">
        <v>2783</v>
      </c>
      <c r="N2785">
        <v>46567</v>
      </c>
      <c r="O2785" t="s">
        <v>2089</v>
      </c>
      <c r="P2785" t="s">
        <v>144</v>
      </c>
      <c r="Q2785">
        <v>118</v>
      </c>
      <c r="R2785" s="296">
        <v>0</v>
      </c>
      <c r="S2785" s="296">
        <v>0.98680000000000001</v>
      </c>
      <c r="T2785" s="297">
        <v>4050</v>
      </c>
      <c r="U2785" s="340">
        <v>103775</v>
      </c>
      <c r="V2785" s="340">
        <v>381715</v>
      </c>
      <c r="W2785" s="297">
        <v>9861</v>
      </c>
      <c r="X2785" s="296">
        <v>6.0000000000000001E-3</v>
      </c>
    </row>
    <row r="2786" spans="13:24">
      <c r="M2786">
        <v>2784</v>
      </c>
      <c r="N2786">
        <v>49751</v>
      </c>
      <c r="O2786" t="s">
        <v>2090</v>
      </c>
      <c r="P2786" t="s">
        <v>140</v>
      </c>
      <c r="Q2786">
        <v>262</v>
      </c>
      <c r="R2786" s="296">
        <v>0</v>
      </c>
      <c r="S2786" s="296">
        <v>0.98680000000000001</v>
      </c>
      <c r="T2786">
        <v>860</v>
      </c>
      <c r="U2786" s="340">
        <v>103698</v>
      </c>
      <c r="V2786" s="340">
        <v>268023</v>
      </c>
      <c r="W2786" s="297">
        <v>1938</v>
      </c>
      <c r="X2786" s="296">
        <v>-2E-3</v>
      </c>
    </row>
    <row r="2787" spans="13:24">
      <c r="M2787">
        <v>2785</v>
      </c>
      <c r="N2787">
        <v>33982</v>
      </c>
      <c r="O2787" t="s">
        <v>2091</v>
      </c>
      <c r="P2787" t="s">
        <v>127</v>
      </c>
      <c r="Q2787">
        <v>1099</v>
      </c>
      <c r="R2787" s="296">
        <v>0</v>
      </c>
      <c r="S2787" s="296">
        <v>0.98680000000000001</v>
      </c>
      <c r="T2787" s="297">
        <v>7152</v>
      </c>
      <c r="U2787" s="340">
        <v>103627</v>
      </c>
      <c r="V2787" s="340">
        <v>410418</v>
      </c>
      <c r="W2787" s="297">
        <v>17995</v>
      </c>
      <c r="X2787" s="296">
        <v>8.7999999999999995E-2</v>
      </c>
    </row>
    <row r="2788" spans="13:24">
      <c r="M2788">
        <v>2786</v>
      </c>
      <c r="N2788">
        <v>61880</v>
      </c>
      <c r="O2788" t="s">
        <v>2092</v>
      </c>
      <c r="P2788" t="s">
        <v>131</v>
      </c>
      <c r="Q2788">
        <v>151</v>
      </c>
      <c r="R2788" s="296">
        <v>0</v>
      </c>
      <c r="S2788" s="296">
        <v>0.98680000000000001</v>
      </c>
      <c r="T2788" s="297">
        <v>1674</v>
      </c>
      <c r="U2788" s="340">
        <v>103565</v>
      </c>
      <c r="V2788" s="340">
        <v>234070</v>
      </c>
      <c r="W2788" s="297">
        <v>4309</v>
      </c>
      <c r="X2788" s="296">
        <v>2E-3</v>
      </c>
    </row>
    <row r="2789" spans="13:24">
      <c r="M2789">
        <v>2787</v>
      </c>
      <c r="N2789">
        <v>55102</v>
      </c>
      <c r="O2789" t="s">
        <v>445</v>
      </c>
      <c r="P2789" t="s">
        <v>151</v>
      </c>
      <c r="Q2789">
        <v>329</v>
      </c>
      <c r="R2789" s="296">
        <v>0</v>
      </c>
      <c r="S2789" s="296">
        <v>0.98680000000000001</v>
      </c>
      <c r="T2789" s="297">
        <v>10824</v>
      </c>
      <c r="U2789" s="340">
        <v>103559</v>
      </c>
      <c r="V2789" s="340">
        <v>438955</v>
      </c>
      <c r="W2789" s="297">
        <v>21792</v>
      </c>
      <c r="X2789" s="296">
        <v>1.4E-2</v>
      </c>
    </row>
    <row r="2790" spans="13:24">
      <c r="M2790">
        <v>2788</v>
      </c>
      <c r="N2790">
        <v>95822</v>
      </c>
      <c r="O2790" t="s">
        <v>313</v>
      </c>
      <c r="P2790" t="s">
        <v>132</v>
      </c>
      <c r="Q2790">
        <v>1781</v>
      </c>
      <c r="R2790" s="296">
        <v>0</v>
      </c>
      <c r="S2790" s="296">
        <v>0.98680000000000001</v>
      </c>
      <c r="T2790" s="297">
        <v>16288</v>
      </c>
      <c r="U2790" s="340">
        <v>103558</v>
      </c>
      <c r="V2790" s="340">
        <v>638422</v>
      </c>
      <c r="W2790" s="297">
        <v>45884</v>
      </c>
      <c r="X2790" s="296">
        <v>-2E-3</v>
      </c>
    </row>
    <row r="2791" spans="13:24">
      <c r="M2791">
        <v>2789</v>
      </c>
      <c r="N2791">
        <v>43616</v>
      </c>
      <c r="O2791" t="s">
        <v>208</v>
      </c>
      <c r="P2791" t="s">
        <v>136</v>
      </c>
      <c r="Q2791">
        <v>227</v>
      </c>
      <c r="R2791" s="296">
        <v>0</v>
      </c>
      <c r="S2791" s="296">
        <v>0.98680000000000001</v>
      </c>
      <c r="T2791" s="297">
        <v>8642</v>
      </c>
      <c r="U2791" s="340">
        <v>103494</v>
      </c>
      <c r="V2791" s="340">
        <v>231867</v>
      </c>
      <c r="W2791" s="297">
        <v>20028</v>
      </c>
      <c r="X2791" s="296">
        <v>-5.0000000000000001E-3</v>
      </c>
    </row>
    <row r="2792" spans="13:24">
      <c r="M2792">
        <v>2790</v>
      </c>
      <c r="N2792">
        <v>32221</v>
      </c>
      <c r="O2792" t="s">
        <v>331</v>
      </c>
      <c r="P2792" t="s">
        <v>127</v>
      </c>
      <c r="Q2792">
        <v>885</v>
      </c>
      <c r="R2792" s="296">
        <v>0</v>
      </c>
      <c r="S2792" s="296">
        <v>0.98680000000000001</v>
      </c>
      <c r="T2792" s="297">
        <v>12692</v>
      </c>
      <c r="U2792" s="340">
        <v>103451</v>
      </c>
      <c r="V2792" s="340">
        <v>331328</v>
      </c>
      <c r="W2792" s="297">
        <v>35734</v>
      </c>
      <c r="X2792" s="296">
        <v>3.3000000000000002E-2</v>
      </c>
    </row>
    <row r="2793" spans="13:24">
      <c r="M2793">
        <v>2791</v>
      </c>
      <c r="N2793">
        <v>85203</v>
      </c>
      <c r="O2793" t="s">
        <v>1085</v>
      </c>
      <c r="P2793" t="s">
        <v>158</v>
      </c>
      <c r="Q2793">
        <v>1436</v>
      </c>
      <c r="R2793" s="296">
        <v>0</v>
      </c>
      <c r="S2793" s="296">
        <v>0.9869</v>
      </c>
      <c r="T2793" s="297">
        <v>13018</v>
      </c>
      <c r="U2793" s="340">
        <v>103442</v>
      </c>
      <c r="V2793" s="340">
        <v>542003</v>
      </c>
      <c r="W2793" s="297">
        <v>37069</v>
      </c>
      <c r="X2793" s="296">
        <v>-3.0000000000000001E-3</v>
      </c>
    </row>
    <row r="2794" spans="13:24">
      <c r="M2794">
        <v>2792</v>
      </c>
      <c r="N2794">
        <v>93704</v>
      </c>
      <c r="O2794" t="s">
        <v>1335</v>
      </c>
      <c r="P2794" t="s">
        <v>132</v>
      </c>
      <c r="Q2794">
        <v>1736</v>
      </c>
      <c r="R2794" s="296">
        <v>0</v>
      </c>
      <c r="S2794" s="296">
        <v>0.9869</v>
      </c>
      <c r="T2794" s="297">
        <v>11225</v>
      </c>
      <c r="U2794" s="340">
        <v>103417</v>
      </c>
      <c r="V2794" s="340">
        <v>467733</v>
      </c>
      <c r="W2794" s="297">
        <v>28066</v>
      </c>
      <c r="X2794" s="296">
        <v>0</v>
      </c>
    </row>
    <row r="2795" spans="13:24">
      <c r="M2795">
        <v>2793</v>
      </c>
      <c r="N2795">
        <v>50112</v>
      </c>
      <c r="O2795" t="s">
        <v>2093</v>
      </c>
      <c r="P2795" t="s">
        <v>170</v>
      </c>
      <c r="Q2795">
        <v>256</v>
      </c>
      <c r="R2795" s="296">
        <v>0</v>
      </c>
      <c r="S2795" s="296">
        <v>0.9869</v>
      </c>
      <c r="T2795" s="297">
        <v>4658</v>
      </c>
      <c r="U2795" s="340">
        <v>103410</v>
      </c>
      <c r="V2795" s="340">
        <v>249592</v>
      </c>
      <c r="W2795" s="297">
        <v>11664</v>
      </c>
      <c r="X2795" s="296">
        <v>-4.0000000000000001E-3</v>
      </c>
    </row>
    <row r="2796" spans="13:24">
      <c r="M2796">
        <v>2794</v>
      </c>
      <c r="N2796">
        <v>85132</v>
      </c>
      <c r="O2796" t="s">
        <v>696</v>
      </c>
      <c r="P2796" t="s">
        <v>158</v>
      </c>
      <c r="Q2796">
        <v>1431</v>
      </c>
      <c r="R2796" s="296">
        <v>0</v>
      </c>
      <c r="S2796" s="296">
        <v>0.9869</v>
      </c>
      <c r="T2796" s="297">
        <v>10732</v>
      </c>
      <c r="U2796" s="340">
        <v>103336</v>
      </c>
      <c r="V2796" s="340">
        <v>373498</v>
      </c>
      <c r="W2796" s="297">
        <v>42077</v>
      </c>
      <c r="X2796" s="296">
        <v>1.9E-2</v>
      </c>
    </row>
    <row r="2797" spans="13:24">
      <c r="M2797">
        <v>2795</v>
      </c>
      <c r="N2797">
        <v>1832</v>
      </c>
      <c r="O2797" t="s">
        <v>414</v>
      </c>
      <c r="P2797" t="s">
        <v>135</v>
      </c>
      <c r="Q2797">
        <v>849</v>
      </c>
      <c r="R2797" s="296">
        <v>0</v>
      </c>
      <c r="S2797" s="296">
        <v>0.9869</v>
      </c>
      <c r="T2797" s="297">
        <v>9914</v>
      </c>
      <c r="U2797" s="340">
        <v>103275</v>
      </c>
      <c r="V2797" s="340">
        <v>552838</v>
      </c>
      <c r="W2797" s="297">
        <v>25837</v>
      </c>
      <c r="X2797" s="296">
        <v>3.0000000000000001E-3</v>
      </c>
    </row>
    <row r="2798" spans="13:24">
      <c r="M2798">
        <v>2796</v>
      </c>
      <c r="N2798">
        <v>98665</v>
      </c>
      <c r="O2798" t="s">
        <v>1517</v>
      </c>
      <c r="P2798" t="s">
        <v>224</v>
      </c>
      <c r="Q2798">
        <v>1739</v>
      </c>
      <c r="R2798" s="296">
        <v>0</v>
      </c>
      <c r="S2798" s="296">
        <v>0.9869</v>
      </c>
      <c r="T2798" s="297">
        <v>11585</v>
      </c>
      <c r="U2798" s="340">
        <v>103264</v>
      </c>
      <c r="V2798" s="340">
        <v>521550</v>
      </c>
      <c r="W2798" s="297">
        <v>29551</v>
      </c>
      <c r="X2798" s="296">
        <v>0.01</v>
      </c>
    </row>
    <row r="2799" spans="13:24">
      <c r="M2799">
        <v>2797</v>
      </c>
      <c r="N2799">
        <v>91911</v>
      </c>
      <c r="O2799" t="s">
        <v>669</v>
      </c>
      <c r="P2799" t="s">
        <v>132</v>
      </c>
      <c r="Q2799">
        <v>1726</v>
      </c>
      <c r="R2799" s="296">
        <v>0</v>
      </c>
      <c r="S2799" s="296">
        <v>0.9869</v>
      </c>
      <c r="T2799" s="297">
        <v>25474</v>
      </c>
      <c r="U2799" s="340">
        <v>103227</v>
      </c>
      <c r="V2799" s="340">
        <v>669134</v>
      </c>
      <c r="W2799" s="297">
        <v>84150</v>
      </c>
      <c r="X2799" s="296">
        <v>-4.0000000000000001E-3</v>
      </c>
    </row>
    <row r="2800" spans="13:24">
      <c r="M2800">
        <v>2798</v>
      </c>
      <c r="N2800">
        <v>85004</v>
      </c>
      <c r="O2800" t="s">
        <v>548</v>
      </c>
      <c r="P2800" t="s">
        <v>158</v>
      </c>
      <c r="Q2800">
        <v>1449</v>
      </c>
      <c r="R2800" s="296">
        <v>0</v>
      </c>
      <c r="S2800" s="296">
        <v>0.9869</v>
      </c>
      <c r="T2800" s="297">
        <v>5988</v>
      </c>
      <c r="U2800" s="340">
        <v>103163</v>
      </c>
      <c r="V2800" s="340">
        <v>633755</v>
      </c>
      <c r="W2800" s="297">
        <v>10762</v>
      </c>
      <c r="X2800" s="296">
        <v>7.4999999999999997E-2</v>
      </c>
    </row>
    <row r="2801" spans="13:24">
      <c r="M2801">
        <v>2799</v>
      </c>
      <c r="N2801">
        <v>77539</v>
      </c>
      <c r="O2801" t="s">
        <v>1537</v>
      </c>
      <c r="P2801" t="s">
        <v>134</v>
      </c>
      <c r="Q2801">
        <v>965</v>
      </c>
      <c r="R2801" s="296">
        <v>0</v>
      </c>
      <c r="S2801" s="296">
        <v>0.98699999999999999</v>
      </c>
      <c r="T2801" s="297">
        <v>17777</v>
      </c>
      <c r="U2801" s="340">
        <v>103160</v>
      </c>
      <c r="V2801" s="340">
        <v>304477</v>
      </c>
      <c r="W2801" s="297">
        <v>49090</v>
      </c>
      <c r="X2801" s="296">
        <v>1.4E-2</v>
      </c>
    </row>
    <row r="2802" spans="13:24">
      <c r="M2802">
        <v>2800</v>
      </c>
      <c r="N2802">
        <v>32909</v>
      </c>
      <c r="O2802" t="s">
        <v>842</v>
      </c>
      <c r="P2802" t="s">
        <v>127</v>
      </c>
      <c r="Q2802">
        <v>1059</v>
      </c>
      <c r="R2802" s="296">
        <v>0</v>
      </c>
      <c r="S2802" s="296">
        <v>0.98699999999999999</v>
      </c>
      <c r="T2802" s="297">
        <v>16071</v>
      </c>
      <c r="U2802" s="340">
        <v>103057</v>
      </c>
      <c r="V2802" s="340">
        <v>376546</v>
      </c>
      <c r="W2802" s="297">
        <v>43088</v>
      </c>
      <c r="X2802" s="296">
        <v>3.7999999999999999E-2</v>
      </c>
    </row>
    <row r="2803" spans="13:24">
      <c r="M2803">
        <v>2801</v>
      </c>
      <c r="N2803">
        <v>37076</v>
      </c>
      <c r="O2803" t="s">
        <v>778</v>
      </c>
      <c r="P2803" t="s">
        <v>146</v>
      </c>
      <c r="Q2803">
        <v>417</v>
      </c>
      <c r="R2803" s="296">
        <v>0</v>
      </c>
      <c r="S2803" s="296">
        <v>0.98699999999999999</v>
      </c>
      <c r="T2803" s="297">
        <v>18985</v>
      </c>
      <c r="U2803" s="340">
        <v>103031</v>
      </c>
      <c r="V2803" s="340">
        <v>481052</v>
      </c>
      <c r="W2803" s="297">
        <v>42785</v>
      </c>
      <c r="X2803" s="296">
        <v>1.9E-2</v>
      </c>
    </row>
    <row r="2804" spans="13:24">
      <c r="M2804">
        <v>2802</v>
      </c>
      <c r="N2804">
        <v>37072</v>
      </c>
      <c r="O2804" t="s">
        <v>2094</v>
      </c>
      <c r="P2804" t="s">
        <v>146</v>
      </c>
      <c r="Q2804">
        <v>405</v>
      </c>
      <c r="R2804" s="296">
        <v>0</v>
      </c>
      <c r="S2804" s="296">
        <v>0.98699999999999999</v>
      </c>
      <c r="T2804" s="297">
        <v>13942</v>
      </c>
      <c r="U2804" s="340">
        <v>103009</v>
      </c>
      <c r="V2804" s="340">
        <v>472125</v>
      </c>
      <c r="W2804" s="297">
        <v>34316</v>
      </c>
      <c r="X2804" s="296">
        <v>8.9999999999999993E-3</v>
      </c>
    </row>
    <row r="2805" spans="13:24">
      <c r="M2805">
        <v>2803</v>
      </c>
      <c r="N2805">
        <v>91331</v>
      </c>
      <c r="O2805" t="s">
        <v>2095</v>
      </c>
      <c r="P2805" t="s">
        <v>132</v>
      </c>
      <c r="Q2805">
        <v>1739</v>
      </c>
      <c r="R2805" s="296">
        <v>0</v>
      </c>
      <c r="S2805" s="296">
        <v>0.98699999999999999</v>
      </c>
      <c r="T2805" s="297">
        <v>23367</v>
      </c>
      <c r="U2805" s="340">
        <v>102968</v>
      </c>
      <c r="V2805" s="340">
        <v>682853</v>
      </c>
      <c r="W2805" s="297">
        <v>96138</v>
      </c>
      <c r="X2805" s="296">
        <v>-0.01</v>
      </c>
    </row>
    <row r="2806" spans="13:24">
      <c r="M2806">
        <v>2804</v>
      </c>
      <c r="N2806">
        <v>58701</v>
      </c>
      <c r="O2806" t="s">
        <v>748</v>
      </c>
      <c r="P2806" t="s">
        <v>193</v>
      </c>
      <c r="Q2806">
        <v>776</v>
      </c>
      <c r="R2806" s="296">
        <v>0</v>
      </c>
      <c r="S2806" s="296">
        <v>0.98699999999999999</v>
      </c>
      <c r="T2806" s="297">
        <v>14299</v>
      </c>
      <c r="U2806" s="340">
        <v>102796</v>
      </c>
      <c r="V2806" s="340">
        <v>291464</v>
      </c>
      <c r="W2806" s="297">
        <v>32408</v>
      </c>
      <c r="X2806" s="296">
        <v>1E-3</v>
      </c>
    </row>
    <row r="2807" spans="13:24">
      <c r="M2807">
        <v>2805</v>
      </c>
      <c r="N2807">
        <v>45502</v>
      </c>
      <c r="O2807" t="s">
        <v>515</v>
      </c>
      <c r="P2807" t="s">
        <v>136</v>
      </c>
      <c r="Q2807">
        <v>258</v>
      </c>
      <c r="R2807" s="296">
        <v>0</v>
      </c>
      <c r="S2807" s="296">
        <v>0.98699999999999999</v>
      </c>
      <c r="T2807" s="297">
        <v>7058</v>
      </c>
      <c r="U2807" s="340">
        <v>102774</v>
      </c>
      <c r="V2807" s="340">
        <v>261037</v>
      </c>
      <c r="W2807" s="297">
        <v>17548</v>
      </c>
      <c r="X2807" s="296">
        <v>0</v>
      </c>
    </row>
    <row r="2808" spans="13:24">
      <c r="M2808">
        <v>2806</v>
      </c>
      <c r="N2808">
        <v>61523</v>
      </c>
      <c r="O2808" t="s">
        <v>2096</v>
      </c>
      <c r="P2808" t="s">
        <v>131</v>
      </c>
      <c r="Q2808">
        <v>124</v>
      </c>
      <c r="R2808" s="296">
        <v>0</v>
      </c>
      <c r="S2808" s="296">
        <v>0.98699999999999999</v>
      </c>
      <c r="T2808" s="297">
        <v>4578</v>
      </c>
      <c r="U2808" s="340">
        <v>102772</v>
      </c>
      <c r="V2808" s="340">
        <v>248194</v>
      </c>
      <c r="W2808" s="297">
        <v>10818</v>
      </c>
      <c r="X2808" s="296">
        <v>-8.9999999999999993E-3</v>
      </c>
    </row>
    <row r="2809" spans="13:24">
      <c r="M2809">
        <v>2807</v>
      </c>
      <c r="N2809">
        <v>15216</v>
      </c>
      <c r="O2809" t="s">
        <v>569</v>
      </c>
      <c r="P2809" t="s">
        <v>133</v>
      </c>
      <c r="Q2809">
        <v>420</v>
      </c>
      <c r="R2809" s="296">
        <v>0</v>
      </c>
      <c r="S2809" s="296">
        <v>0.98709999999999998</v>
      </c>
      <c r="T2809" s="297">
        <v>10774</v>
      </c>
      <c r="U2809" s="340">
        <v>102771</v>
      </c>
      <c r="V2809" s="340">
        <v>289922</v>
      </c>
      <c r="W2809" s="297">
        <v>22874</v>
      </c>
      <c r="X2809" s="296">
        <v>-6.0000000000000001E-3</v>
      </c>
    </row>
    <row r="2810" spans="13:24">
      <c r="M2810">
        <v>2808</v>
      </c>
      <c r="N2810">
        <v>33024</v>
      </c>
      <c r="O2810" t="s">
        <v>542</v>
      </c>
      <c r="P2810" t="s">
        <v>127</v>
      </c>
      <c r="Q2810">
        <v>1193</v>
      </c>
      <c r="R2810" s="296">
        <v>0</v>
      </c>
      <c r="S2810" s="296">
        <v>0.98709999999999998</v>
      </c>
      <c r="T2810" s="297">
        <v>25884</v>
      </c>
      <c r="U2810" s="340">
        <v>102722</v>
      </c>
      <c r="V2810" s="340">
        <v>482323</v>
      </c>
      <c r="W2810" s="297">
        <v>74527</v>
      </c>
      <c r="X2810" s="296">
        <v>-2E-3</v>
      </c>
    </row>
    <row r="2811" spans="13:24">
      <c r="M2811">
        <v>2809</v>
      </c>
      <c r="N2811">
        <v>32643</v>
      </c>
      <c r="O2811" t="s">
        <v>2097</v>
      </c>
      <c r="P2811" t="s">
        <v>127</v>
      </c>
      <c r="Q2811">
        <v>899</v>
      </c>
      <c r="R2811" s="296">
        <v>0</v>
      </c>
      <c r="S2811" s="296">
        <v>0.98709999999999998</v>
      </c>
      <c r="T2811" s="297">
        <v>5142</v>
      </c>
      <c r="U2811" s="340">
        <v>102673</v>
      </c>
      <c r="V2811" s="340">
        <v>328970</v>
      </c>
      <c r="W2811" s="297">
        <v>13334</v>
      </c>
      <c r="X2811" s="296">
        <v>1.7000000000000001E-2</v>
      </c>
    </row>
    <row r="2812" spans="13:24">
      <c r="M2812">
        <v>2810</v>
      </c>
      <c r="N2812">
        <v>78744</v>
      </c>
      <c r="O2812" t="s">
        <v>416</v>
      </c>
      <c r="P2812" t="s">
        <v>134</v>
      </c>
      <c r="Q2812">
        <v>994</v>
      </c>
      <c r="R2812" s="296">
        <v>0</v>
      </c>
      <c r="S2812" s="296">
        <v>0.98709999999999998</v>
      </c>
      <c r="T2812" s="297">
        <v>20467</v>
      </c>
      <c r="U2812" s="340">
        <v>102623</v>
      </c>
      <c r="V2812" s="340">
        <v>430747</v>
      </c>
      <c r="W2812" s="297">
        <v>57009</v>
      </c>
      <c r="X2812" s="296">
        <v>2.5000000000000001E-2</v>
      </c>
    </row>
    <row r="2813" spans="13:24">
      <c r="M2813">
        <v>2811</v>
      </c>
      <c r="N2813">
        <v>48038</v>
      </c>
      <c r="O2813" t="s">
        <v>2098</v>
      </c>
      <c r="P2813" t="s">
        <v>140</v>
      </c>
      <c r="Q2813">
        <v>249</v>
      </c>
      <c r="R2813" s="296">
        <v>0</v>
      </c>
      <c r="S2813" s="296">
        <v>0.98709999999999998</v>
      </c>
      <c r="T2813" s="297">
        <v>20595</v>
      </c>
      <c r="U2813" s="340">
        <v>102554</v>
      </c>
      <c r="V2813" s="340">
        <v>294833</v>
      </c>
      <c r="W2813" s="297">
        <v>44157</v>
      </c>
      <c r="X2813" s="296">
        <v>1E-3</v>
      </c>
    </row>
    <row r="2814" spans="13:24">
      <c r="M2814">
        <v>2812</v>
      </c>
      <c r="N2814">
        <v>2134</v>
      </c>
      <c r="O2814" t="s">
        <v>378</v>
      </c>
      <c r="P2814" t="s">
        <v>135</v>
      </c>
      <c r="Q2814">
        <v>851</v>
      </c>
      <c r="R2814" s="296">
        <v>0</v>
      </c>
      <c r="S2814" s="296">
        <v>0.98709999999999998</v>
      </c>
      <c r="T2814" s="297">
        <v>10359</v>
      </c>
      <c r="U2814" s="340">
        <v>102547</v>
      </c>
      <c r="V2814" s="340">
        <v>731037</v>
      </c>
      <c r="W2814" s="297">
        <v>22913</v>
      </c>
      <c r="X2814" s="296">
        <v>-5.0000000000000001E-3</v>
      </c>
    </row>
    <row r="2815" spans="13:24">
      <c r="M2815">
        <v>2813</v>
      </c>
      <c r="N2815">
        <v>49015</v>
      </c>
      <c r="O2815" t="s">
        <v>1098</v>
      </c>
      <c r="P2815" t="s">
        <v>140</v>
      </c>
      <c r="Q2815">
        <v>132</v>
      </c>
      <c r="R2815" s="296">
        <v>0</v>
      </c>
      <c r="S2815" s="296">
        <v>0.98709999999999998</v>
      </c>
      <c r="T2815" s="297">
        <v>11316</v>
      </c>
      <c r="U2815" s="340">
        <v>102542</v>
      </c>
      <c r="V2815" s="340">
        <v>210004</v>
      </c>
      <c r="W2815" s="297">
        <v>27547</v>
      </c>
      <c r="X2815" s="296">
        <v>-1E-3</v>
      </c>
    </row>
    <row r="2816" spans="13:24">
      <c r="M2816">
        <v>2814</v>
      </c>
      <c r="N2816">
        <v>54020</v>
      </c>
      <c r="O2816" t="s">
        <v>1352</v>
      </c>
      <c r="P2816" t="s">
        <v>149</v>
      </c>
      <c r="Q2816">
        <v>325</v>
      </c>
      <c r="R2816" s="296">
        <v>0</v>
      </c>
      <c r="S2816" s="296">
        <v>0.98709999999999998</v>
      </c>
      <c r="T2816" s="297">
        <v>3110</v>
      </c>
      <c r="U2816" s="340">
        <v>102513</v>
      </c>
      <c r="V2816" s="340">
        <v>357867</v>
      </c>
      <c r="W2816" s="297">
        <v>7462</v>
      </c>
      <c r="X2816" s="296">
        <v>2E-3</v>
      </c>
    </row>
    <row r="2817" spans="13:24">
      <c r="M2817">
        <v>2815</v>
      </c>
      <c r="N2817">
        <v>50125</v>
      </c>
      <c r="O2817" t="s">
        <v>2099</v>
      </c>
      <c r="P2817" t="s">
        <v>170</v>
      </c>
      <c r="Q2817">
        <v>304</v>
      </c>
      <c r="R2817" s="296">
        <v>0</v>
      </c>
      <c r="S2817" s="296">
        <v>0.98719999999999997</v>
      </c>
      <c r="T2817" s="297">
        <v>8253</v>
      </c>
      <c r="U2817" s="340">
        <v>102506</v>
      </c>
      <c r="V2817" s="340">
        <v>290722</v>
      </c>
      <c r="W2817" s="297">
        <v>22310</v>
      </c>
      <c r="X2817" s="296">
        <v>1.2999999999999999E-2</v>
      </c>
    </row>
    <row r="2818" spans="13:24">
      <c r="M2818">
        <v>2816</v>
      </c>
      <c r="N2818">
        <v>80446</v>
      </c>
      <c r="O2818" t="s">
        <v>703</v>
      </c>
      <c r="P2818" t="s">
        <v>142</v>
      </c>
      <c r="Q2818">
        <v>950</v>
      </c>
      <c r="R2818" s="296">
        <v>0</v>
      </c>
      <c r="S2818" s="296">
        <v>0.98719999999999997</v>
      </c>
      <c r="T2818" s="297">
        <v>2062</v>
      </c>
      <c r="U2818" s="340">
        <v>102475</v>
      </c>
      <c r="V2818" s="340">
        <v>738674</v>
      </c>
      <c r="W2818" s="297">
        <v>4758</v>
      </c>
      <c r="X2818" s="296">
        <v>5.0000000000000001E-3</v>
      </c>
    </row>
    <row r="2819" spans="13:24">
      <c r="M2819">
        <v>2817</v>
      </c>
      <c r="N2819">
        <v>54874</v>
      </c>
      <c r="O2819" t="s">
        <v>2100</v>
      </c>
      <c r="P2819" t="s">
        <v>149</v>
      </c>
      <c r="Q2819">
        <v>368</v>
      </c>
      <c r="R2819" s="296">
        <v>0</v>
      </c>
      <c r="S2819" s="296">
        <v>0.98719999999999997</v>
      </c>
      <c r="T2819" s="297">
        <v>1374</v>
      </c>
      <c r="U2819" s="340">
        <v>102416</v>
      </c>
      <c r="V2819" s="340">
        <v>279481</v>
      </c>
      <c r="W2819" s="297">
        <v>3485</v>
      </c>
      <c r="X2819" s="296">
        <v>-2E-3</v>
      </c>
    </row>
    <row r="2820" spans="13:24">
      <c r="M2820">
        <v>2818</v>
      </c>
      <c r="N2820">
        <v>11223</v>
      </c>
      <c r="O2820" t="s">
        <v>472</v>
      </c>
      <c r="P2820" t="s">
        <v>128</v>
      </c>
      <c r="Q2820">
        <v>723</v>
      </c>
      <c r="R2820" s="296">
        <v>0</v>
      </c>
      <c r="S2820" s="296">
        <v>0.98719999999999997</v>
      </c>
      <c r="T2820" s="297">
        <v>29462</v>
      </c>
      <c r="U2820" s="340">
        <v>102360</v>
      </c>
      <c r="V2820" s="340">
        <v>1120166</v>
      </c>
      <c r="W2820" s="297">
        <v>84763</v>
      </c>
      <c r="X2820" s="296">
        <v>-5.0000000000000001E-3</v>
      </c>
    </row>
    <row r="2821" spans="13:24">
      <c r="M2821">
        <v>2819</v>
      </c>
      <c r="N2821">
        <v>51106</v>
      </c>
      <c r="O2821" t="s">
        <v>1557</v>
      </c>
      <c r="P2821" t="s">
        <v>170</v>
      </c>
      <c r="Q2821">
        <v>436</v>
      </c>
      <c r="R2821" s="296">
        <v>0</v>
      </c>
      <c r="S2821" s="296">
        <v>0.98719999999999997</v>
      </c>
      <c r="T2821" s="297">
        <v>11075</v>
      </c>
      <c r="U2821" s="340">
        <v>102351</v>
      </c>
      <c r="V2821" s="340">
        <v>244218</v>
      </c>
      <c r="W2821" s="297">
        <v>28913</v>
      </c>
      <c r="X2821" s="296">
        <v>3.0000000000000001E-3</v>
      </c>
    </row>
    <row r="2822" spans="13:24">
      <c r="M2822">
        <v>2820</v>
      </c>
      <c r="N2822">
        <v>14626</v>
      </c>
      <c r="O2822" t="s">
        <v>476</v>
      </c>
      <c r="P2822" t="s">
        <v>128</v>
      </c>
      <c r="Q2822">
        <v>517</v>
      </c>
      <c r="R2822" s="296">
        <v>0</v>
      </c>
      <c r="S2822" s="296">
        <v>0.98719999999999997</v>
      </c>
      <c r="T2822" s="297">
        <v>13410</v>
      </c>
      <c r="U2822" s="340">
        <v>102348</v>
      </c>
      <c r="V2822" s="340">
        <v>244286</v>
      </c>
      <c r="W2822" s="297">
        <v>29718</v>
      </c>
      <c r="X2822" s="296">
        <v>-3.0000000000000001E-3</v>
      </c>
    </row>
    <row r="2823" spans="13:24">
      <c r="M2823">
        <v>2821</v>
      </c>
      <c r="N2823">
        <v>33578</v>
      </c>
      <c r="O2823" t="s">
        <v>777</v>
      </c>
      <c r="P2823" t="s">
        <v>127</v>
      </c>
      <c r="Q2823">
        <v>1033</v>
      </c>
      <c r="R2823" s="296">
        <v>0</v>
      </c>
      <c r="S2823" s="296">
        <v>0.98719999999999997</v>
      </c>
      <c r="T2823" s="297">
        <v>24893</v>
      </c>
      <c r="U2823" s="340">
        <v>102312</v>
      </c>
      <c r="V2823" s="340">
        <v>445566</v>
      </c>
      <c r="W2823" s="297">
        <v>64394</v>
      </c>
      <c r="X2823" s="296">
        <v>2.3E-2</v>
      </c>
    </row>
    <row r="2824" spans="13:24">
      <c r="M2824">
        <v>2822</v>
      </c>
      <c r="N2824">
        <v>70065</v>
      </c>
      <c r="O2824" t="s">
        <v>2101</v>
      </c>
      <c r="P2824" t="s">
        <v>147</v>
      </c>
      <c r="Q2824">
        <v>849</v>
      </c>
      <c r="R2824" s="296">
        <v>0</v>
      </c>
      <c r="S2824" s="296">
        <v>0.98719999999999997</v>
      </c>
      <c r="T2824" s="297">
        <v>19114</v>
      </c>
      <c r="U2824" s="340">
        <v>102287</v>
      </c>
      <c r="V2824" s="340">
        <v>334012</v>
      </c>
      <c r="W2824" s="297">
        <v>50801</v>
      </c>
      <c r="X2824" s="296">
        <v>-3.0000000000000001E-3</v>
      </c>
    </row>
    <row r="2825" spans="13:24">
      <c r="M2825">
        <v>2823</v>
      </c>
      <c r="N2825">
        <v>64401</v>
      </c>
      <c r="O2825" t="s">
        <v>2102</v>
      </c>
      <c r="P2825" t="s">
        <v>186</v>
      </c>
      <c r="Q2825">
        <v>401</v>
      </c>
      <c r="R2825" s="296">
        <v>0</v>
      </c>
      <c r="S2825" s="296">
        <v>0.98729999999999996</v>
      </c>
      <c r="T2825">
        <v>614</v>
      </c>
      <c r="U2825" s="340">
        <v>102237</v>
      </c>
      <c r="V2825" s="340">
        <v>288833</v>
      </c>
      <c r="W2825" s="297">
        <v>1581</v>
      </c>
      <c r="X2825" s="296">
        <v>-8.9999999999999993E-3</v>
      </c>
    </row>
    <row r="2826" spans="13:24">
      <c r="M2826">
        <v>2824</v>
      </c>
      <c r="N2826">
        <v>53502</v>
      </c>
      <c r="O2826" t="s">
        <v>573</v>
      </c>
      <c r="P2826" t="s">
        <v>149</v>
      </c>
      <c r="Q2826">
        <v>93</v>
      </c>
      <c r="R2826" s="296">
        <v>0</v>
      </c>
      <c r="S2826" s="296">
        <v>0.98729999999999996</v>
      </c>
      <c r="T2826" s="297">
        <v>1074</v>
      </c>
      <c r="U2826" s="340">
        <v>102231</v>
      </c>
      <c r="V2826" s="340">
        <v>312180</v>
      </c>
      <c r="W2826" s="297">
        <v>2609</v>
      </c>
      <c r="X2826" s="296">
        <v>4.0000000000000001E-3</v>
      </c>
    </row>
    <row r="2827" spans="13:24">
      <c r="M2827">
        <v>2825</v>
      </c>
      <c r="N2827">
        <v>49246</v>
      </c>
      <c r="O2827" t="s">
        <v>2103</v>
      </c>
      <c r="P2827" t="s">
        <v>140</v>
      </c>
      <c r="Q2827">
        <v>168</v>
      </c>
      <c r="R2827" s="296">
        <v>0</v>
      </c>
      <c r="S2827" s="296">
        <v>0.98729999999999996</v>
      </c>
      <c r="T2827" s="297">
        <v>1350</v>
      </c>
      <c r="U2827" s="340">
        <v>102219</v>
      </c>
      <c r="V2827" s="340">
        <v>292492</v>
      </c>
      <c r="W2827" s="297">
        <v>3388</v>
      </c>
      <c r="X2827" s="296">
        <v>-3.0000000000000001E-3</v>
      </c>
    </row>
    <row r="2828" spans="13:24">
      <c r="M2828">
        <v>2826</v>
      </c>
      <c r="N2828">
        <v>98188</v>
      </c>
      <c r="O2828" t="s">
        <v>299</v>
      </c>
      <c r="P2828" t="s">
        <v>224</v>
      </c>
      <c r="Q2828">
        <v>1715</v>
      </c>
      <c r="R2828" s="296">
        <v>0</v>
      </c>
      <c r="S2828" s="296">
        <v>0.98729999999999996</v>
      </c>
      <c r="T2828" s="297">
        <v>10517</v>
      </c>
      <c r="U2828" s="340">
        <v>102216</v>
      </c>
      <c r="V2828" s="340">
        <v>627384</v>
      </c>
      <c r="W2828" s="297">
        <v>27277</v>
      </c>
      <c r="X2828" s="296">
        <v>3.0000000000000001E-3</v>
      </c>
    </row>
    <row r="2829" spans="13:24">
      <c r="M2829">
        <v>2827</v>
      </c>
      <c r="N2829">
        <v>30253</v>
      </c>
      <c r="O2829" t="s">
        <v>2104</v>
      </c>
      <c r="P2829" t="s">
        <v>130</v>
      </c>
      <c r="Q2829">
        <v>632</v>
      </c>
      <c r="R2829" s="296">
        <v>0</v>
      </c>
      <c r="S2829" s="296">
        <v>0.98729999999999996</v>
      </c>
      <c r="T2829" s="297">
        <v>24518</v>
      </c>
      <c r="U2829" s="340">
        <v>102191</v>
      </c>
      <c r="V2829" s="340">
        <v>346136</v>
      </c>
      <c r="W2829" s="297">
        <v>68475</v>
      </c>
      <c r="X2829" s="296">
        <v>2.4E-2</v>
      </c>
    </row>
    <row r="2830" spans="13:24">
      <c r="M2830">
        <v>2828</v>
      </c>
      <c r="N2830">
        <v>54767</v>
      </c>
      <c r="O2830" t="s">
        <v>1237</v>
      </c>
      <c r="P2830" t="s">
        <v>149</v>
      </c>
      <c r="Q2830">
        <v>292</v>
      </c>
      <c r="R2830" s="296">
        <v>0</v>
      </c>
      <c r="S2830" s="296">
        <v>0.98729999999999996</v>
      </c>
      <c r="T2830" s="297">
        <v>1407</v>
      </c>
      <c r="U2830" s="340">
        <v>102175</v>
      </c>
      <c r="V2830" s="340">
        <v>370178</v>
      </c>
      <c r="W2830" s="297">
        <v>3479</v>
      </c>
      <c r="X2830" s="296">
        <v>2E-3</v>
      </c>
    </row>
    <row r="2831" spans="13:24">
      <c r="M2831">
        <v>2829</v>
      </c>
      <c r="N2831">
        <v>32086</v>
      </c>
      <c r="O2831" t="s">
        <v>1834</v>
      </c>
      <c r="P2831" t="s">
        <v>127</v>
      </c>
      <c r="Q2831">
        <v>924</v>
      </c>
      <c r="R2831" s="296">
        <v>0</v>
      </c>
      <c r="S2831" s="296">
        <v>0.98729999999999996</v>
      </c>
      <c r="T2831" s="297">
        <v>14676</v>
      </c>
      <c r="U2831" s="340">
        <v>102096</v>
      </c>
      <c r="V2831" s="340">
        <v>507793</v>
      </c>
      <c r="W2831" s="297">
        <v>34143</v>
      </c>
      <c r="X2831" s="296">
        <v>0.02</v>
      </c>
    </row>
    <row r="2832" spans="13:24">
      <c r="M2832">
        <v>2830</v>
      </c>
      <c r="N2832">
        <v>52352</v>
      </c>
      <c r="O2832" t="s">
        <v>2105</v>
      </c>
      <c r="P2832" t="s">
        <v>170</v>
      </c>
      <c r="Q2832">
        <v>204</v>
      </c>
      <c r="R2832" s="296">
        <v>0</v>
      </c>
      <c r="S2832" s="296">
        <v>0.98729999999999996</v>
      </c>
      <c r="T2832">
        <v>723</v>
      </c>
      <c r="U2832" s="340">
        <v>102091</v>
      </c>
      <c r="V2832" s="340">
        <v>366281</v>
      </c>
      <c r="W2832" s="297">
        <v>1807</v>
      </c>
      <c r="X2832" s="296">
        <v>1E-3</v>
      </c>
    </row>
    <row r="2833" spans="13:24">
      <c r="M2833">
        <v>2831</v>
      </c>
      <c r="N2833">
        <v>27243</v>
      </c>
      <c r="O2833" t="s">
        <v>2106</v>
      </c>
      <c r="P2833" t="s">
        <v>138</v>
      </c>
      <c r="Q2833">
        <v>622</v>
      </c>
      <c r="R2833" s="296">
        <v>0</v>
      </c>
      <c r="S2833" s="296">
        <v>0.98740000000000006</v>
      </c>
      <c r="T2833" s="297">
        <v>1843</v>
      </c>
      <c r="U2833" s="340">
        <v>102062</v>
      </c>
      <c r="V2833" s="340">
        <v>389583</v>
      </c>
      <c r="W2833" s="297">
        <v>4638</v>
      </c>
      <c r="X2833" s="296">
        <v>-1E-3</v>
      </c>
    </row>
    <row r="2834" spans="13:24">
      <c r="M2834">
        <v>2832</v>
      </c>
      <c r="N2834">
        <v>53070</v>
      </c>
      <c r="O2834" t="s">
        <v>2107</v>
      </c>
      <c r="P2834" t="s">
        <v>149</v>
      </c>
      <c r="Q2834">
        <v>102</v>
      </c>
      <c r="R2834" s="296">
        <v>0</v>
      </c>
      <c r="S2834" s="296">
        <v>0.98740000000000006</v>
      </c>
      <c r="T2834" s="297">
        <v>1896</v>
      </c>
      <c r="U2834" s="340">
        <v>101960</v>
      </c>
      <c r="V2834" s="340">
        <v>354378</v>
      </c>
      <c r="W2834" s="297">
        <v>4809</v>
      </c>
      <c r="X2834" s="296">
        <v>1E-3</v>
      </c>
    </row>
    <row r="2835" spans="13:24">
      <c r="M2835">
        <v>2833</v>
      </c>
      <c r="N2835">
        <v>17110</v>
      </c>
      <c r="O2835" t="s">
        <v>2108</v>
      </c>
      <c r="P2835" t="s">
        <v>133</v>
      </c>
      <c r="Q2835">
        <v>580</v>
      </c>
      <c r="R2835" s="296">
        <v>0</v>
      </c>
      <c r="S2835" s="296">
        <v>0.98740000000000006</v>
      </c>
      <c r="T2835" s="297">
        <v>11909</v>
      </c>
      <c r="U2835" s="340">
        <v>101930</v>
      </c>
      <c r="V2835" s="340">
        <v>289815</v>
      </c>
      <c r="W2835" s="297">
        <v>27732</v>
      </c>
      <c r="X2835" s="296">
        <v>6.0000000000000001E-3</v>
      </c>
    </row>
    <row r="2836" spans="13:24">
      <c r="M2836">
        <v>2834</v>
      </c>
      <c r="N2836">
        <v>11432</v>
      </c>
      <c r="O2836" t="s">
        <v>340</v>
      </c>
      <c r="P2836" t="s">
        <v>128</v>
      </c>
      <c r="Q2836">
        <v>731</v>
      </c>
      <c r="R2836" s="296">
        <v>0</v>
      </c>
      <c r="S2836" s="296">
        <v>0.98740000000000006</v>
      </c>
      <c r="T2836" s="297">
        <v>21189</v>
      </c>
      <c r="U2836" s="340">
        <v>101902</v>
      </c>
      <c r="V2836" s="340">
        <v>886343</v>
      </c>
      <c r="W2836" s="297">
        <v>65862</v>
      </c>
      <c r="X2836" s="296">
        <v>-2E-3</v>
      </c>
    </row>
    <row r="2837" spans="13:24">
      <c r="M2837">
        <v>2835</v>
      </c>
      <c r="N2837">
        <v>10469</v>
      </c>
      <c r="O2837" t="s">
        <v>518</v>
      </c>
      <c r="P2837" t="s">
        <v>128</v>
      </c>
      <c r="Q2837">
        <v>726</v>
      </c>
      <c r="R2837" s="296">
        <v>0</v>
      </c>
      <c r="S2837" s="296">
        <v>0.98740000000000006</v>
      </c>
      <c r="T2837" s="297">
        <v>22345</v>
      </c>
      <c r="U2837" s="340">
        <v>101875</v>
      </c>
      <c r="V2837" s="340">
        <v>662906</v>
      </c>
      <c r="W2837" s="297">
        <v>66087</v>
      </c>
      <c r="X2837" s="296">
        <v>-1.4E-2</v>
      </c>
    </row>
    <row r="2838" spans="13:24">
      <c r="M2838">
        <v>2836</v>
      </c>
      <c r="N2838">
        <v>60550</v>
      </c>
      <c r="O2838" t="s">
        <v>2109</v>
      </c>
      <c r="P2838" t="s">
        <v>131</v>
      </c>
      <c r="Q2838">
        <v>62</v>
      </c>
      <c r="R2838" s="296">
        <v>0</v>
      </c>
      <c r="S2838" s="296">
        <v>0.98740000000000006</v>
      </c>
      <c r="T2838">
        <v>497</v>
      </c>
      <c r="U2838" s="340">
        <v>101835</v>
      </c>
      <c r="V2838" s="340">
        <v>301954</v>
      </c>
      <c r="W2838" s="297">
        <v>1195</v>
      </c>
      <c r="X2838" s="296">
        <v>-8.0000000000000002E-3</v>
      </c>
    </row>
    <row r="2839" spans="13:24">
      <c r="M2839">
        <v>2837</v>
      </c>
      <c r="N2839">
        <v>49617</v>
      </c>
      <c r="O2839" t="s">
        <v>2110</v>
      </c>
      <c r="P2839" t="s">
        <v>140</v>
      </c>
      <c r="Q2839">
        <v>194</v>
      </c>
      <c r="R2839" s="296">
        <v>0</v>
      </c>
      <c r="S2839" s="296">
        <v>0.98740000000000006</v>
      </c>
      <c r="T2839" s="297">
        <v>1504</v>
      </c>
      <c r="U2839" s="340">
        <v>101818</v>
      </c>
      <c r="V2839" s="340">
        <v>410015</v>
      </c>
      <c r="W2839" s="297">
        <v>3390</v>
      </c>
      <c r="X2839" s="296">
        <v>8.0000000000000002E-3</v>
      </c>
    </row>
    <row r="2840" spans="13:24">
      <c r="M2840">
        <v>2838</v>
      </c>
      <c r="N2840">
        <v>45215</v>
      </c>
      <c r="O2840" t="s">
        <v>599</v>
      </c>
      <c r="P2840" t="s">
        <v>136</v>
      </c>
      <c r="Q2840">
        <v>266</v>
      </c>
      <c r="R2840" s="296">
        <v>0</v>
      </c>
      <c r="S2840" s="296">
        <v>0.98740000000000006</v>
      </c>
      <c r="T2840" s="297">
        <v>12518</v>
      </c>
      <c r="U2840" s="340">
        <v>101809</v>
      </c>
      <c r="V2840" s="340">
        <v>312694</v>
      </c>
      <c r="W2840" s="297">
        <v>30792</v>
      </c>
      <c r="X2840" s="296">
        <v>1E-3</v>
      </c>
    </row>
    <row r="2841" spans="13:24">
      <c r="M2841">
        <v>2839</v>
      </c>
      <c r="N2841">
        <v>81650</v>
      </c>
      <c r="O2841" t="s">
        <v>2111</v>
      </c>
      <c r="P2841" t="s">
        <v>142</v>
      </c>
      <c r="Q2841">
        <v>1058</v>
      </c>
      <c r="R2841" s="296">
        <v>0</v>
      </c>
      <c r="S2841" s="296">
        <v>0.98750000000000004</v>
      </c>
      <c r="T2841" s="297">
        <v>4873</v>
      </c>
      <c r="U2841" s="340">
        <v>101787</v>
      </c>
      <c r="V2841" s="340">
        <v>419073</v>
      </c>
      <c r="W2841" s="297">
        <v>14531</v>
      </c>
      <c r="X2841" s="296">
        <v>5.0000000000000001E-3</v>
      </c>
    </row>
    <row r="2842" spans="13:24">
      <c r="M2842">
        <v>2840</v>
      </c>
      <c r="N2842">
        <v>46052</v>
      </c>
      <c r="O2842" t="s">
        <v>464</v>
      </c>
      <c r="P2842" t="s">
        <v>144</v>
      </c>
      <c r="Q2842">
        <v>161</v>
      </c>
      <c r="R2842" s="296">
        <v>0</v>
      </c>
      <c r="S2842" s="296">
        <v>0.98750000000000004</v>
      </c>
      <c r="T2842" s="297">
        <v>9791</v>
      </c>
      <c r="U2842" s="340">
        <v>101763</v>
      </c>
      <c r="V2842" s="340">
        <v>323722</v>
      </c>
      <c r="W2842" s="297">
        <v>23516</v>
      </c>
      <c r="X2842" s="296">
        <v>6.0000000000000001E-3</v>
      </c>
    </row>
    <row r="2843" spans="13:24">
      <c r="M2843">
        <v>2841</v>
      </c>
      <c r="N2843">
        <v>97005</v>
      </c>
      <c r="O2843" t="s">
        <v>1855</v>
      </c>
      <c r="P2843" t="s">
        <v>207</v>
      </c>
      <c r="Q2843">
        <v>1747</v>
      </c>
      <c r="R2843" s="296">
        <v>0</v>
      </c>
      <c r="S2843" s="296">
        <v>0.98750000000000004</v>
      </c>
      <c r="T2843" s="297">
        <v>11047</v>
      </c>
      <c r="U2843" s="340">
        <v>101724</v>
      </c>
      <c r="V2843" s="340">
        <v>603244</v>
      </c>
      <c r="W2843" s="297">
        <v>26210</v>
      </c>
      <c r="X2843" s="296">
        <v>8.0000000000000002E-3</v>
      </c>
    </row>
    <row r="2844" spans="13:24">
      <c r="M2844">
        <v>2842</v>
      </c>
      <c r="N2844">
        <v>59601</v>
      </c>
      <c r="O2844" t="s">
        <v>712</v>
      </c>
      <c r="P2844" t="s">
        <v>190</v>
      </c>
      <c r="Q2844">
        <v>1237</v>
      </c>
      <c r="R2844" s="296">
        <v>0</v>
      </c>
      <c r="S2844" s="296">
        <v>0.98750000000000004</v>
      </c>
      <c r="T2844" s="297">
        <v>14942</v>
      </c>
      <c r="U2844" s="340">
        <v>101701</v>
      </c>
      <c r="V2844" s="340">
        <v>466948</v>
      </c>
      <c r="W2844" s="297">
        <v>32011</v>
      </c>
      <c r="X2844" s="296">
        <v>1.0999999999999999E-2</v>
      </c>
    </row>
    <row r="2845" spans="13:24">
      <c r="M2845">
        <v>2843</v>
      </c>
      <c r="N2845">
        <v>48182</v>
      </c>
      <c r="O2845" t="s">
        <v>2112</v>
      </c>
      <c r="P2845" t="s">
        <v>140</v>
      </c>
      <c r="Q2845">
        <v>218</v>
      </c>
      <c r="R2845" s="296">
        <v>0</v>
      </c>
      <c r="S2845" s="296">
        <v>0.98750000000000004</v>
      </c>
      <c r="T2845" s="297">
        <v>9508</v>
      </c>
      <c r="U2845" s="340">
        <v>101645</v>
      </c>
      <c r="V2845" s="340">
        <v>278043</v>
      </c>
      <c r="W2845" s="297">
        <v>22928</v>
      </c>
      <c r="X2845" s="296">
        <v>2E-3</v>
      </c>
    </row>
    <row r="2846" spans="13:24">
      <c r="M2846">
        <v>2844</v>
      </c>
      <c r="N2846">
        <v>44278</v>
      </c>
      <c r="O2846" t="s">
        <v>2113</v>
      </c>
      <c r="P2846" t="s">
        <v>136</v>
      </c>
      <c r="Q2846">
        <v>337</v>
      </c>
      <c r="R2846" s="296">
        <v>0</v>
      </c>
      <c r="S2846" s="296">
        <v>0.98750000000000004</v>
      </c>
      <c r="T2846" s="297">
        <v>7721</v>
      </c>
      <c r="U2846" s="340">
        <v>101640</v>
      </c>
      <c r="V2846" s="340">
        <v>265581</v>
      </c>
      <c r="W2846" s="297">
        <v>18546</v>
      </c>
      <c r="X2846" s="296">
        <v>-2E-3</v>
      </c>
    </row>
    <row r="2847" spans="13:24">
      <c r="M2847">
        <v>2845</v>
      </c>
      <c r="N2847">
        <v>48842</v>
      </c>
      <c r="O2847" t="s">
        <v>2114</v>
      </c>
      <c r="P2847" t="s">
        <v>140</v>
      </c>
      <c r="Q2847">
        <v>169</v>
      </c>
      <c r="R2847" s="296">
        <v>0</v>
      </c>
      <c r="S2847" s="296">
        <v>0.98750000000000004</v>
      </c>
      <c r="T2847" s="297">
        <v>9145</v>
      </c>
      <c r="U2847" s="340">
        <v>101599</v>
      </c>
      <c r="V2847" s="340">
        <v>222788</v>
      </c>
      <c r="W2847" s="297">
        <v>21753</v>
      </c>
      <c r="X2847" s="296">
        <v>-3.0000000000000001E-3</v>
      </c>
    </row>
    <row r="2848" spans="13:24">
      <c r="M2848">
        <v>2846</v>
      </c>
      <c r="N2848">
        <v>36830</v>
      </c>
      <c r="O2848" t="s">
        <v>336</v>
      </c>
      <c r="P2848" t="s">
        <v>154</v>
      </c>
      <c r="Q2848">
        <v>676</v>
      </c>
      <c r="R2848" s="296">
        <v>0</v>
      </c>
      <c r="S2848" s="296">
        <v>0.98750000000000004</v>
      </c>
      <c r="T2848" s="297">
        <v>21462</v>
      </c>
      <c r="U2848" s="340">
        <v>101597</v>
      </c>
      <c r="V2848" s="340">
        <v>416804</v>
      </c>
      <c r="W2848" s="297">
        <v>50990</v>
      </c>
      <c r="X2848" s="296">
        <v>0.02</v>
      </c>
    </row>
    <row r="2849" spans="13:24">
      <c r="M2849">
        <v>2847</v>
      </c>
      <c r="N2849">
        <v>19977</v>
      </c>
      <c r="O2849" t="s">
        <v>2115</v>
      </c>
      <c r="P2849" t="s">
        <v>164</v>
      </c>
      <c r="Q2849">
        <v>667</v>
      </c>
      <c r="R2849" s="296">
        <v>0</v>
      </c>
      <c r="S2849" s="296">
        <v>0.98760000000000003</v>
      </c>
      <c r="T2849" s="297">
        <v>10519</v>
      </c>
      <c r="U2849" s="340">
        <v>101531</v>
      </c>
      <c r="V2849" s="340">
        <v>336115</v>
      </c>
      <c r="W2849" s="297">
        <v>29732</v>
      </c>
      <c r="X2849" s="296">
        <v>1.6E-2</v>
      </c>
    </row>
    <row r="2850" spans="13:24">
      <c r="M2850">
        <v>2848</v>
      </c>
      <c r="N2850">
        <v>52242</v>
      </c>
      <c r="O2850" t="s">
        <v>1139</v>
      </c>
      <c r="P2850" t="s">
        <v>170</v>
      </c>
      <c r="Q2850">
        <v>196</v>
      </c>
      <c r="R2850" s="296">
        <v>0</v>
      </c>
      <c r="S2850" s="296">
        <v>0.98760000000000003</v>
      </c>
      <c r="T2850">
        <v>9</v>
      </c>
      <c r="U2850" s="340">
        <v>101505</v>
      </c>
      <c r="V2850" s="340">
        <v>708333</v>
      </c>
      <c r="W2850" s="297">
        <v>1776</v>
      </c>
      <c r="X2850" s="296">
        <v>1E-3</v>
      </c>
    </row>
    <row r="2851" spans="13:24">
      <c r="M2851">
        <v>2849</v>
      </c>
      <c r="N2851">
        <v>57106</v>
      </c>
      <c r="O2851" t="s">
        <v>2116</v>
      </c>
      <c r="P2851" t="s">
        <v>215</v>
      </c>
      <c r="Q2851">
        <v>466</v>
      </c>
      <c r="R2851" s="296">
        <v>0</v>
      </c>
      <c r="S2851" s="296">
        <v>0.98760000000000003</v>
      </c>
      <c r="T2851" s="297">
        <v>21003</v>
      </c>
      <c r="U2851" s="340">
        <v>101471</v>
      </c>
      <c r="V2851" s="340">
        <v>337512</v>
      </c>
      <c r="W2851" s="297">
        <v>51666</v>
      </c>
      <c r="X2851" s="296">
        <v>1.7999999999999999E-2</v>
      </c>
    </row>
    <row r="2852" spans="13:24">
      <c r="M2852">
        <v>2850</v>
      </c>
      <c r="N2852">
        <v>61052</v>
      </c>
      <c r="O2852" t="s">
        <v>2117</v>
      </c>
      <c r="P2852" t="s">
        <v>131</v>
      </c>
      <c r="Q2852">
        <v>62</v>
      </c>
      <c r="R2852" s="296">
        <v>0</v>
      </c>
      <c r="S2852" s="296">
        <v>0.98760000000000003</v>
      </c>
      <c r="T2852">
        <v>450</v>
      </c>
      <c r="U2852" s="340">
        <v>101401</v>
      </c>
      <c r="V2852" s="340">
        <v>261813</v>
      </c>
      <c r="W2852" s="297">
        <v>1124</v>
      </c>
      <c r="X2852" s="296">
        <v>-7.0000000000000001E-3</v>
      </c>
    </row>
    <row r="2853" spans="13:24">
      <c r="M2853">
        <v>2851</v>
      </c>
      <c r="N2853">
        <v>34953</v>
      </c>
      <c r="O2853" t="s">
        <v>771</v>
      </c>
      <c r="P2853" t="s">
        <v>127</v>
      </c>
      <c r="Q2853">
        <v>1111</v>
      </c>
      <c r="R2853" s="296">
        <v>0</v>
      </c>
      <c r="S2853" s="296">
        <v>0.98760000000000003</v>
      </c>
      <c r="T2853" s="297">
        <v>29057</v>
      </c>
      <c r="U2853" s="340">
        <v>101349</v>
      </c>
      <c r="V2853" s="340">
        <v>404668</v>
      </c>
      <c r="W2853" s="297">
        <v>88935</v>
      </c>
      <c r="X2853" s="296">
        <v>3.4000000000000002E-2</v>
      </c>
    </row>
    <row r="2854" spans="13:24">
      <c r="M2854">
        <v>2852</v>
      </c>
      <c r="N2854">
        <v>78212</v>
      </c>
      <c r="O2854" t="s">
        <v>326</v>
      </c>
      <c r="P2854" t="s">
        <v>134</v>
      </c>
      <c r="Q2854">
        <v>1060</v>
      </c>
      <c r="R2854" s="296">
        <v>0</v>
      </c>
      <c r="S2854" s="296">
        <v>0.98760000000000003</v>
      </c>
      <c r="T2854" s="297">
        <v>11257</v>
      </c>
      <c r="U2854" s="340">
        <v>101334</v>
      </c>
      <c r="V2854" s="340">
        <v>474415</v>
      </c>
      <c r="W2854" s="297">
        <v>26525</v>
      </c>
      <c r="X2854" s="296">
        <v>-4.0000000000000001E-3</v>
      </c>
    </row>
    <row r="2855" spans="13:24">
      <c r="M2855">
        <v>2853</v>
      </c>
      <c r="N2855">
        <v>30157</v>
      </c>
      <c r="O2855" t="s">
        <v>338</v>
      </c>
      <c r="P2855" t="s">
        <v>130</v>
      </c>
      <c r="Q2855">
        <v>592</v>
      </c>
      <c r="R2855" s="296">
        <v>0</v>
      </c>
      <c r="S2855" s="296">
        <v>0.98760000000000003</v>
      </c>
      <c r="T2855" s="297">
        <v>19164</v>
      </c>
      <c r="U2855" s="340">
        <v>101324</v>
      </c>
      <c r="V2855" s="340">
        <v>318390</v>
      </c>
      <c r="W2855" s="297">
        <v>55560</v>
      </c>
      <c r="X2855" s="296">
        <v>0.02</v>
      </c>
    </row>
    <row r="2856" spans="13:24">
      <c r="M2856">
        <v>2854</v>
      </c>
      <c r="N2856">
        <v>15601</v>
      </c>
      <c r="O2856" t="s">
        <v>2118</v>
      </c>
      <c r="P2856" t="s">
        <v>133</v>
      </c>
      <c r="Q2856">
        <v>447</v>
      </c>
      <c r="R2856" s="296">
        <v>0</v>
      </c>
      <c r="S2856" s="296">
        <v>0.98760000000000003</v>
      </c>
      <c r="T2856" s="297">
        <v>25050</v>
      </c>
      <c r="U2856" s="340">
        <v>101320</v>
      </c>
      <c r="V2856" s="340">
        <v>301026</v>
      </c>
      <c r="W2856" s="297">
        <v>57700</v>
      </c>
      <c r="X2856" s="296">
        <v>0</v>
      </c>
    </row>
    <row r="2857" spans="13:24">
      <c r="M2857">
        <v>2855</v>
      </c>
      <c r="N2857">
        <v>47866</v>
      </c>
      <c r="O2857" t="s">
        <v>2119</v>
      </c>
      <c r="P2857" t="s">
        <v>144</v>
      </c>
      <c r="Q2857">
        <v>199</v>
      </c>
      <c r="R2857" s="296">
        <v>0</v>
      </c>
      <c r="S2857" s="296">
        <v>0.98770000000000002</v>
      </c>
      <c r="T2857">
        <v>170</v>
      </c>
      <c r="U2857" s="340">
        <v>101193</v>
      </c>
      <c r="V2857" s="340">
        <v>270455</v>
      </c>
      <c r="W2857">
        <v>444</v>
      </c>
      <c r="X2857" s="296">
        <v>-7.0000000000000001E-3</v>
      </c>
    </row>
    <row r="2858" spans="13:24">
      <c r="M2858">
        <v>2856</v>
      </c>
      <c r="N2858">
        <v>45327</v>
      </c>
      <c r="O2858" t="s">
        <v>1131</v>
      </c>
      <c r="P2858" t="s">
        <v>136</v>
      </c>
      <c r="Q2858">
        <v>248</v>
      </c>
      <c r="R2858" s="296">
        <v>0</v>
      </c>
      <c r="S2858" s="296">
        <v>0.98770000000000002</v>
      </c>
      <c r="T2858" s="297">
        <v>3574</v>
      </c>
      <c r="U2858" s="340">
        <v>101186</v>
      </c>
      <c r="V2858" s="340">
        <v>302921</v>
      </c>
      <c r="W2858" s="297">
        <v>9167</v>
      </c>
      <c r="X2858" s="296">
        <v>0</v>
      </c>
    </row>
    <row r="2859" spans="13:24">
      <c r="M2859">
        <v>2857</v>
      </c>
      <c r="N2859">
        <v>21061</v>
      </c>
      <c r="O2859" t="s">
        <v>744</v>
      </c>
      <c r="P2859" t="s">
        <v>137</v>
      </c>
      <c r="Q2859">
        <v>620</v>
      </c>
      <c r="R2859" s="296">
        <v>0</v>
      </c>
      <c r="S2859" s="296">
        <v>0.98770000000000002</v>
      </c>
      <c r="T2859" s="297">
        <v>21798</v>
      </c>
      <c r="U2859" s="340">
        <v>101173</v>
      </c>
      <c r="V2859" s="340">
        <v>448462</v>
      </c>
      <c r="W2859" s="297">
        <v>56243</v>
      </c>
      <c r="X2859" s="296">
        <v>2E-3</v>
      </c>
    </row>
    <row r="2860" spans="13:24">
      <c r="M2860">
        <v>2858</v>
      </c>
      <c r="N2860">
        <v>30213</v>
      </c>
      <c r="O2860" t="s">
        <v>2120</v>
      </c>
      <c r="P2860" t="s">
        <v>130</v>
      </c>
      <c r="Q2860">
        <v>618</v>
      </c>
      <c r="R2860" s="296">
        <v>0</v>
      </c>
      <c r="S2860" s="296">
        <v>0.98770000000000002</v>
      </c>
      <c r="T2860" s="297">
        <v>17572</v>
      </c>
      <c r="U2860" s="340">
        <v>101172</v>
      </c>
      <c r="V2860" s="340">
        <v>373307</v>
      </c>
      <c r="W2860" s="297">
        <v>46917</v>
      </c>
      <c r="X2860" s="296">
        <v>2.3E-2</v>
      </c>
    </row>
    <row r="2861" spans="13:24">
      <c r="M2861">
        <v>2859</v>
      </c>
      <c r="N2861">
        <v>21719</v>
      </c>
      <c r="O2861" t="s">
        <v>2002</v>
      </c>
      <c r="P2861" t="s">
        <v>137</v>
      </c>
      <c r="Q2861">
        <v>563</v>
      </c>
      <c r="R2861" s="296">
        <v>0</v>
      </c>
      <c r="S2861" s="296">
        <v>0.98770000000000002</v>
      </c>
      <c r="T2861">
        <v>511</v>
      </c>
      <c r="U2861" s="340">
        <v>101053</v>
      </c>
      <c r="V2861" s="340">
        <v>353918</v>
      </c>
      <c r="W2861" s="297">
        <v>1228</v>
      </c>
      <c r="X2861" s="296">
        <v>-4.0000000000000001E-3</v>
      </c>
    </row>
    <row r="2862" spans="13:24">
      <c r="M2862">
        <v>2860</v>
      </c>
      <c r="N2862">
        <v>91945</v>
      </c>
      <c r="O2862" t="s">
        <v>2121</v>
      </c>
      <c r="P2862" t="s">
        <v>132</v>
      </c>
      <c r="Q2862">
        <v>1720</v>
      </c>
      <c r="R2862" s="296">
        <v>0</v>
      </c>
      <c r="S2862" s="296">
        <v>0.98770000000000002</v>
      </c>
      <c r="T2862" s="297">
        <v>8958</v>
      </c>
      <c r="U2862" s="340">
        <v>101026</v>
      </c>
      <c r="V2862" s="340">
        <v>777089</v>
      </c>
      <c r="W2862" s="297">
        <v>27174</v>
      </c>
      <c r="X2862" s="296">
        <v>-4.0000000000000001E-3</v>
      </c>
    </row>
    <row r="2863" spans="13:24">
      <c r="M2863">
        <v>2861</v>
      </c>
      <c r="N2863">
        <v>41011</v>
      </c>
      <c r="O2863" t="s">
        <v>2122</v>
      </c>
      <c r="P2863" t="s">
        <v>143</v>
      </c>
      <c r="Q2863">
        <v>273</v>
      </c>
      <c r="R2863" s="296">
        <v>0</v>
      </c>
      <c r="S2863" s="296">
        <v>0.98770000000000002</v>
      </c>
      <c r="T2863" s="297">
        <v>13407</v>
      </c>
      <c r="U2863" s="340">
        <v>101026</v>
      </c>
      <c r="V2863" s="340">
        <v>337772</v>
      </c>
      <c r="W2863" s="297">
        <v>28048</v>
      </c>
      <c r="X2863" s="296">
        <v>1.4E-2</v>
      </c>
    </row>
    <row r="2864" spans="13:24">
      <c r="M2864">
        <v>2862</v>
      </c>
      <c r="N2864">
        <v>54729</v>
      </c>
      <c r="O2864" t="s">
        <v>2123</v>
      </c>
      <c r="P2864" t="s">
        <v>149</v>
      </c>
      <c r="Q2864">
        <v>264</v>
      </c>
      <c r="R2864" s="296">
        <v>0</v>
      </c>
      <c r="S2864" s="296">
        <v>0.98770000000000002</v>
      </c>
      <c r="T2864" s="297">
        <v>14734</v>
      </c>
      <c r="U2864" s="340">
        <v>100979</v>
      </c>
      <c r="V2864" s="340">
        <v>311730</v>
      </c>
      <c r="W2864" s="297">
        <v>35152</v>
      </c>
      <c r="X2864" s="296">
        <v>6.0000000000000001E-3</v>
      </c>
    </row>
    <row r="2865" spans="13:24">
      <c r="M2865">
        <v>2863</v>
      </c>
      <c r="N2865">
        <v>54170</v>
      </c>
      <c r="O2865" t="s">
        <v>2124</v>
      </c>
      <c r="P2865" t="s">
        <v>149</v>
      </c>
      <c r="Q2865">
        <v>167</v>
      </c>
      <c r="R2865" s="296">
        <v>0</v>
      </c>
      <c r="S2865" s="296">
        <v>0.98780000000000001</v>
      </c>
      <c r="T2865" s="297">
        <v>1525</v>
      </c>
      <c r="U2865" s="340">
        <v>100947</v>
      </c>
      <c r="V2865" s="340">
        <v>358333</v>
      </c>
      <c r="W2865" s="297">
        <v>3797</v>
      </c>
      <c r="X2865" s="296">
        <v>0</v>
      </c>
    </row>
    <row r="2866" spans="13:24">
      <c r="M2866">
        <v>2864</v>
      </c>
      <c r="N2866">
        <v>14886</v>
      </c>
      <c r="O2866" t="s">
        <v>2125</v>
      </c>
      <c r="P2866" t="s">
        <v>128</v>
      </c>
      <c r="Q2866">
        <v>567</v>
      </c>
      <c r="R2866" s="296">
        <v>0</v>
      </c>
      <c r="S2866" s="296">
        <v>0.98780000000000001</v>
      </c>
      <c r="T2866" s="297">
        <v>2938</v>
      </c>
      <c r="U2866" s="340">
        <v>100859</v>
      </c>
      <c r="V2866" s="340">
        <v>331897</v>
      </c>
      <c r="W2866" s="297">
        <v>6671</v>
      </c>
      <c r="X2866" s="296">
        <v>0</v>
      </c>
    </row>
    <row r="2867" spans="13:24">
      <c r="M2867">
        <v>2865</v>
      </c>
      <c r="N2867">
        <v>11377</v>
      </c>
      <c r="O2867" t="s">
        <v>788</v>
      </c>
      <c r="P2867" t="s">
        <v>128</v>
      </c>
      <c r="Q2867">
        <v>725</v>
      </c>
      <c r="R2867" s="296">
        <v>0</v>
      </c>
      <c r="S2867" s="296">
        <v>0.98780000000000001</v>
      </c>
      <c r="T2867" s="297">
        <v>33010</v>
      </c>
      <c r="U2867" s="340">
        <v>100857</v>
      </c>
      <c r="V2867" s="340">
        <v>801157</v>
      </c>
      <c r="W2867" s="297">
        <v>91687</v>
      </c>
      <c r="X2867" s="296">
        <v>-6.0000000000000001E-3</v>
      </c>
    </row>
    <row r="2868" spans="13:24">
      <c r="M2868">
        <v>2866</v>
      </c>
      <c r="N2868">
        <v>16052</v>
      </c>
      <c r="O2868" t="s">
        <v>2126</v>
      </c>
      <c r="P2868" t="s">
        <v>133</v>
      </c>
      <c r="Q2868">
        <v>408</v>
      </c>
      <c r="R2868" s="296">
        <v>0</v>
      </c>
      <c r="S2868" s="296">
        <v>0.98780000000000001</v>
      </c>
      <c r="T2868">
        <v>999</v>
      </c>
      <c r="U2868" s="340">
        <v>100830</v>
      </c>
      <c r="V2868" s="340">
        <v>368328</v>
      </c>
      <c r="W2868" s="297">
        <v>2421</v>
      </c>
      <c r="X2868" s="296">
        <v>5.0000000000000001E-3</v>
      </c>
    </row>
    <row r="2869" spans="13:24">
      <c r="M2869">
        <v>2867</v>
      </c>
      <c r="N2869">
        <v>14224</v>
      </c>
      <c r="O2869" t="s">
        <v>789</v>
      </c>
      <c r="P2869" t="s">
        <v>128</v>
      </c>
      <c r="Q2869">
        <v>463</v>
      </c>
      <c r="R2869" s="296">
        <v>0</v>
      </c>
      <c r="S2869" s="296">
        <v>0.98780000000000001</v>
      </c>
      <c r="T2869" s="297">
        <v>17692</v>
      </c>
      <c r="U2869" s="340">
        <v>100762</v>
      </c>
      <c r="V2869" s="340">
        <v>287794</v>
      </c>
      <c r="W2869" s="297">
        <v>40103</v>
      </c>
      <c r="X2869" s="296">
        <v>-1E-3</v>
      </c>
    </row>
    <row r="2870" spans="13:24">
      <c r="M2870">
        <v>2868</v>
      </c>
      <c r="N2870">
        <v>61046</v>
      </c>
      <c r="O2870" t="s">
        <v>2127</v>
      </c>
      <c r="P2870" t="s">
        <v>131</v>
      </c>
      <c r="Q2870">
        <v>104</v>
      </c>
      <c r="R2870" s="296">
        <v>0</v>
      </c>
      <c r="S2870" s="296">
        <v>0.98780000000000001</v>
      </c>
      <c r="T2870" s="297">
        <v>1262</v>
      </c>
      <c r="U2870" s="340">
        <v>100672</v>
      </c>
      <c r="V2870" s="340">
        <v>234734</v>
      </c>
      <c r="W2870" s="297">
        <v>2848</v>
      </c>
      <c r="X2870" s="296">
        <v>-8.9999999999999993E-3</v>
      </c>
    </row>
    <row r="2871" spans="13:24">
      <c r="M2871">
        <v>2869</v>
      </c>
      <c r="N2871">
        <v>83815</v>
      </c>
      <c r="O2871" t="s">
        <v>772</v>
      </c>
      <c r="P2871" t="s">
        <v>172</v>
      </c>
      <c r="Q2871">
        <v>1460</v>
      </c>
      <c r="R2871" s="296">
        <v>0</v>
      </c>
      <c r="S2871" s="296">
        <v>0.98780000000000001</v>
      </c>
      <c r="T2871" s="297">
        <v>17126</v>
      </c>
      <c r="U2871" s="340">
        <v>100652</v>
      </c>
      <c r="V2871" s="340">
        <v>606440</v>
      </c>
      <c r="W2871" s="297">
        <v>43806</v>
      </c>
      <c r="X2871" s="296">
        <v>2.4E-2</v>
      </c>
    </row>
    <row r="2872" spans="13:24">
      <c r="M2872">
        <v>2870</v>
      </c>
      <c r="N2872">
        <v>77373</v>
      </c>
      <c r="O2872" t="s">
        <v>626</v>
      </c>
      <c r="P2872" t="s">
        <v>134</v>
      </c>
      <c r="Q2872">
        <v>936</v>
      </c>
      <c r="R2872" s="296">
        <v>0</v>
      </c>
      <c r="S2872" s="296">
        <v>0.98780000000000001</v>
      </c>
      <c r="T2872" s="297">
        <v>24143</v>
      </c>
      <c r="U2872" s="340">
        <v>100614</v>
      </c>
      <c r="V2872" s="340">
        <v>273470</v>
      </c>
      <c r="W2872" s="297">
        <v>71232</v>
      </c>
      <c r="X2872" s="296">
        <v>2.8000000000000001E-2</v>
      </c>
    </row>
    <row r="2873" spans="13:24">
      <c r="M2873">
        <v>2871</v>
      </c>
      <c r="N2873">
        <v>55107</v>
      </c>
      <c r="O2873" t="s">
        <v>445</v>
      </c>
      <c r="P2873" t="s">
        <v>151</v>
      </c>
      <c r="Q2873">
        <v>328</v>
      </c>
      <c r="R2873" s="296">
        <v>0</v>
      </c>
      <c r="S2873" s="296">
        <v>0.9879</v>
      </c>
      <c r="T2873" s="297">
        <v>5790</v>
      </c>
      <c r="U2873" s="340">
        <v>100607</v>
      </c>
      <c r="V2873" s="340">
        <v>356720</v>
      </c>
      <c r="W2873" s="297">
        <v>15862</v>
      </c>
      <c r="X2873" s="296">
        <v>4.0000000000000001E-3</v>
      </c>
    </row>
    <row r="2874" spans="13:24">
      <c r="M2874">
        <v>2872</v>
      </c>
      <c r="N2874">
        <v>30736</v>
      </c>
      <c r="O2874" t="s">
        <v>2128</v>
      </c>
      <c r="P2874" t="s">
        <v>130</v>
      </c>
      <c r="Q2874">
        <v>519</v>
      </c>
      <c r="R2874" s="296">
        <v>0</v>
      </c>
      <c r="S2874" s="296">
        <v>0.9879</v>
      </c>
      <c r="T2874" s="297">
        <v>16992</v>
      </c>
      <c r="U2874" s="340">
        <v>100590</v>
      </c>
      <c r="V2874" s="340">
        <v>345444</v>
      </c>
      <c r="W2874" s="297">
        <v>45074</v>
      </c>
      <c r="X2874" s="296">
        <v>7.0000000000000001E-3</v>
      </c>
    </row>
    <row r="2875" spans="13:24">
      <c r="M2875">
        <v>2873</v>
      </c>
      <c r="N2875">
        <v>33435</v>
      </c>
      <c r="O2875" t="s">
        <v>1325</v>
      </c>
      <c r="P2875" t="s">
        <v>127</v>
      </c>
      <c r="Q2875">
        <v>1165</v>
      </c>
      <c r="R2875" s="296">
        <v>0</v>
      </c>
      <c r="S2875" s="296">
        <v>0.9879</v>
      </c>
      <c r="T2875" s="297">
        <v>16071</v>
      </c>
      <c r="U2875" s="340">
        <v>100544</v>
      </c>
      <c r="V2875" s="340">
        <v>527418</v>
      </c>
      <c r="W2875" s="297">
        <v>38285</v>
      </c>
      <c r="X2875" s="296">
        <v>7.0000000000000001E-3</v>
      </c>
    </row>
    <row r="2876" spans="13:24">
      <c r="M2876">
        <v>2874</v>
      </c>
      <c r="N2876">
        <v>48183</v>
      </c>
      <c r="O2876" t="s">
        <v>702</v>
      </c>
      <c r="P2876" t="s">
        <v>140</v>
      </c>
      <c r="Q2876">
        <v>234</v>
      </c>
      <c r="R2876" s="296">
        <v>0</v>
      </c>
      <c r="S2876" s="296">
        <v>0.9879</v>
      </c>
      <c r="T2876" s="297">
        <v>17991</v>
      </c>
      <c r="U2876" s="340">
        <v>100521</v>
      </c>
      <c r="V2876" s="340">
        <v>234393</v>
      </c>
      <c r="W2876" s="297">
        <v>41717</v>
      </c>
      <c r="X2876" s="296">
        <v>-3.0000000000000001E-3</v>
      </c>
    </row>
    <row r="2877" spans="13:24">
      <c r="M2877">
        <v>2875</v>
      </c>
      <c r="N2877">
        <v>46205</v>
      </c>
      <c r="O2877" t="s">
        <v>561</v>
      </c>
      <c r="P2877" t="s">
        <v>144</v>
      </c>
      <c r="Q2877">
        <v>182</v>
      </c>
      <c r="R2877" s="296">
        <v>0</v>
      </c>
      <c r="S2877" s="296">
        <v>0.9879</v>
      </c>
      <c r="T2877" s="297">
        <v>13382</v>
      </c>
      <c r="U2877" s="340">
        <v>100408</v>
      </c>
      <c r="V2877" s="340">
        <v>329928</v>
      </c>
      <c r="W2877" s="297">
        <v>28945</v>
      </c>
      <c r="X2877" s="296">
        <v>3.0000000000000001E-3</v>
      </c>
    </row>
    <row r="2878" spans="13:24">
      <c r="M2878">
        <v>2876</v>
      </c>
      <c r="N2878">
        <v>44241</v>
      </c>
      <c r="O2878" t="s">
        <v>2129</v>
      </c>
      <c r="P2878" t="s">
        <v>136</v>
      </c>
      <c r="Q2878">
        <v>338</v>
      </c>
      <c r="R2878" s="296">
        <v>0</v>
      </c>
      <c r="S2878" s="296">
        <v>0.9879</v>
      </c>
      <c r="T2878" s="297">
        <v>7836</v>
      </c>
      <c r="U2878" s="340">
        <v>100397</v>
      </c>
      <c r="V2878" s="340">
        <v>259263</v>
      </c>
      <c r="W2878" s="297">
        <v>17877</v>
      </c>
      <c r="X2878" s="296">
        <v>1E-3</v>
      </c>
    </row>
    <row r="2879" spans="13:24">
      <c r="M2879">
        <v>2877</v>
      </c>
      <c r="N2879">
        <v>49319</v>
      </c>
      <c r="O2879" t="s">
        <v>2130</v>
      </c>
      <c r="P2879" t="s">
        <v>140</v>
      </c>
      <c r="Q2879">
        <v>136</v>
      </c>
      <c r="R2879" s="296">
        <v>0</v>
      </c>
      <c r="S2879" s="296">
        <v>0.9879</v>
      </c>
      <c r="T2879" s="297">
        <v>6378</v>
      </c>
      <c r="U2879" s="340">
        <v>100370</v>
      </c>
      <c r="V2879" s="340">
        <v>345400</v>
      </c>
      <c r="W2879" s="297">
        <v>17536</v>
      </c>
      <c r="X2879" s="296">
        <v>2E-3</v>
      </c>
    </row>
    <row r="2880" spans="13:24">
      <c r="M2880">
        <v>2878</v>
      </c>
      <c r="N2880">
        <v>32217</v>
      </c>
      <c r="O2880" t="s">
        <v>331</v>
      </c>
      <c r="P2880" t="s">
        <v>127</v>
      </c>
      <c r="Q2880">
        <v>891</v>
      </c>
      <c r="R2880" s="296">
        <v>0</v>
      </c>
      <c r="S2880" s="296">
        <v>0.9879</v>
      </c>
      <c r="T2880" s="297">
        <v>8565</v>
      </c>
      <c r="U2880" s="340">
        <v>100340</v>
      </c>
      <c r="V2880" s="340">
        <v>486352</v>
      </c>
      <c r="W2880" s="297">
        <v>20049</v>
      </c>
      <c r="X2880" s="296">
        <v>1E-3</v>
      </c>
    </row>
    <row r="2881" spans="13:24">
      <c r="M2881">
        <v>2879</v>
      </c>
      <c r="N2881">
        <v>48603</v>
      </c>
      <c r="O2881" t="s">
        <v>1545</v>
      </c>
      <c r="P2881" t="s">
        <v>140</v>
      </c>
      <c r="Q2881">
        <v>211</v>
      </c>
      <c r="R2881" s="296">
        <v>0</v>
      </c>
      <c r="S2881" s="296">
        <v>0.98799999999999999</v>
      </c>
      <c r="T2881" s="297">
        <v>12387</v>
      </c>
      <c r="U2881" s="340">
        <v>100299</v>
      </c>
      <c r="V2881" s="340">
        <v>227223</v>
      </c>
      <c r="W2881" s="297">
        <v>27073</v>
      </c>
      <c r="X2881" s="296">
        <v>-3.0000000000000001E-3</v>
      </c>
    </row>
    <row r="2882" spans="13:24">
      <c r="M2882">
        <v>2880</v>
      </c>
      <c r="N2882">
        <v>54210</v>
      </c>
      <c r="O2882" t="s">
        <v>2131</v>
      </c>
      <c r="P2882" t="s">
        <v>149</v>
      </c>
      <c r="Q2882">
        <v>218</v>
      </c>
      <c r="R2882" s="296">
        <v>0</v>
      </c>
      <c r="S2882" s="296">
        <v>0.98799999999999999</v>
      </c>
      <c r="T2882">
        <v>587</v>
      </c>
      <c r="U2882" s="340">
        <v>100182</v>
      </c>
      <c r="V2882" s="340">
        <v>574053</v>
      </c>
      <c r="W2882" s="297">
        <v>1164</v>
      </c>
      <c r="X2882" s="296">
        <v>1.0999999999999999E-2</v>
      </c>
    </row>
    <row r="2883" spans="13:24">
      <c r="M2883">
        <v>2881</v>
      </c>
      <c r="N2883">
        <v>53074</v>
      </c>
      <c r="O2883" t="s">
        <v>451</v>
      </c>
      <c r="P2883" t="s">
        <v>149</v>
      </c>
      <c r="Q2883">
        <v>88</v>
      </c>
      <c r="R2883" s="296">
        <v>0</v>
      </c>
      <c r="S2883" s="296">
        <v>0.98799999999999999</v>
      </c>
      <c r="T2883" s="297">
        <v>5849</v>
      </c>
      <c r="U2883" s="340">
        <v>100165</v>
      </c>
      <c r="V2883" s="340">
        <v>379234</v>
      </c>
      <c r="W2883" s="297">
        <v>13745</v>
      </c>
      <c r="X2883" s="296">
        <v>7.0000000000000001E-3</v>
      </c>
    </row>
    <row r="2884" spans="13:24">
      <c r="M2884">
        <v>2882</v>
      </c>
      <c r="N2884">
        <v>85374</v>
      </c>
      <c r="O2884" t="s">
        <v>2132</v>
      </c>
      <c r="P2884" t="s">
        <v>158</v>
      </c>
      <c r="Q2884">
        <v>1455</v>
      </c>
      <c r="R2884" s="296">
        <v>0</v>
      </c>
      <c r="S2884" s="296">
        <v>0.98799999999999999</v>
      </c>
      <c r="T2884" s="297">
        <v>18814</v>
      </c>
      <c r="U2884" s="340">
        <v>100139</v>
      </c>
      <c r="V2884" s="340">
        <v>499377</v>
      </c>
      <c r="W2884" s="297">
        <v>41403</v>
      </c>
      <c r="X2884" s="296">
        <v>6.0000000000000001E-3</v>
      </c>
    </row>
    <row r="2885" spans="13:24">
      <c r="M2885">
        <v>2883</v>
      </c>
      <c r="N2885">
        <v>29579</v>
      </c>
      <c r="O2885" t="s">
        <v>2133</v>
      </c>
      <c r="P2885" t="s">
        <v>145</v>
      </c>
      <c r="Q2885">
        <v>754</v>
      </c>
      <c r="R2885" s="296">
        <v>0</v>
      </c>
      <c r="S2885" s="296">
        <v>0.98799999999999999</v>
      </c>
      <c r="T2885" s="297">
        <v>23353</v>
      </c>
      <c r="U2885" s="340">
        <v>100111</v>
      </c>
      <c r="V2885" s="340">
        <v>395576</v>
      </c>
      <c r="W2885" s="297">
        <v>57824</v>
      </c>
      <c r="X2885" s="296">
        <v>3.9E-2</v>
      </c>
    </row>
    <row r="2886" spans="13:24">
      <c r="M2886">
        <v>2884</v>
      </c>
      <c r="N2886">
        <v>27302</v>
      </c>
      <c r="O2886" t="s">
        <v>2134</v>
      </c>
      <c r="P2886" t="s">
        <v>138</v>
      </c>
      <c r="Q2886">
        <v>618</v>
      </c>
      <c r="R2886" s="296">
        <v>0</v>
      </c>
      <c r="S2886" s="296">
        <v>0.98799999999999999</v>
      </c>
      <c r="T2886" s="297">
        <v>14918</v>
      </c>
      <c r="U2886" s="340">
        <v>100090</v>
      </c>
      <c r="V2886" s="340">
        <v>338061</v>
      </c>
      <c r="W2886" s="297">
        <v>37010</v>
      </c>
      <c r="X2886" s="296">
        <v>2.3E-2</v>
      </c>
    </row>
    <row r="2887" spans="13:24">
      <c r="M2887">
        <v>2885</v>
      </c>
      <c r="N2887">
        <v>12208</v>
      </c>
      <c r="O2887" t="s">
        <v>573</v>
      </c>
      <c r="P2887" t="s">
        <v>128</v>
      </c>
      <c r="Q2887">
        <v>714</v>
      </c>
      <c r="R2887" s="296">
        <v>0</v>
      </c>
      <c r="S2887" s="296">
        <v>0.98799999999999999</v>
      </c>
      <c r="T2887" s="297">
        <v>9587</v>
      </c>
      <c r="U2887" s="340">
        <v>100088</v>
      </c>
      <c r="V2887" s="340">
        <v>302259</v>
      </c>
      <c r="W2887" s="297">
        <v>21902</v>
      </c>
      <c r="X2887" s="296">
        <v>3.0000000000000001E-3</v>
      </c>
    </row>
    <row r="2888" spans="13:24">
      <c r="M2888">
        <v>2886</v>
      </c>
      <c r="N2888">
        <v>49404</v>
      </c>
      <c r="O2888" t="s">
        <v>2135</v>
      </c>
      <c r="P2888" t="s">
        <v>140</v>
      </c>
      <c r="Q2888">
        <v>113</v>
      </c>
      <c r="R2888" s="296">
        <v>0</v>
      </c>
      <c r="S2888" s="296">
        <v>0.98799999999999999</v>
      </c>
      <c r="T2888" s="297">
        <v>3294</v>
      </c>
      <c r="U2888" s="340">
        <v>100069</v>
      </c>
      <c r="V2888" s="340">
        <v>348030</v>
      </c>
      <c r="W2888" s="297">
        <v>9199</v>
      </c>
      <c r="X2888" s="296">
        <v>7.0000000000000001E-3</v>
      </c>
    </row>
    <row r="2889" spans="13:24">
      <c r="M2889">
        <v>2887</v>
      </c>
      <c r="N2889">
        <v>33193</v>
      </c>
      <c r="O2889" t="s">
        <v>293</v>
      </c>
      <c r="P2889" t="s">
        <v>127</v>
      </c>
      <c r="Q2889">
        <v>1211</v>
      </c>
      <c r="R2889" s="296">
        <v>0</v>
      </c>
      <c r="S2889" s="296">
        <v>0.98809999999999998</v>
      </c>
      <c r="T2889" s="297">
        <v>14795</v>
      </c>
      <c r="U2889" s="340">
        <v>100005</v>
      </c>
      <c r="V2889" s="340">
        <v>489238</v>
      </c>
      <c r="W2889" s="297">
        <v>45368</v>
      </c>
      <c r="X2889" s="296">
        <v>-8.0000000000000002E-3</v>
      </c>
    </row>
    <row r="2890" spans="13:24">
      <c r="M2890">
        <v>2888</v>
      </c>
      <c r="N2890">
        <v>19703</v>
      </c>
      <c r="O2890" t="s">
        <v>2136</v>
      </c>
      <c r="P2890" t="s">
        <v>164</v>
      </c>
      <c r="Q2890">
        <v>663</v>
      </c>
      <c r="R2890" s="296">
        <v>0</v>
      </c>
      <c r="S2890" s="296">
        <v>0.98809999999999998</v>
      </c>
      <c r="T2890" s="297">
        <v>6970</v>
      </c>
      <c r="U2890" s="340">
        <v>99929</v>
      </c>
      <c r="V2890" s="340">
        <v>332694</v>
      </c>
      <c r="W2890" s="297">
        <v>15939</v>
      </c>
      <c r="X2890" s="296">
        <v>-4.0000000000000001E-3</v>
      </c>
    </row>
    <row r="2891" spans="13:24">
      <c r="M2891">
        <v>2889</v>
      </c>
      <c r="N2891">
        <v>45067</v>
      </c>
      <c r="O2891" t="s">
        <v>702</v>
      </c>
      <c r="P2891" t="s">
        <v>136</v>
      </c>
      <c r="Q2891">
        <v>252</v>
      </c>
      <c r="R2891" s="296">
        <v>0</v>
      </c>
      <c r="S2891" s="296">
        <v>0.98809999999999998</v>
      </c>
      <c r="T2891" s="297">
        <v>5377</v>
      </c>
      <c r="U2891" s="340">
        <v>99905</v>
      </c>
      <c r="V2891" s="340">
        <v>340839</v>
      </c>
      <c r="W2891" s="297">
        <v>15120</v>
      </c>
      <c r="X2891" s="296">
        <v>4.0000000000000001E-3</v>
      </c>
    </row>
    <row r="2892" spans="13:24">
      <c r="M2892">
        <v>2890</v>
      </c>
      <c r="N2892">
        <v>38826</v>
      </c>
      <c r="O2892" t="s">
        <v>2137</v>
      </c>
      <c r="P2892" t="s">
        <v>188</v>
      </c>
      <c r="Q2892">
        <v>545</v>
      </c>
      <c r="R2892" s="296">
        <v>0</v>
      </c>
      <c r="S2892" s="296">
        <v>0.98809999999999998</v>
      </c>
      <c r="T2892" s="297">
        <v>2199</v>
      </c>
      <c r="U2892" s="340">
        <v>99880</v>
      </c>
      <c r="V2892" s="340">
        <v>274305</v>
      </c>
      <c r="W2892" s="297">
        <v>5355</v>
      </c>
      <c r="X2892" s="296">
        <v>8.0000000000000002E-3</v>
      </c>
    </row>
    <row r="2893" spans="13:24">
      <c r="M2893">
        <v>2891</v>
      </c>
      <c r="N2893">
        <v>2115</v>
      </c>
      <c r="O2893" t="s">
        <v>368</v>
      </c>
      <c r="P2893" t="s">
        <v>135</v>
      </c>
      <c r="Q2893">
        <v>853</v>
      </c>
      <c r="R2893" s="296">
        <v>0</v>
      </c>
      <c r="S2893" s="296">
        <v>0.98809999999999998</v>
      </c>
      <c r="T2893" s="297">
        <v>10599</v>
      </c>
      <c r="U2893" s="340">
        <v>99857</v>
      </c>
      <c r="V2893" s="340">
        <v>1195685</v>
      </c>
      <c r="W2893" s="297">
        <v>30706</v>
      </c>
      <c r="X2893" s="296">
        <v>-7.0000000000000001E-3</v>
      </c>
    </row>
    <row r="2894" spans="13:24">
      <c r="M2894">
        <v>2892</v>
      </c>
      <c r="N2894">
        <v>33953</v>
      </c>
      <c r="O2894" t="s">
        <v>2138</v>
      </c>
      <c r="P2894" t="s">
        <v>127</v>
      </c>
      <c r="Q2894">
        <v>1093</v>
      </c>
      <c r="R2894" s="296">
        <v>0</v>
      </c>
      <c r="S2894" s="296">
        <v>0.98809999999999998</v>
      </c>
      <c r="T2894" s="297">
        <v>3996</v>
      </c>
      <c r="U2894" s="340">
        <v>99847</v>
      </c>
      <c r="V2894" s="340">
        <v>424568</v>
      </c>
      <c r="W2894" s="297">
        <v>8580</v>
      </c>
      <c r="X2894" s="296">
        <v>5.2999999999999999E-2</v>
      </c>
    </row>
    <row r="2895" spans="13:24">
      <c r="M2895">
        <v>2893</v>
      </c>
      <c r="N2895">
        <v>61024</v>
      </c>
      <c r="O2895" t="s">
        <v>2139</v>
      </c>
      <c r="P2895" t="s">
        <v>131</v>
      </c>
      <c r="Q2895">
        <v>79</v>
      </c>
      <c r="R2895" s="296">
        <v>0</v>
      </c>
      <c r="S2895" s="296">
        <v>0.98809999999999998</v>
      </c>
      <c r="T2895" s="297">
        <v>1100</v>
      </c>
      <c r="U2895" s="340">
        <v>99834</v>
      </c>
      <c r="V2895" s="340">
        <v>247313</v>
      </c>
      <c r="W2895" s="297">
        <v>2668</v>
      </c>
      <c r="X2895" s="296">
        <v>1E-3</v>
      </c>
    </row>
    <row r="2896" spans="13:24">
      <c r="M2896">
        <v>2894</v>
      </c>
      <c r="N2896">
        <v>33334</v>
      </c>
      <c r="O2896" t="s">
        <v>506</v>
      </c>
      <c r="P2896" t="s">
        <v>127</v>
      </c>
      <c r="Q2896">
        <v>1185</v>
      </c>
      <c r="R2896" s="296">
        <v>0</v>
      </c>
      <c r="S2896" s="296">
        <v>0.98809999999999998</v>
      </c>
      <c r="T2896" s="297">
        <v>13230</v>
      </c>
      <c r="U2896" s="340">
        <v>99703</v>
      </c>
      <c r="V2896" s="340">
        <v>541376</v>
      </c>
      <c r="W2896" s="297">
        <v>29918</v>
      </c>
      <c r="X2896" s="296">
        <v>2E-3</v>
      </c>
    </row>
    <row r="2897" spans="13:24">
      <c r="M2897">
        <v>2895</v>
      </c>
      <c r="N2897">
        <v>61325</v>
      </c>
      <c r="O2897" t="s">
        <v>2140</v>
      </c>
      <c r="P2897" t="s">
        <v>131</v>
      </c>
      <c r="Q2897">
        <v>82</v>
      </c>
      <c r="R2897" s="296">
        <v>0</v>
      </c>
      <c r="S2897" s="296">
        <v>0.98819999999999997</v>
      </c>
      <c r="T2897">
        <v>371</v>
      </c>
      <c r="U2897" s="340">
        <v>99694</v>
      </c>
      <c r="V2897" s="340">
        <v>269462</v>
      </c>
      <c r="W2897">
        <v>948</v>
      </c>
      <c r="X2897" s="296">
        <v>2E-3</v>
      </c>
    </row>
    <row r="2898" spans="13:24">
      <c r="M2898">
        <v>2896</v>
      </c>
      <c r="N2898">
        <v>47620</v>
      </c>
      <c r="O2898" t="s">
        <v>660</v>
      </c>
      <c r="P2898" t="s">
        <v>144</v>
      </c>
      <c r="Q2898">
        <v>290</v>
      </c>
      <c r="R2898" s="296">
        <v>0</v>
      </c>
      <c r="S2898" s="296">
        <v>0.98819999999999997</v>
      </c>
      <c r="T2898" s="297">
        <v>5238</v>
      </c>
      <c r="U2898" s="340">
        <v>99689</v>
      </c>
      <c r="V2898" s="340">
        <v>262417</v>
      </c>
      <c r="W2898" s="297">
        <v>12704</v>
      </c>
      <c r="X2898" s="296">
        <v>-4.0000000000000001E-3</v>
      </c>
    </row>
    <row r="2899" spans="13:24">
      <c r="M2899">
        <v>2897</v>
      </c>
      <c r="N2899">
        <v>49095</v>
      </c>
      <c r="O2899" t="s">
        <v>2141</v>
      </c>
      <c r="P2899" t="s">
        <v>140</v>
      </c>
      <c r="Q2899">
        <v>99</v>
      </c>
      <c r="R2899" s="296">
        <v>0</v>
      </c>
      <c r="S2899" s="296">
        <v>0.98819999999999997</v>
      </c>
      <c r="T2899" s="297">
        <v>1018</v>
      </c>
      <c r="U2899" s="340">
        <v>99683</v>
      </c>
      <c r="V2899" s="340">
        <v>317802</v>
      </c>
      <c r="W2899" s="297">
        <v>2294</v>
      </c>
      <c r="X2899" s="296">
        <v>-8.0000000000000002E-3</v>
      </c>
    </row>
    <row r="2900" spans="13:24">
      <c r="M2900">
        <v>2898</v>
      </c>
      <c r="N2900">
        <v>4473</v>
      </c>
      <c r="O2900" t="s">
        <v>794</v>
      </c>
      <c r="P2900" t="s">
        <v>182</v>
      </c>
      <c r="Q2900">
        <v>972</v>
      </c>
      <c r="R2900" s="296">
        <v>0</v>
      </c>
      <c r="S2900" s="296">
        <v>0.98819999999999997</v>
      </c>
      <c r="T2900" s="297">
        <v>3416</v>
      </c>
      <c r="U2900" s="340">
        <v>99673</v>
      </c>
      <c r="V2900" s="340">
        <v>328886</v>
      </c>
      <c r="W2900" s="297">
        <v>9103</v>
      </c>
      <c r="X2900" s="296">
        <v>-6.0000000000000001E-3</v>
      </c>
    </row>
    <row r="2901" spans="13:24">
      <c r="M2901">
        <v>2899</v>
      </c>
      <c r="N2901">
        <v>84648</v>
      </c>
      <c r="O2901" t="s">
        <v>2142</v>
      </c>
      <c r="P2901" t="s">
        <v>219</v>
      </c>
      <c r="Q2901">
        <v>1271</v>
      </c>
      <c r="R2901" s="296">
        <v>0</v>
      </c>
      <c r="S2901" s="296">
        <v>0.98819999999999997</v>
      </c>
      <c r="T2901" s="297">
        <v>2479</v>
      </c>
      <c r="U2901" s="340">
        <v>99527</v>
      </c>
      <c r="V2901" s="340">
        <v>474051</v>
      </c>
      <c r="W2901" s="297">
        <v>8188</v>
      </c>
      <c r="X2901" s="296">
        <v>3.9E-2</v>
      </c>
    </row>
    <row r="2902" spans="13:24">
      <c r="M2902">
        <v>2900</v>
      </c>
      <c r="N2902">
        <v>62520</v>
      </c>
      <c r="O2902" t="s">
        <v>2143</v>
      </c>
      <c r="P2902" t="s">
        <v>131</v>
      </c>
      <c r="Q2902">
        <v>181</v>
      </c>
      <c r="R2902" s="296">
        <v>0</v>
      </c>
      <c r="S2902" s="296">
        <v>0.98819999999999997</v>
      </c>
      <c r="T2902">
        <v>548</v>
      </c>
      <c r="U2902" s="340">
        <v>99451</v>
      </c>
      <c r="V2902" s="340">
        <v>235412</v>
      </c>
      <c r="W2902" s="297">
        <v>1255</v>
      </c>
      <c r="X2902" s="296">
        <v>-7.0000000000000001E-3</v>
      </c>
    </row>
    <row r="2903" spans="13:24">
      <c r="M2903">
        <v>2901</v>
      </c>
      <c r="N2903">
        <v>28412</v>
      </c>
      <c r="O2903" t="s">
        <v>311</v>
      </c>
      <c r="P2903" t="s">
        <v>138</v>
      </c>
      <c r="Q2903">
        <v>769</v>
      </c>
      <c r="R2903" s="296">
        <v>0</v>
      </c>
      <c r="S2903" s="296">
        <v>0.98819999999999997</v>
      </c>
      <c r="T2903" s="297">
        <v>21384</v>
      </c>
      <c r="U2903" s="340">
        <v>99382</v>
      </c>
      <c r="V2903" s="340">
        <v>421307</v>
      </c>
      <c r="W2903" s="297">
        <v>46625</v>
      </c>
      <c r="X2903" s="296">
        <v>2.1999999999999999E-2</v>
      </c>
    </row>
    <row r="2904" spans="13:24">
      <c r="M2904">
        <v>2902</v>
      </c>
      <c r="N2904">
        <v>68506</v>
      </c>
      <c r="O2904" t="s">
        <v>415</v>
      </c>
      <c r="P2904" t="s">
        <v>195</v>
      </c>
      <c r="Q2904">
        <v>468</v>
      </c>
      <c r="R2904" s="296">
        <v>0</v>
      </c>
      <c r="S2904" s="296">
        <v>0.98819999999999997</v>
      </c>
      <c r="T2904" s="297">
        <v>12604</v>
      </c>
      <c r="U2904" s="340">
        <v>99362</v>
      </c>
      <c r="V2904" s="340">
        <v>312525</v>
      </c>
      <c r="W2904" s="297">
        <v>28156</v>
      </c>
      <c r="X2904" s="296">
        <v>1E-3</v>
      </c>
    </row>
    <row r="2905" spans="13:24">
      <c r="M2905">
        <v>2903</v>
      </c>
      <c r="N2905">
        <v>48879</v>
      </c>
      <c r="O2905" t="s">
        <v>545</v>
      </c>
      <c r="P2905" t="s">
        <v>140</v>
      </c>
      <c r="Q2905">
        <v>174</v>
      </c>
      <c r="R2905" s="296">
        <v>0</v>
      </c>
      <c r="S2905" s="296">
        <v>0.98829999999999996</v>
      </c>
      <c r="T2905" s="297">
        <v>7272</v>
      </c>
      <c r="U2905" s="340">
        <v>99275</v>
      </c>
      <c r="V2905" s="340">
        <v>259056</v>
      </c>
      <c r="W2905" s="297">
        <v>18182</v>
      </c>
      <c r="X2905" s="296">
        <v>3.0000000000000001E-3</v>
      </c>
    </row>
    <row r="2906" spans="13:24">
      <c r="M2906">
        <v>2904</v>
      </c>
      <c r="N2906">
        <v>54001</v>
      </c>
      <c r="O2906" t="s">
        <v>2144</v>
      </c>
      <c r="P2906" t="s">
        <v>149</v>
      </c>
      <c r="Q2906">
        <v>318</v>
      </c>
      <c r="R2906" s="296">
        <v>0</v>
      </c>
      <c r="S2906" s="296">
        <v>0.98829999999999996</v>
      </c>
      <c r="T2906" s="297">
        <v>3487</v>
      </c>
      <c r="U2906" s="340">
        <v>99268</v>
      </c>
      <c r="V2906" s="340">
        <v>314980</v>
      </c>
      <c r="W2906" s="297">
        <v>8243</v>
      </c>
      <c r="X2906" s="296">
        <v>2E-3</v>
      </c>
    </row>
    <row r="2907" spans="13:24">
      <c r="M2907">
        <v>2905</v>
      </c>
      <c r="N2907">
        <v>45309</v>
      </c>
      <c r="O2907" t="s">
        <v>2145</v>
      </c>
      <c r="P2907" t="s">
        <v>136</v>
      </c>
      <c r="Q2907">
        <v>237</v>
      </c>
      <c r="R2907" s="296">
        <v>0</v>
      </c>
      <c r="S2907" s="296">
        <v>0.98829999999999996</v>
      </c>
      <c r="T2907" s="297">
        <v>4849</v>
      </c>
      <c r="U2907" s="340">
        <v>99208</v>
      </c>
      <c r="V2907" s="340">
        <v>282972</v>
      </c>
      <c r="W2907" s="297">
        <v>11684</v>
      </c>
      <c r="X2907" s="296">
        <v>-3.0000000000000001E-3</v>
      </c>
    </row>
    <row r="2908" spans="13:24">
      <c r="M2908">
        <v>2906</v>
      </c>
      <c r="N2908">
        <v>48088</v>
      </c>
      <c r="O2908" t="s">
        <v>781</v>
      </c>
      <c r="P2908" t="s">
        <v>140</v>
      </c>
      <c r="Q2908">
        <v>247</v>
      </c>
      <c r="R2908" s="296">
        <v>0</v>
      </c>
      <c r="S2908" s="296">
        <v>0.98829999999999996</v>
      </c>
      <c r="T2908" s="297">
        <v>9322</v>
      </c>
      <c r="U2908" s="340">
        <v>99181</v>
      </c>
      <c r="V2908" s="340">
        <v>228331</v>
      </c>
      <c r="W2908" s="297">
        <v>22605</v>
      </c>
      <c r="X2908" s="296">
        <v>-2E-3</v>
      </c>
    </row>
    <row r="2909" spans="13:24">
      <c r="M2909">
        <v>2907</v>
      </c>
      <c r="N2909">
        <v>63755</v>
      </c>
      <c r="O2909" t="s">
        <v>1140</v>
      </c>
      <c r="P2909" t="s">
        <v>186</v>
      </c>
      <c r="Q2909">
        <v>343</v>
      </c>
      <c r="R2909" s="296">
        <v>0</v>
      </c>
      <c r="S2909" s="296">
        <v>0.98829999999999996</v>
      </c>
      <c r="T2909" s="297">
        <v>11275</v>
      </c>
      <c r="U2909" s="340">
        <v>99113</v>
      </c>
      <c r="V2909" s="340">
        <v>280761</v>
      </c>
      <c r="W2909" s="297">
        <v>28696</v>
      </c>
      <c r="X2909" s="296">
        <v>8.9999999999999993E-3</v>
      </c>
    </row>
    <row r="2910" spans="13:24">
      <c r="M2910">
        <v>2908</v>
      </c>
      <c r="N2910">
        <v>32835</v>
      </c>
      <c r="O2910" t="s">
        <v>539</v>
      </c>
      <c r="P2910" t="s">
        <v>127</v>
      </c>
      <c r="Q2910">
        <v>1005</v>
      </c>
      <c r="R2910" s="296">
        <v>0</v>
      </c>
      <c r="S2910" s="296">
        <v>0.98829999999999996</v>
      </c>
      <c r="T2910" s="297">
        <v>18718</v>
      </c>
      <c r="U2910" s="340">
        <v>99017</v>
      </c>
      <c r="V2910" s="340">
        <v>441664</v>
      </c>
      <c r="W2910" s="297">
        <v>49207</v>
      </c>
      <c r="X2910" s="296">
        <v>1.0999999999999999E-2</v>
      </c>
    </row>
    <row r="2911" spans="13:24">
      <c r="M2911">
        <v>2909</v>
      </c>
      <c r="N2911">
        <v>76120</v>
      </c>
      <c r="O2911" t="s">
        <v>688</v>
      </c>
      <c r="P2911" t="s">
        <v>134</v>
      </c>
      <c r="Q2911">
        <v>827</v>
      </c>
      <c r="R2911" s="296">
        <v>0</v>
      </c>
      <c r="S2911" s="296">
        <v>0.98829999999999996</v>
      </c>
      <c r="T2911" s="297">
        <v>8253</v>
      </c>
      <c r="U2911" s="340">
        <v>98985</v>
      </c>
      <c r="V2911" s="340">
        <v>492202</v>
      </c>
      <c r="W2911" s="297">
        <v>20071</v>
      </c>
      <c r="X2911" s="296">
        <v>0.01</v>
      </c>
    </row>
    <row r="2912" spans="13:24">
      <c r="M2912">
        <v>2910</v>
      </c>
      <c r="N2912">
        <v>89145</v>
      </c>
      <c r="O2912" t="s">
        <v>706</v>
      </c>
      <c r="P2912" t="s">
        <v>148</v>
      </c>
      <c r="Q2912">
        <v>1522</v>
      </c>
      <c r="R2912" s="296">
        <v>0</v>
      </c>
      <c r="S2912" s="296">
        <v>0.98829999999999996</v>
      </c>
      <c r="T2912" s="297">
        <v>11609</v>
      </c>
      <c r="U2912" s="340">
        <v>98918</v>
      </c>
      <c r="V2912" s="340">
        <v>524855</v>
      </c>
      <c r="W2912" s="297">
        <v>28093</v>
      </c>
      <c r="X2912" s="296">
        <v>1.0999999999999999E-2</v>
      </c>
    </row>
    <row r="2913" spans="13:24">
      <c r="M2913">
        <v>2911</v>
      </c>
      <c r="N2913">
        <v>93926</v>
      </c>
      <c r="O2913" t="s">
        <v>747</v>
      </c>
      <c r="P2913" t="s">
        <v>132</v>
      </c>
      <c r="Q2913">
        <v>1825</v>
      </c>
      <c r="R2913" s="296">
        <v>0</v>
      </c>
      <c r="S2913" s="296">
        <v>0.98839999999999995</v>
      </c>
      <c r="T2913" s="297">
        <v>2186</v>
      </c>
      <c r="U2913" s="340">
        <v>98916</v>
      </c>
      <c r="V2913" s="340">
        <v>679432</v>
      </c>
      <c r="W2913" s="297">
        <v>9155</v>
      </c>
      <c r="X2913" s="296">
        <v>-4.0000000000000001E-3</v>
      </c>
    </row>
    <row r="2914" spans="13:24">
      <c r="M2914">
        <v>2912</v>
      </c>
      <c r="N2914">
        <v>10031</v>
      </c>
      <c r="O2914" t="s">
        <v>203</v>
      </c>
      <c r="P2914" t="s">
        <v>128</v>
      </c>
      <c r="Q2914">
        <v>721</v>
      </c>
      <c r="R2914" s="296">
        <v>0</v>
      </c>
      <c r="S2914" s="296">
        <v>0.98839999999999995</v>
      </c>
      <c r="T2914" s="297">
        <v>21498</v>
      </c>
      <c r="U2914" s="340">
        <v>98813</v>
      </c>
      <c r="V2914" s="340">
        <v>977262</v>
      </c>
      <c r="W2914" s="297">
        <v>52968</v>
      </c>
      <c r="X2914" s="296">
        <v>-1.2999999999999999E-2</v>
      </c>
    </row>
    <row r="2915" spans="13:24">
      <c r="M2915">
        <v>2913</v>
      </c>
      <c r="N2915">
        <v>48220</v>
      </c>
      <c r="O2915" t="s">
        <v>2146</v>
      </c>
      <c r="P2915" t="s">
        <v>140</v>
      </c>
      <c r="Q2915">
        <v>239</v>
      </c>
      <c r="R2915" s="296">
        <v>0</v>
      </c>
      <c r="S2915" s="296">
        <v>0.98839999999999995</v>
      </c>
      <c r="T2915" s="297">
        <v>11402</v>
      </c>
      <c r="U2915" s="340">
        <v>98751</v>
      </c>
      <c r="V2915" s="340">
        <v>281914</v>
      </c>
      <c r="W2915" s="297">
        <v>21408</v>
      </c>
      <c r="X2915" s="296">
        <v>-2E-3</v>
      </c>
    </row>
    <row r="2916" spans="13:24">
      <c r="M2916">
        <v>2914</v>
      </c>
      <c r="N2916">
        <v>54162</v>
      </c>
      <c r="O2916" t="s">
        <v>2147</v>
      </c>
      <c r="P2916" t="s">
        <v>149</v>
      </c>
      <c r="Q2916">
        <v>175</v>
      </c>
      <c r="R2916" s="296">
        <v>0</v>
      </c>
      <c r="S2916" s="296">
        <v>0.98839999999999995</v>
      </c>
      <c r="T2916" s="297">
        <v>3715</v>
      </c>
      <c r="U2916" s="340">
        <v>98717</v>
      </c>
      <c r="V2916" s="340">
        <v>336946</v>
      </c>
      <c r="W2916" s="297">
        <v>9769</v>
      </c>
      <c r="X2916" s="296">
        <v>2E-3</v>
      </c>
    </row>
    <row r="2917" spans="13:24">
      <c r="M2917">
        <v>2915</v>
      </c>
      <c r="N2917">
        <v>80214</v>
      </c>
      <c r="O2917" t="s">
        <v>330</v>
      </c>
      <c r="P2917" t="s">
        <v>142</v>
      </c>
      <c r="Q2917">
        <v>915</v>
      </c>
      <c r="R2917" s="296">
        <v>0</v>
      </c>
      <c r="S2917" s="296">
        <v>0.98839999999999995</v>
      </c>
      <c r="T2917" s="297">
        <v>12474</v>
      </c>
      <c r="U2917" s="340">
        <v>98582</v>
      </c>
      <c r="V2917" s="340">
        <v>709237</v>
      </c>
      <c r="W2917" s="297">
        <v>27541</v>
      </c>
      <c r="X2917" s="296">
        <v>1.7000000000000001E-2</v>
      </c>
    </row>
    <row r="2918" spans="13:24">
      <c r="M2918">
        <v>2916</v>
      </c>
      <c r="N2918">
        <v>70001</v>
      </c>
      <c r="O2918" t="s">
        <v>1306</v>
      </c>
      <c r="P2918" t="s">
        <v>147</v>
      </c>
      <c r="Q2918">
        <v>851</v>
      </c>
      <c r="R2918" s="296">
        <v>0</v>
      </c>
      <c r="S2918" s="296">
        <v>0.98839999999999995</v>
      </c>
      <c r="T2918" s="297">
        <v>18252</v>
      </c>
      <c r="U2918" s="340">
        <v>98549</v>
      </c>
      <c r="V2918" s="340">
        <v>399236</v>
      </c>
      <c r="W2918" s="297">
        <v>38684</v>
      </c>
      <c r="X2918" s="296">
        <v>-7.0000000000000001E-3</v>
      </c>
    </row>
    <row r="2919" spans="13:24">
      <c r="M2919">
        <v>2917</v>
      </c>
      <c r="N2919">
        <v>74134</v>
      </c>
      <c r="O2919" t="s">
        <v>625</v>
      </c>
      <c r="P2919" t="s">
        <v>205</v>
      </c>
      <c r="Q2919">
        <v>599</v>
      </c>
      <c r="R2919" s="296">
        <v>0</v>
      </c>
      <c r="S2919" s="296">
        <v>0.98839999999999995</v>
      </c>
      <c r="T2919" s="297">
        <v>9110</v>
      </c>
      <c r="U2919" s="340">
        <v>98513</v>
      </c>
      <c r="V2919" s="340">
        <v>284207</v>
      </c>
      <c r="W2919" s="297">
        <v>24541</v>
      </c>
      <c r="X2919" s="296">
        <v>0.01</v>
      </c>
    </row>
    <row r="2920" spans="13:24">
      <c r="M2920">
        <v>2918</v>
      </c>
      <c r="N2920">
        <v>33584</v>
      </c>
      <c r="O2920" t="s">
        <v>2148</v>
      </c>
      <c r="P2920" t="s">
        <v>127</v>
      </c>
      <c r="Q2920">
        <v>1026</v>
      </c>
      <c r="R2920" s="296">
        <v>0</v>
      </c>
      <c r="S2920" s="296">
        <v>0.98839999999999995</v>
      </c>
      <c r="T2920" s="297">
        <v>11358</v>
      </c>
      <c r="U2920" s="340">
        <v>98488</v>
      </c>
      <c r="V2920" s="340">
        <v>415087</v>
      </c>
      <c r="W2920" s="297">
        <v>31468</v>
      </c>
      <c r="X2920" s="296">
        <v>1.4999999999999999E-2</v>
      </c>
    </row>
    <row r="2921" spans="13:24">
      <c r="M2921">
        <v>2919</v>
      </c>
      <c r="N2921">
        <v>20783</v>
      </c>
      <c r="O2921" t="s">
        <v>725</v>
      </c>
      <c r="P2921" t="s">
        <v>137</v>
      </c>
      <c r="Q2921">
        <v>607</v>
      </c>
      <c r="R2921" s="296">
        <v>0</v>
      </c>
      <c r="S2921" s="296">
        <v>0.98850000000000005</v>
      </c>
      <c r="T2921" s="297">
        <v>13719</v>
      </c>
      <c r="U2921" s="340">
        <v>98376</v>
      </c>
      <c r="V2921" s="340">
        <v>403422</v>
      </c>
      <c r="W2921" s="297">
        <v>48956</v>
      </c>
      <c r="X2921" s="296">
        <v>-3.0000000000000001E-3</v>
      </c>
    </row>
    <row r="2922" spans="13:24">
      <c r="M2922">
        <v>2920</v>
      </c>
      <c r="N2922">
        <v>20743</v>
      </c>
      <c r="O2922" t="s">
        <v>580</v>
      </c>
      <c r="P2922" t="s">
        <v>137</v>
      </c>
      <c r="Q2922">
        <v>614</v>
      </c>
      <c r="R2922" s="296">
        <v>0</v>
      </c>
      <c r="S2922" s="296">
        <v>0.98850000000000005</v>
      </c>
      <c r="T2922" s="297">
        <v>15745</v>
      </c>
      <c r="U2922" s="340">
        <v>98341</v>
      </c>
      <c r="V2922" s="340">
        <v>379484</v>
      </c>
      <c r="W2922" s="297">
        <v>40979</v>
      </c>
      <c r="X2922" s="296">
        <v>-4.0000000000000001E-3</v>
      </c>
    </row>
    <row r="2923" spans="13:24">
      <c r="M2923">
        <v>2921</v>
      </c>
      <c r="N2923">
        <v>62661</v>
      </c>
      <c r="O2923" t="s">
        <v>2149</v>
      </c>
      <c r="P2923" t="s">
        <v>131</v>
      </c>
      <c r="Q2923">
        <v>202</v>
      </c>
      <c r="R2923" s="296">
        <v>0</v>
      </c>
      <c r="S2923" s="296">
        <v>0.98850000000000005</v>
      </c>
      <c r="T2923">
        <v>520</v>
      </c>
      <c r="U2923" s="340">
        <v>98312</v>
      </c>
      <c r="V2923" s="340">
        <v>228555</v>
      </c>
      <c r="W2923" s="297">
        <v>1314</v>
      </c>
      <c r="X2923" s="296">
        <v>-3.0000000000000001E-3</v>
      </c>
    </row>
    <row r="2924" spans="13:24">
      <c r="M2924">
        <v>2922</v>
      </c>
      <c r="N2924">
        <v>62321</v>
      </c>
      <c r="O2924" t="s">
        <v>2150</v>
      </c>
      <c r="P2924" t="s">
        <v>131</v>
      </c>
      <c r="Q2924">
        <v>210</v>
      </c>
      <c r="R2924" s="296">
        <v>0</v>
      </c>
      <c r="S2924" s="296">
        <v>0.98850000000000005</v>
      </c>
      <c r="T2924" s="297">
        <v>1657</v>
      </c>
      <c r="U2924" s="340">
        <v>98240</v>
      </c>
      <c r="V2924" s="340">
        <v>188158</v>
      </c>
      <c r="W2924" s="297">
        <v>3718</v>
      </c>
      <c r="X2924" s="296">
        <v>-1.4E-2</v>
      </c>
    </row>
    <row r="2925" spans="13:24">
      <c r="M2925">
        <v>2923</v>
      </c>
      <c r="N2925">
        <v>19720</v>
      </c>
      <c r="O2925" t="s">
        <v>795</v>
      </c>
      <c r="P2925" t="s">
        <v>164</v>
      </c>
      <c r="Q2925">
        <v>658</v>
      </c>
      <c r="R2925" s="296">
        <v>0</v>
      </c>
      <c r="S2925" s="296">
        <v>0.98850000000000005</v>
      </c>
      <c r="T2925" s="297">
        <v>22772</v>
      </c>
      <c r="U2925" s="340">
        <v>98169</v>
      </c>
      <c r="V2925" s="340">
        <v>337910</v>
      </c>
      <c r="W2925" s="297">
        <v>59131</v>
      </c>
      <c r="X2925" s="296">
        <v>-4.0000000000000001E-3</v>
      </c>
    </row>
    <row r="2926" spans="13:24">
      <c r="M2926">
        <v>2924</v>
      </c>
      <c r="N2926">
        <v>61739</v>
      </c>
      <c r="O2926" t="s">
        <v>2151</v>
      </c>
      <c r="P2926" t="s">
        <v>131</v>
      </c>
      <c r="Q2926">
        <v>104</v>
      </c>
      <c r="R2926" s="296">
        <v>0</v>
      </c>
      <c r="S2926" s="296">
        <v>0.98850000000000005</v>
      </c>
      <c r="T2926" s="297">
        <v>1854</v>
      </c>
      <c r="U2926" s="340">
        <v>98156</v>
      </c>
      <c r="V2926" s="340">
        <v>191749</v>
      </c>
      <c r="W2926" s="297">
        <v>4582</v>
      </c>
      <c r="X2926" s="296">
        <v>-6.0000000000000001E-3</v>
      </c>
    </row>
    <row r="2927" spans="13:24">
      <c r="M2927">
        <v>2925</v>
      </c>
      <c r="N2927">
        <v>37865</v>
      </c>
      <c r="O2927" t="s">
        <v>2152</v>
      </c>
      <c r="P2927" t="s">
        <v>146</v>
      </c>
      <c r="Q2927">
        <v>486</v>
      </c>
      <c r="R2927" s="296">
        <v>0</v>
      </c>
      <c r="S2927" s="296">
        <v>0.98850000000000005</v>
      </c>
      <c r="T2927" s="297">
        <v>8933</v>
      </c>
      <c r="U2927" s="340">
        <v>98154</v>
      </c>
      <c r="V2927" s="340">
        <v>408725</v>
      </c>
      <c r="W2927" s="297">
        <v>22756</v>
      </c>
      <c r="X2927" s="296">
        <v>5.0000000000000001E-3</v>
      </c>
    </row>
    <row r="2928" spans="13:24">
      <c r="M2928">
        <v>2926</v>
      </c>
      <c r="N2928">
        <v>55336</v>
      </c>
      <c r="O2928" t="s">
        <v>849</v>
      </c>
      <c r="P2928" t="s">
        <v>151</v>
      </c>
      <c r="Q2928">
        <v>368</v>
      </c>
      <c r="R2928" s="296">
        <v>0</v>
      </c>
      <c r="S2928" s="296">
        <v>0.98850000000000005</v>
      </c>
      <c r="T2928" s="297">
        <v>3398</v>
      </c>
      <c r="U2928" s="340">
        <v>98112</v>
      </c>
      <c r="V2928" s="340">
        <v>305993</v>
      </c>
      <c r="W2928" s="297">
        <v>8397</v>
      </c>
      <c r="X2928" s="296">
        <v>2E-3</v>
      </c>
    </row>
    <row r="2929" spans="13:24">
      <c r="M2929">
        <v>2927</v>
      </c>
      <c r="N2929">
        <v>46792</v>
      </c>
      <c r="O2929" t="s">
        <v>781</v>
      </c>
      <c r="P2929" t="s">
        <v>144</v>
      </c>
      <c r="Q2929">
        <v>159</v>
      </c>
      <c r="R2929" s="296">
        <v>0</v>
      </c>
      <c r="S2929" s="296">
        <v>0.98860000000000003</v>
      </c>
      <c r="T2929" s="297">
        <v>1506</v>
      </c>
      <c r="U2929" s="340">
        <v>98036</v>
      </c>
      <c r="V2929" s="340">
        <v>239784</v>
      </c>
      <c r="W2929" s="297">
        <v>3815</v>
      </c>
      <c r="X2929" s="296">
        <v>4.0000000000000001E-3</v>
      </c>
    </row>
    <row r="2930" spans="13:24">
      <c r="M2930">
        <v>2928</v>
      </c>
      <c r="N2930">
        <v>73044</v>
      </c>
      <c r="O2930" t="s">
        <v>2153</v>
      </c>
      <c r="P2930" t="s">
        <v>205</v>
      </c>
      <c r="Q2930">
        <v>677</v>
      </c>
      <c r="R2930" s="296">
        <v>0</v>
      </c>
      <c r="S2930" s="296">
        <v>0.98860000000000003</v>
      </c>
      <c r="T2930" s="297">
        <v>9895</v>
      </c>
      <c r="U2930" s="340">
        <v>98027</v>
      </c>
      <c r="V2930" s="340">
        <v>244229</v>
      </c>
      <c r="W2930" s="297">
        <v>26205</v>
      </c>
      <c r="X2930" s="296">
        <v>1.7000000000000001E-2</v>
      </c>
    </row>
    <row r="2931" spans="13:24">
      <c r="M2931">
        <v>2929</v>
      </c>
      <c r="N2931">
        <v>62501</v>
      </c>
      <c r="O2931" t="s">
        <v>2154</v>
      </c>
      <c r="P2931" t="s">
        <v>131</v>
      </c>
      <c r="Q2931">
        <v>162</v>
      </c>
      <c r="R2931" s="296">
        <v>0</v>
      </c>
      <c r="S2931" s="296">
        <v>0.98860000000000003</v>
      </c>
      <c r="T2931">
        <v>979</v>
      </c>
      <c r="U2931" s="340">
        <v>98012</v>
      </c>
      <c r="V2931" s="340">
        <v>191129</v>
      </c>
      <c r="W2931" s="297">
        <v>2311</v>
      </c>
      <c r="X2931" s="296">
        <v>-5.0000000000000001E-3</v>
      </c>
    </row>
    <row r="2932" spans="13:24">
      <c r="M2932">
        <v>2930</v>
      </c>
      <c r="N2932">
        <v>62902</v>
      </c>
      <c r="O2932" t="s">
        <v>1192</v>
      </c>
      <c r="P2932" t="s">
        <v>131</v>
      </c>
      <c r="Q2932">
        <v>318</v>
      </c>
      <c r="R2932" s="296">
        <v>0</v>
      </c>
      <c r="S2932" s="296">
        <v>0.98860000000000003</v>
      </c>
      <c r="T2932" s="297">
        <v>1955</v>
      </c>
      <c r="U2932" s="340">
        <v>97926</v>
      </c>
      <c r="V2932" s="340">
        <v>250755</v>
      </c>
      <c r="W2932" s="297">
        <v>4272</v>
      </c>
      <c r="X2932" s="296">
        <v>-7.0000000000000001E-3</v>
      </c>
    </row>
    <row r="2933" spans="13:24">
      <c r="M2933">
        <v>2931</v>
      </c>
      <c r="N2933">
        <v>62561</v>
      </c>
      <c r="O2933" t="s">
        <v>2155</v>
      </c>
      <c r="P2933" t="s">
        <v>131</v>
      </c>
      <c r="Q2933">
        <v>182</v>
      </c>
      <c r="R2933" s="296">
        <v>0</v>
      </c>
      <c r="S2933" s="296">
        <v>0.98860000000000003</v>
      </c>
      <c r="T2933" s="297">
        <v>2087</v>
      </c>
      <c r="U2933" s="340">
        <v>97812</v>
      </c>
      <c r="V2933" s="340">
        <v>212789</v>
      </c>
      <c r="W2933" s="297">
        <v>5097</v>
      </c>
      <c r="X2933" s="296">
        <v>-7.0000000000000001E-3</v>
      </c>
    </row>
    <row r="2934" spans="13:24">
      <c r="M2934">
        <v>2932</v>
      </c>
      <c r="N2934">
        <v>1852</v>
      </c>
      <c r="O2934" t="s">
        <v>398</v>
      </c>
      <c r="P2934" t="s">
        <v>135</v>
      </c>
      <c r="Q2934">
        <v>841</v>
      </c>
      <c r="R2934" s="296">
        <v>0</v>
      </c>
      <c r="S2934" s="296">
        <v>0.98860000000000003</v>
      </c>
      <c r="T2934" s="297">
        <v>15001</v>
      </c>
      <c r="U2934" s="340">
        <v>97809</v>
      </c>
      <c r="V2934" s="340">
        <v>528382</v>
      </c>
      <c r="W2934" s="297">
        <v>37655</v>
      </c>
      <c r="X2934" s="296">
        <v>3.0000000000000001E-3</v>
      </c>
    </row>
    <row r="2935" spans="13:24">
      <c r="M2935">
        <v>2933</v>
      </c>
      <c r="N2935">
        <v>49269</v>
      </c>
      <c r="O2935" t="s">
        <v>2156</v>
      </c>
      <c r="P2935" t="s">
        <v>140</v>
      </c>
      <c r="Q2935">
        <v>163</v>
      </c>
      <c r="R2935" s="296">
        <v>0</v>
      </c>
      <c r="S2935" s="296">
        <v>0.98860000000000003</v>
      </c>
      <c r="T2935" s="297">
        <v>2274</v>
      </c>
      <c r="U2935" s="340">
        <v>97766</v>
      </c>
      <c r="V2935" s="340">
        <v>258247</v>
      </c>
      <c r="W2935" s="297">
        <v>5915</v>
      </c>
      <c r="X2935" s="296">
        <v>-3.0000000000000001E-3</v>
      </c>
    </row>
    <row r="2936" spans="13:24">
      <c r="M2936">
        <v>2934</v>
      </c>
      <c r="N2936">
        <v>42001</v>
      </c>
      <c r="O2936" t="s">
        <v>1658</v>
      </c>
      <c r="P2936" t="s">
        <v>143</v>
      </c>
      <c r="Q2936">
        <v>354</v>
      </c>
      <c r="R2936" s="296">
        <v>0</v>
      </c>
      <c r="S2936" s="296">
        <v>0.98860000000000003</v>
      </c>
      <c r="T2936" s="297">
        <v>13580</v>
      </c>
      <c r="U2936" s="340">
        <v>97734</v>
      </c>
      <c r="V2936" s="340">
        <v>302292</v>
      </c>
      <c r="W2936" s="297">
        <v>31883</v>
      </c>
      <c r="X2936" s="296">
        <v>2E-3</v>
      </c>
    </row>
    <row r="2937" spans="13:24">
      <c r="M2937">
        <v>2935</v>
      </c>
      <c r="N2937">
        <v>60948</v>
      </c>
      <c r="O2937" t="s">
        <v>2157</v>
      </c>
      <c r="P2937" t="s">
        <v>131</v>
      </c>
      <c r="Q2937">
        <v>113</v>
      </c>
      <c r="R2937" s="296">
        <v>0</v>
      </c>
      <c r="S2937" s="296">
        <v>0.98870000000000002</v>
      </c>
      <c r="T2937">
        <v>602</v>
      </c>
      <c r="U2937" s="340">
        <v>97681</v>
      </c>
      <c r="V2937" s="340">
        <v>316892</v>
      </c>
      <c r="W2937" s="297">
        <v>1434</v>
      </c>
      <c r="X2937" s="296">
        <v>-7.0000000000000001E-3</v>
      </c>
    </row>
    <row r="2938" spans="13:24">
      <c r="M2938">
        <v>2936</v>
      </c>
      <c r="N2938">
        <v>84302</v>
      </c>
      <c r="O2938" t="s">
        <v>2158</v>
      </c>
      <c r="P2938" t="s">
        <v>219</v>
      </c>
      <c r="Q2938">
        <v>1244</v>
      </c>
      <c r="R2938" s="296">
        <v>0</v>
      </c>
      <c r="S2938" s="296">
        <v>0.98870000000000002</v>
      </c>
      <c r="T2938" s="297">
        <v>9542</v>
      </c>
      <c r="U2938" s="340">
        <v>97655</v>
      </c>
      <c r="V2938" s="340">
        <v>430341</v>
      </c>
      <c r="W2938" s="297">
        <v>28279</v>
      </c>
      <c r="X2938" s="296">
        <v>1.4E-2</v>
      </c>
    </row>
    <row r="2939" spans="13:24">
      <c r="M2939">
        <v>2937</v>
      </c>
      <c r="N2939">
        <v>46510</v>
      </c>
      <c r="O2939" t="s">
        <v>2159</v>
      </c>
      <c r="P2939" t="s">
        <v>144</v>
      </c>
      <c r="Q2939">
        <v>122</v>
      </c>
      <c r="R2939" s="296">
        <v>0</v>
      </c>
      <c r="S2939" s="296">
        <v>0.98870000000000002</v>
      </c>
      <c r="T2939" s="297">
        <v>1380</v>
      </c>
      <c r="U2939" s="340">
        <v>97593</v>
      </c>
      <c r="V2939" s="340">
        <v>267743</v>
      </c>
      <c r="W2939" s="297">
        <v>3417</v>
      </c>
      <c r="X2939" s="296">
        <v>2E-3</v>
      </c>
    </row>
    <row r="2940" spans="13:24">
      <c r="M2940">
        <v>2938</v>
      </c>
      <c r="N2940">
        <v>52064</v>
      </c>
      <c r="O2940" t="s">
        <v>2160</v>
      </c>
      <c r="P2940" t="s">
        <v>170</v>
      </c>
      <c r="Q2940">
        <v>129</v>
      </c>
      <c r="R2940" s="296">
        <v>0</v>
      </c>
      <c r="S2940" s="296">
        <v>0.98870000000000002</v>
      </c>
      <c r="T2940">
        <v>302</v>
      </c>
      <c r="U2940" s="340">
        <v>97572</v>
      </c>
      <c r="V2940" s="340">
        <v>267678</v>
      </c>
      <c r="W2940">
        <v>707</v>
      </c>
      <c r="X2940" s="296">
        <v>2E-3</v>
      </c>
    </row>
    <row r="2941" spans="13:24">
      <c r="M2941">
        <v>2939</v>
      </c>
      <c r="N2941">
        <v>43140</v>
      </c>
      <c r="O2941" t="s">
        <v>2161</v>
      </c>
      <c r="P2941" t="s">
        <v>136</v>
      </c>
      <c r="Q2941">
        <v>275</v>
      </c>
      <c r="R2941" s="296">
        <v>0</v>
      </c>
      <c r="S2941" s="296">
        <v>0.98870000000000002</v>
      </c>
      <c r="T2941" s="297">
        <v>7739</v>
      </c>
      <c r="U2941" s="340">
        <v>97551</v>
      </c>
      <c r="V2941" s="340">
        <v>270158</v>
      </c>
      <c r="W2941" s="297">
        <v>23486</v>
      </c>
      <c r="X2941" s="296">
        <v>-5.0000000000000001E-3</v>
      </c>
    </row>
    <row r="2942" spans="13:24">
      <c r="M2942">
        <v>2940</v>
      </c>
      <c r="N2942">
        <v>70776</v>
      </c>
      <c r="O2942" t="s">
        <v>2162</v>
      </c>
      <c r="P2942" t="s">
        <v>147</v>
      </c>
      <c r="Q2942">
        <v>841</v>
      </c>
      <c r="R2942" s="296">
        <v>0</v>
      </c>
      <c r="S2942" s="296">
        <v>0.98870000000000002</v>
      </c>
      <c r="T2942" s="297">
        <v>1543</v>
      </c>
      <c r="U2942" s="340">
        <v>97490</v>
      </c>
      <c r="V2942" s="340">
        <v>335056</v>
      </c>
      <c r="W2942" s="297">
        <v>5694</v>
      </c>
      <c r="X2942" s="296">
        <v>4.0000000000000001E-3</v>
      </c>
    </row>
    <row r="2943" spans="13:24">
      <c r="M2943">
        <v>2941</v>
      </c>
      <c r="N2943">
        <v>33177</v>
      </c>
      <c r="O2943" t="s">
        <v>293</v>
      </c>
      <c r="P2943" t="s">
        <v>127</v>
      </c>
      <c r="Q2943">
        <v>1218</v>
      </c>
      <c r="R2943" s="296">
        <v>0</v>
      </c>
      <c r="S2943" s="296">
        <v>0.98870000000000002</v>
      </c>
      <c r="T2943" s="297">
        <v>16728</v>
      </c>
      <c r="U2943" s="340">
        <v>97461</v>
      </c>
      <c r="V2943" s="340">
        <v>505374</v>
      </c>
      <c r="W2943" s="297">
        <v>56424</v>
      </c>
      <c r="X2943" s="296">
        <v>1E-3</v>
      </c>
    </row>
    <row r="2944" spans="13:24">
      <c r="M2944">
        <v>2942</v>
      </c>
      <c r="N2944">
        <v>18014</v>
      </c>
      <c r="O2944" t="s">
        <v>818</v>
      </c>
      <c r="P2944" t="s">
        <v>133</v>
      </c>
      <c r="Q2944">
        <v>648</v>
      </c>
      <c r="R2944" s="296">
        <v>0</v>
      </c>
      <c r="S2944" s="296">
        <v>0.98870000000000002</v>
      </c>
      <c r="T2944" s="297">
        <v>4655</v>
      </c>
      <c r="U2944" s="340">
        <v>97376</v>
      </c>
      <c r="V2944" s="340">
        <v>363882</v>
      </c>
      <c r="W2944" s="297">
        <v>11303</v>
      </c>
      <c r="X2944" s="296">
        <v>3.0000000000000001E-3</v>
      </c>
    </row>
    <row r="2945" spans="13:24">
      <c r="M2945">
        <v>2943</v>
      </c>
      <c r="N2945">
        <v>97801</v>
      </c>
      <c r="O2945" t="s">
        <v>1936</v>
      </c>
      <c r="P2945" t="s">
        <v>207</v>
      </c>
      <c r="Q2945">
        <v>1552</v>
      </c>
      <c r="R2945" s="296">
        <v>0</v>
      </c>
      <c r="S2945" s="296">
        <v>0.98880000000000001</v>
      </c>
      <c r="T2945" s="297">
        <v>8513</v>
      </c>
      <c r="U2945" s="340">
        <v>97337</v>
      </c>
      <c r="V2945" s="340">
        <v>360588</v>
      </c>
      <c r="W2945" s="297">
        <v>22781</v>
      </c>
      <c r="X2945" s="296">
        <v>8.0000000000000002E-3</v>
      </c>
    </row>
    <row r="2946" spans="13:24">
      <c r="M2946">
        <v>2944</v>
      </c>
      <c r="N2946">
        <v>78041</v>
      </c>
      <c r="O2946" t="s">
        <v>2163</v>
      </c>
      <c r="P2946" t="s">
        <v>134</v>
      </c>
      <c r="Q2946">
        <v>1181</v>
      </c>
      <c r="R2946" s="296">
        <v>0</v>
      </c>
      <c r="S2946" s="296">
        <v>0.98880000000000001</v>
      </c>
      <c r="T2946" s="297">
        <v>16275</v>
      </c>
      <c r="U2946" s="340">
        <v>97310</v>
      </c>
      <c r="V2946" s="340">
        <v>274427</v>
      </c>
      <c r="W2946" s="297">
        <v>49407</v>
      </c>
      <c r="X2946" s="296">
        <v>3.0000000000000001E-3</v>
      </c>
    </row>
    <row r="2947" spans="13:24">
      <c r="M2947">
        <v>2945</v>
      </c>
      <c r="N2947">
        <v>54666</v>
      </c>
      <c r="O2947" t="s">
        <v>2164</v>
      </c>
      <c r="P2947" t="s">
        <v>149</v>
      </c>
      <c r="Q2947">
        <v>195</v>
      </c>
      <c r="R2947" s="296">
        <v>0</v>
      </c>
      <c r="S2947" s="296">
        <v>0.98880000000000001</v>
      </c>
      <c r="T2947" s="297">
        <v>1053</v>
      </c>
      <c r="U2947" s="340">
        <v>97289</v>
      </c>
      <c r="V2947" s="340">
        <v>308355</v>
      </c>
      <c r="W2947" s="297">
        <v>2528</v>
      </c>
      <c r="X2947" s="296">
        <v>3.0000000000000001E-3</v>
      </c>
    </row>
    <row r="2948" spans="13:24">
      <c r="M2948">
        <v>2946</v>
      </c>
      <c r="N2948">
        <v>23220</v>
      </c>
      <c r="O2948" t="s">
        <v>302</v>
      </c>
      <c r="P2948" t="s">
        <v>139</v>
      </c>
      <c r="Q2948">
        <v>633</v>
      </c>
      <c r="R2948" s="296">
        <v>0</v>
      </c>
      <c r="S2948" s="296">
        <v>0.98880000000000001</v>
      </c>
      <c r="T2948" s="297">
        <v>17425</v>
      </c>
      <c r="U2948" s="340">
        <v>97258</v>
      </c>
      <c r="V2948" s="340">
        <v>556235</v>
      </c>
      <c r="W2948" s="297">
        <v>40289</v>
      </c>
      <c r="X2948" s="296">
        <v>6.0000000000000001E-3</v>
      </c>
    </row>
    <row r="2949" spans="13:24">
      <c r="M2949">
        <v>2947</v>
      </c>
      <c r="N2949">
        <v>63028</v>
      </c>
      <c r="O2949" t="s">
        <v>2165</v>
      </c>
      <c r="P2949" t="s">
        <v>186</v>
      </c>
      <c r="Q2949">
        <v>307</v>
      </c>
      <c r="R2949" s="296">
        <v>0</v>
      </c>
      <c r="S2949" s="296">
        <v>0.98880000000000001</v>
      </c>
      <c r="T2949" s="297">
        <v>11114</v>
      </c>
      <c r="U2949" s="340">
        <v>97240</v>
      </c>
      <c r="V2949" s="340">
        <v>271700</v>
      </c>
      <c r="W2949" s="297">
        <v>28980</v>
      </c>
      <c r="X2949" s="296">
        <v>7.0000000000000001E-3</v>
      </c>
    </row>
    <row r="2950" spans="13:24">
      <c r="M2950">
        <v>2948</v>
      </c>
      <c r="N2950">
        <v>44057</v>
      </c>
      <c r="O2950" t="s">
        <v>823</v>
      </c>
      <c r="P2950" t="s">
        <v>136</v>
      </c>
      <c r="Q2950">
        <v>347</v>
      </c>
      <c r="R2950" s="296">
        <v>0</v>
      </c>
      <c r="S2950" s="296">
        <v>0.98880000000000001</v>
      </c>
      <c r="T2950" s="297">
        <v>7829</v>
      </c>
      <c r="U2950" s="340">
        <v>97238</v>
      </c>
      <c r="V2950" s="340">
        <v>276851</v>
      </c>
      <c r="W2950" s="297">
        <v>19334</v>
      </c>
      <c r="X2950" s="296">
        <v>0</v>
      </c>
    </row>
    <row r="2951" spans="13:24">
      <c r="M2951">
        <v>2949</v>
      </c>
      <c r="N2951">
        <v>43558</v>
      </c>
      <c r="O2951" t="s">
        <v>774</v>
      </c>
      <c r="P2951" t="s">
        <v>136</v>
      </c>
      <c r="Q2951">
        <v>205</v>
      </c>
      <c r="R2951" s="296">
        <v>0</v>
      </c>
      <c r="S2951" s="296">
        <v>0.98880000000000001</v>
      </c>
      <c r="T2951" s="297">
        <v>5192</v>
      </c>
      <c r="U2951" s="340">
        <v>97210</v>
      </c>
      <c r="V2951" s="340">
        <v>238790</v>
      </c>
      <c r="W2951" s="297">
        <v>12888</v>
      </c>
      <c r="X2951" s="296">
        <v>-2E-3</v>
      </c>
    </row>
    <row r="2952" spans="13:24">
      <c r="M2952">
        <v>2950</v>
      </c>
      <c r="N2952">
        <v>30331</v>
      </c>
      <c r="O2952" t="s">
        <v>507</v>
      </c>
      <c r="P2952" t="s">
        <v>130</v>
      </c>
      <c r="Q2952">
        <v>609</v>
      </c>
      <c r="R2952" s="296">
        <v>0</v>
      </c>
      <c r="S2952" s="296">
        <v>0.98880000000000001</v>
      </c>
      <c r="T2952" s="297">
        <v>26076</v>
      </c>
      <c r="U2952" s="340">
        <v>97191</v>
      </c>
      <c r="V2952" s="340">
        <v>395341</v>
      </c>
      <c r="W2952" s="297">
        <v>63945</v>
      </c>
      <c r="X2952" s="296">
        <v>1.0999999999999999E-2</v>
      </c>
    </row>
    <row r="2953" spans="13:24">
      <c r="M2953">
        <v>2951</v>
      </c>
      <c r="N2953">
        <v>53549</v>
      </c>
      <c r="O2953" t="s">
        <v>2166</v>
      </c>
      <c r="P2953" t="s">
        <v>149</v>
      </c>
      <c r="Q2953">
        <v>77</v>
      </c>
      <c r="R2953" s="296">
        <v>0</v>
      </c>
      <c r="S2953" s="296">
        <v>0.9889</v>
      </c>
      <c r="T2953" s="297">
        <v>4284</v>
      </c>
      <c r="U2953" s="340">
        <v>97184</v>
      </c>
      <c r="V2953" s="340">
        <v>345379</v>
      </c>
      <c r="W2953" s="297">
        <v>10305</v>
      </c>
      <c r="X2953" s="296">
        <v>1E-3</v>
      </c>
    </row>
    <row r="2954" spans="13:24">
      <c r="M2954">
        <v>2952</v>
      </c>
      <c r="N2954">
        <v>53704</v>
      </c>
      <c r="O2954" t="s">
        <v>823</v>
      </c>
      <c r="P2954" t="s">
        <v>149</v>
      </c>
      <c r="Q2954">
        <v>104</v>
      </c>
      <c r="R2954" s="296">
        <v>0</v>
      </c>
      <c r="S2954" s="296">
        <v>0.9889</v>
      </c>
      <c r="T2954" s="297">
        <v>22978</v>
      </c>
      <c r="U2954" s="340">
        <v>97178</v>
      </c>
      <c r="V2954" s="340">
        <v>413519</v>
      </c>
      <c r="W2954" s="297">
        <v>48845</v>
      </c>
      <c r="X2954" s="296">
        <v>8.0000000000000002E-3</v>
      </c>
    </row>
    <row r="2955" spans="13:24">
      <c r="M2955">
        <v>2953</v>
      </c>
      <c r="N2955">
        <v>63109</v>
      </c>
      <c r="O2955" t="s">
        <v>536</v>
      </c>
      <c r="P2955" t="s">
        <v>186</v>
      </c>
      <c r="Q2955">
        <v>279</v>
      </c>
      <c r="R2955" s="296">
        <v>0</v>
      </c>
      <c r="S2955" s="296">
        <v>0.9889</v>
      </c>
      <c r="T2955" s="297">
        <v>14090</v>
      </c>
      <c r="U2955" s="340">
        <v>97159</v>
      </c>
      <c r="V2955" s="340">
        <v>288032</v>
      </c>
      <c r="W2955" s="297">
        <v>26790</v>
      </c>
      <c r="X2955" s="296">
        <v>-3.0000000000000001E-3</v>
      </c>
    </row>
    <row r="2956" spans="13:24">
      <c r="M2956">
        <v>2954</v>
      </c>
      <c r="N2956">
        <v>49002</v>
      </c>
      <c r="O2956" t="s">
        <v>1000</v>
      </c>
      <c r="P2956" t="s">
        <v>140</v>
      </c>
      <c r="Q2956">
        <v>114</v>
      </c>
      <c r="R2956" s="296">
        <v>0</v>
      </c>
      <c r="S2956" s="296">
        <v>0.9889</v>
      </c>
      <c r="T2956" s="297">
        <v>8627</v>
      </c>
      <c r="U2956" s="340">
        <v>97145</v>
      </c>
      <c r="V2956" s="340">
        <v>292230</v>
      </c>
      <c r="W2956" s="297">
        <v>19376</v>
      </c>
      <c r="X2956" s="296">
        <v>-2E-3</v>
      </c>
    </row>
    <row r="2957" spans="13:24">
      <c r="M2957">
        <v>2955</v>
      </c>
      <c r="N2957">
        <v>52301</v>
      </c>
      <c r="O2957" t="s">
        <v>1017</v>
      </c>
      <c r="P2957" t="s">
        <v>170</v>
      </c>
      <c r="Q2957">
        <v>221</v>
      </c>
      <c r="R2957" s="296">
        <v>0</v>
      </c>
      <c r="S2957" s="296">
        <v>0.9889</v>
      </c>
      <c r="T2957" s="297">
        <v>1654</v>
      </c>
      <c r="U2957" s="340">
        <v>97114</v>
      </c>
      <c r="V2957" s="340">
        <v>210898</v>
      </c>
      <c r="W2957" s="297">
        <v>3850</v>
      </c>
      <c r="X2957" s="296">
        <v>-8.0000000000000002E-3</v>
      </c>
    </row>
    <row r="2958" spans="13:24">
      <c r="M2958">
        <v>2956</v>
      </c>
      <c r="N2958">
        <v>33904</v>
      </c>
      <c r="O2958" t="s">
        <v>817</v>
      </c>
      <c r="P2958" t="s">
        <v>127</v>
      </c>
      <c r="Q2958">
        <v>1123</v>
      </c>
      <c r="R2958" s="296">
        <v>0</v>
      </c>
      <c r="S2958" s="296">
        <v>0.9889</v>
      </c>
      <c r="T2958" s="297">
        <v>16225</v>
      </c>
      <c r="U2958" s="340">
        <v>97088</v>
      </c>
      <c r="V2958" s="340">
        <v>529344</v>
      </c>
      <c r="W2958" s="297">
        <v>34122</v>
      </c>
      <c r="X2958" s="296">
        <v>8.0000000000000002E-3</v>
      </c>
    </row>
    <row r="2959" spans="13:24">
      <c r="M2959">
        <v>2957</v>
      </c>
      <c r="N2959">
        <v>95064</v>
      </c>
      <c r="O2959" t="s">
        <v>310</v>
      </c>
      <c r="P2959" t="s">
        <v>132</v>
      </c>
      <c r="Q2959">
        <v>1847</v>
      </c>
      <c r="R2959" s="296">
        <v>0</v>
      </c>
      <c r="S2959" s="296">
        <v>0.9889</v>
      </c>
      <c r="T2959">
        <v>510</v>
      </c>
      <c r="U2959" s="340">
        <v>96980</v>
      </c>
      <c r="V2959" s="340">
        <v>1183915</v>
      </c>
      <c r="W2959" s="297">
        <v>8559</v>
      </c>
      <c r="X2959" s="296">
        <v>-7.0000000000000001E-3</v>
      </c>
    </row>
    <row r="2960" spans="13:24">
      <c r="M2960">
        <v>2958</v>
      </c>
      <c r="N2960">
        <v>18657</v>
      </c>
      <c r="O2960" t="s">
        <v>2167</v>
      </c>
      <c r="P2960" t="s">
        <v>133</v>
      </c>
      <c r="Q2960">
        <v>611</v>
      </c>
      <c r="R2960" s="296">
        <v>0</v>
      </c>
      <c r="S2960" s="296">
        <v>0.9889</v>
      </c>
      <c r="T2960" s="297">
        <v>4550</v>
      </c>
      <c r="U2960" s="340">
        <v>96977</v>
      </c>
      <c r="V2960" s="340">
        <v>260904</v>
      </c>
      <c r="W2960" s="297">
        <v>10537</v>
      </c>
      <c r="X2960" s="296">
        <v>-6.0000000000000001E-3</v>
      </c>
    </row>
    <row r="2961" spans="13:24">
      <c r="M2961">
        <v>2959</v>
      </c>
      <c r="N2961">
        <v>52040</v>
      </c>
      <c r="O2961" t="s">
        <v>2168</v>
      </c>
      <c r="P2961" t="s">
        <v>170</v>
      </c>
      <c r="Q2961">
        <v>173</v>
      </c>
      <c r="R2961" s="296">
        <v>0</v>
      </c>
      <c r="S2961" s="296">
        <v>0.98899999999999999</v>
      </c>
      <c r="T2961" s="297">
        <v>2499</v>
      </c>
      <c r="U2961" s="340">
        <v>96917</v>
      </c>
      <c r="V2961" s="340">
        <v>298837</v>
      </c>
      <c r="W2961" s="297">
        <v>6154</v>
      </c>
      <c r="X2961" s="296">
        <v>1.0999999999999999E-2</v>
      </c>
    </row>
    <row r="2962" spans="13:24">
      <c r="M2962">
        <v>2960</v>
      </c>
      <c r="N2962">
        <v>85041</v>
      </c>
      <c r="O2962" t="s">
        <v>548</v>
      </c>
      <c r="P2962" t="s">
        <v>158</v>
      </c>
      <c r="Q2962">
        <v>1452</v>
      </c>
      <c r="R2962" s="296">
        <v>0</v>
      </c>
      <c r="S2962" s="296">
        <v>0.98899999999999999</v>
      </c>
      <c r="T2962" s="297">
        <v>20088</v>
      </c>
      <c r="U2962" s="340">
        <v>96865</v>
      </c>
      <c r="V2962" s="340">
        <v>503292</v>
      </c>
      <c r="W2962" s="297">
        <v>69876</v>
      </c>
      <c r="X2962" s="296">
        <v>1.4999999999999999E-2</v>
      </c>
    </row>
    <row r="2963" spans="13:24">
      <c r="M2963">
        <v>2961</v>
      </c>
      <c r="N2963">
        <v>65686</v>
      </c>
      <c r="O2963" t="s">
        <v>2169</v>
      </c>
      <c r="P2963" t="s">
        <v>186</v>
      </c>
      <c r="Q2963">
        <v>485</v>
      </c>
      <c r="R2963" s="296">
        <v>0</v>
      </c>
      <c r="S2963" s="296">
        <v>0.98899999999999999</v>
      </c>
      <c r="T2963" s="297">
        <v>2179</v>
      </c>
      <c r="U2963" s="340">
        <v>96832</v>
      </c>
      <c r="V2963" s="340">
        <v>396783</v>
      </c>
      <c r="W2963" s="297">
        <v>4495</v>
      </c>
      <c r="X2963" s="296">
        <v>3.0000000000000001E-3</v>
      </c>
    </row>
    <row r="2964" spans="13:24">
      <c r="M2964">
        <v>2962</v>
      </c>
      <c r="N2964">
        <v>27301</v>
      </c>
      <c r="O2964" t="s">
        <v>2170</v>
      </c>
      <c r="P2964" t="s">
        <v>138</v>
      </c>
      <c r="Q2964">
        <v>602</v>
      </c>
      <c r="R2964" s="296">
        <v>0</v>
      </c>
      <c r="S2964" s="296">
        <v>0.98899999999999999</v>
      </c>
      <c r="T2964" s="297">
        <v>4050</v>
      </c>
      <c r="U2964" s="340">
        <v>96809</v>
      </c>
      <c r="V2964" s="340">
        <v>311243</v>
      </c>
      <c r="W2964" s="297">
        <v>11080</v>
      </c>
      <c r="X2964" s="296">
        <v>3.0000000000000001E-3</v>
      </c>
    </row>
    <row r="2965" spans="13:24">
      <c r="M2965">
        <v>2963</v>
      </c>
      <c r="N2965">
        <v>66066</v>
      </c>
      <c r="O2965" t="s">
        <v>2171</v>
      </c>
      <c r="P2965" t="s">
        <v>176</v>
      </c>
      <c r="Q2965">
        <v>444</v>
      </c>
      <c r="R2965" s="296">
        <v>0</v>
      </c>
      <c r="S2965" s="296">
        <v>0.98899999999999999</v>
      </c>
      <c r="T2965" s="297">
        <v>1014</v>
      </c>
      <c r="U2965" s="340">
        <v>96768</v>
      </c>
      <c r="V2965" s="340">
        <v>252129</v>
      </c>
      <c r="W2965" s="297">
        <v>2680</v>
      </c>
      <c r="X2965" s="296">
        <v>-2E-3</v>
      </c>
    </row>
    <row r="2966" spans="13:24">
      <c r="M2966">
        <v>2964</v>
      </c>
      <c r="N2966">
        <v>82901</v>
      </c>
      <c r="O2966" t="s">
        <v>2172</v>
      </c>
      <c r="P2966" t="s">
        <v>229</v>
      </c>
      <c r="Q2966">
        <v>1101</v>
      </c>
      <c r="R2966" s="296">
        <v>0</v>
      </c>
      <c r="S2966" s="296">
        <v>0.98899999999999999</v>
      </c>
      <c r="T2966" s="297">
        <v>10927</v>
      </c>
      <c r="U2966" s="340">
        <v>96721</v>
      </c>
      <c r="V2966" s="340">
        <v>371359</v>
      </c>
      <c r="W2966" s="297">
        <v>27331</v>
      </c>
      <c r="X2966" s="296">
        <v>-8.0000000000000002E-3</v>
      </c>
    </row>
    <row r="2967" spans="13:24">
      <c r="M2967">
        <v>2965</v>
      </c>
      <c r="N2967">
        <v>61530</v>
      </c>
      <c r="O2967" t="s">
        <v>2173</v>
      </c>
      <c r="P2967" t="s">
        <v>131</v>
      </c>
      <c r="Q2967">
        <v>125</v>
      </c>
      <c r="R2967" s="296">
        <v>0</v>
      </c>
      <c r="S2967" s="296">
        <v>0.98899999999999999</v>
      </c>
      <c r="T2967" s="297">
        <v>2425</v>
      </c>
      <c r="U2967" s="340">
        <v>96649</v>
      </c>
      <c r="V2967" s="340">
        <v>211671</v>
      </c>
      <c r="W2967" s="297">
        <v>6428</v>
      </c>
      <c r="X2967" s="296">
        <v>-3.0000000000000001E-3</v>
      </c>
    </row>
    <row r="2968" spans="13:24">
      <c r="M2968">
        <v>2966</v>
      </c>
      <c r="N2968">
        <v>8110</v>
      </c>
      <c r="O2968" t="s">
        <v>2174</v>
      </c>
      <c r="P2968" t="s">
        <v>129</v>
      </c>
      <c r="Q2968">
        <v>679</v>
      </c>
      <c r="R2968" s="296">
        <v>0</v>
      </c>
      <c r="S2968" s="296">
        <v>0.98899999999999999</v>
      </c>
      <c r="T2968" s="297">
        <v>6650</v>
      </c>
      <c r="U2968" s="340">
        <v>96541</v>
      </c>
      <c r="V2968" s="340">
        <v>308307</v>
      </c>
      <c r="W2968" s="297">
        <v>19950</v>
      </c>
      <c r="X2968" s="296">
        <v>7.0000000000000001E-3</v>
      </c>
    </row>
    <row r="2969" spans="13:24">
      <c r="M2969">
        <v>2967</v>
      </c>
      <c r="N2969">
        <v>29576</v>
      </c>
      <c r="O2969" t="s">
        <v>2175</v>
      </c>
      <c r="P2969" t="s">
        <v>145</v>
      </c>
      <c r="Q2969">
        <v>761</v>
      </c>
      <c r="R2969" s="296">
        <v>0</v>
      </c>
      <c r="S2969" s="296">
        <v>0.98909999999999998</v>
      </c>
      <c r="T2969" s="297">
        <v>17328</v>
      </c>
      <c r="U2969" s="340">
        <v>96501</v>
      </c>
      <c r="V2969" s="340">
        <v>365633</v>
      </c>
      <c r="W2969" s="297">
        <v>35737</v>
      </c>
      <c r="X2969" s="296">
        <v>2.8000000000000001E-2</v>
      </c>
    </row>
    <row r="2970" spans="13:24">
      <c r="M2970">
        <v>2968</v>
      </c>
      <c r="N2970">
        <v>84337</v>
      </c>
      <c r="O2970" t="s">
        <v>2176</v>
      </c>
      <c r="P2970" t="s">
        <v>219</v>
      </c>
      <c r="Q2970">
        <v>1255</v>
      </c>
      <c r="R2970" s="296">
        <v>0</v>
      </c>
      <c r="S2970" s="296">
        <v>0.98909999999999998</v>
      </c>
      <c r="T2970" s="297">
        <v>5049</v>
      </c>
      <c r="U2970" s="340">
        <v>96465</v>
      </c>
      <c r="V2970" s="340">
        <v>433819</v>
      </c>
      <c r="W2970" s="297">
        <v>15942</v>
      </c>
      <c r="X2970" s="296">
        <v>3.2000000000000001E-2</v>
      </c>
    </row>
    <row r="2971" spans="13:24">
      <c r="M2971">
        <v>2969</v>
      </c>
      <c r="N2971">
        <v>48312</v>
      </c>
      <c r="O2971" t="s">
        <v>1142</v>
      </c>
      <c r="P2971" t="s">
        <v>140</v>
      </c>
      <c r="Q2971">
        <v>246</v>
      </c>
      <c r="R2971" s="296">
        <v>0</v>
      </c>
      <c r="S2971" s="296">
        <v>0.98909999999999998</v>
      </c>
      <c r="T2971" s="297">
        <v>13897</v>
      </c>
      <c r="U2971" s="340">
        <v>96436</v>
      </c>
      <c r="V2971" s="340">
        <v>272033</v>
      </c>
      <c r="W2971" s="297">
        <v>35033</v>
      </c>
      <c r="X2971" s="296">
        <v>1E-3</v>
      </c>
    </row>
    <row r="2972" spans="13:24">
      <c r="M2972">
        <v>2970</v>
      </c>
      <c r="N2972">
        <v>53533</v>
      </c>
      <c r="O2972" t="s">
        <v>2177</v>
      </c>
      <c r="P2972" t="s">
        <v>149</v>
      </c>
      <c r="Q2972">
        <v>132</v>
      </c>
      <c r="R2972" s="296">
        <v>0</v>
      </c>
      <c r="S2972" s="296">
        <v>0.98909999999999998</v>
      </c>
      <c r="T2972" s="297">
        <v>3101</v>
      </c>
      <c r="U2972" s="340">
        <v>96436</v>
      </c>
      <c r="V2972" s="340">
        <v>301807</v>
      </c>
      <c r="W2972" s="297">
        <v>7230</v>
      </c>
      <c r="X2972" s="296">
        <v>-3.0000000000000001E-3</v>
      </c>
    </row>
    <row r="2973" spans="13:24">
      <c r="M2973">
        <v>2971</v>
      </c>
      <c r="N2973">
        <v>60460</v>
      </c>
      <c r="O2973" t="s">
        <v>2178</v>
      </c>
      <c r="P2973" t="s">
        <v>131</v>
      </c>
      <c r="Q2973">
        <v>88</v>
      </c>
      <c r="R2973" s="296">
        <v>0</v>
      </c>
      <c r="S2973" s="296">
        <v>0.98909999999999998</v>
      </c>
      <c r="T2973">
        <v>602</v>
      </c>
      <c r="U2973" s="340">
        <v>96433</v>
      </c>
      <c r="V2973" s="340">
        <v>188168</v>
      </c>
      <c r="W2973" s="297">
        <v>1442</v>
      </c>
      <c r="X2973" s="296">
        <v>0</v>
      </c>
    </row>
    <row r="2974" spans="13:24">
      <c r="M2974">
        <v>2972</v>
      </c>
      <c r="N2974">
        <v>54981</v>
      </c>
      <c r="O2974" t="s">
        <v>2179</v>
      </c>
      <c r="P2974" t="s">
        <v>149</v>
      </c>
      <c r="Q2974">
        <v>166</v>
      </c>
      <c r="R2974" s="296">
        <v>0</v>
      </c>
      <c r="S2974" s="296">
        <v>0.98909999999999998</v>
      </c>
      <c r="T2974" s="297">
        <v>6648</v>
      </c>
      <c r="U2974" s="340">
        <v>96316</v>
      </c>
      <c r="V2974" s="340">
        <v>318121</v>
      </c>
      <c r="W2974" s="297">
        <v>15361</v>
      </c>
      <c r="X2974" s="296">
        <v>-3.0000000000000001E-3</v>
      </c>
    </row>
    <row r="2975" spans="13:24">
      <c r="M2975">
        <v>2973</v>
      </c>
      <c r="N2975">
        <v>32127</v>
      </c>
      <c r="O2975" t="s">
        <v>1657</v>
      </c>
      <c r="P2975" t="s">
        <v>127</v>
      </c>
      <c r="Q2975">
        <v>976</v>
      </c>
      <c r="R2975" s="296">
        <v>0</v>
      </c>
      <c r="S2975" s="296">
        <v>0.98909999999999998</v>
      </c>
      <c r="T2975" s="297">
        <v>13332</v>
      </c>
      <c r="U2975" s="340">
        <v>96262</v>
      </c>
      <c r="V2975" s="340">
        <v>389849</v>
      </c>
      <c r="W2975" s="297">
        <v>29501</v>
      </c>
      <c r="X2975" s="296">
        <v>0</v>
      </c>
    </row>
    <row r="2976" spans="13:24">
      <c r="M2976">
        <v>2974</v>
      </c>
      <c r="N2976">
        <v>28711</v>
      </c>
      <c r="O2976" t="s">
        <v>2180</v>
      </c>
      <c r="P2976" t="s">
        <v>138</v>
      </c>
      <c r="Q2976">
        <v>540</v>
      </c>
      <c r="R2976" s="296">
        <v>0</v>
      </c>
      <c r="S2976" s="296">
        <v>0.98909999999999998</v>
      </c>
      <c r="T2976" s="297">
        <v>6473</v>
      </c>
      <c r="U2976" s="340">
        <v>96210</v>
      </c>
      <c r="V2976" s="340">
        <v>461850</v>
      </c>
      <c r="W2976" s="297">
        <v>15338</v>
      </c>
      <c r="X2976" s="296">
        <v>6.0000000000000001E-3</v>
      </c>
    </row>
    <row r="2977" spans="13:24">
      <c r="M2977">
        <v>2975</v>
      </c>
      <c r="N2977">
        <v>43430</v>
      </c>
      <c r="O2977" t="s">
        <v>983</v>
      </c>
      <c r="P2977" t="s">
        <v>136</v>
      </c>
      <c r="Q2977">
        <v>231</v>
      </c>
      <c r="R2977" s="296">
        <v>0</v>
      </c>
      <c r="S2977" s="296">
        <v>0.98919999999999997</v>
      </c>
      <c r="T2977" s="297">
        <v>1834</v>
      </c>
      <c r="U2977" s="340">
        <v>96193</v>
      </c>
      <c r="V2977" s="340">
        <v>182233</v>
      </c>
      <c r="W2977" s="297">
        <v>4507</v>
      </c>
      <c r="X2977" s="296">
        <v>-1E-3</v>
      </c>
    </row>
    <row r="2978" spans="13:24">
      <c r="M2978">
        <v>2976</v>
      </c>
      <c r="N2978">
        <v>33065</v>
      </c>
      <c r="O2978" t="s">
        <v>558</v>
      </c>
      <c r="P2978" t="s">
        <v>127</v>
      </c>
      <c r="Q2978">
        <v>1177</v>
      </c>
      <c r="R2978" s="296">
        <v>0</v>
      </c>
      <c r="S2978" s="296">
        <v>0.98919999999999997</v>
      </c>
      <c r="T2978" s="297">
        <v>19983</v>
      </c>
      <c r="U2978" s="340">
        <v>96177</v>
      </c>
      <c r="V2978" s="340">
        <v>488894</v>
      </c>
      <c r="W2978" s="297">
        <v>58543</v>
      </c>
      <c r="X2978" s="296">
        <v>2E-3</v>
      </c>
    </row>
    <row r="2979" spans="13:24">
      <c r="M2979">
        <v>2977</v>
      </c>
      <c r="N2979">
        <v>52772</v>
      </c>
      <c r="O2979" t="s">
        <v>1227</v>
      </c>
      <c r="P2979" t="s">
        <v>170</v>
      </c>
      <c r="Q2979">
        <v>175</v>
      </c>
      <c r="R2979" s="296">
        <v>0</v>
      </c>
      <c r="S2979" s="296">
        <v>0.98919999999999997</v>
      </c>
      <c r="T2979" s="297">
        <v>2091</v>
      </c>
      <c r="U2979" s="340">
        <v>96167</v>
      </c>
      <c r="V2979" s="340">
        <v>270972</v>
      </c>
      <c r="W2979" s="297">
        <v>5054</v>
      </c>
      <c r="X2979" s="296">
        <v>-4.0000000000000001E-3</v>
      </c>
    </row>
    <row r="2980" spans="13:24">
      <c r="M2980">
        <v>2978</v>
      </c>
      <c r="N2980">
        <v>53946</v>
      </c>
      <c r="O2980" t="s">
        <v>2181</v>
      </c>
      <c r="P2980" t="s">
        <v>149</v>
      </c>
      <c r="Q2980">
        <v>125</v>
      </c>
      <c r="R2980" s="296">
        <v>0</v>
      </c>
      <c r="S2980" s="296">
        <v>0.98919999999999997</v>
      </c>
      <c r="T2980" s="297">
        <v>1800</v>
      </c>
      <c r="U2980" s="340">
        <v>96149</v>
      </c>
      <c r="V2980" s="340">
        <v>373812</v>
      </c>
      <c r="W2980" s="297">
        <v>4391</v>
      </c>
      <c r="X2980" s="296">
        <v>8.0000000000000002E-3</v>
      </c>
    </row>
    <row r="2981" spans="13:24">
      <c r="M2981">
        <v>2979</v>
      </c>
      <c r="N2981">
        <v>63390</v>
      </c>
      <c r="O2981" t="s">
        <v>2182</v>
      </c>
      <c r="P2981" t="s">
        <v>186</v>
      </c>
      <c r="Q2981">
        <v>287</v>
      </c>
      <c r="R2981" s="296">
        <v>0</v>
      </c>
      <c r="S2981" s="296">
        <v>0.98919999999999997</v>
      </c>
      <c r="T2981" s="297">
        <v>4975</v>
      </c>
      <c r="U2981" s="340">
        <v>96110</v>
      </c>
      <c r="V2981" s="340">
        <v>320799</v>
      </c>
      <c r="W2981" s="297">
        <v>13257</v>
      </c>
      <c r="X2981" s="296">
        <v>2.4E-2</v>
      </c>
    </row>
    <row r="2982" spans="13:24">
      <c r="M2982">
        <v>2980</v>
      </c>
      <c r="N2982">
        <v>99362</v>
      </c>
      <c r="O2982" t="s">
        <v>2183</v>
      </c>
      <c r="P2982" t="s">
        <v>224</v>
      </c>
      <c r="Q2982">
        <v>1530</v>
      </c>
      <c r="R2982" s="296">
        <v>0</v>
      </c>
      <c r="S2982" s="296">
        <v>0.98919999999999997</v>
      </c>
      <c r="T2982" s="297">
        <v>16431</v>
      </c>
      <c r="U2982" s="340">
        <v>96098</v>
      </c>
      <c r="V2982" s="340">
        <v>468478</v>
      </c>
      <c r="W2982" s="297">
        <v>43663</v>
      </c>
      <c r="X2982" s="296">
        <v>3.0000000000000001E-3</v>
      </c>
    </row>
    <row r="2983" spans="13:24">
      <c r="M2983">
        <v>2981</v>
      </c>
      <c r="N2983">
        <v>32780</v>
      </c>
      <c r="O2983" t="s">
        <v>1618</v>
      </c>
      <c r="P2983" t="s">
        <v>127</v>
      </c>
      <c r="Q2983">
        <v>1018</v>
      </c>
      <c r="R2983" s="296">
        <v>0</v>
      </c>
      <c r="S2983" s="296">
        <v>0.98919999999999997</v>
      </c>
      <c r="T2983" s="297">
        <v>18093</v>
      </c>
      <c r="U2983" s="340">
        <v>96097</v>
      </c>
      <c r="V2983" s="340">
        <v>379454</v>
      </c>
      <c r="W2983" s="297">
        <v>40167</v>
      </c>
      <c r="X2983" s="296">
        <v>3.0000000000000001E-3</v>
      </c>
    </row>
    <row r="2984" spans="13:24">
      <c r="M2984">
        <v>2982</v>
      </c>
      <c r="N2984">
        <v>62959</v>
      </c>
      <c r="O2984" t="s">
        <v>529</v>
      </c>
      <c r="P2984" t="s">
        <v>131</v>
      </c>
      <c r="Q2984">
        <v>311</v>
      </c>
      <c r="R2984" s="296">
        <v>0</v>
      </c>
      <c r="S2984" s="296">
        <v>0.98919999999999997</v>
      </c>
      <c r="T2984" s="297">
        <v>11541</v>
      </c>
      <c r="U2984" s="340">
        <v>96095</v>
      </c>
      <c r="V2984" s="340">
        <v>248564</v>
      </c>
      <c r="W2984" s="297">
        <v>27467</v>
      </c>
      <c r="X2984" s="296">
        <v>-3.0000000000000001E-3</v>
      </c>
    </row>
    <row r="2985" spans="13:24">
      <c r="M2985">
        <v>2983</v>
      </c>
      <c r="N2985">
        <v>47943</v>
      </c>
      <c r="O2985" t="s">
        <v>1812</v>
      </c>
      <c r="P2985" t="s">
        <v>144</v>
      </c>
      <c r="Q2985">
        <v>79</v>
      </c>
      <c r="R2985" s="296">
        <v>0</v>
      </c>
      <c r="S2985" s="296">
        <v>0.98929999999999996</v>
      </c>
      <c r="T2985">
        <v>321</v>
      </c>
      <c r="U2985" s="340">
        <v>96069</v>
      </c>
      <c r="V2985" s="340">
        <v>284317</v>
      </c>
      <c r="W2985">
        <v>901</v>
      </c>
      <c r="X2985" s="296">
        <v>2E-3</v>
      </c>
    </row>
    <row r="2986" spans="13:24">
      <c r="M2986">
        <v>2984</v>
      </c>
      <c r="N2986">
        <v>29420</v>
      </c>
      <c r="O2986" t="s">
        <v>2184</v>
      </c>
      <c r="P2986" t="s">
        <v>145</v>
      </c>
      <c r="Q2986">
        <v>763</v>
      </c>
      <c r="R2986" s="296">
        <v>0</v>
      </c>
      <c r="S2986" s="296">
        <v>0.98929999999999996</v>
      </c>
      <c r="T2986" s="297">
        <v>10697</v>
      </c>
      <c r="U2986" s="340">
        <v>96039</v>
      </c>
      <c r="V2986" s="340">
        <v>346563</v>
      </c>
      <c r="W2986" s="297">
        <v>27561</v>
      </c>
      <c r="X2986" s="296">
        <v>0.02</v>
      </c>
    </row>
    <row r="2987" spans="13:24">
      <c r="M2987">
        <v>2985</v>
      </c>
      <c r="N2987">
        <v>83442</v>
      </c>
      <c r="O2987" t="s">
        <v>2185</v>
      </c>
      <c r="P2987" t="s">
        <v>172</v>
      </c>
      <c r="Q2987">
        <v>1220</v>
      </c>
      <c r="R2987" s="296">
        <v>0</v>
      </c>
      <c r="S2987" s="296">
        <v>0.98929999999999996</v>
      </c>
      <c r="T2987" s="297">
        <v>8234</v>
      </c>
      <c r="U2987" s="340">
        <v>96011</v>
      </c>
      <c r="V2987" s="340">
        <v>435666</v>
      </c>
      <c r="W2987" s="297">
        <v>26875</v>
      </c>
      <c r="X2987" s="296">
        <v>2.5999999999999999E-2</v>
      </c>
    </row>
    <row r="2988" spans="13:24">
      <c r="M2988">
        <v>2986</v>
      </c>
      <c r="N2988">
        <v>54494</v>
      </c>
      <c r="O2988" t="s">
        <v>2186</v>
      </c>
      <c r="P2988" t="s">
        <v>149</v>
      </c>
      <c r="Q2988">
        <v>180</v>
      </c>
      <c r="R2988" s="296">
        <v>0</v>
      </c>
      <c r="S2988" s="296">
        <v>0.98929999999999996</v>
      </c>
      <c r="T2988" s="297">
        <v>12123</v>
      </c>
      <c r="U2988" s="340">
        <v>95914</v>
      </c>
      <c r="V2988" s="340">
        <v>248857</v>
      </c>
      <c r="W2988" s="297">
        <v>27346</v>
      </c>
      <c r="X2988" s="296">
        <v>-1E-3</v>
      </c>
    </row>
    <row r="2989" spans="13:24">
      <c r="M2989">
        <v>2987</v>
      </c>
      <c r="N2989">
        <v>54024</v>
      </c>
      <c r="O2989" t="s">
        <v>2187</v>
      </c>
      <c r="P2989" t="s">
        <v>149</v>
      </c>
      <c r="Q2989">
        <v>334</v>
      </c>
      <c r="R2989" s="296">
        <v>0</v>
      </c>
      <c r="S2989" s="296">
        <v>0.98929999999999996</v>
      </c>
      <c r="T2989" s="297">
        <v>2254</v>
      </c>
      <c r="U2989" s="340">
        <v>95854</v>
      </c>
      <c r="V2989" s="340">
        <v>329415</v>
      </c>
      <c r="W2989" s="297">
        <v>5028</v>
      </c>
      <c r="X2989" s="296">
        <v>8.0000000000000002E-3</v>
      </c>
    </row>
    <row r="2990" spans="13:24">
      <c r="M2990">
        <v>2988</v>
      </c>
      <c r="N2990">
        <v>54658</v>
      </c>
      <c r="O2990" t="s">
        <v>2188</v>
      </c>
      <c r="P2990" t="s">
        <v>149</v>
      </c>
      <c r="Q2990">
        <v>202</v>
      </c>
      <c r="R2990" s="296">
        <v>0</v>
      </c>
      <c r="S2990" s="296">
        <v>0.98929999999999996</v>
      </c>
      <c r="T2990" s="297">
        <v>1048</v>
      </c>
      <c r="U2990" s="340">
        <v>95731</v>
      </c>
      <c r="V2990" s="340">
        <v>316061</v>
      </c>
      <c r="W2990" s="297">
        <v>2549</v>
      </c>
      <c r="X2990" s="296">
        <v>0</v>
      </c>
    </row>
    <row r="2991" spans="13:24">
      <c r="M2991">
        <v>2989</v>
      </c>
      <c r="N2991">
        <v>32714</v>
      </c>
      <c r="O2991" t="s">
        <v>2189</v>
      </c>
      <c r="P2991" t="s">
        <v>127</v>
      </c>
      <c r="Q2991">
        <v>998</v>
      </c>
      <c r="R2991" s="296">
        <v>0</v>
      </c>
      <c r="S2991" s="296">
        <v>0.98929999999999996</v>
      </c>
      <c r="T2991" s="297">
        <v>16296</v>
      </c>
      <c r="U2991" s="340">
        <v>95718</v>
      </c>
      <c r="V2991" s="340">
        <v>409988</v>
      </c>
      <c r="W2991" s="297">
        <v>38000</v>
      </c>
      <c r="X2991" s="296">
        <v>-2E-3</v>
      </c>
    </row>
    <row r="2992" spans="13:24">
      <c r="M2992">
        <v>2990</v>
      </c>
      <c r="N2992">
        <v>44107</v>
      </c>
      <c r="O2992" t="s">
        <v>694</v>
      </c>
      <c r="P2992" t="s">
        <v>136</v>
      </c>
      <c r="Q2992">
        <v>312</v>
      </c>
      <c r="R2992" s="296">
        <v>0</v>
      </c>
      <c r="S2992" s="296">
        <v>0.98929999999999996</v>
      </c>
      <c r="T2992" s="297">
        <v>26011</v>
      </c>
      <c r="U2992" s="340">
        <v>95714</v>
      </c>
      <c r="V2992" s="340">
        <v>305752</v>
      </c>
      <c r="W2992" s="297">
        <v>49135</v>
      </c>
      <c r="X2992" s="296">
        <v>-8.9999999999999993E-3</v>
      </c>
    </row>
    <row r="2993" spans="13:24">
      <c r="M2993">
        <v>2991</v>
      </c>
      <c r="N2993">
        <v>91606</v>
      </c>
      <c r="O2993" t="s">
        <v>2190</v>
      </c>
      <c r="P2993" t="s">
        <v>132</v>
      </c>
      <c r="Q2993">
        <v>1740</v>
      </c>
      <c r="R2993" s="296">
        <v>0</v>
      </c>
      <c r="S2993" s="296">
        <v>0.98939999999999995</v>
      </c>
      <c r="T2993" s="297">
        <v>15591</v>
      </c>
      <c r="U2993" s="340">
        <v>95636</v>
      </c>
      <c r="V2993" s="340">
        <v>886793</v>
      </c>
      <c r="W2993" s="297">
        <v>43073</v>
      </c>
      <c r="X2993" s="296">
        <v>-5.0000000000000001E-3</v>
      </c>
    </row>
    <row r="2994" spans="13:24">
      <c r="M2994">
        <v>2992</v>
      </c>
      <c r="N2994">
        <v>46746</v>
      </c>
      <c r="O2994" t="s">
        <v>2191</v>
      </c>
      <c r="P2994" t="s">
        <v>144</v>
      </c>
      <c r="Q2994">
        <v>129</v>
      </c>
      <c r="R2994" s="296">
        <v>0</v>
      </c>
      <c r="S2994" s="296">
        <v>0.98939999999999995</v>
      </c>
      <c r="T2994" s="297">
        <v>1614</v>
      </c>
      <c r="U2994" s="340">
        <v>95587</v>
      </c>
      <c r="V2994" s="340">
        <v>293459</v>
      </c>
      <c r="W2994" s="297">
        <v>4550</v>
      </c>
      <c r="X2994" s="296">
        <v>7.0000000000000001E-3</v>
      </c>
    </row>
    <row r="2995" spans="13:24">
      <c r="M2995">
        <v>2993</v>
      </c>
      <c r="N2995">
        <v>38305</v>
      </c>
      <c r="O2995" t="s">
        <v>1140</v>
      </c>
      <c r="P2995" t="s">
        <v>146</v>
      </c>
      <c r="Q2995">
        <v>450</v>
      </c>
      <c r="R2995" s="296">
        <v>0</v>
      </c>
      <c r="S2995" s="296">
        <v>0.98939999999999995</v>
      </c>
      <c r="T2995" s="297">
        <v>21623</v>
      </c>
      <c r="U2995" s="340">
        <v>95555</v>
      </c>
      <c r="V2995" s="340">
        <v>303172</v>
      </c>
      <c r="W2995" s="297">
        <v>53036</v>
      </c>
      <c r="X2995" s="296">
        <v>3.0000000000000001E-3</v>
      </c>
    </row>
    <row r="2996" spans="13:24">
      <c r="M2996">
        <v>2994</v>
      </c>
      <c r="N2996">
        <v>53098</v>
      </c>
      <c r="O2996" t="s">
        <v>396</v>
      </c>
      <c r="P2996" t="s">
        <v>149</v>
      </c>
      <c r="Q2996">
        <v>89</v>
      </c>
      <c r="R2996" s="296">
        <v>0</v>
      </c>
      <c r="S2996" s="296">
        <v>0.98939999999999995</v>
      </c>
      <c r="T2996" s="297">
        <v>4888</v>
      </c>
      <c r="U2996" s="340">
        <v>95285</v>
      </c>
      <c r="V2996" s="340">
        <v>331831</v>
      </c>
      <c r="W2996" s="297">
        <v>11624</v>
      </c>
      <c r="X2996" s="296">
        <v>1E-3</v>
      </c>
    </row>
    <row r="2997" spans="13:24">
      <c r="M2997">
        <v>2995</v>
      </c>
      <c r="N2997">
        <v>33510</v>
      </c>
      <c r="O2997" t="s">
        <v>2071</v>
      </c>
      <c r="P2997" t="s">
        <v>127</v>
      </c>
      <c r="Q2997">
        <v>1028</v>
      </c>
      <c r="R2997" s="296">
        <v>0</v>
      </c>
      <c r="S2997" s="296">
        <v>0.98939999999999995</v>
      </c>
      <c r="T2997" s="297">
        <v>11569</v>
      </c>
      <c r="U2997" s="340">
        <v>95217</v>
      </c>
      <c r="V2997" s="340">
        <v>370547</v>
      </c>
      <c r="W2997" s="297">
        <v>30742</v>
      </c>
      <c r="X2997" s="296">
        <v>6.0000000000000001E-3</v>
      </c>
    </row>
    <row r="2998" spans="13:24">
      <c r="M2998">
        <v>2996</v>
      </c>
      <c r="N2998">
        <v>79109</v>
      </c>
      <c r="O2998" t="s">
        <v>741</v>
      </c>
      <c r="P2998" t="s">
        <v>134</v>
      </c>
      <c r="Q2998">
        <v>899</v>
      </c>
      <c r="R2998" s="296">
        <v>0</v>
      </c>
      <c r="S2998" s="296">
        <v>0.98939999999999995</v>
      </c>
      <c r="T2998" s="297">
        <v>18731</v>
      </c>
      <c r="U2998" s="340">
        <v>95191</v>
      </c>
      <c r="V2998" s="340">
        <v>298814</v>
      </c>
      <c r="W2998" s="297">
        <v>42455</v>
      </c>
      <c r="X2998" s="296">
        <v>6.0000000000000001E-3</v>
      </c>
    </row>
    <row r="2999" spans="13:24">
      <c r="M2999">
        <v>2997</v>
      </c>
      <c r="N2999">
        <v>30720</v>
      </c>
      <c r="O2999" t="s">
        <v>745</v>
      </c>
      <c r="P2999" t="s">
        <v>130</v>
      </c>
      <c r="Q2999">
        <v>532</v>
      </c>
      <c r="R2999" s="296">
        <v>0</v>
      </c>
      <c r="S2999" s="296">
        <v>0.98939999999999995</v>
      </c>
      <c r="T2999" s="297">
        <v>9981</v>
      </c>
      <c r="U2999" s="340">
        <v>95153</v>
      </c>
      <c r="V2999" s="340">
        <v>310683</v>
      </c>
      <c r="W2999" s="297">
        <v>27013</v>
      </c>
      <c r="X2999" s="296">
        <v>-4.0000000000000001E-3</v>
      </c>
    </row>
    <row r="3000" spans="13:24">
      <c r="M3000">
        <v>2998</v>
      </c>
      <c r="N3000">
        <v>79934</v>
      </c>
      <c r="O3000" t="s">
        <v>339</v>
      </c>
      <c r="P3000" t="s">
        <v>134</v>
      </c>
      <c r="Q3000">
        <v>1241</v>
      </c>
      <c r="R3000" s="296">
        <v>0</v>
      </c>
      <c r="S3000" s="296">
        <v>0.98939999999999995</v>
      </c>
      <c r="T3000" s="297">
        <v>10579</v>
      </c>
      <c r="U3000" s="340">
        <v>95115</v>
      </c>
      <c r="V3000" s="340">
        <v>212677</v>
      </c>
      <c r="W3000" s="297">
        <v>30460</v>
      </c>
      <c r="X3000" s="296">
        <v>8.0000000000000002E-3</v>
      </c>
    </row>
    <row r="3001" spans="13:24">
      <c r="M3001">
        <v>2999</v>
      </c>
      <c r="N3001">
        <v>37211</v>
      </c>
      <c r="O3001" t="s">
        <v>500</v>
      </c>
      <c r="P3001" t="s">
        <v>146</v>
      </c>
      <c r="Q3001">
        <v>424</v>
      </c>
      <c r="R3001" s="296">
        <v>0</v>
      </c>
      <c r="S3001" s="296">
        <v>0.98950000000000005</v>
      </c>
      <c r="T3001" s="297">
        <v>35640</v>
      </c>
      <c r="U3001" s="340">
        <v>95094</v>
      </c>
      <c r="V3001" s="340">
        <v>483843</v>
      </c>
      <c r="W3001" s="297">
        <v>88021</v>
      </c>
      <c r="X3001" s="296">
        <v>1.4999999999999999E-2</v>
      </c>
    </row>
    <row r="3002" spans="13:24">
      <c r="M3002">
        <v>3000</v>
      </c>
      <c r="N3002">
        <v>57237</v>
      </c>
      <c r="O3002" t="s">
        <v>1105</v>
      </c>
      <c r="P3002" t="s">
        <v>215</v>
      </c>
      <c r="Q3002">
        <v>476</v>
      </c>
      <c r="R3002" s="296">
        <v>0</v>
      </c>
      <c r="S3002" s="296">
        <v>0.98950000000000005</v>
      </c>
      <c r="T3002">
        <v>334</v>
      </c>
      <c r="U3002" s="340">
        <v>95046</v>
      </c>
      <c r="V3002" s="340">
        <v>300358</v>
      </c>
      <c r="W3002">
        <v>741</v>
      </c>
      <c r="X3002" s="296">
        <v>-1E-3</v>
      </c>
    </row>
    <row r="3003" spans="13:24">
      <c r="M3003">
        <v>3001</v>
      </c>
      <c r="N3003">
        <v>78758</v>
      </c>
      <c r="O3003" t="s">
        <v>416</v>
      </c>
      <c r="P3003" t="s">
        <v>134</v>
      </c>
      <c r="Q3003">
        <v>982</v>
      </c>
      <c r="R3003" s="296">
        <v>0</v>
      </c>
      <c r="S3003" s="296">
        <v>0.98950000000000005</v>
      </c>
      <c r="T3003" s="297">
        <v>24371</v>
      </c>
      <c r="U3003" s="340">
        <v>95009</v>
      </c>
      <c r="V3003" s="340">
        <v>551995</v>
      </c>
      <c r="W3003" s="297">
        <v>52294</v>
      </c>
      <c r="X3003" s="296">
        <v>0</v>
      </c>
    </row>
    <row r="3004" spans="13:24">
      <c r="M3004">
        <v>3002</v>
      </c>
      <c r="N3004">
        <v>6066</v>
      </c>
      <c r="O3004" t="s">
        <v>577</v>
      </c>
      <c r="P3004" t="s">
        <v>141</v>
      </c>
      <c r="Q3004">
        <v>786</v>
      </c>
      <c r="R3004" s="296">
        <v>0</v>
      </c>
      <c r="S3004" s="296">
        <v>0.98950000000000005</v>
      </c>
      <c r="T3004" s="297">
        <v>14055</v>
      </c>
      <c r="U3004" s="340">
        <v>94989</v>
      </c>
      <c r="V3004" s="340">
        <v>270415</v>
      </c>
      <c r="W3004" s="297">
        <v>30104</v>
      </c>
      <c r="X3004" s="296">
        <v>-1E-3</v>
      </c>
    </row>
    <row r="3005" spans="13:24">
      <c r="M3005">
        <v>3003</v>
      </c>
      <c r="N3005">
        <v>44062</v>
      </c>
      <c r="O3005" t="s">
        <v>2192</v>
      </c>
      <c r="P3005" t="s">
        <v>136</v>
      </c>
      <c r="Q3005">
        <v>351</v>
      </c>
      <c r="R3005" s="296">
        <v>0</v>
      </c>
      <c r="S3005" s="296">
        <v>0.98950000000000005</v>
      </c>
      <c r="T3005" s="297">
        <v>4614</v>
      </c>
      <c r="U3005" s="340">
        <v>94970</v>
      </c>
      <c r="V3005" s="340">
        <v>273051</v>
      </c>
      <c r="W3005" s="297">
        <v>15470</v>
      </c>
      <c r="X3005" s="296">
        <v>-2E-3</v>
      </c>
    </row>
    <row r="3006" spans="13:24">
      <c r="M3006">
        <v>3004</v>
      </c>
      <c r="N3006">
        <v>28146</v>
      </c>
      <c r="O3006" t="s">
        <v>733</v>
      </c>
      <c r="P3006" t="s">
        <v>138</v>
      </c>
      <c r="Q3006">
        <v>601</v>
      </c>
      <c r="R3006" s="296">
        <v>0</v>
      </c>
      <c r="S3006" s="296">
        <v>0.98950000000000005</v>
      </c>
      <c r="T3006" s="297">
        <v>13145</v>
      </c>
      <c r="U3006" s="340">
        <v>94928</v>
      </c>
      <c r="V3006" s="340">
        <v>340028</v>
      </c>
      <c r="W3006" s="297">
        <v>31988</v>
      </c>
      <c r="X3006" s="296">
        <v>0.01</v>
      </c>
    </row>
    <row r="3007" spans="13:24">
      <c r="M3007">
        <v>3005</v>
      </c>
      <c r="N3007">
        <v>46347</v>
      </c>
      <c r="O3007" t="s">
        <v>2193</v>
      </c>
      <c r="P3007" t="s">
        <v>144</v>
      </c>
      <c r="Q3007">
        <v>71</v>
      </c>
      <c r="R3007" s="296">
        <v>0</v>
      </c>
      <c r="S3007" s="296">
        <v>0.98950000000000005</v>
      </c>
      <c r="T3007" s="297">
        <v>1750</v>
      </c>
      <c r="U3007" s="340">
        <v>94801</v>
      </c>
      <c r="V3007" s="340">
        <v>333546</v>
      </c>
      <c r="W3007" s="297">
        <v>4633</v>
      </c>
      <c r="X3007" s="296">
        <v>0</v>
      </c>
    </row>
    <row r="3008" spans="13:24">
      <c r="M3008">
        <v>3006</v>
      </c>
      <c r="N3008">
        <v>64012</v>
      </c>
      <c r="O3008" t="s">
        <v>2194</v>
      </c>
      <c r="P3008" t="s">
        <v>186</v>
      </c>
      <c r="Q3008">
        <v>424</v>
      </c>
      <c r="R3008" s="296">
        <v>0</v>
      </c>
      <c r="S3008" s="296">
        <v>0.98950000000000005</v>
      </c>
      <c r="T3008" s="297">
        <v>11853</v>
      </c>
      <c r="U3008" s="340">
        <v>94699</v>
      </c>
      <c r="V3008" s="340">
        <v>299514</v>
      </c>
      <c r="W3008" s="297">
        <v>30148</v>
      </c>
      <c r="X3008" s="296">
        <v>1.4E-2</v>
      </c>
    </row>
    <row r="3009" spans="13:24">
      <c r="M3009">
        <v>3007</v>
      </c>
      <c r="N3009">
        <v>72022</v>
      </c>
      <c r="O3009" t="s">
        <v>2195</v>
      </c>
      <c r="P3009" t="s">
        <v>156</v>
      </c>
      <c r="Q3009">
        <v>580</v>
      </c>
      <c r="R3009" s="296">
        <v>0</v>
      </c>
      <c r="S3009" s="296">
        <v>0.98960000000000004</v>
      </c>
      <c r="T3009" s="297">
        <v>7583</v>
      </c>
      <c r="U3009" s="340">
        <v>94544</v>
      </c>
      <c r="V3009" s="340">
        <v>231250</v>
      </c>
      <c r="W3009" s="297">
        <v>18235</v>
      </c>
      <c r="X3009" s="296">
        <v>8.9999999999999993E-3</v>
      </c>
    </row>
    <row r="3010" spans="13:24">
      <c r="M3010">
        <v>3008</v>
      </c>
      <c r="N3010">
        <v>18466</v>
      </c>
      <c r="O3010" t="s">
        <v>2196</v>
      </c>
      <c r="P3010" t="s">
        <v>133</v>
      </c>
      <c r="Q3010">
        <v>641</v>
      </c>
      <c r="R3010" s="296">
        <v>0</v>
      </c>
      <c r="S3010" s="296">
        <v>0.98960000000000004</v>
      </c>
      <c r="T3010" s="297">
        <v>6176</v>
      </c>
      <c r="U3010" s="340">
        <v>94535</v>
      </c>
      <c r="V3010" s="340">
        <v>262584</v>
      </c>
      <c r="W3010" s="297">
        <v>17944</v>
      </c>
      <c r="X3010" s="296">
        <v>1E-3</v>
      </c>
    </row>
    <row r="3011" spans="13:24">
      <c r="M3011">
        <v>3009</v>
      </c>
      <c r="N3011">
        <v>48310</v>
      </c>
      <c r="O3011" t="s">
        <v>1142</v>
      </c>
      <c r="P3011" t="s">
        <v>140</v>
      </c>
      <c r="Q3011">
        <v>243</v>
      </c>
      <c r="R3011" s="296">
        <v>0</v>
      </c>
      <c r="S3011" s="296">
        <v>0.98960000000000004</v>
      </c>
      <c r="T3011" s="297">
        <v>15418</v>
      </c>
      <c r="U3011" s="340">
        <v>94522</v>
      </c>
      <c r="V3011" s="340">
        <v>288389</v>
      </c>
      <c r="W3011" s="297">
        <v>43735</v>
      </c>
      <c r="X3011" s="296">
        <v>0</v>
      </c>
    </row>
    <row r="3012" spans="13:24">
      <c r="M3012">
        <v>3010</v>
      </c>
      <c r="N3012">
        <v>55812</v>
      </c>
      <c r="O3012" t="s">
        <v>2197</v>
      </c>
      <c r="P3012" t="s">
        <v>151</v>
      </c>
      <c r="Q3012">
        <v>385</v>
      </c>
      <c r="R3012" s="296">
        <v>0</v>
      </c>
      <c r="S3012" s="296">
        <v>0.98960000000000004</v>
      </c>
      <c r="T3012" s="297">
        <v>3514</v>
      </c>
      <c r="U3012" s="340">
        <v>94366</v>
      </c>
      <c r="V3012" s="340">
        <v>443870</v>
      </c>
      <c r="W3012" s="297">
        <v>10188</v>
      </c>
      <c r="X3012" s="296">
        <v>-1E-3</v>
      </c>
    </row>
    <row r="3013" spans="13:24">
      <c r="M3013">
        <v>3011</v>
      </c>
      <c r="N3013">
        <v>42086</v>
      </c>
      <c r="O3013" t="s">
        <v>2198</v>
      </c>
      <c r="P3013" t="s">
        <v>143</v>
      </c>
      <c r="Q3013">
        <v>352</v>
      </c>
      <c r="R3013" s="296">
        <v>0</v>
      </c>
      <c r="S3013" s="296">
        <v>0.98960000000000004</v>
      </c>
      <c r="T3013" s="297">
        <v>1665</v>
      </c>
      <c r="U3013" s="340">
        <v>94342</v>
      </c>
      <c r="V3013" s="340">
        <v>249659</v>
      </c>
      <c r="W3013" s="297">
        <v>4046</v>
      </c>
      <c r="X3013" s="296">
        <v>-4.0000000000000001E-3</v>
      </c>
    </row>
    <row r="3014" spans="13:24">
      <c r="M3014">
        <v>3012</v>
      </c>
      <c r="N3014">
        <v>47923</v>
      </c>
      <c r="O3014" t="s">
        <v>2199</v>
      </c>
      <c r="P3014" t="s">
        <v>144</v>
      </c>
      <c r="Q3014">
        <v>117</v>
      </c>
      <c r="R3014" s="296">
        <v>0</v>
      </c>
      <c r="S3014" s="296">
        <v>0.98960000000000004</v>
      </c>
      <c r="T3014" s="297">
        <v>1451</v>
      </c>
      <c r="U3014" s="340">
        <v>94341</v>
      </c>
      <c r="V3014" s="340">
        <v>236750</v>
      </c>
      <c r="W3014" s="297">
        <v>3560</v>
      </c>
      <c r="X3014" s="296">
        <v>-3.0000000000000001E-3</v>
      </c>
    </row>
    <row r="3015" spans="13:24">
      <c r="M3015">
        <v>3013</v>
      </c>
      <c r="N3015">
        <v>15801</v>
      </c>
      <c r="O3015" t="s">
        <v>819</v>
      </c>
      <c r="P3015" t="s">
        <v>133</v>
      </c>
      <c r="Q3015">
        <v>472</v>
      </c>
      <c r="R3015" s="296">
        <v>0</v>
      </c>
      <c r="S3015" s="296">
        <v>0.98960000000000004</v>
      </c>
      <c r="T3015" s="297">
        <v>8647</v>
      </c>
      <c r="U3015" s="340">
        <v>94209</v>
      </c>
      <c r="V3015" s="340">
        <v>247195</v>
      </c>
      <c r="W3015" s="297">
        <v>19590</v>
      </c>
      <c r="X3015" s="296">
        <v>-7.0000000000000001E-3</v>
      </c>
    </row>
    <row r="3016" spans="13:24">
      <c r="M3016">
        <v>3014</v>
      </c>
      <c r="N3016">
        <v>46797</v>
      </c>
      <c r="O3016" t="s">
        <v>2200</v>
      </c>
      <c r="P3016" t="s">
        <v>144</v>
      </c>
      <c r="Q3016">
        <v>167</v>
      </c>
      <c r="R3016" s="296">
        <v>0</v>
      </c>
      <c r="S3016" s="296">
        <v>0.98960000000000004</v>
      </c>
      <c r="T3016" s="297">
        <v>1437</v>
      </c>
      <c r="U3016" s="340">
        <v>94172</v>
      </c>
      <c r="V3016" s="340">
        <v>296607</v>
      </c>
      <c r="W3016" s="297">
        <v>3886</v>
      </c>
      <c r="X3016" s="296">
        <v>3.0000000000000001E-3</v>
      </c>
    </row>
    <row r="3017" spans="13:24">
      <c r="M3017">
        <v>3015</v>
      </c>
      <c r="N3017">
        <v>28467</v>
      </c>
      <c r="O3017" t="s">
        <v>2201</v>
      </c>
      <c r="P3017" t="s">
        <v>138</v>
      </c>
      <c r="Q3017">
        <v>757</v>
      </c>
      <c r="R3017" s="296">
        <v>0</v>
      </c>
      <c r="S3017" s="296">
        <v>0.98970000000000002</v>
      </c>
      <c r="T3017" s="297">
        <v>6873</v>
      </c>
      <c r="U3017" s="340">
        <v>94153</v>
      </c>
      <c r="V3017" s="340">
        <v>368438</v>
      </c>
      <c r="W3017" s="297">
        <v>13517</v>
      </c>
      <c r="X3017" s="296">
        <v>4.1000000000000002E-2</v>
      </c>
    </row>
    <row r="3018" spans="13:24">
      <c r="M3018">
        <v>3016</v>
      </c>
      <c r="N3018">
        <v>34104</v>
      </c>
      <c r="O3018" t="s">
        <v>322</v>
      </c>
      <c r="P3018" t="s">
        <v>127</v>
      </c>
      <c r="Q3018">
        <v>1157</v>
      </c>
      <c r="R3018" s="296">
        <v>0</v>
      </c>
      <c r="S3018" s="296">
        <v>0.98970000000000002</v>
      </c>
      <c r="T3018" s="297">
        <v>12529</v>
      </c>
      <c r="U3018" s="340">
        <v>94133</v>
      </c>
      <c r="V3018" s="340">
        <v>545138</v>
      </c>
      <c r="W3018" s="297">
        <v>27451</v>
      </c>
      <c r="X3018" s="296">
        <v>1.9E-2</v>
      </c>
    </row>
    <row r="3019" spans="13:24">
      <c r="M3019">
        <v>3017</v>
      </c>
      <c r="N3019">
        <v>41015</v>
      </c>
      <c r="O3019" t="s">
        <v>2202</v>
      </c>
      <c r="P3019" t="s">
        <v>143</v>
      </c>
      <c r="Q3019">
        <v>276</v>
      </c>
      <c r="R3019" s="296">
        <v>0</v>
      </c>
      <c r="S3019" s="296">
        <v>0.98970000000000002</v>
      </c>
      <c r="T3019" s="297">
        <v>8493</v>
      </c>
      <c r="U3019" s="340">
        <v>94087</v>
      </c>
      <c r="V3019" s="340">
        <v>275270</v>
      </c>
      <c r="W3019" s="297">
        <v>21034</v>
      </c>
      <c r="X3019" s="296">
        <v>-2E-3</v>
      </c>
    </row>
    <row r="3020" spans="13:24">
      <c r="M3020">
        <v>3018</v>
      </c>
      <c r="N3020">
        <v>61049</v>
      </c>
      <c r="O3020" t="s">
        <v>2203</v>
      </c>
      <c r="P3020" t="s">
        <v>131</v>
      </c>
      <c r="Q3020">
        <v>63</v>
      </c>
      <c r="R3020" s="296">
        <v>0</v>
      </c>
      <c r="S3020" s="296">
        <v>0.98970000000000002</v>
      </c>
      <c r="T3020">
        <v>188</v>
      </c>
      <c r="U3020" s="340">
        <v>94054</v>
      </c>
      <c r="V3020" s="340">
        <v>222344</v>
      </c>
      <c r="W3020">
        <v>434</v>
      </c>
      <c r="X3020" s="296">
        <v>-4.0000000000000001E-3</v>
      </c>
    </row>
    <row r="3021" spans="13:24">
      <c r="M3021">
        <v>3019</v>
      </c>
      <c r="N3021">
        <v>46732</v>
      </c>
      <c r="O3021" t="s">
        <v>679</v>
      </c>
      <c r="P3021" t="s">
        <v>144</v>
      </c>
      <c r="Q3021">
        <v>124</v>
      </c>
      <c r="R3021" s="296">
        <v>0</v>
      </c>
      <c r="S3021" s="296">
        <v>0.98970000000000002</v>
      </c>
      <c r="T3021" s="297">
        <v>1155</v>
      </c>
      <c r="U3021" s="340">
        <v>94039</v>
      </c>
      <c r="V3021" s="340">
        <v>230382</v>
      </c>
      <c r="W3021" s="297">
        <v>3005</v>
      </c>
      <c r="X3021" s="296">
        <v>-2E-3</v>
      </c>
    </row>
    <row r="3022" spans="13:24">
      <c r="M3022">
        <v>3020</v>
      </c>
      <c r="N3022">
        <v>29575</v>
      </c>
      <c r="O3022" t="s">
        <v>2133</v>
      </c>
      <c r="P3022" t="s">
        <v>145</v>
      </c>
      <c r="Q3022">
        <v>759</v>
      </c>
      <c r="R3022" s="296">
        <v>0</v>
      </c>
      <c r="S3022" s="296">
        <v>0.98970000000000002</v>
      </c>
      <c r="T3022" s="297">
        <v>10015</v>
      </c>
      <c r="U3022" s="340">
        <v>94012</v>
      </c>
      <c r="V3022" s="340">
        <v>358320</v>
      </c>
      <c r="W3022" s="297">
        <v>20677</v>
      </c>
      <c r="X3022" s="296">
        <v>3.3000000000000002E-2</v>
      </c>
    </row>
    <row r="3023" spans="13:24">
      <c r="M3023">
        <v>3021</v>
      </c>
      <c r="N3023">
        <v>53504</v>
      </c>
      <c r="O3023" t="s">
        <v>2204</v>
      </c>
      <c r="P3023" t="s">
        <v>149</v>
      </c>
      <c r="Q3023">
        <v>112</v>
      </c>
      <c r="R3023" s="296">
        <v>0</v>
      </c>
      <c r="S3023" s="296">
        <v>0.98970000000000002</v>
      </c>
      <c r="T3023">
        <v>865</v>
      </c>
      <c r="U3023" s="340">
        <v>93966</v>
      </c>
      <c r="V3023" s="340">
        <v>364180</v>
      </c>
      <c r="W3023" s="297">
        <v>2092</v>
      </c>
      <c r="X3023" s="296">
        <v>1E-3</v>
      </c>
    </row>
    <row r="3024" spans="13:24">
      <c r="M3024">
        <v>3022</v>
      </c>
      <c r="N3024">
        <v>32503</v>
      </c>
      <c r="O3024" t="s">
        <v>583</v>
      </c>
      <c r="P3024" t="s">
        <v>127</v>
      </c>
      <c r="Q3024">
        <v>808</v>
      </c>
      <c r="R3024" s="296">
        <v>0</v>
      </c>
      <c r="S3024" s="296">
        <v>0.98970000000000002</v>
      </c>
      <c r="T3024" s="297">
        <v>13195</v>
      </c>
      <c r="U3024" s="340">
        <v>93964</v>
      </c>
      <c r="V3024" s="340">
        <v>406224</v>
      </c>
      <c r="W3024" s="297">
        <v>33511</v>
      </c>
      <c r="X3024" s="296">
        <v>2E-3</v>
      </c>
    </row>
    <row r="3025" spans="13:24">
      <c r="M3025">
        <v>3023</v>
      </c>
      <c r="N3025">
        <v>61370</v>
      </c>
      <c r="O3025" t="s">
        <v>2205</v>
      </c>
      <c r="P3025" t="s">
        <v>131</v>
      </c>
      <c r="Q3025">
        <v>92</v>
      </c>
      <c r="R3025" s="296">
        <v>0</v>
      </c>
      <c r="S3025" s="296">
        <v>0.98980000000000001</v>
      </c>
      <c r="T3025">
        <v>505</v>
      </c>
      <c r="U3025" s="340">
        <v>93940</v>
      </c>
      <c r="V3025" s="340">
        <v>236565</v>
      </c>
      <c r="W3025" s="297">
        <v>1250</v>
      </c>
      <c r="X3025" s="296">
        <v>-1.2999999999999999E-2</v>
      </c>
    </row>
    <row r="3026" spans="13:24">
      <c r="M3026">
        <v>3024</v>
      </c>
      <c r="N3026">
        <v>47203</v>
      </c>
      <c r="O3026" t="s">
        <v>468</v>
      </c>
      <c r="P3026" t="s">
        <v>144</v>
      </c>
      <c r="Q3026">
        <v>226</v>
      </c>
      <c r="R3026" s="296">
        <v>0</v>
      </c>
      <c r="S3026" s="296">
        <v>0.98980000000000001</v>
      </c>
      <c r="T3026" s="297">
        <v>11028</v>
      </c>
      <c r="U3026" s="340">
        <v>93935</v>
      </c>
      <c r="V3026" s="340">
        <v>268805</v>
      </c>
      <c r="W3026" s="297">
        <v>27415</v>
      </c>
      <c r="X3026" s="296">
        <v>0</v>
      </c>
    </row>
    <row r="3027" spans="13:24">
      <c r="M3027">
        <v>3025</v>
      </c>
      <c r="N3027">
        <v>35180</v>
      </c>
      <c r="O3027" t="s">
        <v>2206</v>
      </c>
      <c r="P3027" t="s">
        <v>154</v>
      </c>
      <c r="Q3027">
        <v>575</v>
      </c>
      <c r="R3027" s="296">
        <v>0</v>
      </c>
      <c r="S3027" s="296">
        <v>0.98980000000000001</v>
      </c>
      <c r="T3027" s="297">
        <v>5641</v>
      </c>
      <c r="U3027" s="340">
        <v>93916</v>
      </c>
      <c r="V3027" s="340">
        <v>253043</v>
      </c>
      <c r="W3027" s="297">
        <v>14944</v>
      </c>
      <c r="X3027" s="296">
        <v>8.0000000000000002E-3</v>
      </c>
    </row>
    <row r="3028" spans="13:24">
      <c r="M3028">
        <v>3026</v>
      </c>
      <c r="N3028">
        <v>6511</v>
      </c>
      <c r="O3028" t="s">
        <v>465</v>
      </c>
      <c r="P3028" t="s">
        <v>141</v>
      </c>
      <c r="Q3028">
        <v>767</v>
      </c>
      <c r="R3028" s="296">
        <v>0</v>
      </c>
      <c r="S3028" s="296">
        <v>0.98980000000000001</v>
      </c>
      <c r="T3028" s="297">
        <v>22772</v>
      </c>
      <c r="U3028" s="340">
        <v>93882</v>
      </c>
      <c r="V3028" s="340">
        <v>467699</v>
      </c>
      <c r="W3028" s="297">
        <v>58352</v>
      </c>
      <c r="X3028" s="296">
        <v>8.0000000000000002E-3</v>
      </c>
    </row>
    <row r="3029" spans="13:24">
      <c r="M3029">
        <v>3027</v>
      </c>
      <c r="N3029">
        <v>80017</v>
      </c>
      <c r="O3029" t="s">
        <v>334</v>
      </c>
      <c r="P3029" t="s">
        <v>142</v>
      </c>
      <c r="Q3029">
        <v>902</v>
      </c>
      <c r="R3029" s="296">
        <v>0</v>
      </c>
      <c r="S3029" s="296">
        <v>0.98980000000000001</v>
      </c>
      <c r="T3029" s="297">
        <v>14119</v>
      </c>
      <c r="U3029" s="340">
        <v>93856</v>
      </c>
      <c r="V3029" s="340">
        <v>528301</v>
      </c>
      <c r="W3029" s="297">
        <v>38036</v>
      </c>
      <c r="X3029" s="296">
        <v>6.0000000000000001E-3</v>
      </c>
    </row>
    <row r="3030" spans="13:24">
      <c r="M3030">
        <v>3028</v>
      </c>
      <c r="N3030">
        <v>63023</v>
      </c>
      <c r="O3030" t="s">
        <v>2207</v>
      </c>
      <c r="P3030" t="s">
        <v>186</v>
      </c>
      <c r="Q3030">
        <v>309</v>
      </c>
      <c r="R3030" s="296">
        <v>0</v>
      </c>
      <c r="S3030" s="296">
        <v>0.98980000000000001</v>
      </c>
      <c r="T3030" s="297">
        <v>1890</v>
      </c>
      <c r="U3030" s="340">
        <v>93854</v>
      </c>
      <c r="V3030" s="340">
        <v>282355</v>
      </c>
      <c r="W3030" s="297">
        <v>4701</v>
      </c>
      <c r="X3030" s="296">
        <v>0</v>
      </c>
    </row>
    <row r="3031" spans="13:24">
      <c r="M3031">
        <v>3029</v>
      </c>
      <c r="N3031">
        <v>97462</v>
      </c>
      <c r="O3031" t="s">
        <v>301</v>
      </c>
      <c r="P3031" t="s">
        <v>207</v>
      </c>
      <c r="Q3031">
        <v>1792</v>
      </c>
      <c r="R3031" s="296">
        <v>0</v>
      </c>
      <c r="S3031" s="296">
        <v>0.98980000000000001</v>
      </c>
      <c r="T3031" s="297">
        <v>1697</v>
      </c>
      <c r="U3031" s="340">
        <v>93774</v>
      </c>
      <c r="V3031" s="340">
        <v>519173</v>
      </c>
      <c r="W3031" s="297">
        <v>4177</v>
      </c>
      <c r="X3031" s="296">
        <v>2E-3</v>
      </c>
    </row>
    <row r="3032" spans="13:24">
      <c r="M3032">
        <v>3030</v>
      </c>
      <c r="N3032">
        <v>37214</v>
      </c>
      <c r="O3032" t="s">
        <v>500</v>
      </c>
      <c r="P3032" t="s">
        <v>146</v>
      </c>
      <c r="Q3032">
        <v>418</v>
      </c>
      <c r="R3032" s="296">
        <v>0</v>
      </c>
      <c r="S3032" s="296">
        <v>0.98980000000000001</v>
      </c>
      <c r="T3032" s="297">
        <v>15071</v>
      </c>
      <c r="U3032" s="340">
        <v>93763</v>
      </c>
      <c r="V3032" s="340">
        <v>468766</v>
      </c>
      <c r="W3032" s="297">
        <v>32312</v>
      </c>
      <c r="X3032" s="296">
        <v>1.4E-2</v>
      </c>
    </row>
    <row r="3033" spans="13:24">
      <c r="M3033">
        <v>3031</v>
      </c>
      <c r="N3033">
        <v>34609</v>
      </c>
      <c r="O3033" t="s">
        <v>1485</v>
      </c>
      <c r="P3033" t="s">
        <v>127</v>
      </c>
      <c r="Q3033">
        <v>990</v>
      </c>
      <c r="R3033" s="296">
        <v>0</v>
      </c>
      <c r="S3033" s="296">
        <v>0.9899</v>
      </c>
      <c r="T3033" s="297">
        <v>18838</v>
      </c>
      <c r="U3033" s="340">
        <v>93729</v>
      </c>
      <c r="V3033" s="340">
        <v>350909</v>
      </c>
      <c r="W3033" s="297">
        <v>48483</v>
      </c>
      <c r="X3033" s="296">
        <v>2.4E-2</v>
      </c>
    </row>
    <row r="3034" spans="13:24">
      <c r="M3034">
        <v>3032</v>
      </c>
      <c r="N3034">
        <v>46184</v>
      </c>
      <c r="O3034" t="s">
        <v>2208</v>
      </c>
      <c r="P3034" t="s">
        <v>144</v>
      </c>
      <c r="Q3034">
        <v>200</v>
      </c>
      <c r="R3034" s="296">
        <v>0</v>
      </c>
      <c r="S3034" s="296">
        <v>0.9899</v>
      </c>
      <c r="T3034" s="297">
        <v>5041</v>
      </c>
      <c r="U3034" s="340">
        <v>93715</v>
      </c>
      <c r="V3034" s="340">
        <v>289501</v>
      </c>
      <c r="W3034" s="297">
        <v>14112</v>
      </c>
      <c r="X3034" s="296">
        <v>2.3E-2</v>
      </c>
    </row>
    <row r="3035" spans="13:24">
      <c r="M3035">
        <v>3033</v>
      </c>
      <c r="N3035">
        <v>87107</v>
      </c>
      <c r="O3035" t="s">
        <v>783</v>
      </c>
      <c r="P3035" t="s">
        <v>200</v>
      </c>
      <c r="Q3035">
        <v>1124</v>
      </c>
      <c r="R3035" s="296">
        <v>0</v>
      </c>
      <c r="S3035" s="296">
        <v>0.9899</v>
      </c>
      <c r="T3035" s="297">
        <v>13544</v>
      </c>
      <c r="U3035" s="340">
        <v>93605</v>
      </c>
      <c r="V3035" s="340">
        <v>414125</v>
      </c>
      <c r="W3035" s="297">
        <v>30062</v>
      </c>
      <c r="X3035" s="296">
        <v>-3.0000000000000001E-3</v>
      </c>
    </row>
    <row r="3036" spans="13:24">
      <c r="M3036">
        <v>3034</v>
      </c>
      <c r="N3036">
        <v>52361</v>
      </c>
      <c r="O3036" t="s">
        <v>1861</v>
      </c>
      <c r="P3036" t="s">
        <v>170</v>
      </c>
      <c r="Q3036">
        <v>221</v>
      </c>
      <c r="R3036" s="296">
        <v>0</v>
      </c>
      <c r="S3036" s="296">
        <v>0.9899</v>
      </c>
      <c r="T3036" s="297">
        <v>2033</v>
      </c>
      <c r="U3036" s="340">
        <v>93601</v>
      </c>
      <c r="V3036" s="340">
        <v>263330</v>
      </c>
      <c r="W3036" s="297">
        <v>5144</v>
      </c>
      <c r="X3036" s="296">
        <v>8.0000000000000002E-3</v>
      </c>
    </row>
    <row r="3037" spans="13:24">
      <c r="M3037">
        <v>3035</v>
      </c>
      <c r="N3037">
        <v>32222</v>
      </c>
      <c r="O3037" t="s">
        <v>331</v>
      </c>
      <c r="P3037" t="s">
        <v>127</v>
      </c>
      <c r="Q3037">
        <v>888</v>
      </c>
      <c r="R3037" s="296">
        <v>0</v>
      </c>
      <c r="S3037" s="296">
        <v>0.9899</v>
      </c>
      <c r="T3037" s="297">
        <v>7397</v>
      </c>
      <c r="U3037" s="340">
        <v>93583</v>
      </c>
      <c r="V3037" s="340">
        <v>360905</v>
      </c>
      <c r="W3037" s="297">
        <v>19824</v>
      </c>
      <c r="X3037" s="296">
        <v>6.5000000000000002E-2</v>
      </c>
    </row>
    <row r="3038" spans="13:24">
      <c r="M3038">
        <v>3036</v>
      </c>
      <c r="N3038">
        <v>21239</v>
      </c>
      <c r="O3038" t="s">
        <v>643</v>
      </c>
      <c r="P3038" t="s">
        <v>137</v>
      </c>
      <c r="Q3038">
        <v>616</v>
      </c>
      <c r="R3038" s="296">
        <v>0</v>
      </c>
      <c r="S3038" s="296">
        <v>0.9899</v>
      </c>
      <c r="T3038" s="297">
        <v>11119</v>
      </c>
      <c r="U3038" s="340">
        <v>93539</v>
      </c>
      <c r="V3038" s="340">
        <v>260850</v>
      </c>
      <c r="W3038" s="297">
        <v>26782</v>
      </c>
      <c r="X3038" s="296">
        <v>-8.0000000000000002E-3</v>
      </c>
    </row>
    <row r="3039" spans="13:24">
      <c r="M3039">
        <v>3037</v>
      </c>
      <c r="N3039">
        <v>33909</v>
      </c>
      <c r="O3039" t="s">
        <v>817</v>
      </c>
      <c r="P3039" t="s">
        <v>127</v>
      </c>
      <c r="Q3039">
        <v>1118</v>
      </c>
      <c r="R3039" s="296">
        <v>0</v>
      </c>
      <c r="S3039" s="296">
        <v>0.9899</v>
      </c>
      <c r="T3039" s="297">
        <v>13988</v>
      </c>
      <c r="U3039" s="340">
        <v>93476</v>
      </c>
      <c r="V3039" s="340">
        <v>464691</v>
      </c>
      <c r="W3039" s="297">
        <v>38527</v>
      </c>
      <c r="X3039" s="296">
        <v>3.5000000000000003E-2</v>
      </c>
    </row>
    <row r="3040" spans="13:24">
      <c r="M3040">
        <v>3038</v>
      </c>
      <c r="N3040">
        <v>98003</v>
      </c>
      <c r="O3040" t="s">
        <v>2209</v>
      </c>
      <c r="P3040" t="s">
        <v>224</v>
      </c>
      <c r="Q3040">
        <v>1717</v>
      </c>
      <c r="R3040" s="296">
        <v>0</v>
      </c>
      <c r="S3040" s="296">
        <v>0.9899</v>
      </c>
      <c r="T3040" s="297">
        <v>19320</v>
      </c>
      <c r="U3040" s="340">
        <v>93387</v>
      </c>
      <c r="V3040" s="340">
        <v>649439</v>
      </c>
      <c r="W3040" s="297">
        <v>53073</v>
      </c>
      <c r="X3040" s="296">
        <v>8.0000000000000002E-3</v>
      </c>
    </row>
    <row r="3041" spans="13:24">
      <c r="M3041">
        <v>3039</v>
      </c>
      <c r="N3041">
        <v>54614</v>
      </c>
      <c r="O3041" t="s">
        <v>488</v>
      </c>
      <c r="P3041" t="s">
        <v>149</v>
      </c>
      <c r="Q3041">
        <v>200</v>
      </c>
      <c r="R3041" s="296">
        <v>0</v>
      </c>
      <c r="S3041" s="296">
        <v>0.99</v>
      </c>
      <c r="T3041" s="297">
        <v>1181</v>
      </c>
      <c r="U3041" s="340">
        <v>93374</v>
      </c>
      <c r="V3041" s="340">
        <v>327287</v>
      </c>
      <c r="W3041" s="297">
        <v>2897</v>
      </c>
      <c r="X3041" s="296">
        <v>-4.0000000000000001E-3</v>
      </c>
    </row>
    <row r="3042" spans="13:24">
      <c r="M3042">
        <v>3040</v>
      </c>
      <c r="N3042">
        <v>62972</v>
      </c>
      <c r="O3042" t="s">
        <v>1084</v>
      </c>
      <c r="P3042" t="s">
        <v>131</v>
      </c>
      <c r="Q3042">
        <v>323</v>
      </c>
      <c r="R3042" s="296">
        <v>0</v>
      </c>
      <c r="S3042" s="296">
        <v>0.99</v>
      </c>
      <c r="T3042">
        <v>501</v>
      </c>
      <c r="U3042" s="340">
        <v>93333</v>
      </c>
      <c r="V3042" s="340">
        <v>217151</v>
      </c>
      <c r="W3042" s="297">
        <v>1187</v>
      </c>
      <c r="X3042" s="296">
        <v>-3.0000000000000001E-3</v>
      </c>
    </row>
    <row r="3043" spans="13:24">
      <c r="M3043">
        <v>3041</v>
      </c>
      <c r="N3043">
        <v>4401</v>
      </c>
      <c r="O3043" t="s">
        <v>488</v>
      </c>
      <c r="P3043" t="s">
        <v>182</v>
      </c>
      <c r="Q3043">
        <v>965</v>
      </c>
      <c r="R3043" s="296">
        <v>0</v>
      </c>
      <c r="S3043" s="296">
        <v>0.99</v>
      </c>
      <c r="T3043" s="297">
        <v>20182</v>
      </c>
      <c r="U3043" s="340">
        <v>93329</v>
      </c>
      <c r="V3043" s="340">
        <v>297471</v>
      </c>
      <c r="W3043" s="297">
        <v>45170</v>
      </c>
      <c r="X3043" s="296">
        <v>3.0000000000000001E-3</v>
      </c>
    </row>
    <row r="3044" spans="13:24">
      <c r="M3044">
        <v>3042</v>
      </c>
      <c r="N3044">
        <v>56484</v>
      </c>
      <c r="O3044" t="s">
        <v>2105</v>
      </c>
      <c r="P3044" t="s">
        <v>151</v>
      </c>
      <c r="Q3044">
        <v>477</v>
      </c>
      <c r="R3044" s="296">
        <v>0</v>
      </c>
      <c r="S3044" s="296">
        <v>0.99</v>
      </c>
      <c r="T3044" s="297">
        <v>1491</v>
      </c>
      <c r="U3044" s="340">
        <v>93281</v>
      </c>
      <c r="V3044" s="340">
        <v>475499</v>
      </c>
      <c r="W3044" s="297">
        <v>3429</v>
      </c>
      <c r="X3044" s="296">
        <v>3.0000000000000001E-3</v>
      </c>
    </row>
    <row r="3045" spans="13:24">
      <c r="M3045">
        <v>3043</v>
      </c>
      <c r="N3045">
        <v>86001</v>
      </c>
      <c r="O3045" t="s">
        <v>2210</v>
      </c>
      <c r="P3045" t="s">
        <v>158</v>
      </c>
      <c r="Q3045">
        <v>1363</v>
      </c>
      <c r="R3045" s="296">
        <v>0</v>
      </c>
      <c r="S3045" s="296">
        <v>0.99</v>
      </c>
      <c r="T3045" s="297">
        <v>13629</v>
      </c>
      <c r="U3045" s="340">
        <v>93238</v>
      </c>
      <c r="V3045" s="340">
        <v>627498</v>
      </c>
      <c r="W3045" s="297">
        <v>34528</v>
      </c>
      <c r="X3045" s="296">
        <v>1.0999999999999999E-2</v>
      </c>
    </row>
    <row r="3046" spans="13:24">
      <c r="M3046">
        <v>3044</v>
      </c>
      <c r="N3046">
        <v>62695</v>
      </c>
      <c r="O3046" t="s">
        <v>2211</v>
      </c>
      <c r="P3046" t="s">
        <v>131</v>
      </c>
      <c r="Q3046">
        <v>215</v>
      </c>
      <c r="R3046" s="296">
        <v>0</v>
      </c>
      <c r="S3046" s="296">
        <v>0.99</v>
      </c>
      <c r="T3046">
        <v>148</v>
      </c>
      <c r="U3046" s="340">
        <v>93209</v>
      </c>
      <c r="V3046" s="340">
        <v>202692</v>
      </c>
      <c r="W3046">
        <v>337</v>
      </c>
      <c r="X3046" s="296">
        <v>-4.0000000000000001E-3</v>
      </c>
    </row>
    <row r="3047" spans="13:24">
      <c r="M3047">
        <v>3045</v>
      </c>
      <c r="N3047">
        <v>60556</v>
      </c>
      <c r="O3047" t="s">
        <v>2212</v>
      </c>
      <c r="P3047" t="s">
        <v>131</v>
      </c>
      <c r="Q3047">
        <v>57</v>
      </c>
      <c r="R3047" s="296">
        <v>0</v>
      </c>
      <c r="S3047" s="296">
        <v>0.99</v>
      </c>
      <c r="T3047">
        <v>758</v>
      </c>
      <c r="U3047" s="340">
        <v>93141</v>
      </c>
      <c r="V3047" s="340">
        <v>289197</v>
      </c>
      <c r="W3047" s="297">
        <v>1935</v>
      </c>
      <c r="X3047" s="296">
        <v>3.0000000000000001E-3</v>
      </c>
    </row>
    <row r="3048" spans="13:24">
      <c r="M3048">
        <v>3046</v>
      </c>
      <c r="N3048">
        <v>79351</v>
      </c>
      <c r="O3048" t="s">
        <v>2213</v>
      </c>
      <c r="P3048" t="s">
        <v>134</v>
      </c>
      <c r="Q3048">
        <v>993</v>
      </c>
      <c r="R3048" s="296">
        <v>0</v>
      </c>
      <c r="S3048" s="296">
        <v>0.99</v>
      </c>
      <c r="T3048">
        <v>382</v>
      </c>
      <c r="U3048" s="340">
        <v>93108</v>
      </c>
      <c r="V3048" s="340">
        <v>134144</v>
      </c>
      <c r="W3048">
        <v>925</v>
      </c>
      <c r="X3048" s="296">
        <v>0</v>
      </c>
    </row>
    <row r="3049" spans="13:24">
      <c r="M3049">
        <v>3047</v>
      </c>
      <c r="N3049">
        <v>37013</v>
      </c>
      <c r="O3049" t="s">
        <v>312</v>
      </c>
      <c r="P3049" t="s">
        <v>146</v>
      </c>
      <c r="Q3049">
        <v>425</v>
      </c>
      <c r="R3049" s="296">
        <v>0</v>
      </c>
      <c r="S3049" s="296">
        <v>0.99</v>
      </c>
      <c r="T3049" s="297">
        <v>38110</v>
      </c>
      <c r="U3049" s="340">
        <v>93091</v>
      </c>
      <c r="V3049" s="340">
        <v>495700</v>
      </c>
      <c r="W3049" s="297">
        <v>106954</v>
      </c>
      <c r="X3049" s="296">
        <v>2.7E-2</v>
      </c>
    </row>
    <row r="3050" spans="13:24">
      <c r="M3050">
        <v>3048</v>
      </c>
      <c r="N3050">
        <v>54165</v>
      </c>
      <c r="O3050" t="s">
        <v>2152</v>
      </c>
      <c r="P3050" t="s">
        <v>149</v>
      </c>
      <c r="Q3050">
        <v>165</v>
      </c>
      <c r="R3050" s="296">
        <v>0</v>
      </c>
      <c r="S3050" s="296">
        <v>0.99009999999999998</v>
      </c>
      <c r="T3050" s="297">
        <v>3213</v>
      </c>
      <c r="U3050" s="340">
        <v>93064</v>
      </c>
      <c r="V3050" s="340">
        <v>362878</v>
      </c>
      <c r="W3050" s="297">
        <v>7969</v>
      </c>
      <c r="X3050" s="296">
        <v>-3.0000000000000001E-3</v>
      </c>
    </row>
    <row r="3051" spans="13:24">
      <c r="M3051">
        <v>3049</v>
      </c>
      <c r="N3051">
        <v>47012</v>
      </c>
      <c r="O3051" t="s">
        <v>2145</v>
      </c>
      <c r="P3051" t="s">
        <v>144</v>
      </c>
      <c r="Q3051">
        <v>238</v>
      </c>
      <c r="R3051" s="296">
        <v>0</v>
      </c>
      <c r="S3051" s="296">
        <v>0.99009999999999998</v>
      </c>
      <c r="T3051" s="297">
        <v>4058</v>
      </c>
      <c r="U3051" s="340">
        <v>92990</v>
      </c>
      <c r="V3051" s="340">
        <v>280992</v>
      </c>
      <c r="W3051" s="297">
        <v>10215</v>
      </c>
      <c r="X3051" s="296">
        <v>3.0000000000000001E-3</v>
      </c>
    </row>
    <row r="3052" spans="13:24">
      <c r="M3052">
        <v>3050</v>
      </c>
      <c r="N3052">
        <v>42303</v>
      </c>
      <c r="O3052" t="s">
        <v>2214</v>
      </c>
      <c r="P3052" t="s">
        <v>143</v>
      </c>
      <c r="Q3052">
        <v>306</v>
      </c>
      <c r="R3052" s="296">
        <v>0</v>
      </c>
      <c r="S3052" s="296">
        <v>0.99009999999999998</v>
      </c>
      <c r="T3052" s="297">
        <v>16990</v>
      </c>
      <c r="U3052" s="340">
        <v>92978</v>
      </c>
      <c r="V3052" s="340">
        <v>244030</v>
      </c>
      <c r="W3052" s="297">
        <v>42563</v>
      </c>
      <c r="X3052" s="296">
        <v>2E-3</v>
      </c>
    </row>
    <row r="3053" spans="13:24">
      <c r="M3053">
        <v>3051</v>
      </c>
      <c r="N3053">
        <v>57078</v>
      </c>
      <c r="O3053" t="s">
        <v>486</v>
      </c>
      <c r="P3053" t="s">
        <v>215</v>
      </c>
      <c r="Q3053">
        <v>495</v>
      </c>
      <c r="R3053" s="296">
        <v>0</v>
      </c>
      <c r="S3053" s="296">
        <v>0.99009999999999998</v>
      </c>
      <c r="T3053" s="297">
        <v>8419</v>
      </c>
      <c r="U3053" s="340">
        <v>92914</v>
      </c>
      <c r="V3053" s="340">
        <v>262439</v>
      </c>
      <c r="W3053" s="297">
        <v>20474</v>
      </c>
      <c r="X3053" s="296">
        <v>5.0000000000000001E-3</v>
      </c>
    </row>
    <row r="3054" spans="13:24">
      <c r="M3054">
        <v>3052</v>
      </c>
      <c r="N3054">
        <v>37015</v>
      </c>
      <c r="O3054" t="s">
        <v>2215</v>
      </c>
      <c r="P3054" t="s">
        <v>146</v>
      </c>
      <c r="Q3054">
        <v>407</v>
      </c>
      <c r="R3054" s="296">
        <v>0</v>
      </c>
      <c r="S3054" s="296">
        <v>0.99009999999999998</v>
      </c>
      <c r="T3054" s="297">
        <v>7388</v>
      </c>
      <c r="U3054" s="340">
        <v>92814</v>
      </c>
      <c r="V3054" s="340">
        <v>325169</v>
      </c>
      <c r="W3054" s="297">
        <v>18956</v>
      </c>
      <c r="X3054" s="296">
        <v>1.2E-2</v>
      </c>
    </row>
    <row r="3055" spans="13:24">
      <c r="M3055">
        <v>3053</v>
      </c>
      <c r="N3055">
        <v>80917</v>
      </c>
      <c r="O3055" t="s">
        <v>740</v>
      </c>
      <c r="P3055" t="s">
        <v>142</v>
      </c>
      <c r="Q3055">
        <v>917</v>
      </c>
      <c r="R3055" s="296">
        <v>0</v>
      </c>
      <c r="S3055" s="296">
        <v>0.99009999999999998</v>
      </c>
      <c r="T3055" s="297">
        <v>13232</v>
      </c>
      <c r="U3055" s="340">
        <v>92742</v>
      </c>
      <c r="V3055" s="340">
        <v>488493</v>
      </c>
      <c r="W3055" s="297">
        <v>30489</v>
      </c>
      <c r="X3055" s="296">
        <v>-3.0000000000000001E-3</v>
      </c>
    </row>
    <row r="3056" spans="13:24">
      <c r="M3056">
        <v>3054</v>
      </c>
      <c r="N3056">
        <v>76040</v>
      </c>
      <c r="O3056" t="s">
        <v>2028</v>
      </c>
      <c r="P3056" t="s">
        <v>134</v>
      </c>
      <c r="Q3056">
        <v>821</v>
      </c>
      <c r="R3056" s="296">
        <v>0</v>
      </c>
      <c r="S3056" s="296">
        <v>0.99009999999999998</v>
      </c>
      <c r="T3056" s="297">
        <v>13023</v>
      </c>
      <c r="U3056" s="340">
        <v>92733</v>
      </c>
      <c r="V3056" s="340">
        <v>348766</v>
      </c>
      <c r="W3056" s="297">
        <v>33608</v>
      </c>
      <c r="X3056" s="296">
        <v>6.0000000000000001E-3</v>
      </c>
    </row>
    <row r="3057" spans="13:24">
      <c r="M3057">
        <v>3055</v>
      </c>
      <c r="N3057">
        <v>91764</v>
      </c>
      <c r="O3057" t="s">
        <v>1313</v>
      </c>
      <c r="P3057" t="s">
        <v>132</v>
      </c>
      <c r="Q3057">
        <v>1705</v>
      </c>
      <c r="R3057" s="296">
        <v>0</v>
      </c>
      <c r="S3057" s="296">
        <v>0.99019999999999997</v>
      </c>
      <c r="T3057" s="297">
        <v>17253</v>
      </c>
      <c r="U3057" s="340">
        <v>92680</v>
      </c>
      <c r="V3057" s="340">
        <v>562250</v>
      </c>
      <c r="W3057" s="297">
        <v>58241</v>
      </c>
      <c r="X3057" s="296">
        <v>8.0000000000000002E-3</v>
      </c>
    </row>
    <row r="3058" spans="13:24">
      <c r="M3058">
        <v>3056</v>
      </c>
      <c r="N3058">
        <v>33875</v>
      </c>
      <c r="O3058" t="s">
        <v>2216</v>
      </c>
      <c r="P3058" t="s">
        <v>127</v>
      </c>
      <c r="Q3058">
        <v>1075</v>
      </c>
      <c r="R3058" s="296">
        <v>0</v>
      </c>
      <c r="S3058" s="296">
        <v>0.99019999999999997</v>
      </c>
      <c r="T3058" s="297">
        <v>4998</v>
      </c>
      <c r="U3058" s="340">
        <v>92664</v>
      </c>
      <c r="V3058" s="340">
        <v>274550</v>
      </c>
      <c r="W3058" s="297">
        <v>11306</v>
      </c>
      <c r="X3058" s="296">
        <v>0.01</v>
      </c>
    </row>
    <row r="3059" spans="13:24">
      <c r="M3059">
        <v>3057</v>
      </c>
      <c r="N3059">
        <v>86426</v>
      </c>
      <c r="O3059" t="s">
        <v>2217</v>
      </c>
      <c r="P3059" t="s">
        <v>158</v>
      </c>
      <c r="Q3059">
        <v>1521</v>
      </c>
      <c r="R3059" s="296">
        <v>0</v>
      </c>
      <c r="S3059" s="296">
        <v>0.99019999999999997</v>
      </c>
      <c r="T3059" s="297">
        <v>7003</v>
      </c>
      <c r="U3059" s="340">
        <v>92662</v>
      </c>
      <c r="V3059" s="340">
        <v>371198</v>
      </c>
      <c r="W3059" s="297">
        <v>16517</v>
      </c>
      <c r="X3059" s="296">
        <v>0.01</v>
      </c>
    </row>
    <row r="3060" spans="13:24">
      <c r="M3060">
        <v>3058</v>
      </c>
      <c r="N3060">
        <v>61356</v>
      </c>
      <c r="O3060" t="s">
        <v>491</v>
      </c>
      <c r="P3060" t="s">
        <v>131</v>
      </c>
      <c r="Q3060">
        <v>100</v>
      </c>
      <c r="R3060" s="296">
        <v>0</v>
      </c>
      <c r="S3060" s="296">
        <v>0.99019999999999997</v>
      </c>
      <c r="T3060" s="297">
        <v>4766</v>
      </c>
      <c r="U3060" s="340">
        <v>92616</v>
      </c>
      <c r="V3060" s="340">
        <v>186274</v>
      </c>
      <c r="W3060" s="297">
        <v>10794</v>
      </c>
      <c r="X3060" s="296">
        <v>-1E-3</v>
      </c>
    </row>
    <row r="3061" spans="13:24">
      <c r="M3061">
        <v>3059</v>
      </c>
      <c r="N3061">
        <v>79928</v>
      </c>
      <c r="O3061" t="s">
        <v>339</v>
      </c>
      <c r="P3061" t="s">
        <v>134</v>
      </c>
      <c r="Q3061">
        <v>1242</v>
      </c>
      <c r="R3061" s="296">
        <v>0</v>
      </c>
      <c r="S3061" s="296">
        <v>0.99019999999999997</v>
      </c>
      <c r="T3061" s="297">
        <v>25086</v>
      </c>
      <c r="U3061" s="340">
        <v>92604</v>
      </c>
      <c r="V3061" s="340">
        <v>236750</v>
      </c>
      <c r="W3061" s="297">
        <v>85923</v>
      </c>
      <c r="X3061" s="296">
        <v>0.02</v>
      </c>
    </row>
    <row r="3062" spans="13:24">
      <c r="M3062">
        <v>3060</v>
      </c>
      <c r="N3062">
        <v>77489</v>
      </c>
      <c r="O3062" t="s">
        <v>1107</v>
      </c>
      <c r="P3062" t="s">
        <v>134</v>
      </c>
      <c r="Q3062">
        <v>968</v>
      </c>
      <c r="R3062" s="296">
        <v>0</v>
      </c>
      <c r="S3062" s="296">
        <v>0.99019999999999997</v>
      </c>
      <c r="T3062" s="297">
        <v>12760</v>
      </c>
      <c r="U3062" s="340">
        <v>92579</v>
      </c>
      <c r="V3062" s="340">
        <v>254790</v>
      </c>
      <c r="W3062" s="297">
        <v>38091</v>
      </c>
      <c r="X3062" s="296">
        <v>5.0000000000000001E-3</v>
      </c>
    </row>
    <row r="3063" spans="13:24">
      <c r="M3063">
        <v>3061</v>
      </c>
      <c r="N3063">
        <v>39560</v>
      </c>
      <c r="O3063" t="s">
        <v>1345</v>
      </c>
      <c r="P3063" t="s">
        <v>188</v>
      </c>
      <c r="Q3063">
        <v>817</v>
      </c>
      <c r="R3063" s="296">
        <v>0</v>
      </c>
      <c r="S3063" s="296">
        <v>0.99019999999999997</v>
      </c>
      <c r="T3063" s="297">
        <v>7826</v>
      </c>
      <c r="U3063" s="340">
        <v>92528</v>
      </c>
      <c r="V3063" s="340">
        <v>263801</v>
      </c>
      <c r="W3063" s="297">
        <v>19284</v>
      </c>
      <c r="X3063" s="296">
        <v>3.0000000000000001E-3</v>
      </c>
    </row>
    <row r="3064" spans="13:24">
      <c r="M3064">
        <v>3062</v>
      </c>
      <c r="N3064">
        <v>28715</v>
      </c>
      <c r="O3064" t="s">
        <v>800</v>
      </c>
      <c r="P3064" t="s">
        <v>138</v>
      </c>
      <c r="Q3064">
        <v>532</v>
      </c>
      <c r="R3064" s="296">
        <v>0</v>
      </c>
      <c r="S3064" s="296">
        <v>0.99019999999999997</v>
      </c>
      <c r="T3064" s="297">
        <v>11734</v>
      </c>
      <c r="U3064" s="340">
        <v>92523</v>
      </c>
      <c r="V3064" s="340">
        <v>464368</v>
      </c>
      <c r="W3064" s="297">
        <v>28888</v>
      </c>
      <c r="X3064" s="296">
        <v>7.0000000000000001E-3</v>
      </c>
    </row>
    <row r="3065" spans="13:24">
      <c r="M3065">
        <v>3063</v>
      </c>
      <c r="N3065">
        <v>72205</v>
      </c>
      <c r="O3065" t="s">
        <v>2218</v>
      </c>
      <c r="P3065" t="s">
        <v>156</v>
      </c>
      <c r="Q3065">
        <v>567</v>
      </c>
      <c r="R3065" s="296">
        <v>0</v>
      </c>
      <c r="S3065" s="296">
        <v>0.99029999999999996</v>
      </c>
      <c r="T3065" s="297">
        <v>10942</v>
      </c>
      <c r="U3065" s="340">
        <v>92518</v>
      </c>
      <c r="V3065" s="340">
        <v>258816</v>
      </c>
      <c r="W3065" s="297">
        <v>22241</v>
      </c>
      <c r="X3065" s="296">
        <v>0</v>
      </c>
    </row>
    <row r="3066" spans="13:24">
      <c r="M3066">
        <v>3064</v>
      </c>
      <c r="N3066">
        <v>48611</v>
      </c>
      <c r="O3066" t="s">
        <v>336</v>
      </c>
      <c r="P3066" t="s">
        <v>140</v>
      </c>
      <c r="Q3066">
        <v>213</v>
      </c>
      <c r="R3066" s="296">
        <v>0</v>
      </c>
      <c r="S3066" s="296">
        <v>0.99029999999999996</v>
      </c>
      <c r="T3066" s="297">
        <v>2655</v>
      </c>
      <c r="U3066" s="340">
        <v>92506</v>
      </c>
      <c r="V3066" s="340">
        <v>217958</v>
      </c>
      <c r="W3066" s="297">
        <v>6221</v>
      </c>
      <c r="X3066" s="296">
        <v>-6.0000000000000001E-3</v>
      </c>
    </row>
    <row r="3067" spans="13:24">
      <c r="M3067">
        <v>3065</v>
      </c>
      <c r="N3067">
        <v>76013</v>
      </c>
      <c r="O3067" t="s">
        <v>403</v>
      </c>
      <c r="P3067" t="s">
        <v>134</v>
      </c>
      <c r="Q3067">
        <v>829</v>
      </c>
      <c r="R3067" s="296">
        <v>0</v>
      </c>
      <c r="S3067" s="296">
        <v>0.99029999999999996</v>
      </c>
      <c r="T3067" s="297">
        <v>13668</v>
      </c>
      <c r="U3067" s="340">
        <v>92419</v>
      </c>
      <c r="V3067" s="340">
        <v>358463</v>
      </c>
      <c r="W3067" s="297">
        <v>35520</v>
      </c>
      <c r="X3067" s="296">
        <v>-3.0000000000000001E-3</v>
      </c>
    </row>
    <row r="3068" spans="13:24">
      <c r="M3068">
        <v>3066</v>
      </c>
      <c r="N3068">
        <v>32539</v>
      </c>
      <c r="O3068" t="s">
        <v>2219</v>
      </c>
      <c r="P3068" t="s">
        <v>127</v>
      </c>
      <c r="Q3068">
        <v>789</v>
      </c>
      <c r="R3068" s="296">
        <v>0</v>
      </c>
      <c r="S3068" s="296">
        <v>0.99029999999999996</v>
      </c>
      <c r="T3068" s="297">
        <v>12222</v>
      </c>
      <c r="U3068" s="340">
        <v>92412</v>
      </c>
      <c r="V3068" s="340">
        <v>404105</v>
      </c>
      <c r="W3068" s="297">
        <v>34473</v>
      </c>
      <c r="X3068" s="296">
        <v>0.02</v>
      </c>
    </row>
    <row r="3069" spans="13:24">
      <c r="M3069">
        <v>3067</v>
      </c>
      <c r="N3069">
        <v>65737</v>
      </c>
      <c r="O3069" t="s">
        <v>2220</v>
      </c>
      <c r="P3069" t="s">
        <v>186</v>
      </c>
      <c r="Q3069">
        <v>479</v>
      </c>
      <c r="R3069" s="296">
        <v>0</v>
      </c>
      <c r="S3069" s="296">
        <v>0.99029999999999996</v>
      </c>
      <c r="T3069" s="297">
        <v>3616</v>
      </c>
      <c r="U3069" s="340">
        <v>92392</v>
      </c>
      <c r="V3069" s="340">
        <v>336699</v>
      </c>
      <c r="W3069" s="297">
        <v>8620</v>
      </c>
      <c r="X3069" s="296">
        <v>1.2999999999999999E-2</v>
      </c>
    </row>
    <row r="3070" spans="13:24">
      <c r="M3070">
        <v>3068</v>
      </c>
      <c r="N3070">
        <v>70785</v>
      </c>
      <c r="O3070" t="s">
        <v>2105</v>
      </c>
      <c r="P3070" t="s">
        <v>147</v>
      </c>
      <c r="Q3070">
        <v>821</v>
      </c>
      <c r="R3070" s="296">
        <v>0</v>
      </c>
      <c r="S3070" s="296">
        <v>0.99029999999999996</v>
      </c>
      <c r="T3070" s="297">
        <v>8678</v>
      </c>
      <c r="U3070" s="340">
        <v>92377</v>
      </c>
      <c r="V3070" s="340">
        <v>279953</v>
      </c>
      <c r="W3070" s="297">
        <v>23504</v>
      </c>
      <c r="X3070" s="296">
        <v>0.01</v>
      </c>
    </row>
    <row r="3071" spans="13:24">
      <c r="M3071">
        <v>3069</v>
      </c>
      <c r="N3071">
        <v>29687</v>
      </c>
      <c r="O3071" t="s">
        <v>2221</v>
      </c>
      <c r="P3071" t="s">
        <v>145</v>
      </c>
      <c r="Q3071">
        <v>580</v>
      </c>
      <c r="R3071" s="296">
        <v>0</v>
      </c>
      <c r="S3071" s="296">
        <v>0.99029999999999996</v>
      </c>
      <c r="T3071" s="297">
        <v>18409</v>
      </c>
      <c r="U3071" s="340">
        <v>92125</v>
      </c>
      <c r="V3071" s="340">
        <v>330230</v>
      </c>
      <c r="W3071" s="297">
        <v>45526</v>
      </c>
      <c r="X3071" s="296">
        <v>7.0000000000000001E-3</v>
      </c>
    </row>
    <row r="3072" spans="13:24">
      <c r="M3072">
        <v>3070</v>
      </c>
      <c r="N3072">
        <v>68507</v>
      </c>
      <c r="O3072" t="s">
        <v>415</v>
      </c>
      <c r="P3072" t="s">
        <v>195</v>
      </c>
      <c r="Q3072">
        <v>465</v>
      </c>
      <c r="R3072" s="296">
        <v>0</v>
      </c>
      <c r="S3072" s="296">
        <v>0.99029999999999996</v>
      </c>
      <c r="T3072" s="297">
        <v>7036</v>
      </c>
      <c r="U3072" s="340">
        <v>92116</v>
      </c>
      <c r="V3072" s="340">
        <v>247023</v>
      </c>
      <c r="W3072" s="297">
        <v>15999</v>
      </c>
      <c r="X3072" s="296">
        <v>1.0999999999999999E-2</v>
      </c>
    </row>
    <row r="3073" spans="13:24">
      <c r="M3073">
        <v>3071</v>
      </c>
      <c r="N3073">
        <v>80905</v>
      </c>
      <c r="O3073" t="s">
        <v>740</v>
      </c>
      <c r="P3073" t="s">
        <v>142</v>
      </c>
      <c r="Q3073">
        <v>923</v>
      </c>
      <c r="R3073" s="296">
        <v>0</v>
      </c>
      <c r="S3073" s="296">
        <v>0.99029999999999996</v>
      </c>
      <c r="T3073" s="297">
        <v>8311</v>
      </c>
      <c r="U3073" s="340">
        <v>92101</v>
      </c>
      <c r="V3073" s="340">
        <v>487068</v>
      </c>
      <c r="W3073" s="297">
        <v>17815</v>
      </c>
      <c r="X3073" s="296">
        <v>3.0000000000000001E-3</v>
      </c>
    </row>
    <row r="3074" spans="13:24">
      <c r="M3074">
        <v>3072</v>
      </c>
      <c r="N3074">
        <v>32817</v>
      </c>
      <c r="O3074" t="s">
        <v>539</v>
      </c>
      <c r="P3074" t="s">
        <v>127</v>
      </c>
      <c r="Q3074">
        <v>1006</v>
      </c>
      <c r="R3074" s="296">
        <v>0</v>
      </c>
      <c r="S3074" s="296">
        <v>0.99039999999999995</v>
      </c>
      <c r="T3074" s="297">
        <v>15708</v>
      </c>
      <c r="U3074" s="340">
        <v>92088</v>
      </c>
      <c r="V3074" s="340">
        <v>444731</v>
      </c>
      <c r="W3074" s="297">
        <v>44189</v>
      </c>
      <c r="X3074" s="296">
        <v>7.0000000000000001E-3</v>
      </c>
    </row>
    <row r="3075" spans="13:24">
      <c r="M3075">
        <v>3073</v>
      </c>
      <c r="N3075">
        <v>32303</v>
      </c>
      <c r="O3075" t="s">
        <v>1409</v>
      </c>
      <c r="P3075" t="s">
        <v>127</v>
      </c>
      <c r="Q3075">
        <v>828</v>
      </c>
      <c r="R3075" s="296">
        <v>0</v>
      </c>
      <c r="S3075" s="296">
        <v>0.99039999999999995</v>
      </c>
      <c r="T3075" s="297">
        <v>21644</v>
      </c>
      <c r="U3075" s="340">
        <v>92085</v>
      </c>
      <c r="V3075" s="340">
        <v>354707</v>
      </c>
      <c r="W3075" s="297">
        <v>48650</v>
      </c>
      <c r="X3075" s="296">
        <v>5.0000000000000001E-3</v>
      </c>
    </row>
    <row r="3076" spans="13:24">
      <c r="M3076">
        <v>3074</v>
      </c>
      <c r="N3076">
        <v>47201</v>
      </c>
      <c r="O3076" t="s">
        <v>468</v>
      </c>
      <c r="P3076" t="s">
        <v>144</v>
      </c>
      <c r="Q3076">
        <v>225</v>
      </c>
      <c r="R3076" s="296">
        <v>0</v>
      </c>
      <c r="S3076" s="296">
        <v>0.99039999999999995</v>
      </c>
      <c r="T3076" s="297">
        <v>18955</v>
      </c>
      <c r="U3076" s="340">
        <v>92061</v>
      </c>
      <c r="V3076" s="340">
        <v>291285</v>
      </c>
      <c r="W3076" s="297">
        <v>47316</v>
      </c>
      <c r="X3076" s="296">
        <v>0.01</v>
      </c>
    </row>
    <row r="3077" spans="13:24">
      <c r="M3077">
        <v>3075</v>
      </c>
      <c r="N3077">
        <v>44641</v>
      </c>
      <c r="O3077" t="s">
        <v>830</v>
      </c>
      <c r="P3077" t="s">
        <v>136</v>
      </c>
      <c r="Q3077">
        <v>350</v>
      </c>
      <c r="R3077" s="296">
        <v>0</v>
      </c>
      <c r="S3077" s="296">
        <v>0.99039999999999995</v>
      </c>
      <c r="T3077" s="297">
        <v>8455</v>
      </c>
      <c r="U3077" s="340">
        <v>92045</v>
      </c>
      <c r="V3077" s="340">
        <v>228567</v>
      </c>
      <c r="W3077" s="297">
        <v>20899</v>
      </c>
      <c r="X3077" s="296">
        <v>-1E-3</v>
      </c>
    </row>
    <row r="3078" spans="13:24">
      <c r="M3078">
        <v>3076</v>
      </c>
      <c r="N3078">
        <v>77083</v>
      </c>
      <c r="O3078" t="s">
        <v>314</v>
      </c>
      <c r="P3078" t="s">
        <v>134</v>
      </c>
      <c r="Q3078">
        <v>965</v>
      </c>
      <c r="R3078" s="296">
        <v>0</v>
      </c>
      <c r="S3078" s="296">
        <v>0.99039999999999995</v>
      </c>
      <c r="T3078" s="297">
        <v>22226</v>
      </c>
      <c r="U3078" s="340">
        <v>92000</v>
      </c>
      <c r="V3078" s="340">
        <v>270331</v>
      </c>
      <c r="W3078" s="297">
        <v>73355</v>
      </c>
      <c r="X3078" s="296">
        <v>-1E-3</v>
      </c>
    </row>
    <row r="3079" spans="13:24">
      <c r="M3079">
        <v>3077</v>
      </c>
      <c r="N3079">
        <v>33144</v>
      </c>
      <c r="O3079" t="s">
        <v>293</v>
      </c>
      <c r="P3079" t="s">
        <v>127</v>
      </c>
      <c r="Q3079">
        <v>1209</v>
      </c>
      <c r="R3079" s="296">
        <v>0</v>
      </c>
      <c r="S3079" s="296">
        <v>0.99039999999999995</v>
      </c>
      <c r="T3079" s="297">
        <v>9030</v>
      </c>
      <c r="U3079" s="340">
        <v>91997</v>
      </c>
      <c r="V3079" s="340">
        <v>515128</v>
      </c>
      <c r="W3079" s="297">
        <v>25869</v>
      </c>
      <c r="X3079" s="296">
        <v>8.9999999999999993E-3</v>
      </c>
    </row>
    <row r="3080" spans="13:24">
      <c r="M3080">
        <v>3078</v>
      </c>
      <c r="N3080">
        <v>55021</v>
      </c>
      <c r="O3080" t="s">
        <v>2222</v>
      </c>
      <c r="P3080" t="s">
        <v>151</v>
      </c>
      <c r="Q3080">
        <v>314</v>
      </c>
      <c r="R3080" s="296">
        <v>0</v>
      </c>
      <c r="S3080" s="296">
        <v>0.99039999999999995</v>
      </c>
      <c r="T3080" s="297">
        <v>11201</v>
      </c>
      <c r="U3080" s="340">
        <v>91972</v>
      </c>
      <c r="V3080" s="340">
        <v>361455</v>
      </c>
      <c r="W3080" s="297">
        <v>31110</v>
      </c>
      <c r="X3080" s="296">
        <v>5.0000000000000001E-3</v>
      </c>
    </row>
    <row r="3081" spans="13:24">
      <c r="M3081">
        <v>3079</v>
      </c>
      <c r="N3081">
        <v>61489</v>
      </c>
      <c r="O3081" t="s">
        <v>2223</v>
      </c>
      <c r="P3081" t="s">
        <v>131</v>
      </c>
      <c r="Q3081">
        <v>143</v>
      </c>
      <c r="R3081" s="296">
        <v>0</v>
      </c>
      <c r="S3081" s="296">
        <v>0.99039999999999995</v>
      </c>
      <c r="T3081">
        <v>330</v>
      </c>
      <c r="U3081" s="340">
        <v>91875</v>
      </c>
      <c r="V3081" s="340">
        <v>206734</v>
      </c>
      <c r="W3081">
        <v>814</v>
      </c>
      <c r="X3081" s="296">
        <v>-1.2999999999999999E-2</v>
      </c>
    </row>
    <row r="3082" spans="13:24">
      <c r="M3082">
        <v>3080</v>
      </c>
      <c r="N3082">
        <v>16137</v>
      </c>
      <c r="O3082" t="s">
        <v>2224</v>
      </c>
      <c r="P3082" t="s">
        <v>133</v>
      </c>
      <c r="Q3082">
        <v>395</v>
      </c>
      <c r="R3082" s="296">
        <v>0</v>
      </c>
      <c r="S3082" s="296">
        <v>0.99050000000000005</v>
      </c>
      <c r="T3082" s="297">
        <v>4429</v>
      </c>
      <c r="U3082" s="340">
        <v>91868</v>
      </c>
      <c r="V3082" s="340">
        <v>309755</v>
      </c>
      <c r="W3082" s="297">
        <v>11838</v>
      </c>
      <c r="X3082" s="296">
        <v>-5.0000000000000001E-3</v>
      </c>
    </row>
    <row r="3083" spans="13:24">
      <c r="M3083">
        <v>3081</v>
      </c>
      <c r="N3083">
        <v>63102</v>
      </c>
      <c r="O3083" t="s">
        <v>536</v>
      </c>
      <c r="P3083" t="s">
        <v>186</v>
      </c>
      <c r="Q3083">
        <v>273</v>
      </c>
      <c r="R3083" s="296">
        <v>0</v>
      </c>
      <c r="S3083" s="296">
        <v>0.99050000000000005</v>
      </c>
      <c r="T3083" s="297">
        <v>1386</v>
      </c>
      <c r="U3083" s="340">
        <v>91860</v>
      </c>
      <c r="V3083" s="340">
        <v>204204</v>
      </c>
      <c r="W3083" s="297">
        <v>3048</v>
      </c>
      <c r="X3083" s="296">
        <v>4.7E-2</v>
      </c>
    </row>
    <row r="3084" spans="13:24">
      <c r="M3084">
        <v>3082</v>
      </c>
      <c r="N3084">
        <v>61911</v>
      </c>
      <c r="O3084" t="s">
        <v>2225</v>
      </c>
      <c r="P3084" t="s">
        <v>131</v>
      </c>
      <c r="Q3084">
        <v>173</v>
      </c>
      <c r="R3084" s="296">
        <v>0</v>
      </c>
      <c r="S3084" s="296">
        <v>0.99050000000000005</v>
      </c>
      <c r="T3084" s="297">
        <v>1616</v>
      </c>
      <c r="U3084" s="340">
        <v>91853</v>
      </c>
      <c r="V3084" s="340">
        <v>230727</v>
      </c>
      <c r="W3084" s="297">
        <v>4671</v>
      </c>
      <c r="X3084" s="296">
        <v>-2E-3</v>
      </c>
    </row>
    <row r="3085" spans="13:24">
      <c r="M3085">
        <v>3083</v>
      </c>
      <c r="N3085">
        <v>63670</v>
      </c>
      <c r="O3085" t="s">
        <v>2226</v>
      </c>
      <c r="P3085" t="s">
        <v>186</v>
      </c>
      <c r="Q3085">
        <v>322</v>
      </c>
      <c r="R3085" s="296">
        <v>0</v>
      </c>
      <c r="S3085" s="296">
        <v>0.99050000000000005</v>
      </c>
      <c r="T3085" s="297">
        <v>4533</v>
      </c>
      <c r="U3085" s="340">
        <v>91755</v>
      </c>
      <c r="V3085" s="340">
        <v>288582</v>
      </c>
      <c r="W3085" s="297">
        <v>11564</v>
      </c>
      <c r="X3085" s="296">
        <v>-1E-3</v>
      </c>
    </row>
    <row r="3086" spans="13:24">
      <c r="M3086">
        <v>3084</v>
      </c>
      <c r="N3086">
        <v>44092</v>
      </c>
      <c r="O3086" t="s">
        <v>2227</v>
      </c>
      <c r="P3086" t="s">
        <v>136</v>
      </c>
      <c r="Q3086">
        <v>327</v>
      </c>
      <c r="R3086" s="296">
        <v>0</v>
      </c>
      <c r="S3086" s="296">
        <v>0.99050000000000005</v>
      </c>
      <c r="T3086" s="297">
        <v>7732</v>
      </c>
      <c r="U3086" s="340">
        <v>91728</v>
      </c>
      <c r="V3086" s="340">
        <v>255889</v>
      </c>
      <c r="W3086" s="297">
        <v>16864</v>
      </c>
      <c r="X3086" s="296">
        <v>0</v>
      </c>
    </row>
    <row r="3087" spans="13:24">
      <c r="M3087">
        <v>3085</v>
      </c>
      <c r="N3087">
        <v>68505</v>
      </c>
      <c r="O3087" t="s">
        <v>415</v>
      </c>
      <c r="P3087" t="s">
        <v>195</v>
      </c>
      <c r="Q3087">
        <v>466</v>
      </c>
      <c r="R3087" s="296">
        <v>0</v>
      </c>
      <c r="S3087" s="296">
        <v>0.99050000000000005</v>
      </c>
      <c r="T3087" s="297">
        <v>7853</v>
      </c>
      <c r="U3087" s="340">
        <v>91719</v>
      </c>
      <c r="V3087" s="340">
        <v>297358</v>
      </c>
      <c r="W3087" s="297">
        <v>18838</v>
      </c>
      <c r="X3087" s="296">
        <v>1.0999999999999999E-2</v>
      </c>
    </row>
    <row r="3088" spans="13:24">
      <c r="M3088">
        <v>3086</v>
      </c>
      <c r="N3088">
        <v>15905</v>
      </c>
      <c r="O3088" t="s">
        <v>2228</v>
      </c>
      <c r="P3088" t="s">
        <v>133</v>
      </c>
      <c r="Q3088">
        <v>476</v>
      </c>
      <c r="R3088" s="296">
        <v>0</v>
      </c>
      <c r="S3088" s="296">
        <v>0.99050000000000005</v>
      </c>
      <c r="T3088" s="297">
        <v>8736</v>
      </c>
      <c r="U3088" s="340">
        <v>91660</v>
      </c>
      <c r="V3088" s="340">
        <v>186031</v>
      </c>
      <c r="W3088" s="297">
        <v>19325</v>
      </c>
      <c r="X3088" s="296">
        <v>-3.0000000000000001E-3</v>
      </c>
    </row>
    <row r="3089" spans="13:24">
      <c r="M3089">
        <v>3087</v>
      </c>
      <c r="N3089">
        <v>55075</v>
      </c>
      <c r="O3089" t="s">
        <v>2229</v>
      </c>
      <c r="P3089" t="s">
        <v>151</v>
      </c>
      <c r="Q3089">
        <v>324</v>
      </c>
      <c r="R3089" s="296">
        <v>0</v>
      </c>
      <c r="S3089" s="296">
        <v>0.99050000000000005</v>
      </c>
      <c r="T3089" s="297">
        <v>8375</v>
      </c>
      <c r="U3089" s="340">
        <v>91568</v>
      </c>
      <c r="V3089" s="340">
        <v>337185</v>
      </c>
      <c r="W3089" s="297">
        <v>20505</v>
      </c>
      <c r="X3089" s="296">
        <v>-3.0000000000000001E-3</v>
      </c>
    </row>
    <row r="3090" spans="13:24">
      <c r="M3090">
        <v>3088</v>
      </c>
      <c r="N3090">
        <v>61001</v>
      </c>
      <c r="O3090" t="s">
        <v>2230</v>
      </c>
      <c r="P3090" t="s">
        <v>131</v>
      </c>
      <c r="Q3090">
        <v>121</v>
      </c>
      <c r="R3090" s="296">
        <v>0</v>
      </c>
      <c r="S3090" s="296">
        <v>0.99060000000000004</v>
      </c>
      <c r="T3090">
        <v>525</v>
      </c>
      <c r="U3090" s="340">
        <v>91556</v>
      </c>
      <c r="V3090" s="340">
        <v>265673</v>
      </c>
      <c r="W3090" s="297">
        <v>1120</v>
      </c>
      <c r="X3090" s="296">
        <v>-1E-3</v>
      </c>
    </row>
    <row r="3091" spans="13:24">
      <c r="M3091">
        <v>3089</v>
      </c>
      <c r="N3091">
        <v>56326</v>
      </c>
      <c r="O3091" t="s">
        <v>2231</v>
      </c>
      <c r="P3091" t="s">
        <v>151</v>
      </c>
      <c r="Q3091">
        <v>474</v>
      </c>
      <c r="R3091" s="296">
        <v>0</v>
      </c>
      <c r="S3091" s="296">
        <v>0.99060000000000004</v>
      </c>
      <c r="T3091">
        <v>660</v>
      </c>
      <c r="U3091" s="340">
        <v>91449</v>
      </c>
      <c r="V3091" s="340">
        <v>367857</v>
      </c>
      <c r="W3091" s="297">
        <v>1585</v>
      </c>
      <c r="X3091" s="296">
        <v>-1E-3</v>
      </c>
    </row>
    <row r="3092" spans="13:24">
      <c r="M3092">
        <v>3090</v>
      </c>
      <c r="N3092">
        <v>47431</v>
      </c>
      <c r="O3092" t="s">
        <v>2232</v>
      </c>
      <c r="P3092" t="s">
        <v>144</v>
      </c>
      <c r="Q3092">
        <v>208</v>
      </c>
      <c r="R3092" s="296">
        <v>0</v>
      </c>
      <c r="S3092" s="296">
        <v>0.99060000000000004</v>
      </c>
      <c r="T3092">
        <v>550</v>
      </c>
      <c r="U3092" s="340">
        <v>91446</v>
      </c>
      <c r="V3092" s="340">
        <v>263515</v>
      </c>
      <c r="W3092" s="297">
        <v>1331</v>
      </c>
      <c r="X3092" s="296">
        <v>1E-3</v>
      </c>
    </row>
    <row r="3093" spans="13:24">
      <c r="M3093">
        <v>3091</v>
      </c>
      <c r="N3093">
        <v>47601</v>
      </c>
      <c r="O3093" t="s">
        <v>1672</v>
      </c>
      <c r="P3093" t="s">
        <v>144</v>
      </c>
      <c r="Q3093">
        <v>285</v>
      </c>
      <c r="R3093" s="296">
        <v>0</v>
      </c>
      <c r="S3093" s="296">
        <v>0.99060000000000004</v>
      </c>
      <c r="T3093" s="297">
        <v>5622</v>
      </c>
      <c r="U3093" s="340">
        <v>91429</v>
      </c>
      <c r="V3093" s="340">
        <v>271001</v>
      </c>
      <c r="W3093" s="297">
        <v>14207</v>
      </c>
      <c r="X3093" s="296">
        <v>2E-3</v>
      </c>
    </row>
    <row r="3094" spans="13:24">
      <c r="M3094">
        <v>3092</v>
      </c>
      <c r="N3094">
        <v>97230</v>
      </c>
      <c r="O3094" t="s">
        <v>420</v>
      </c>
      <c r="P3094" t="s">
        <v>207</v>
      </c>
      <c r="Q3094">
        <v>1732</v>
      </c>
      <c r="R3094" s="296">
        <v>0</v>
      </c>
      <c r="S3094" s="296">
        <v>0.99060000000000004</v>
      </c>
      <c r="T3094" s="297">
        <v>15236</v>
      </c>
      <c r="U3094" s="340">
        <v>91385</v>
      </c>
      <c r="V3094" s="340">
        <v>496800</v>
      </c>
      <c r="W3094" s="297">
        <v>41445</v>
      </c>
      <c r="X3094" s="296">
        <v>-1E-3</v>
      </c>
    </row>
    <row r="3095" spans="13:24">
      <c r="M3095">
        <v>3093</v>
      </c>
      <c r="N3095">
        <v>56143</v>
      </c>
      <c r="O3095" t="s">
        <v>1140</v>
      </c>
      <c r="P3095" t="s">
        <v>151</v>
      </c>
      <c r="Q3095">
        <v>379</v>
      </c>
      <c r="R3095" s="296">
        <v>0</v>
      </c>
      <c r="S3095" s="296">
        <v>0.99060000000000004</v>
      </c>
      <c r="T3095" s="297">
        <v>1983</v>
      </c>
      <c r="U3095" s="340">
        <v>91382</v>
      </c>
      <c r="V3095" s="340">
        <v>241957</v>
      </c>
      <c r="W3095" s="297">
        <v>4425</v>
      </c>
      <c r="X3095" s="296">
        <v>-2E-3</v>
      </c>
    </row>
    <row r="3096" spans="13:24">
      <c r="M3096">
        <v>3094</v>
      </c>
      <c r="N3096">
        <v>54558</v>
      </c>
      <c r="O3096" t="s">
        <v>2233</v>
      </c>
      <c r="P3096" t="s">
        <v>149</v>
      </c>
      <c r="Q3096">
        <v>274</v>
      </c>
      <c r="R3096" s="296">
        <v>0</v>
      </c>
      <c r="S3096" s="296">
        <v>0.99060000000000004</v>
      </c>
      <c r="T3096" s="297">
        <v>1162</v>
      </c>
      <c r="U3096" s="340">
        <v>91341</v>
      </c>
      <c r="V3096" s="340">
        <v>335150</v>
      </c>
      <c r="W3096" s="297">
        <v>2338</v>
      </c>
      <c r="X3096" s="296">
        <v>0.01</v>
      </c>
    </row>
    <row r="3097" spans="13:24">
      <c r="M3097">
        <v>3095</v>
      </c>
      <c r="N3097">
        <v>64701</v>
      </c>
      <c r="O3097" t="s">
        <v>2234</v>
      </c>
      <c r="P3097" t="s">
        <v>186</v>
      </c>
      <c r="Q3097">
        <v>421</v>
      </c>
      <c r="R3097" s="296">
        <v>0</v>
      </c>
      <c r="S3097" s="296">
        <v>0.99060000000000004</v>
      </c>
      <c r="T3097" s="297">
        <v>5774</v>
      </c>
      <c r="U3097" s="340">
        <v>91333</v>
      </c>
      <c r="V3097" s="340">
        <v>366431</v>
      </c>
      <c r="W3097" s="297">
        <v>14898</v>
      </c>
      <c r="X3097" s="296">
        <v>2E-3</v>
      </c>
    </row>
    <row r="3098" spans="13:24">
      <c r="M3098">
        <v>3096</v>
      </c>
      <c r="N3098">
        <v>28217</v>
      </c>
      <c r="O3098" t="s">
        <v>477</v>
      </c>
      <c r="P3098" t="s">
        <v>138</v>
      </c>
      <c r="Q3098">
        <v>608</v>
      </c>
      <c r="R3098" s="296">
        <v>0</v>
      </c>
      <c r="S3098" s="296">
        <v>0.99070000000000003</v>
      </c>
      <c r="T3098" s="297">
        <v>14383</v>
      </c>
      <c r="U3098" s="340">
        <v>91094</v>
      </c>
      <c r="V3098" s="340">
        <v>349410</v>
      </c>
      <c r="W3098" s="297">
        <v>34817</v>
      </c>
      <c r="X3098" s="296">
        <v>4.2000000000000003E-2</v>
      </c>
    </row>
    <row r="3099" spans="13:24">
      <c r="M3099">
        <v>3097</v>
      </c>
      <c r="N3099">
        <v>54817</v>
      </c>
      <c r="O3099" t="s">
        <v>2235</v>
      </c>
      <c r="P3099" t="s">
        <v>149</v>
      </c>
      <c r="Q3099">
        <v>306</v>
      </c>
      <c r="R3099" s="296">
        <v>0</v>
      </c>
      <c r="S3099" s="296">
        <v>0.99070000000000003</v>
      </c>
      <c r="T3099" s="297">
        <v>1138</v>
      </c>
      <c r="U3099" s="340">
        <v>91034</v>
      </c>
      <c r="V3099" s="340">
        <v>379452</v>
      </c>
      <c r="W3099" s="297">
        <v>2462</v>
      </c>
      <c r="X3099" s="296">
        <v>1.0999999999999999E-2</v>
      </c>
    </row>
    <row r="3100" spans="13:24">
      <c r="M3100">
        <v>3098</v>
      </c>
      <c r="N3100">
        <v>61048</v>
      </c>
      <c r="O3100" t="s">
        <v>2236</v>
      </c>
      <c r="P3100" t="s">
        <v>131</v>
      </c>
      <c r="Q3100">
        <v>106</v>
      </c>
      <c r="R3100" s="296">
        <v>0</v>
      </c>
      <c r="S3100" s="296">
        <v>0.99070000000000003</v>
      </c>
      <c r="T3100" s="297">
        <v>1712</v>
      </c>
      <c r="U3100" s="340">
        <v>91020</v>
      </c>
      <c r="V3100" s="340">
        <v>210881</v>
      </c>
      <c r="W3100" s="297">
        <v>3919</v>
      </c>
      <c r="X3100" s="296">
        <v>-1.2E-2</v>
      </c>
    </row>
    <row r="3101" spans="13:24">
      <c r="M3101">
        <v>3099</v>
      </c>
      <c r="N3101">
        <v>55726</v>
      </c>
      <c r="O3101" t="s">
        <v>679</v>
      </c>
      <c r="P3101" t="s">
        <v>151</v>
      </c>
      <c r="Q3101">
        <v>401</v>
      </c>
      <c r="R3101" s="296">
        <v>0</v>
      </c>
      <c r="S3101" s="296">
        <v>0.99070000000000003</v>
      </c>
      <c r="T3101">
        <v>424</v>
      </c>
      <c r="U3101" s="340">
        <v>91019</v>
      </c>
      <c r="V3101" s="340">
        <v>289577</v>
      </c>
      <c r="W3101" s="297">
        <v>1046</v>
      </c>
      <c r="X3101" s="296">
        <v>0.01</v>
      </c>
    </row>
    <row r="3102" spans="13:24">
      <c r="M3102">
        <v>3100</v>
      </c>
      <c r="N3102">
        <v>81503</v>
      </c>
      <c r="O3102" t="s">
        <v>1491</v>
      </c>
      <c r="P3102" t="s">
        <v>142</v>
      </c>
      <c r="Q3102">
        <v>1102</v>
      </c>
      <c r="R3102" s="296">
        <v>0</v>
      </c>
      <c r="S3102" s="296">
        <v>0.99070000000000003</v>
      </c>
      <c r="T3102" s="297">
        <v>6719</v>
      </c>
      <c r="U3102" s="340">
        <v>90928</v>
      </c>
      <c r="V3102" s="340">
        <v>414353</v>
      </c>
      <c r="W3102" s="297">
        <v>16327</v>
      </c>
      <c r="X3102" s="296">
        <v>3.0000000000000001E-3</v>
      </c>
    </row>
    <row r="3103" spans="13:24">
      <c r="M3103">
        <v>3101</v>
      </c>
      <c r="N3103">
        <v>54403</v>
      </c>
      <c r="O3103" t="s">
        <v>1119</v>
      </c>
      <c r="P3103" t="s">
        <v>149</v>
      </c>
      <c r="Q3103">
        <v>213</v>
      </c>
      <c r="R3103" s="296">
        <v>0</v>
      </c>
      <c r="S3103" s="296">
        <v>0.99070000000000003</v>
      </c>
      <c r="T3103" s="297">
        <v>10523</v>
      </c>
      <c r="U3103" s="340">
        <v>90906</v>
      </c>
      <c r="V3103" s="340">
        <v>288554</v>
      </c>
      <c r="W3103" s="297">
        <v>24963</v>
      </c>
      <c r="X3103" s="296">
        <v>3.0000000000000001E-3</v>
      </c>
    </row>
    <row r="3104" spans="13:24">
      <c r="M3104">
        <v>3102</v>
      </c>
      <c r="N3104">
        <v>43901</v>
      </c>
      <c r="O3104" t="s">
        <v>2237</v>
      </c>
      <c r="P3104" t="s">
        <v>136</v>
      </c>
      <c r="Q3104">
        <v>384</v>
      </c>
      <c r="R3104" s="296">
        <v>0</v>
      </c>
      <c r="S3104" s="296">
        <v>0.99070000000000003</v>
      </c>
      <c r="T3104">
        <v>894</v>
      </c>
      <c r="U3104" s="340">
        <v>90905</v>
      </c>
      <c r="V3104" s="340">
        <v>210349</v>
      </c>
      <c r="W3104" s="297">
        <v>2043</v>
      </c>
      <c r="X3104" s="296">
        <v>-0.01</v>
      </c>
    </row>
    <row r="3105" spans="13:24">
      <c r="M3105">
        <v>3103</v>
      </c>
      <c r="N3105">
        <v>11368</v>
      </c>
      <c r="O3105" t="s">
        <v>634</v>
      </c>
      <c r="P3105" t="s">
        <v>128</v>
      </c>
      <c r="Q3105">
        <v>727</v>
      </c>
      <c r="R3105" s="296">
        <v>0</v>
      </c>
      <c r="S3105" s="296">
        <v>0.99070000000000003</v>
      </c>
      <c r="T3105" s="297">
        <v>31076</v>
      </c>
      <c r="U3105" s="340">
        <v>90902</v>
      </c>
      <c r="V3105" s="340">
        <v>925352</v>
      </c>
      <c r="W3105" s="297">
        <v>112513</v>
      </c>
      <c r="X3105" s="296">
        <v>-8.0000000000000002E-3</v>
      </c>
    </row>
    <row r="3106" spans="13:24">
      <c r="M3106">
        <v>3104</v>
      </c>
      <c r="N3106">
        <v>32962</v>
      </c>
      <c r="O3106" t="s">
        <v>798</v>
      </c>
      <c r="P3106" t="s">
        <v>127</v>
      </c>
      <c r="Q3106">
        <v>1089</v>
      </c>
      <c r="R3106" s="296">
        <v>0</v>
      </c>
      <c r="S3106" s="296">
        <v>0.99080000000000001</v>
      </c>
      <c r="T3106" s="297">
        <v>11864</v>
      </c>
      <c r="U3106" s="340">
        <v>90877</v>
      </c>
      <c r="V3106" s="340">
        <v>432139</v>
      </c>
      <c r="W3106" s="297">
        <v>27556</v>
      </c>
      <c r="X3106" s="296">
        <v>1.2999999999999999E-2</v>
      </c>
    </row>
    <row r="3107" spans="13:24">
      <c r="M3107">
        <v>3105</v>
      </c>
      <c r="N3107">
        <v>49058</v>
      </c>
      <c r="O3107" t="s">
        <v>1909</v>
      </c>
      <c r="P3107" t="s">
        <v>140</v>
      </c>
      <c r="Q3107">
        <v>132</v>
      </c>
      <c r="R3107" s="296">
        <v>0</v>
      </c>
      <c r="S3107" s="296">
        <v>0.99080000000000001</v>
      </c>
      <c r="T3107" s="297">
        <v>8045</v>
      </c>
      <c r="U3107" s="340">
        <v>90784</v>
      </c>
      <c r="V3107" s="340">
        <v>277356</v>
      </c>
      <c r="W3107" s="297">
        <v>19924</v>
      </c>
      <c r="X3107" s="296">
        <v>8.0000000000000002E-3</v>
      </c>
    </row>
    <row r="3108" spans="13:24">
      <c r="M3108">
        <v>3106</v>
      </c>
      <c r="N3108">
        <v>61453</v>
      </c>
      <c r="O3108" t="s">
        <v>2238</v>
      </c>
      <c r="P3108" t="s">
        <v>131</v>
      </c>
      <c r="Q3108">
        <v>171</v>
      </c>
      <c r="R3108" s="296">
        <v>0</v>
      </c>
      <c r="S3108" s="296">
        <v>0.99080000000000001</v>
      </c>
      <c r="T3108">
        <v>200</v>
      </c>
      <c r="U3108" s="340">
        <v>90778</v>
      </c>
      <c r="V3108" s="340">
        <v>169940</v>
      </c>
      <c r="W3108">
        <v>453</v>
      </c>
      <c r="X3108" s="296">
        <v>-1.6E-2</v>
      </c>
    </row>
    <row r="3109" spans="13:24">
      <c r="M3109">
        <v>3107</v>
      </c>
      <c r="N3109">
        <v>50701</v>
      </c>
      <c r="O3109" t="s">
        <v>2239</v>
      </c>
      <c r="P3109" t="s">
        <v>170</v>
      </c>
      <c r="Q3109">
        <v>234</v>
      </c>
      <c r="R3109" s="296">
        <v>0</v>
      </c>
      <c r="S3109" s="296">
        <v>0.99080000000000001</v>
      </c>
      <c r="T3109" s="297">
        <v>13242</v>
      </c>
      <c r="U3109" s="340">
        <v>90758</v>
      </c>
      <c r="V3109" s="340">
        <v>245226</v>
      </c>
      <c r="W3109" s="297">
        <v>29532</v>
      </c>
      <c r="X3109" s="296">
        <v>-2E-3</v>
      </c>
    </row>
    <row r="3110" spans="13:24">
      <c r="M3110">
        <v>3108</v>
      </c>
      <c r="N3110">
        <v>13212</v>
      </c>
      <c r="O3110" t="s">
        <v>2089</v>
      </c>
      <c r="P3110" t="s">
        <v>128</v>
      </c>
      <c r="Q3110">
        <v>596</v>
      </c>
      <c r="R3110" s="296">
        <v>0</v>
      </c>
      <c r="S3110" s="296">
        <v>0.99080000000000001</v>
      </c>
      <c r="T3110" s="297">
        <v>8798</v>
      </c>
      <c r="U3110" s="340">
        <v>90724</v>
      </c>
      <c r="V3110" s="340">
        <v>205234</v>
      </c>
      <c r="W3110" s="297">
        <v>19600</v>
      </c>
      <c r="X3110" s="296">
        <v>-1E-3</v>
      </c>
    </row>
    <row r="3111" spans="13:24">
      <c r="M3111">
        <v>3109</v>
      </c>
      <c r="N3111">
        <v>48162</v>
      </c>
      <c r="O3111" t="s">
        <v>610</v>
      </c>
      <c r="P3111" t="s">
        <v>140</v>
      </c>
      <c r="Q3111">
        <v>224</v>
      </c>
      <c r="R3111" s="296">
        <v>0</v>
      </c>
      <c r="S3111" s="296">
        <v>0.99080000000000001</v>
      </c>
      <c r="T3111" s="297">
        <v>12313</v>
      </c>
      <c r="U3111" s="340">
        <v>90690</v>
      </c>
      <c r="V3111" s="340">
        <v>241923</v>
      </c>
      <c r="W3111" s="297">
        <v>29164</v>
      </c>
      <c r="X3111" s="296">
        <v>1E-3</v>
      </c>
    </row>
    <row r="3112" spans="13:24">
      <c r="M3112">
        <v>3110</v>
      </c>
      <c r="N3112">
        <v>33523</v>
      </c>
      <c r="O3112" t="s">
        <v>2240</v>
      </c>
      <c r="P3112" t="s">
        <v>127</v>
      </c>
      <c r="Q3112">
        <v>998</v>
      </c>
      <c r="R3112" s="296">
        <v>0</v>
      </c>
      <c r="S3112" s="296">
        <v>0.99080000000000001</v>
      </c>
      <c r="T3112" s="297">
        <v>7158</v>
      </c>
      <c r="U3112" s="340">
        <v>90668</v>
      </c>
      <c r="V3112" s="340">
        <v>343314</v>
      </c>
      <c r="W3112" s="297">
        <v>19142</v>
      </c>
      <c r="X3112" s="296">
        <v>6.0000000000000001E-3</v>
      </c>
    </row>
    <row r="3113" spans="13:24">
      <c r="M3113">
        <v>3111</v>
      </c>
      <c r="N3113">
        <v>61252</v>
      </c>
      <c r="O3113" t="s">
        <v>2241</v>
      </c>
      <c r="P3113" t="s">
        <v>131</v>
      </c>
      <c r="Q3113">
        <v>123</v>
      </c>
      <c r="R3113" s="296">
        <v>0</v>
      </c>
      <c r="S3113" s="296">
        <v>0.99080000000000001</v>
      </c>
      <c r="T3113" s="297">
        <v>2346</v>
      </c>
      <c r="U3113" s="340">
        <v>90630</v>
      </c>
      <c r="V3113" s="340">
        <v>199933</v>
      </c>
      <c r="W3113" s="297">
        <v>5266</v>
      </c>
      <c r="X3113" s="296">
        <v>-6.0000000000000001E-3</v>
      </c>
    </row>
    <row r="3114" spans="13:24">
      <c r="M3114">
        <v>3112</v>
      </c>
      <c r="N3114">
        <v>39475</v>
      </c>
      <c r="O3114" t="s">
        <v>2242</v>
      </c>
      <c r="P3114" t="s">
        <v>188</v>
      </c>
      <c r="Q3114">
        <v>765</v>
      </c>
      <c r="R3114" s="296">
        <v>0</v>
      </c>
      <c r="S3114" s="296">
        <v>0.9909</v>
      </c>
      <c r="T3114" s="297">
        <v>5014</v>
      </c>
      <c r="U3114" s="340">
        <v>90588</v>
      </c>
      <c r="V3114" s="340">
        <v>233421</v>
      </c>
      <c r="W3114" s="297">
        <v>13168</v>
      </c>
      <c r="X3114" s="296">
        <v>8.0000000000000002E-3</v>
      </c>
    </row>
    <row r="3115" spans="13:24">
      <c r="M3115">
        <v>3113</v>
      </c>
      <c r="N3115">
        <v>57071</v>
      </c>
      <c r="O3115" t="s">
        <v>2243</v>
      </c>
      <c r="P3115" t="s">
        <v>215</v>
      </c>
      <c r="Q3115">
        <v>484</v>
      </c>
      <c r="R3115" s="296">
        <v>0</v>
      </c>
      <c r="S3115" s="296">
        <v>0.9909</v>
      </c>
      <c r="T3115" s="297">
        <v>1300</v>
      </c>
      <c r="U3115" s="340">
        <v>90473</v>
      </c>
      <c r="V3115" s="340">
        <v>298890</v>
      </c>
      <c r="W3115" s="297">
        <v>3190</v>
      </c>
      <c r="X3115" s="296">
        <v>1.4E-2</v>
      </c>
    </row>
    <row r="3116" spans="13:24">
      <c r="M3116">
        <v>3114</v>
      </c>
      <c r="N3116">
        <v>65047</v>
      </c>
      <c r="O3116" t="s">
        <v>2244</v>
      </c>
      <c r="P3116" t="s">
        <v>186</v>
      </c>
      <c r="Q3116">
        <v>374</v>
      </c>
      <c r="R3116" s="296">
        <v>0</v>
      </c>
      <c r="S3116" s="296">
        <v>0.9909</v>
      </c>
      <c r="T3116">
        <v>539</v>
      </c>
      <c r="U3116" s="340">
        <v>90458</v>
      </c>
      <c r="V3116" s="340">
        <v>247937</v>
      </c>
      <c r="W3116" s="297">
        <v>1236</v>
      </c>
      <c r="X3116" s="296">
        <v>0.01</v>
      </c>
    </row>
    <row r="3117" spans="13:24">
      <c r="M3117">
        <v>3115</v>
      </c>
      <c r="N3117">
        <v>31405</v>
      </c>
      <c r="O3117" t="s">
        <v>483</v>
      </c>
      <c r="P3117" t="s">
        <v>130</v>
      </c>
      <c r="Q3117">
        <v>788</v>
      </c>
      <c r="R3117" s="296">
        <v>0</v>
      </c>
      <c r="S3117" s="296">
        <v>0.9909</v>
      </c>
      <c r="T3117" s="297">
        <v>14586</v>
      </c>
      <c r="U3117" s="340">
        <v>90451</v>
      </c>
      <c r="V3117" s="340">
        <v>358664</v>
      </c>
      <c r="W3117" s="297">
        <v>35666</v>
      </c>
      <c r="X3117" s="296">
        <v>-2E-3</v>
      </c>
    </row>
    <row r="3118" spans="13:24">
      <c r="M3118">
        <v>3116</v>
      </c>
      <c r="N3118">
        <v>55432</v>
      </c>
      <c r="O3118" t="s">
        <v>576</v>
      </c>
      <c r="P3118" t="s">
        <v>151</v>
      </c>
      <c r="Q3118">
        <v>341</v>
      </c>
      <c r="R3118" s="296">
        <v>0</v>
      </c>
      <c r="S3118" s="296">
        <v>0.9909</v>
      </c>
      <c r="T3118" s="297">
        <v>13608</v>
      </c>
      <c r="U3118" s="340">
        <v>90393</v>
      </c>
      <c r="V3118" s="340">
        <v>356423</v>
      </c>
      <c r="W3118" s="297">
        <v>33898</v>
      </c>
      <c r="X3118" s="296">
        <v>8.0000000000000002E-3</v>
      </c>
    </row>
    <row r="3119" spans="13:24">
      <c r="M3119">
        <v>3117</v>
      </c>
      <c r="N3119">
        <v>54435</v>
      </c>
      <c r="O3119" t="s">
        <v>2245</v>
      </c>
      <c r="P3119" t="s">
        <v>149</v>
      </c>
      <c r="Q3119">
        <v>236</v>
      </c>
      <c r="R3119" s="296">
        <v>0</v>
      </c>
      <c r="S3119" s="296">
        <v>0.9909</v>
      </c>
      <c r="T3119" s="297">
        <v>1011</v>
      </c>
      <c r="U3119" s="340">
        <v>90359</v>
      </c>
      <c r="V3119" s="340">
        <v>277621</v>
      </c>
      <c r="W3119" s="297">
        <v>2300</v>
      </c>
      <c r="X3119" s="296">
        <v>1.0999999999999999E-2</v>
      </c>
    </row>
    <row r="3120" spans="13:24">
      <c r="M3120">
        <v>3118</v>
      </c>
      <c r="N3120">
        <v>73160</v>
      </c>
      <c r="O3120" t="s">
        <v>765</v>
      </c>
      <c r="P3120" t="s">
        <v>205</v>
      </c>
      <c r="Q3120">
        <v>702</v>
      </c>
      <c r="R3120" s="296">
        <v>0</v>
      </c>
      <c r="S3120" s="296">
        <v>0.9909</v>
      </c>
      <c r="T3120" s="297">
        <v>24448</v>
      </c>
      <c r="U3120" s="340">
        <v>90339</v>
      </c>
      <c r="V3120" s="340">
        <v>248411</v>
      </c>
      <c r="W3120" s="297">
        <v>64184</v>
      </c>
      <c r="X3120" s="296">
        <v>8.9999999999999993E-3</v>
      </c>
    </row>
    <row r="3121" spans="13:24">
      <c r="M3121">
        <v>3119</v>
      </c>
      <c r="N3121">
        <v>37725</v>
      </c>
      <c r="O3121" t="s">
        <v>2246</v>
      </c>
      <c r="P3121" t="s">
        <v>146</v>
      </c>
      <c r="Q3121">
        <v>485</v>
      </c>
      <c r="R3121" s="296">
        <v>0</v>
      </c>
      <c r="S3121" s="296">
        <v>0.9909</v>
      </c>
      <c r="T3121" s="297">
        <v>8144</v>
      </c>
      <c r="U3121" s="340">
        <v>90307</v>
      </c>
      <c r="V3121" s="340">
        <v>357854</v>
      </c>
      <c r="W3121" s="297">
        <v>20090</v>
      </c>
      <c r="X3121" s="296">
        <v>1.4999999999999999E-2</v>
      </c>
    </row>
    <row r="3122" spans="13:24">
      <c r="M3122">
        <v>3120</v>
      </c>
      <c r="N3122">
        <v>30281</v>
      </c>
      <c r="O3122" t="s">
        <v>2247</v>
      </c>
      <c r="P3122" t="s">
        <v>130</v>
      </c>
      <c r="Q3122">
        <v>624</v>
      </c>
      <c r="R3122" s="296">
        <v>0</v>
      </c>
      <c r="S3122" s="296">
        <v>0.99099999999999999</v>
      </c>
      <c r="T3122" s="297">
        <v>26307</v>
      </c>
      <c r="U3122" s="340">
        <v>90196</v>
      </c>
      <c r="V3122" s="340">
        <v>301961</v>
      </c>
      <c r="W3122" s="297">
        <v>71052</v>
      </c>
      <c r="X3122" s="296">
        <v>6.0000000000000001E-3</v>
      </c>
    </row>
    <row r="3123" spans="13:24">
      <c r="M3123">
        <v>3121</v>
      </c>
      <c r="N3123">
        <v>71467</v>
      </c>
      <c r="O3123" t="s">
        <v>2248</v>
      </c>
      <c r="P3123" t="s">
        <v>147</v>
      </c>
      <c r="Q3123">
        <v>775</v>
      </c>
      <c r="R3123" s="296">
        <v>0</v>
      </c>
      <c r="S3123" s="296">
        <v>0.99099999999999999</v>
      </c>
      <c r="T3123" s="297">
        <v>2150</v>
      </c>
      <c r="U3123" s="340">
        <v>90026</v>
      </c>
      <c r="V3123" s="340">
        <v>191589</v>
      </c>
      <c r="W3123" s="297">
        <v>8051</v>
      </c>
      <c r="X3123" s="296">
        <v>-2E-3</v>
      </c>
    </row>
    <row r="3124" spans="13:24">
      <c r="M3124">
        <v>3122</v>
      </c>
      <c r="N3124">
        <v>75240</v>
      </c>
      <c r="O3124" t="s">
        <v>338</v>
      </c>
      <c r="P3124" t="s">
        <v>134</v>
      </c>
      <c r="Q3124">
        <v>804</v>
      </c>
      <c r="R3124" s="296">
        <v>0</v>
      </c>
      <c r="S3124" s="296">
        <v>0.99099999999999999</v>
      </c>
      <c r="T3124" s="297">
        <v>12810</v>
      </c>
      <c r="U3124" s="340">
        <v>90023</v>
      </c>
      <c r="V3124" s="340">
        <v>566065</v>
      </c>
      <c r="W3124" s="297">
        <v>30298</v>
      </c>
      <c r="X3124" s="296">
        <v>1.7999999999999999E-2</v>
      </c>
    </row>
    <row r="3125" spans="13:24">
      <c r="M3125">
        <v>3123</v>
      </c>
      <c r="N3125">
        <v>85373</v>
      </c>
      <c r="O3125" t="s">
        <v>2249</v>
      </c>
      <c r="P3125" t="s">
        <v>158</v>
      </c>
      <c r="Q3125">
        <v>1454</v>
      </c>
      <c r="R3125" s="296">
        <v>0</v>
      </c>
      <c r="S3125" s="296">
        <v>0.99099999999999999</v>
      </c>
      <c r="T3125" s="297">
        <v>9166</v>
      </c>
      <c r="U3125" s="340">
        <v>89904</v>
      </c>
      <c r="V3125" s="340">
        <v>436882</v>
      </c>
      <c r="W3125" s="297">
        <v>18792</v>
      </c>
      <c r="X3125" s="296">
        <v>3.0000000000000001E-3</v>
      </c>
    </row>
    <row r="3126" spans="13:24">
      <c r="M3126">
        <v>3124</v>
      </c>
      <c r="N3126">
        <v>54949</v>
      </c>
      <c r="O3126" t="s">
        <v>2250</v>
      </c>
      <c r="P3126" t="s">
        <v>149</v>
      </c>
      <c r="Q3126">
        <v>171</v>
      </c>
      <c r="R3126" s="296">
        <v>0</v>
      </c>
      <c r="S3126" s="296">
        <v>0.99099999999999999</v>
      </c>
      <c r="T3126" s="297">
        <v>1389</v>
      </c>
      <c r="U3126" s="340">
        <v>89902</v>
      </c>
      <c r="V3126" s="340">
        <v>256094</v>
      </c>
      <c r="W3126" s="297">
        <v>3448</v>
      </c>
      <c r="X3126" s="296">
        <v>0</v>
      </c>
    </row>
    <row r="3127" spans="13:24">
      <c r="M3127">
        <v>3125</v>
      </c>
      <c r="N3127">
        <v>62347</v>
      </c>
      <c r="O3127" t="s">
        <v>843</v>
      </c>
      <c r="P3127" t="s">
        <v>131</v>
      </c>
      <c r="Q3127">
        <v>233</v>
      </c>
      <c r="R3127" s="296">
        <v>0</v>
      </c>
      <c r="S3127" s="296">
        <v>0.99099999999999999</v>
      </c>
      <c r="T3127">
        <v>846</v>
      </c>
      <c r="U3127" s="340">
        <v>89876</v>
      </c>
      <c r="V3127" s="340">
        <v>254333</v>
      </c>
      <c r="W3127" s="297">
        <v>2268</v>
      </c>
      <c r="X3127" s="296">
        <v>-8.9999999999999993E-3</v>
      </c>
    </row>
    <row r="3128" spans="13:24">
      <c r="M3128">
        <v>3126</v>
      </c>
      <c r="N3128">
        <v>62231</v>
      </c>
      <c r="O3128" t="s">
        <v>2251</v>
      </c>
      <c r="P3128" t="s">
        <v>131</v>
      </c>
      <c r="Q3128">
        <v>259</v>
      </c>
      <c r="R3128" s="296">
        <v>0</v>
      </c>
      <c r="S3128" s="296">
        <v>0.99099999999999999</v>
      </c>
      <c r="T3128" s="297">
        <v>2987</v>
      </c>
      <c r="U3128" s="340">
        <v>89811</v>
      </c>
      <c r="V3128" s="340">
        <v>198655</v>
      </c>
      <c r="W3128" s="297">
        <v>7130</v>
      </c>
      <c r="X3128" s="296">
        <v>-4.0000000000000001E-3</v>
      </c>
    </row>
    <row r="3129" spans="13:24">
      <c r="M3129">
        <v>3127</v>
      </c>
      <c r="N3129">
        <v>46635</v>
      </c>
      <c r="O3129" t="s">
        <v>1212</v>
      </c>
      <c r="P3129" t="s">
        <v>144</v>
      </c>
      <c r="Q3129">
        <v>87</v>
      </c>
      <c r="R3129" s="296">
        <v>0</v>
      </c>
      <c r="S3129" s="296">
        <v>0.99099999999999999</v>
      </c>
      <c r="T3129" s="297">
        <v>2590</v>
      </c>
      <c r="U3129" s="340">
        <v>89802</v>
      </c>
      <c r="V3129" s="340">
        <v>207571</v>
      </c>
      <c r="W3129" s="297">
        <v>6255</v>
      </c>
      <c r="X3129" s="296">
        <v>-1E-3</v>
      </c>
    </row>
    <row r="3130" spans="13:24">
      <c r="M3130">
        <v>3128</v>
      </c>
      <c r="N3130">
        <v>85735</v>
      </c>
      <c r="O3130" t="s">
        <v>579</v>
      </c>
      <c r="P3130" t="s">
        <v>158</v>
      </c>
      <c r="Q3130">
        <v>1465</v>
      </c>
      <c r="R3130" s="296">
        <v>0</v>
      </c>
      <c r="S3130" s="296">
        <v>0.99109999999999998</v>
      </c>
      <c r="T3130" s="297">
        <v>4684</v>
      </c>
      <c r="U3130" s="340">
        <v>89740</v>
      </c>
      <c r="V3130" s="340">
        <v>301868</v>
      </c>
      <c r="W3130" s="297">
        <v>11722</v>
      </c>
      <c r="X3130" s="296">
        <v>3.0000000000000001E-3</v>
      </c>
    </row>
    <row r="3131" spans="13:24">
      <c r="M3131">
        <v>3129</v>
      </c>
      <c r="N3131">
        <v>54623</v>
      </c>
      <c r="O3131" t="s">
        <v>2252</v>
      </c>
      <c r="P3131" t="s">
        <v>149</v>
      </c>
      <c r="Q3131">
        <v>196</v>
      </c>
      <c r="R3131" s="296">
        <v>0</v>
      </c>
      <c r="S3131" s="296">
        <v>0.99109999999999998</v>
      </c>
      <c r="T3131">
        <v>704</v>
      </c>
      <c r="U3131" s="340">
        <v>89685</v>
      </c>
      <c r="V3131" s="340">
        <v>309691</v>
      </c>
      <c r="W3131" s="297">
        <v>1742</v>
      </c>
      <c r="X3131" s="296">
        <v>3.0000000000000001E-3</v>
      </c>
    </row>
    <row r="3132" spans="13:24">
      <c r="M3132">
        <v>3130</v>
      </c>
      <c r="N3132">
        <v>50250</v>
      </c>
      <c r="O3132" t="s">
        <v>801</v>
      </c>
      <c r="P3132" t="s">
        <v>170</v>
      </c>
      <c r="Q3132">
        <v>340</v>
      </c>
      <c r="R3132" s="296">
        <v>0</v>
      </c>
      <c r="S3132" s="296">
        <v>0.99109999999999998</v>
      </c>
      <c r="T3132">
        <v>995</v>
      </c>
      <c r="U3132" s="340">
        <v>89606</v>
      </c>
      <c r="V3132" s="340">
        <v>213999</v>
      </c>
      <c r="W3132" s="297">
        <v>2415</v>
      </c>
      <c r="X3132" s="296">
        <v>-3.0000000000000001E-3</v>
      </c>
    </row>
    <row r="3133" spans="13:24">
      <c r="M3133">
        <v>3131</v>
      </c>
      <c r="N3133">
        <v>61021</v>
      </c>
      <c r="O3133" t="s">
        <v>2253</v>
      </c>
      <c r="P3133" t="s">
        <v>131</v>
      </c>
      <c r="Q3133">
        <v>90</v>
      </c>
      <c r="R3133" s="296">
        <v>0</v>
      </c>
      <c r="S3133" s="296">
        <v>0.99109999999999998</v>
      </c>
      <c r="T3133" s="297">
        <v>9115</v>
      </c>
      <c r="U3133" s="340">
        <v>89582</v>
      </c>
      <c r="V3133" s="340">
        <v>212591</v>
      </c>
      <c r="W3133" s="297">
        <v>22742</v>
      </c>
      <c r="X3133" s="296">
        <v>-4.0000000000000001E-3</v>
      </c>
    </row>
    <row r="3134" spans="13:24">
      <c r="M3134">
        <v>3132</v>
      </c>
      <c r="N3134">
        <v>28806</v>
      </c>
      <c r="O3134" t="s">
        <v>816</v>
      </c>
      <c r="P3134" t="s">
        <v>138</v>
      </c>
      <c r="Q3134">
        <v>534</v>
      </c>
      <c r="R3134" s="296">
        <v>0</v>
      </c>
      <c r="S3134" s="296">
        <v>0.99109999999999998</v>
      </c>
      <c r="T3134" s="297">
        <v>19531</v>
      </c>
      <c r="U3134" s="340">
        <v>89497</v>
      </c>
      <c r="V3134" s="340">
        <v>408531</v>
      </c>
      <c r="W3134" s="297">
        <v>45737</v>
      </c>
      <c r="X3134" s="296">
        <v>1.0999999999999999E-2</v>
      </c>
    </row>
    <row r="3135" spans="13:24">
      <c r="M3135">
        <v>3133</v>
      </c>
      <c r="N3135">
        <v>15122</v>
      </c>
      <c r="O3135" t="s">
        <v>2254</v>
      </c>
      <c r="P3135" t="s">
        <v>133</v>
      </c>
      <c r="Q3135">
        <v>429</v>
      </c>
      <c r="R3135" s="296">
        <v>0</v>
      </c>
      <c r="S3135" s="296">
        <v>0.99109999999999998</v>
      </c>
      <c r="T3135" s="297">
        <v>8307</v>
      </c>
      <c r="U3135" s="340">
        <v>89492</v>
      </c>
      <c r="V3135" s="340">
        <v>217371</v>
      </c>
      <c r="W3135" s="297">
        <v>18936</v>
      </c>
      <c r="X3135" s="296">
        <v>-1E-3</v>
      </c>
    </row>
    <row r="3136" spans="13:24">
      <c r="M3136">
        <v>3134</v>
      </c>
      <c r="N3136">
        <v>37148</v>
      </c>
      <c r="O3136" t="s">
        <v>420</v>
      </c>
      <c r="P3136" t="s">
        <v>146</v>
      </c>
      <c r="Q3136">
        <v>392</v>
      </c>
      <c r="R3136" s="296">
        <v>0</v>
      </c>
      <c r="S3136" s="296">
        <v>0.99109999999999998</v>
      </c>
      <c r="T3136" s="297">
        <v>9501</v>
      </c>
      <c r="U3136" s="340">
        <v>89486</v>
      </c>
      <c r="V3136" s="340">
        <v>395340</v>
      </c>
      <c r="W3136" s="297">
        <v>25998</v>
      </c>
      <c r="X3136" s="296">
        <v>7.0000000000000001E-3</v>
      </c>
    </row>
    <row r="3137" spans="13:24">
      <c r="M3137">
        <v>3135</v>
      </c>
      <c r="N3137">
        <v>63031</v>
      </c>
      <c r="O3137" t="s">
        <v>2255</v>
      </c>
      <c r="P3137" t="s">
        <v>186</v>
      </c>
      <c r="Q3137">
        <v>267</v>
      </c>
      <c r="R3137" s="296">
        <v>0</v>
      </c>
      <c r="S3137" s="296">
        <v>0.99109999999999998</v>
      </c>
      <c r="T3137" s="297">
        <v>18739</v>
      </c>
      <c r="U3137" s="340">
        <v>89481</v>
      </c>
      <c r="V3137" s="340">
        <v>241204</v>
      </c>
      <c r="W3137" s="297">
        <v>46989</v>
      </c>
      <c r="X3137" s="296">
        <v>-4.0000000000000001E-3</v>
      </c>
    </row>
    <row r="3138" spans="13:24">
      <c r="M3138">
        <v>3136</v>
      </c>
      <c r="N3138">
        <v>68949</v>
      </c>
      <c r="O3138" t="s">
        <v>2256</v>
      </c>
      <c r="P3138" t="s">
        <v>195</v>
      </c>
      <c r="Q3138">
        <v>612</v>
      </c>
      <c r="R3138" s="296">
        <v>0</v>
      </c>
      <c r="S3138" s="296">
        <v>0.99119999999999997</v>
      </c>
      <c r="T3138" s="297">
        <v>2751</v>
      </c>
      <c r="U3138" s="340">
        <v>89466</v>
      </c>
      <c r="V3138" s="340">
        <v>223053</v>
      </c>
      <c r="W3138" s="297">
        <v>6471</v>
      </c>
      <c r="X3138" s="296">
        <v>0</v>
      </c>
    </row>
    <row r="3139" spans="13:24">
      <c r="M3139">
        <v>3137</v>
      </c>
      <c r="N3139">
        <v>37022</v>
      </c>
      <c r="O3139" t="s">
        <v>547</v>
      </c>
      <c r="P3139" t="s">
        <v>146</v>
      </c>
      <c r="Q3139">
        <v>397</v>
      </c>
      <c r="R3139" s="296">
        <v>0</v>
      </c>
      <c r="S3139" s="296">
        <v>0.99119999999999997</v>
      </c>
      <c r="T3139" s="297">
        <v>2549</v>
      </c>
      <c r="U3139" s="340">
        <v>89424</v>
      </c>
      <c r="V3139" s="340">
        <v>472084</v>
      </c>
      <c r="W3139" s="297">
        <v>6710</v>
      </c>
      <c r="X3139" s="296">
        <v>1.2999999999999999E-2</v>
      </c>
    </row>
    <row r="3140" spans="13:24">
      <c r="M3140">
        <v>3138</v>
      </c>
      <c r="N3140">
        <v>47995</v>
      </c>
      <c r="O3140" t="s">
        <v>693</v>
      </c>
      <c r="P3140" t="s">
        <v>144</v>
      </c>
      <c r="Q3140">
        <v>103</v>
      </c>
      <c r="R3140" s="296">
        <v>0</v>
      </c>
      <c r="S3140" s="296">
        <v>0.99119999999999997</v>
      </c>
      <c r="T3140">
        <v>636</v>
      </c>
      <c r="U3140" s="340">
        <v>89386</v>
      </c>
      <c r="V3140" s="340">
        <v>214429</v>
      </c>
      <c r="W3140" s="297">
        <v>1676</v>
      </c>
      <c r="X3140" s="296">
        <v>2E-3</v>
      </c>
    </row>
    <row r="3141" spans="13:24">
      <c r="M3141">
        <v>3139</v>
      </c>
      <c r="N3141">
        <v>45220</v>
      </c>
      <c r="O3141" t="s">
        <v>599</v>
      </c>
      <c r="P3141" t="s">
        <v>136</v>
      </c>
      <c r="Q3141">
        <v>269</v>
      </c>
      <c r="R3141" s="296">
        <v>0</v>
      </c>
      <c r="S3141" s="296">
        <v>0.99119999999999997</v>
      </c>
      <c r="T3141" s="297">
        <v>6768</v>
      </c>
      <c r="U3141" s="340">
        <v>89382</v>
      </c>
      <c r="V3141" s="340">
        <v>410664</v>
      </c>
      <c r="W3141" s="297">
        <v>14286</v>
      </c>
      <c r="X3141" s="296">
        <v>2E-3</v>
      </c>
    </row>
    <row r="3142" spans="13:24">
      <c r="M3142">
        <v>3140</v>
      </c>
      <c r="N3142">
        <v>60922</v>
      </c>
      <c r="O3142" t="s">
        <v>2257</v>
      </c>
      <c r="P3142" t="s">
        <v>131</v>
      </c>
      <c r="Q3142">
        <v>78</v>
      </c>
      <c r="R3142" s="296">
        <v>0</v>
      </c>
      <c r="S3142" s="296">
        <v>0.99119999999999997</v>
      </c>
      <c r="T3142">
        <v>785</v>
      </c>
      <c r="U3142" s="340">
        <v>89363</v>
      </c>
      <c r="V3142" s="340">
        <v>317536</v>
      </c>
      <c r="W3142" s="297">
        <v>1880</v>
      </c>
      <c r="X3142" s="296">
        <v>-8.9999999999999993E-3</v>
      </c>
    </row>
    <row r="3143" spans="13:24">
      <c r="M3143">
        <v>3141</v>
      </c>
      <c r="N3143">
        <v>61310</v>
      </c>
      <c r="O3143" t="s">
        <v>2258</v>
      </c>
      <c r="P3143" t="s">
        <v>131</v>
      </c>
      <c r="Q3143">
        <v>86</v>
      </c>
      <c r="R3143" s="296">
        <v>0</v>
      </c>
      <c r="S3143" s="296">
        <v>0.99119999999999997</v>
      </c>
      <c r="T3143" s="297">
        <v>1536</v>
      </c>
      <c r="U3143" s="340">
        <v>89279</v>
      </c>
      <c r="V3143" s="340">
        <v>221787</v>
      </c>
      <c r="W3143" s="297">
        <v>3610</v>
      </c>
      <c r="X3143" s="296">
        <v>-4.0000000000000001E-3</v>
      </c>
    </row>
    <row r="3144" spans="13:24">
      <c r="M3144">
        <v>3142</v>
      </c>
      <c r="N3144">
        <v>32118</v>
      </c>
      <c r="O3144" t="s">
        <v>2259</v>
      </c>
      <c r="P3144" t="s">
        <v>127</v>
      </c>
      <c r="Q3144">
        <v>971</v>
      </c>
      <c r="R3144" s="296">
        <v>0</v>
      </c>
      <c r="S3144" s="296">
        <v>0.99119999999999997</v>
      </c>
      <c r="T3144" s="297">
        <v>9908</v>
      </c>
      <c r="U3144" s="340">
        <v>89222</v>
      </c>
      <c r="V3144" s="340">
        <v>503244</v>
      </c>
      <c r="W3144" s="297">
        <v>17632</v>
      </c>
      <c r="X3144" s="296">
        <v>-2E-3</v>
      </c>
    </row>
    <row r="3145" spans="13:24">
      <c r="M3145">
        <v>3143</v>
      </c>
      <c r="N3145">
        <v>75604</v>
      </c>
      <c r="O3145" t="s">
        <v>2260</v>
      </c>
      <c r="P3145" t="s">
        <v>134</v>
      </c>
      <c r="Q3145">
        <v>768</v>
      </c>
      <c r="R3145" s="296">
        <v>0</v>
      </c>
      <c r="S3145" s="296">
        <v>0.99119999999999997</v>
      </c>
      <c r="T3145" s="297">
        <v>12097</v>
      </c>
      <c r="U3145" s="340">
        <v>89109</v>
      </c>
      <c r="V3145" s="340">
        <v>225466</v>
      </c>
      <c r="W3145" s="297">
        <v>31047</v>
      </c>
      <c r="X3145" s="296">
        <v>1E-3</v>
      </c>
    </row>
    <row r="3146" spans="13:24">
      <c r="M3146">
        <v>3144</v>
      </c>
      <c r="N3146">
        <v>3276</v>
      </c>
      <c r="O3146" t="s">
        <v>485</v>
      </c>
      <c r="P3146" t="s">
        <v>197</v>
      </c>
      <c r="Q3146">
        <v>825</v>
      </c>
      <c r="R3146" s="296">
        <v>0</v>
      </c>
      <c r="S3146" s="296">
        <v>0.99129999999999996</v>
      </c>
      <c r="T3146" s="297">
        <v>3645</v>
      </c>
      <c r="U3146" s="340">
        <v>89051</v>
      </c>
      <c r="V3146" s="340">
        <v>328497</v>
      </c>
      <c r="W3146" s="297">
        <v>8908</v>
      </c>
      <c r="X3146" s="296">
        <v>6.0000000000000001E-3</v>
      </c>
    </row>
    <row r="3147" spans="13:24">
      <c r="M3147">
        <v>3145</v>
      </c>
      <c r="N3147">
        <v>46755</v>
      </c>
      <c r="O3147" t="s">
        <v>2261</v>
      </c>
      <c r="P3147" t="s">
        <v>144</v>
      </c>
      <c r="Q3147">
        <v>138</v>
      </c>
      <c r="R3147" s="296">
        <v>0</v>
      </c>
      <c r="S3147" s="296">
        <v>0.99129999999999996</v>
      </c>
      <c r="T3147" s="297">
        <v>6283</v>
      </c>
      <c r="U3147" s="340">
        <v>89029</v>
      </c>
      <c r="V3147" s="340">
        <v>240050</v>
      </c>
      <c r="W3147" s="297">
        <v>15780</v>
      </c>
      <c r="X3147" s="296">
        <v>0</v>
      </c>
    </row>
    <row r="3148" spans="13:24">
      <c r="M3148">
        <v>3146</v>
      </c>
      <c r="N3148">
        <v>87112</v>
      </c>
      <c r="O3148" t="s">
        <v>783</v>
      </c>
      <c r="P3148" t="s">
        <v>200</v>
      </c>
      <c r="Q3148">
        <v>1119</v>
      </c>
      <c r="R3148" s="296">
        <v>0</v>
      </c>
      <c r="S3148" s="296">
        <v>0.99129999999999996</v>
      </c>
      <c r="T3148" s="297">
        <v>18759</v>
      </c>
      <c r="U3148" s="340">
        <v>88937</v>
      </c>
      <c r="V3148" s="340">
        <v>307504</v>
      </c>
      <c r="W3148" s="297">
        <v>41331</v>
      </c>
      <c r="X3148" s="296">
        <v>-4.0000000000000001E-3</v>
      </c>
    </row>
    <row r="3149" spans="13:24">
      <c r="M3149">
        <v>3147</v>
      </c>
      <c r="N3149">
        <v>64056</v>
      </c>
      <c r="O3149" t="s">
        <v>1581</v>
      </c>
      <c r="P3149" t="s">
        <v>186</v>
      </c>
      <c r="Q3149">
        <v>403</v>
      </c>
      <c r="R3149" s="296">
        <v>0</v>
      </c>
      <c r="S3149" s="296">
        <v>0.99129999999999996</v>
      </c>
      <c r="T3149" s="297">
        <v>6223</v>
      </c>
      <c r="U3149" s="340">
        <v>88929</v>
      </c>
      <c r="V3149" s="340">
        <v>233124</v>
      </c>
      <c r="W3149" s="297">
        <v>17073</v>
      </c>
      <c r="X3149" s="296">
        <v>-2E-3</v>
      </c>
    </row>
    <row r="3150" spans="13:24">
      <c r="M3150">
        <v>3148</v>
      </c>
      <c r="N3150">
        <v>12442</v>
      </c>
      <c r="O3150" t="s">
        <v>2262</v>
      </c>
      <c r="P3150" t="s">
        <v>128</v>
      </c>
      <c r="Q3150">
        <v>693</v>
      </c>
      <c r="R3150" s="296">
        <v>0</v>
      </c>
      <c r="S3150" s="296">
        <v>0.99129999999999996</v>
      </c>
      <c r="T3150">
        <v>416</v>
      </c>
      <c r="U3150" s="340">
        <v>88902</v>
      </c>
      <c r="V3150" s="340">
        <v>377976</v>
      </c>
      <c r="W3150">
        <v>836</v>
      </c>
      <c r="X3150" s="296">
        <v>1.6E-2</v>
      </c>
    </row>
    <row r="3151" spans="13:24">
      <c r="M3151">
        <v>3149</v>
      </c>
      <c r="N3151">
        <v>46574</v>
      </c>
      <c r="O3151" t="s">
        <v>2263</v>
      </c>
      <c r="P3151" t="s">
        <v>144</v>
      </c>
      <c r="Q3151">
        <v>82</v>
      </c>
      <c r="R3151" s="296">
        <v>0</v>
      </c>
      <c r="S3151" s="296">
        <v>0.99129999999999996</v>
      </c>
      <c r="T3151" s="297">
        <v>3208</v>
      </c>
      <c r="U3151" s="340">
        <v>88898</v>
      </c>
      <c r="V3151" s="340">
        <v>266381</v>
      </c>
      <c r="W3151" s="297">
        <v>8286</v>
      </c>
      <c r="X3151" s="296">
        <v>-2E-3</v>
      </c>
    </row>
    <row r="3152" spans="13:24">
      <c r="M3152">
        <v>3150</v>
      </c>
      <c r="N3152">
        <v>40601</v>
      </c>
      <c r="O3152" t="s">
        <v>914</v>
      </c>
      <c r="P3152" t="s">
        <v>143</v>
      </c>
      <c r="Q3152">
        <v>312</v>
      </c>
      <c r="R3152" s="296">
        <v>0</v>
      </c>
      <c r="S3152" s="296">
        <v>0.99129999999999996</v>
      </c>
      <c r="T3152" s="297">
        <v>22602</v>
      </c>
      <c r="U3152" s="340">
        <v>88769</v>
      </c>
      <c r="V3152" s="340">
        <v>261451</v>
      </c>
      <c r="W3152" s="297">
        <v>52994</v>
      </c>
      <c r="X3152" s="296">
        <v>2E-3</v>
      </c>
    </row>
    <row r="3153" spans="13:24">
      <c r="M3153">
        <v>3151</v>
      </c>
      <c r="N3153">
        <v>52773</v>
      </c>
      <c r="O3153" t="s">
        <v>1950</v>
      </c>
      <c r="P3153" t="s">
        <v>170</v>
      </c>
      <c r="Q3153">
        <v>157</v>
      </c>
      <c r="R3153" s="296">
        <v>0</v>
      </c>
      <c r="S3153" s="296">
        <v>0.99129999999999996</v>
      </c>
      <c r="T3153">
        <v>936</v>
      </c>
      <c r="U3153" s="340">
        <v>88749</v>
      </c>
      <c r="V3153" s="340">
        <v>232296</v>
      </c>
      <c r="W3153" s="297">
        <v>2325</v>
      </c>
      <c r="X3153" s="296">
        <v>0.01</v>
      </c>
    </row>
    <row r="3154" spans="13:24">
      <c r="M3154">
        <v>3152</v>
      </c>
      <c r="N3154">
        <v>53963</v>
      </c>
      <c r="O3154" t="s">
        <v>2264</v>
      </c>
      <c r="P3154" t="s">
        <v>149</v>
      </c>
      <c r="Q3154">
        <v>114</v>
      </c>
      <c r="R3154" s="296">
        <v>0</v>
      </c>
      <c r="S3154" s="296">
        <v>0.99139999999999995</v>
      </c>
      <c r="T3154" s="297">
        <v>4656</v>
      </c>
      <c r="U3154" s="340">
        <v>88717</v>
      </c>
      <c r="V3154" s="340">
        <v>286650</v>
      </c>
      <c r="W3154" s="297">
        <v>13593</v>
      </c>
      <c r="X3154" s="296">
        <v>-8.9999999999999993E-3</v>
      </c>
    </row>
    <row r="3155" spans="13:24">
      <c r="M3155">
        <v>3153</v>
      </c>
      <c r="N3155">
        <v>67207</v>
      </c>
      <c r="O3155" t="s">
        <v>1810</v>
      </c>
      <c r="P3155" t="s">
        <v>176</v>
      </c>
      <c r="Q3155">
        <v>587</v>
      </c>
      <c r="R3155" s="296">
        <v>0</v>
      </c>
      <c r="S3155" s="296">
        <v>0.99139999999999995</v>
      </c>
      <c r="T3155" s="297">
        <v>12237</v>
      </c>
      <c r="U3155" s="340">
        <v>88693</v>
      </c>
      <c r="V3155" s="340">
        <v>246258</v>
      </c>
      <c r="W3155" s="297">
        <v>29830</v>
      </c>
      <c r="X3155" s="296">
        <v>8.9999999999999993E-3</v>
      </c>
    </row>
    <row r="3156" spans="13:24">
      <c r="M3156">
        <v>3154</v>
      </c>
      <c r="N3156">
        <v>37130</v>
      </c>
      <c r="O3156" t="s">
        <v>1529</v>
      </c>
      <c r="P3156" t="s">
        <v>146</v>
      </c>
      <c r="Q3156">
        <v>442</v>
      </c>
      <c r="R3156" s="296">
        <v>0</v>
      </c>
      <c r="S3156" s="296">
        <v>0.99139999999999995</v>
      </c>
      <c r="T3156" s="297">
        <v>25287</v>
      </c>
      <c r="U3156" s="340">
        <v>88686</v>
      </c>
      <c r="V3156" s="340">
        <v>469170</v>
      </c>
      <c r="W3156" s="297">
        <v>63156</v>
      </c>
      <c r="X3156" s="296">
        <v>1.0999999999999999E-2</v>
      </c>
    </row>
    <row r="3157" spans="13:24">
      <c r="M3157">
        <v>3155</v>
      </c>
      <c r="N3157">
        <v>55421</v>
      </c>
      <c r="O3157" t="s">
        <v>576</v>
      </c>
      <c r="P3157" t="s">
        <v>151</v>
      </c>
      <c r="Q3157">
        <v>339</v>
      </c>
      <c r="R3157" s="296">
        <v>0</v>
      </c>
      <c r="S3157" s="296">
        <v>0.99139999999999995</v>
      </c>
      <c r="T3157" s="297">
        <v>12675</v>
      </c>
      <c r="U3157" s="340">
        <v>88544</v>
      </c>
      <c r="V3157" s="340">
        <v>311349</v>
      </c>
      <c r="W3157" s="297">
        <v>30550</v>
      </c>
      <c r="X3157" s="296">
        <v>2E-3</v>
      </c>
    </row>
    <row r="3158" spans="13:24">
      <c r="M3158">
        <v>3156</v>
      </c>
      <c r="N3158">
        <v>14150</v>
      </c>
      <c r="O3158" t="s">
        <v>2265</v>
      </c>
      <c r="P3158" t="s">
        <v>128</v>
      </c>
      <c r="Q3158">
        <v>458</v>
      </c>
      <c r="R3158" s="296">
        <v>0</v>
      </c>
      <c r="S3158" s="296">
        <v>0.99139999999999995</v>
      </c>
      <c r="T3158" s="297">
        <v>18931</v>
      </c>
      <c r="U3158" s="340">
        <v>88540</v>
      </c>
      <c r="V3158" s="340">
        <v>252983</v>
      </c>
      <c r="W3158" s="297">
        <v>40571</v>
      </c>
      <c r="X3158" s="296">
        <v>-4.0000000000000001E-3</v>
      </c>
    </row>
    <row r="3159" spans="13:24">
      <c r="M3159">
        <v>3157</v>
      </c>
      <c r="N3159">
        <v>33322</v>
      </c>
      <c r="O3159" t="s">
        <v>506</v>
      </c>
      <c r="P3159" t="s">
        <v>127</v>
      </c>
      <c r="Q3159">
        <v>1185</v>
      </c>
      <c r="R3159" s="296">
        <v>0</v>
      </c>
      <c r="S3159" s="296">
        <v>0.99139999999999995</v>
      </c>
      <c r="T3159" s="297">
        <v>18584</v>
      </c>
      <c r="U3159" s="340">
        <v>88497</v>
      </c>
      <c r="V3159" s="340">
        <v>318809</v>
      </c>
      <c r="W3159" s="297">
        <v>41001</v>
      </c>
      <c r="X3159" s="296">
        <v>-1E-3</v>
      </c>
    </row>
    <row r="3160" spans="13:24">
      <c r="M3160">
        <v>3158</v>
      </c>
      <c r="N3160">
        <v>45843</v>
      </c>
      <c r="O3160" t="s">
        <v>714</v>
      </c>
      <c r="P3160" t="s">
        <v>136</v>
      </c>
      <c r="Q3160">
        <v>240</v>
      </c>
      <c r="R3160" s="296">
        <v>0</v>
      </c>
      <c r="S3160" s="296">
        <v>0.99139999999999995</v>
      </c>
      <c r="T3160" s="297">
        <v>1398</v>
      </c>
      <c r="U3160" s="340">
        <v>88470</v>
      </c>
      <c r="V3160" s="340">
        <v>208902</v>
      </c>
      <c r="W3160" s="297">
        <v>3626</v>
      </c>
      <c r="X3160" s="296">
        <v>-5.0000000000000001E-3</v>
      </c>
    </row>
    <row r="3161" spans="13:24">
      <c r="M3161">
        <v>3159</v>
      </c>
      <c r="N3161">
        <v>67208</v>
      </c>
      <c r="O3161" t="s">
        <v>1810</v>
      </c>
      <c r="P3161" t="s">
        <v>176</v>
      </c>
      <c r="Q3161">
        <v>589</v>
      </c>
      <c r="R3161" s="296">
        <v>0</v>
      </c>
      <c r="S3161" s="296">
        <v>0.99139999999999995</v>
      </c>
      <c r="T3161" s="297">
        <v>7054</v>
      </c>
      <c r="U3161" s="340">
        <v>88464</v>
      </c>
      <c r="V3161" s="340">
        <v>308811</v>
      </c>
      <c r="W3161" s="297">
        <v>18551</v>
      </c>
      <c r="X3161" s="296">
        <v>3.0000000000000001E-3</v>
      </c>
    </row>
    <row r="3162" spans="13:24">
      <c r="M3162">
        <v>3160</v>
      </c>
      <c r="N3162">
        <v>29223</v>
      </c>
      <c r="O3162" t="s">
        <v>344</v>
      </c>
      <c r="P3162" t="s">
        <v>145</v>
      </c>
      <c r="Q3162">
        <v>670</v>
      </c>
      <c r="R3162" s="296">
        <v>0</v>
      </c>
      <c r="S3162" s="296">
        <v>0.99150000000000005</v>
      </c>
      <c r="T3162" s="297">
        <v>22742</v>
      </c>
      <c r="U3162" s="340">
        <v>88432</v>
      </c>
      <c r="V3162" s="340">
        <v>270624</v>
      </c>
      <c r="W3162" s="297">
        <v>57400</v>
      </c>
      <c r="X3162" s="296">
        <v>5.0000000000000001E-3</v>
      </c>
    </row>
    <row r="3163" spans="13:24">
      <c r="M3163">
        <v>3161</v>
      </c>
      <c r="N3163">
        <v>32508</v>
      </c>
      <c r="O3163" t="s">
        <v>583</v>
      </c>
      <c r="P3163" t="s">
        <v>127</v>
      </c>
      <c r="Q3163">
        <v>815</v>
      </c>
      <c r="R3163" s="296">
        <v>0</v>
      </c>
      <c r="S3163" s="296">
        <v>0.99150000000000005</v>
      </c>
      <c r="T3163">
        <v>390</v>
      </c>
      <c r="U3163" s="340">
        <v>88344</v>
      </c>
      <c r="V3163" s="340">
        <v>0</v>
      </c>
      <c r="W3163" s="297">
        <v>5653</v>
      </c>
      <c r="X3163" s="296">
        <v>5.0000000000000001E-3</v>
      </c>
    </row>
    <row r="3164" spans="13:24">
      <c r="M3164">
        <v>3162</v>
      </c>
      <c r="N3164">
        <v>47240</v>
      </c>
      <c r="O3164" t="s">
        <v>2118</v>
      </c>
      <c r="P3164" t="s">
        <v>144</v>
      </c>
      <c r="Q3164">
        <v>230</v>
      </c>
      <c r="R3164" s="296">
        <v>0</v>
      </c>
      <c r="S3164" s="296">
        <v>0.99150000000000005</v>
      </c>
      <c r="T3164" s="297">
        <v>8858</v>
      </c>
      <c r="U3164" s="340">
        <v>88331</v>
      </c>
      <c r="V3164" s="340">
        <v>236571</v>
      </c>
      <c r="W3164" s="297">
        <v>22128</v>
      </c>
      <c r="X3164" s="296">
        <v>1E-3</v>
      </c>
    </row>
    <row r="3165" spans="13:24">
      <c r="M3165">
        <v>3163</v>
      </c>
      <c r="N3165">
        <v>61341</v>
      </c>
      <c r="O3165" t="s">
        <v>2266</v>
      </c>
      <c r="P3165" t="s">
        <v>131</v>
      </c>
      <c r="Q3165">
        <v>73</v>
      </c>
      <c r="R3165" s="296">
        <v>0</v>
      </c>
      <c r="S3165" s="296">
        <v>0.99150000000000005</v>
      </c>
      <c r="T3165" s="297">
        <v>3332</v>
      </c>
      <c r="U3165" s="340">
        <v>88291</v>
      </c>
      <c r="V3165" s="340">
        <v>252514</v>
      </c>
      <c r="W3165" s="297">
        <v>8076</v>
      </c>
      <c r="X3165" s="296">
        <v>-5.0000000000000001E-3</v>
      </c>
    </row>
    <row r="3166" spans="13:24">
      <c r="M3166">
        <v>3164</v>
      </c>
      <c r="N3166">
        <v>28801</v>
      </c>
      <c r="O3166" t="s">
        <v>816</v>
      </c>
      <c r="P3166" t="s">
        <v>138</v>
      </c>
      <c r="Q3166">
        <v>533</v>
      </c>
      <c r="R3166" s="296">
        <v>0</v>
      </c>
      <c r="S3166" s="296">
        <v>0.99150000000000005</v>
      </c>
      <c r="T3166" s="297">
        <v>7659</v>
      </c>
      <c r="U3166" s="340">
        <v>88270</v>
      </c>
      <c r="V3166" s="340">
        <v>664542</v>
      </c>
      <c r="W3166" s="297">
        <v>15497</v>
      </c>
      <c r="X3166" s="296">
        <v>6.0000000000000001E-3</v>
      </c>
    </row>
    <row r="3167" spans="13:24">
      <c r="M3167">
        <v>3165</v>
      </c>
      <c r="N3167">
        <v>49111</v>
      </c>
      <c r="O3167" t="s">
        <v>1219</v>
      </c>
      <c r="P3167" t="s">
        <v>140</v>
      </c>
      <c r="Q3167">
        <v>77</v>
      </c>
      <c r="R3167" s="296">
        <v>0</v>
      </c>
      <c r="S3167" s="296">
        <v>0.99150000000000005</v>
      </c>
      <c r="T3167" s="297">
        <v>1341</v>
      </c>
      <c r="U3167" s="340">
        <v>88249</v>
      </c>
      <c r="V3167" s="340">
        <v>277504</v>
      </c>
      <c r="W3167" s="297">
        <v>3365</v>
      </c>
      <c r="X3167" s="296">
        <v>-7.0000000000000001E-3</v>
      </c>
    </row>
    <row r="3168" spans="13:24">
      <c r="M3168">
        <v>3166</v>
      </c>
      <c r="N3168">
        <v>54301</v>
      </c>
      <c r="O3168" t="s">
        <v>1046</v>
      </c>
      <c r="P3168" t="s">
        <v>149</v>
      </c>
      <c r="Q3168">
        <v>162</v>
      </c>
      <c r="R3168" s="296">
        <v>0</v>
      </c>
      <c r="S3168" s="296">
        <v>0.99150000000000005</v>
      </c>
      <c r="T3168" s="297">
        <v>9846</v>
      </c>
      <c r="U3168" s="340">
        <v>88181</v>
      </c>
      <c r="V3168" s="340">
        <v>293949</v>
      </c>
      <c r="W3168" s="297">
        <v>23909</v>
      </c>
      <c r="X3168" s="296">
        <v>0</v>
      </c>
    </row>
    <row r="3169" spans="13:24">
      <c r="M3169">
        <v>3167</v>
      </c>
      <c r="N3169">
        <v>54824</v>
      </c>
      <c r="O3169" t="s">
        <v>2267</v>
      </c>
      <c r="P3169" t="s">
        <v>149</v>
      </c>
      <c r="Q3169">
        <v>330</v>
      </c>
      <c r="R3169" s="296">
        <v>0</v>
      </c>
      <c r="S3169" s="296">
        <v>0.99150000000000005</v>
      </c>
      <c r="T3169">
        <v>946</v>
      </c>
      <c r="U3169" s="340">
        <v>88168</v>
      </c>
      <c r="V3169" s="340">
        <v>269393</v>
      </c>
      <c r="W3169" s="297">
        <v>2238</v>
      </c>
      <c r="X3169" s="296">
        <v>5.0000000000000001E-3</v>
      </c>
    </row>
    <row r="3170" spans="13:24">
      <c r="M3170">
        <v>3168</v>
      </c>
      <c r="N3170">
        <v>86040</v>
      </c>
      <c r="O3170" t="s">
        <v>2268</v>
      </c>
      <c r="P3170" t="s">
        <v>158</v>
      </c>
      <c r="Q3170">
        <v>1307</v>
      </c>
      <c r="R3170" s="296">
        <v>0</v>
      </c>
      <c r="S3170" s="296">
        <v>0.99160000000000004</v>
      </c>
      <c r="T3170" s="297">
        <v>3135</v>
      </c>
      <c r="U3170" s="340">
        <v>88133</v>
      </c>
      <c r="V3170" s="340">
        <v>229925</v>
      </c>
      <c r="W3170" s="297">
        <v>8999</v>
      </c>
      <c r="X3170" s="296">
        <v>-3.0000000000000001E-3</v>
      </c>
    </row>
    <row r="3171" spans="13:24">
      <c r="M3171">
        <v>3169</v>
      </c>
      <c r="N3171">
        <v>18210</v>
      </c>
      <c r="O3171" t="s">
        <v>2269</v>
      </c>
      <c r="P3171" t="s">
        <v>133</v>
      </c>
      <c r="Q3171">
        <v>636</v>
      </c>
      <c r="R3171" s="296">
        <v>0</v>
      </c>
      <c r="S3171" s="296">
        <v>0.99160000000000004</v>
      </c>
      <c r="T3171" s="297">
        <v>3533</v>
      </c>
      <c r="U3171" s="340">
        <v>88130</v>
      </c>
      <c r="V3171" s="340">
        <v>286664</v>
      </c>
      <c r="W3171" s="297">
        <v>8751</v>
      </c>
      <c r="X3171" s="296">
        <v>1E-3</v>
      </c>
    </row>
    <row r="3172" spans="13:24">
      <c r="M3172">
        <v>3170</v>
      </c>
      <c r="N3172">
        <v>31321</v>
      </c>
      <c r="O3172" t="s">
        <v>438</v>
      </c>
      <c r="P3172" t="s">
        <v>130</v>
      </c>
      <c r="Q3172">
        <v>766</v>
      </c>
      <c r="R3172" s="296">
        <v>0</v>
      </c>
      <c r="S3172" s="296">
        <v>0.99160000000000004</v>
      </c>
      <c r="T3172" s="297">
        <v>2959</v>
      </c>
      <c r="U3172" s="340">
        <v>88125</v>
      </c>
      <c r="V3172" s="340">
        <v>271228</v>
      </c>
      <c r="W3172" s="297">
        <v>7850</v>
      </c>
      <c r="X3172" s="296">
        <v>3.4000000000000002E-2</v>
      </c>
    </row>
    <row r="3173" spans="13:24">
      <c r="M3173">
        <v>3171</v>
      </c>
      <c r="N3173">
        <v>4952</v>
      </c>
      <c r="O3173" t="s">
        <v>2270</v>
      </c>
      <c r="P3173" t="s">
        <v>182</v>
      </c>
      <c r="Q3173">
        <v>949</v>
      </c>
      <c r="R3173" s="296">
        <v>0</v>
      </c>
      <c r="S3173" s="296">
        <v>0.99160000000000004</v>
      </c>
      <c r="T3173">
        <v>868</v>
      </c>
      <c r="U3173" s="340">
        <v>88090</v>
      </c>
      <c r="V3173" s="340">
        <v>259570</v>
      </c>
      <c r="W3173" s="297">
        <v>2145</v>
      </c>
      <c r="X3173" s="296">
        <v>1.7000000000000001E-2</v>
      </c>
    </row>
    <row r="3174" spans="13:24">
      <c r="M3174">
        <v>3172</v>
      </c>
      <c r="N3174">
        <v>16114</v>
      </c>
      <c r="O3174" t="s">
        <v>2271</v>
      </c>
      <c r="P3174" t="s">
        <v>133</v>
      </c>
      <c r="Q3174">
        <v>395</v>
      </c>
      <c r="R3174" s="296">
        <v>0</v>
      </c>
      <c r="S3174" s="296">
        <v>0.99160000000000004</v>
      </c>
      <c r="T3174">
        <v>279</v>
      </c>
      <c r="U3174" s="340">
        <v>88062</v>
      </c>
      <c r="V3174" s="340">
        <v>275962</v>
      </c>
      <c r="W3174">
        <v>717</v>
      </c>
      <c r="X3174" s="296">
        <v>-1E-3</v>
      </c>
    </row>
    <row r="3175" spans="13:24">
      <c r="M3175">
        <v>3173</v>
      </c>
      <c r="N3175">
        <v>44048</v>
      </c>
      <c r="O3175" t="s">
        <v>2272</v>
      </c>
      <c r="P3175" t="s">
        <v>136</v>
      </c>
      <c r="Q3175">
        <v>366</v>
      </c>
      <c r="R3175" s="296">
        <v>0</v>
      </c>
      <c r="S3175" s="296">
        <v>0.99160000000000004</v>
      </c>
      <c r="T3175">
        <v>888</v>
      </c>
      <c r="U3175" s="340">
        <v>88001</v>
      </c>
      <c r="V3175" s="340">
        <v>205000</v>
      </c>
      <c r="W3175" s="297">
        <v>2186</v>
      </c>
      <c r="X3175" s="296">
        <v>-5.0000000000000001E-3</v>
      </c>
    </row>
    <row r="3176" spans="13:24">
      <c r="M3176">
        <v>3174</v>
      </c>
      <c r="N3176">
        <v>29154</v>
      </c>
      <c r="O3176" t="s">
        <v>2273</v>
      </c>
      <c r="P3176" t="s">
        <v>145</v>
      </c>
      <c r="Q3176">
        <v>698</v>
      </c>
      <c r="R3176" s="296">
        <v>0</v>
      </c>
      <c r="S3176" s="296">
        <v>0.99160000000000004</v>
      </c>
      <c r="T3176" s="297">
        <v>11615</v>
      </c>
      <c r="U3176" s="340">
        <v>87903</v>
      </c>
      <c r="V3176" s="340">
        <v>205553</v>
      </c>
      <c r="W3176" s="297">
        <v>29558</v>
      </c>
      <c r="X3176" s="296">
        <v>-1E-3</v>
      </c>
    </row>
    <row r="3177" spans="13:24">
      <c r="M3177">
        <v>3175</v>
      </c>
      <c r="N3177">
        <v>47977</v>
      </c>
      <c r="O3177" t="s">
        <v>2274</v>
      </c>
      <c r="P3177" t="s">
        <v>144</v>
      </c>
      <c r="Q3177">
        <v>101</v>
      </c>
      <c r="R3177" s="296">
        <v>0</v>
      </c>
      <c r="S3177" s="296">
        <v>0.99160000000000004</v>
      </c>
      <c r="T3177">
        <v>900</v>
      </c>
      <c r="U3177" s="340">
        <v>87890</v>
      </c>
      <c r="V3177" s="340">
        <v>198197</v>
      </c>
      <c r="W3177" s="297">
        <v>2205</v>
      </c>
      <c r="X3177" s="296">
        <v>0</v>
      </c>
    </row>
    <row r="3178" spans="13:24">
      <c r="M3178">
        <v>3176</v>
      </c>
      <c r="N3178">
        <v>46926</v>
      </c>
      <c r="O3178" t="s">
        <v>330</v>
      </c>
      <c r="P3178" t="s">
        <v>144</v>
      </c>
      <c r="Q3178">
        <v>125</v>
      </c>
      <c r="R3178" s="296">
        <v>0</v>
      </c>
      <c r="S3178" s="296">
        <v>0.99170000000000003</v>
      </c>
      <c r="T3178">
        <v>673</v>
      </c>
      <c r="U3178" s="340">
        <v>87855</v>
      </c>
      <c r="V3178" s="340">
        <v>245977</v>
      </c>
      <c r="W3178" s="297">
        <v>1700</v>
      </c>
      <c r="X3178" s="296">
        <v>-8.0000000000000002E-3</v>
      </c>
    </row>
    <row r="3179" spans="13:24">
      <c r="M3179">
        <v>3177</v>
      </c>
      <c r="N3179">
        <v>45240</v>
      </c>
      <c r="O3179" t="s">
        <v>599</v>
      </c>
      <c r="P3179" t="s">
        <v>136</v>
      </c>
      <c r="Q3179">
        <v>261</v>
      </c>
      <c r="R3179" s="296">
        <v>0</v>
      </c>
      <c r="S3179" s="296">
        <v>0.99170000000000003</v>
      </c>
      <c r="T3179" s="297">
        <v>10530</v>
      </c>
      <c r="U3179" s="340">
        <v>87835</v>
      </c>
      <c r="V3179" s="340">
        <v>236618</v>
      </c>
      <c r="W3179" s="297">
        <v>28486</v>
      </c>
      <c r="X3179" s="296">
        <v>-4.0000000000000001E-3</v>
      </c>
    </row>
    <row r="3180" spans="13:24">
      <c r="M3180">
        <v>3178</v>
      </c>
      <c r="N3180">
        <v>34744</v>
      </c>
      <c r="O3180" t="s">
        <v>516</v>
      </c>
      <c r="P3180" t="s">
        <v>127</v>
      </c>
      <c r="Q3180">
        <v>1023</v>
      </c>
      <c r="R3180" s="296">
        <v>0</v>
      </c>
      <c r="S3180" s="296">
        <v>0.99170000000000003</v>
      </c>
      <c r="T3180" s="297">
        <v>22880</v>
      </c>
      <c r="U3180" s="340">
        <v>87800</v>
      </c>
      <c r="V3180" s="340">
        <v>392841</v>
      </c>
      <c r="W3180" s="297">
        <v>70642</v>
      </c>
      <c r="X3180" s="296">
        <v>4.2999999999999997E-2</v>
      </c>
    </row>
    <row r="3181" spans="13:24">
      <c r="M3181">
        <v>3179</v>
      </c>
      <c r="N3181">
        <v>46160</v>
      </c>
      <c r="O3181" t="s">
        <v>482</v>
      </c>
      <c r="P3181" t="s">
        <v>144</v>
      </c>
      <c r="Q3181">
        <v>208</v>
      </c>
      <c r="R3181" s="296">
        <v>0</v>
      </c>
      <c r="S3181" s="296">
        <v>0.99170000000000003</v>
      </c>
      <c r="T3181" s="297">
        <v>2541</v>
      </c>
      <c r="U3181" s="340">
        <v>87762</v>
      </c>
      <c r="V3181" s="340">
        <v>310898</v>
      </c>
      <c r="W3181" s="297">
        <v>6388</v>
      </c>
      <c r="X3181" s="296">
        <v>-3.0000000000000001E-3</v>
      </c>
    </row>
    <row r="3182" spans="13:24">
      <c r="M3182">
        <v>3180</v>
      </c>
      <c r="N3182">
        <v>17057</v>
      </c>
      <c r="O3182" t="s">
        <v>318</v>
      </c>
      <c r="P3182" t="s">
        <v>133</v>
      </c>
      <c r="Q3182">
        <v>590</v>
      </c>
      <c r="R3182" s="296">
        <v>0</v>
      </c>
      <c r="S3182" s="296">
        <v>0.99170000000000003</v>
      </c>
      <c r="T3182" s="297">
        <v>9604</v>
      </c>
      <c r="U3182" s="340">
        <v>87728</v>
      </c>
      <c r="V3182" s="340">
        <v>258360</v>
      </c>
      <c r="W3182" s="297">
        <v>23527</v>
      </c>
      <c r="X3182" s="296">
        <v>3.0000000000000001E-3</v>
      </c>
    </row>
    <row r="3183" spans="13:24">
      <c r="M3183">
        <v>3181</v>
      </c>
      <c r="N3183">
        <v>28610</v>
      </c>
      <c r="O3183" t="s">
        <v>535</v>
      </c>
      <c r="P3183" t="s">
        <v>138</v>
      </c>
      <c r="Q3183">
        <v>570</v>
      </c>
      <c r="R3183" s="296">
        <v>0</v>
      </c>
      <c r="S3183" s="296">
        <v>0.99170000000000003</v>
      </c>
      <c r="T3183" s="297">
        <v>3887</v>
      </c>
      <c r="U3183" s="340">
        <v>87708</v>
      </c>
      <c r="V3183" s="340">
        <v>298664</v>
      </c>
      <c r="W3183" s="297">
        <v>9895</v>
      </c>
      <c r="X3183" s="296">
        <v>3.0000000000000001E-3</v>
      </c>
    </row>
    <row r="3184" spans="13:24">
      <c r="M3184">
        <v>3182</v>
      </c>
      <c r="N3184">
        <v>15068</v>
      </c>
      <c r="O3184" t="s">
        <v>2275</v>
      </c>
      <c r="P3184" t="s">
        <v>133</v>
      </c>
      <c r="Q3184">
        <v>433</v>
      </c>
      <c r="R3184" s="296">
        <v>0</v>
      </c>
      <c r="S3184" s="296">
        <v>0.99170000000000003</v>
      </c>
      <c r="T3184" s="297">
        <v>16691</v>
      </c>
      <c r="U3184" s="340">
        <v>87705</v>
      </c>
      <c r="V3184" s="340">
        <v>229350</v>
      </c>
      <c r="W3184" s="297">
        <v>37109</v>
      </c>
      <c r="X3184" s="296">
        <v>-3.0000000000000001E-3</v>
      </c>
    </row>
    <row r="3185" spans="13:24">
      <c r="M3185">
        <v>3183</v>
      </c>
      <c r="N3185">
        <v>79701</v>
      </c>
      <c r="O3185" t="s">
        <v>662</v>
      </c>
      <c r="P3185" t="s">
        <v>134</v>
      </c>
      <c r="Q3185">
        <v>1052</v>
      </c>
      <c r="R3185" s="296">
        <v>0</v>
      </c>
      <c r="S3185" s="296">
        <v>0.99170000000000003</v>
      </c>
      <c r="T3185" s="297">
        <v>10174</v>
      </c>
      <c r="U3185" s="340">
        <v>87662</v>
      </c>
      <c r="V3185" s="340">
        <v>280848</v>
      </c>
      <c r="W3185" s="297">
        <v>29400</v>
      </c>
      <c r="X3185" s="296">
        <v>-3.0000000000000001E-3</v>
      </c>
    </row>
    <row r="3186" spans="13:24">
      <c r="M3186">
        <v>3184</v>
      </c>
      <c r="N3186">
        <v>49072</v>
      </c>
      <c r="O3186" t="s">
        <v>524</v>
      </c>
      <c r="P3186" t="s">
        <v>140</v>
      </c>
      <c r="Q3186">
        <v>119</v>
      </c>
      <c r="R3186" s="296">
        <v>0</v>
      </c>
      <c r="S3186" s="296">
        <v>0.99180000000000001</v>
      </c>
      <c r="T3186" s="297">
        <v>1204</v>
      </c>
      <c r="U3186" s="340">
        <v>87654</v>
      </c>
      <c r="V3186" s="340">
        <v>232082</v>
      </c>
      <c r="W3186" s="297">
        <v>3111</v>
      </c>
      <c r="X3186" s="296">
        <v>0</v>
      </c>
    </row>
    <row r="3187" spans="13:24">
      <c r="M3187">
        <v>3185</v>
      </c>
      <c r="N3187">
        <v>93516</v>
      </c>
      <c r="O3187" t="s">
        <v>2276</v>
      </c>
      <c r="P3187" t="s">
        <v>132</v>
      </c>
      <c r="Q3187">
        <v>1674</v>
      </c>
      <c r="R3187" s="296">
        <v>0</v>
      </c>
      <c r="S3187" s="296">
        <v>0.99180000000000001</v>
      </c>
      <c r="T3187">
        <v>858</v>
      </c>
      <c r="U3187" s="340">
        <v>87595</v>
      </c>
      <c r="V3187" s="340">
        <v>131385</v>
      </c>
      <c r="W3187" s="297">
        <v>2062</v>
      </c>
      <c r="X3187" s="296">
        <v>-7.0000000000000001E-3</v>
      </c>
    </row>
    <row r="3188" spans="13:24">
      <c r="M3188">
        <v>3186</v>
      </c>
      <c r="N3188">
        <v>7202</v>
      </c>
      <c r="O3188" t="s">
        <v>2277</v>
      </c>
      <c r="P3188" t="s">
        <v>129</v>
      </c>
      <c r="Q3188">
        <v>710</v>
      </c>
      <c r="R3188" s="296">
        <v>0</v>
      </c>
      <c r="S3188" s="296">
        <v>0.99180000000000001</v>
      </c>
      <c r="T3188" s="297">
        <v>14920</v>
      </c>
      <c r="U3188" s="340">
        <v>87579</v>
      </c>
      <c r="V3188" s="340">
        <v>478107</v>
      </c>
      <c r="W3188" s="297">
        <v>43378</v>
      </c>
      <c r="X3188" s="296">
        <v>0</v>
      </c>
    </row>
    <row r="3189" spans="13:24">
      <c r="M3189">
        <v>3187</v>
      </c>
      <c r="N3189">
        <v>48847</v>
      </c>
      <c r="O3189" t="s">
        <v>575</v>
      </c>
      <c r="P3189" t="s">
        <v>140</v>
      </c>
      <c r="Q3189">
        <v>181</v>
      </c>
      <c r="R3189" s="296">
        <v>0</v>
      </c>
      <c r="S3189" s="296">
        <v>0.99180000000000001</v>
      </c>
      <c r="T3189" s="297">
        <v>2400</v>
      </c>
      <c r="U3189" s="340">
        <v>87554</v>
      </c>
      <c r="V3189" s="340">
        <v>196146</v>
      </c>
      <c r="W3189" s="297">
        <v>5798</v>
      </c>
      <c r="X3189" s="296">
        <v>-8.9999999999999993E-3</v>
      </c>
    </row>
    <row r="3190" spans="13:24">
      <c r="M3190">
        <v>3188</v>
      </c>
      <c r="N3190">
        <v>76905</v>
      </c>
      <c r="O3190" t="s">
        <v>2278</v>
      </c>
      <c r="P3190" t="s">
        <v>134</v>
      </c>
      <c r="Q3190">
        <v>1013</v>
      </c>
      <c r="R3190" s="296">
        <v>0</v>
      </c>
      <c r="S3190" s="296">
        <v>0.99180000000000001</v>
      </c>
      <c r="T3190" s="297">
        <v>4811</v>
      </c>
      <c r="U3190" s="340">
        <v>87544</v>
      </c>
      <c r="V3190" s="340">
        <v>239467</v>
      </c>
      <c r="W3190" s="297">
        <v>13772</v>
      </c>
      <c r="X3190" s="296">
        <v>2E-3</v>
      </c>
    </row>
    <row r="3191" spans="13:24">
      <c r="M3191">
        <v>3189</v>
      </c>
      <c r="N3191">
        <v>54971</v>
      </c>
      <c r="O3191" t="s">
        <v>2279</v>
      </c>
      <c r="P3191" t="s">
        <v>149</v>
      </c>
      <c r="Q3191">
        <v>129</v>
      </c>
      <c r="R3191" s="296">
        <v>0</v>
      </c>
      <c r="S3191" s="296">
        <v>0.99180000000000001</v>
      </c>
      <c r="T3191" s="297">
        <v>4424</v>
      </c>
      <c r="U3191" s="340">
        <v>87541</v>
      </c>
      <c r="V3191" s="340">
        <v>286821</v>
      </c>
      <c r="W3191" s="297">
        <v>10702</v>
      </c>
      <c r="X3191" s="296">
        <v>-4.0000000000000001E-3</v>
      </c>
    </row>
    <row r="3192" spans="13:24">
      <c r="M3192">
        <v>3190</v>
      </c>
      <c r="N3192">
        <v>90061</v>
      </c>
      <c r="O3192" t="s">
        <v>309</v>
      </c>
      <c r="P3192" t="s">
        <v>132</v>
      </c>
      <c r="Q3192">
        <v>1742</v>
      </c>
      <c r="R3192" s="296">
        <v>0</v>
      </c>
      <c r="S3192" s="296">
        <v>0.99180000000000001</v>
      </c>
      <c r="T3192" s="297">
        <v>7121</v>
      </c>
      <c r="U3192" s="340">
        <v>87526</v>
      </c>
      <c r="V3192" s="340">
        <v>704668</v>
      </c>
      <c r="W3192" s="297">
        <v>26938</v>
      </c>
      <c r="X3192" s="296">
        <v>-6.0000000000000001E-3</v>
      </c>
    </row>
    <row r="3193" spans="13:24">
      <c r="M3193">
        <v>3191</v>
      </c>
      <c r="N3193">
        <v>75482</v>
      </c>
      <c r="O3193" t="s">
        <v>2280</v>
      </c>
      <c r="P3193" t="s">
        <v>134</v>
      </c>
      <c r="Q3193">
        <v>751</v>
      </c>
      <c r="R3193" s="296">
        <v>0</v>
      </c>
      <c r="S3193" s="296">
        <v>0.99180000000000001</v>
      </c>
      <c r="T3193" s="297">
        <v>10077</v>
      </c>
      <c r="U3193" s="340">
        <v>87509</v>
      </c>
      <c r="V3193" s="340">
        <v>295760</v>
      </c>
      <c r="W3193" s="297">
        <v>26173</v>
      </c>
      <c r="X3193" s="296">
        <v>5.0000000000000001E-3</v>
      </c>
    </row>
    <row r="3194" spans="13:24">
      <c r="M3194">
        <v>3192</v>
      </c>
      <c r="N3194">
        <v>33534</v>
      </c>
      <c r="O3194" t="s">
        <v>2281</v>
      </c>
      <c r="P3194" t="s">
        <v>127</v>
      </c>
      <c r="Q3194">
        <v>1034</v>
      </c>
      <c r="R3194" s="296">
        <v>0</v>
      </c>
      <c r="S3194" s="296">
        <v>0.9919</v>
      </c>
      <c r="T3194" s="297">
        <v>6116</v>
      </c>
      <c r="U3194" s="340">
        <v>87500</v>
      </c>
      <c r="V3194" s="340">
        <v>409463</v>
      </c>
      <c r="W3194" s="297">
        <v>18563</v>
      </c>
      <c r="X3194" s="296">
        <v>8.0000000000000002E-3</v>
      </c>
    </row>
    <row r="3195" spans="13:24">
      <c r="M3195">
        <v>3193</v>
      </c>
      <c r="N3195">
        <v>47933</v>
      </c>
      <c r="O3195" t="s">
        <v>2282</v>
      </c>
      <c r="P3195" t="s">
        <v>144</v>
      </c>
      <c r="Q3195">
        <v>153</v>
      </c>
      <c r="R3195" s="296">
        <v>0</v>
      </c>
      <c r="S3195" s="296">
        <v>0.9919</v>
      </c>
      <c r="T3195" s="297">
        <v>11525</v>
      </c>
      <c r="U3195" s="340">
        <v>87474</v>
      </c>
      <c r="V3195" s="340">
        <v>216093</v>
      </c>
      <c r="W3195" s="297">
        <v>27999</v>
      </c>
      <c r="X3195" s="296">
        <v>-1E-3</v>
      </c>
    </row>
    <row r="3196" spans="13:24">
      <c r="M3196">
        <v>3194</v>
      </c>
      <c r="N3196">
        <v>46701</v>
      </c>
      <c r="O3196" t="s">
        <v>1682</v>
      </c>
      <c r="P3196" t="s">
        <v>144</v>
      </c>
      <c r="Q3196">
        <v>133</v>
      </c>
      <c r="R3196" s="296">
        <v>0</v>
      </c>
      <c r="S3196" s="296">
        <v>0.9919</v>
      </c>
      <c r="T3196" s="297">
        <v>3047</v>
      </c>
      <c r="U3196" s="340">
        <v>87397</v>
      </c>
      <c r="V3196" s="340">
        <v>305758</v>
      </c>
      <c r="W3196" s="297">
        <v>7866</v>
      </c>
      <c r="X3196" s="296">
        <v>1E-3</v>
      </c>
    </row>
    <row r="3197" spans="13:24">
      <c r="M3197">
        <v>3195</v>
      </c>
      <c r="N3197">
        <v>44276</v>
      </c>
      <c r="O3197" t="s">
        <v>532</v>
      </c>
      <c r="P3197" t="s">
        <v>136</v>
      </c>
      <c r="Q3197">
        <v>319</v>
      </c>
      <c r="R3197" s="296">
        <v>0</v>
      </c>
      <c r="S3197" s="296">
        <v>0.9919</v>
      </c>
      <c r="T3197">
        <v>778</v>
      </c>
      <c r="U3197" s="340">
        <v>87351</v>
      </c>
      <c r="V3197" s="340">
        <v>287404</v>
      </c>
      <c r="W3197" s="297">
        <v>2191</v>
      </c>
      <c r="X3197" s="296">
        <v>-4.0000000000000001E-3</v>
      </c>
    </row>
    <row r="3198" spans="13:24">
      <c r="M3198">
        <v>3196</v>
      </c>
      <c r="N3198">
        <v>45808</v>
      </c>
      <c r="O3198" t="s">
        <v>2283</v>
      </c>
      <c r="P3198" t="s">
        <v>136</v>
      </c>
      <c r="Q3198">
        <v>217</v>
      </c>
      <c r="R3198" s="296">
        <v>0</v>
      </c>
      <c r="S3198" s="296">
        <v>0.9919</v>
      </c>
      <c r="T3198">
        <v>115</v>
      </c>
      <c r="U3198" s="340">
        <v>87314</v>
      </c>
      <c r="V3198" s="340">
        <v>199219</v>
      </c>
      <c r="W3198">
        <v>265</v>
      </c>
      <c r="X3198" s="296">
        <v>-1.0999999999999999E-2</v>
      </c>
    </row>
    <row r="3199" spans="13:24">
      <c r="M3199">
        <v>3197</v>
      </c>
      <c r="N3199">
        <v>49866</v>
      </c>
      <c r="O3199" t="s">
        <v>2284</v>
      </c>
      <c r="P3199" t="s">
        <v>140</v>
      </c>
      <c r="Q3199">
        <v>299</v>
      </c>
      <c r="R3199" s="296">
        <v>0</v>
      </c>
      <c r="S3199" s="296">
        <v>0.9919</v>
      </c>
      <c r="T3199" s="297">
        <v>3329</v>
      </c>
      <c r="U3199" s="340">
        <v>87295</v>
      </c>
      <c r="V3199" s="340">
        <v>290665</v>
      </c>
      <c r="W3199" s="297">
        <v>8162</v>
      </c>
      <c r="X3199" s="296">
        <v>-2E-3</v>
      </c>
    </row>
    <row r="3200" spans="13:24">
      <c r="M3200">
        <v>3198</v>
      </c>
      <c r="N3200">
        <v>48838</v>
      </c>
      <c r="O3200" t="s">
        <v>670</v>
      </c>
      <c r="P3200" t="s">
        <v>140</v>
      </c>
      <c r="Q3200">
        <v>147</v>
      </c>
      <c r="R3200" s="296">
        <v>0</v>
      </c>
      <c r="S3200" s="296">
        <v>0.9919</v>
      </c>
      <c r="T3200" s="297">
        <v>7762</v>
      </c>
      <c r="U3200" s="340">
        <v>87282</v>
      </c>
      <c r="V3200" s="340">
        <v>259403</v>
      </c>
      <c r="W3200" s="297">
        <v>19336</v>
      </c>
      <c r="X3200" s="296">
        <v>8.0000000000000002E-3</v>
      </c>
    </row>
    <row r="3201" spans="13:24">
      <c r="M3201">
        <v>3199</v>
      </c>
      <c r="N3201">
        <v>33971</v>
      </c>
      <c r="O3201" t="s">
        <v>1120</v>
      </c>
      <c r="P3201" t="s">
        <v>127</v>
      </c>
      <c r="Q3201">
        <v>1126</v>
      </c>
      <c r="R3201" s="296">
        <v>0</v>
      </c>
      <c r="S3201" s="296">
        <v>0.9919</v>
      </c>
      <c r="T3201" s="297">
        <v>9053</v>
      </c>
      <c r="U3201" s="340">
        <v>87246</v>
      </c>
      <c r="V3201" s="340">
        <v>356369</v>
      </c>
      <c r="W3201" s="297">
        <v>29207</v>
      </c>
      <c r="X3201" s="296">
        <v>2.7E-2</v>
      </c>
    </row>
    <row r="3202" spans="13:24">
      <c r="M3202">
        <v>3200</v>
      </c>
      <c r="N3202">
        <v>50666</v>
      </c>
      <c r="O3202" t="s">
        <v>661</v>
      </c>
      <c r="P3202" t="s">
        <v>170</v>
      </c>
      <c r="Q3202">
        <v>245</v>
      </c>
      <c r="R3202" s="296">
        <v>0</v>
      </c>
      <c r="S3202" s="296">
        <v>0.99199999999999999</v>
      </c>
      <c r="T3202">
        <v>406</v>
      </c>
      <c r="U3202" s="340">
        <v>87229</v>
      </c>
      <c r="V3202" s="340">
        <v>231022</v>
      </c>
      <c r="W3202">
        <v>999</v>
      </c>
      <c r="X3202" s="296">
        <v>8.0000000000000002E-3</v>
      </c>
    </row>
    <row r="3203" spans="13:24">
      <c r="M3203">
        <v>3201</v>
      </c>
      <c r="N3203">
        <v>61368</v>
      </c>
      <c r="O3203" t="s">
        <v>2285</v>
      </c>
      <c r="P3203" t="s">
        <v>131</v>
      </c>
      <c r="Q3203">
        <v>107</v>
      </c>
      <c r="R3203" s="296">
        <v>0</v>
      </c>
      <c r="S3203" s="296">
        <v>0.99199999999999999</v>
      </c>
      <c r="T3203">
        <v>535</v>
      </c>
      <c r="U3203" s="340">
        <v>87217</v>
      </c>
      <c r="V3203" s="340">
        <v>258314</v>
      </c>
      <c r="W3203" s="297">
        <v>1263</v>
      </c>
      <c r="X3203" s="296">
        <v>5.0000000000000001E-3</v>
      </c>
    </row>
    <row r="3204" spans="13:24">
      <c r="M3204">
        <v>3202</v>
      </c>
      <c r="N3204">
        <v>60919</v>
      </c>
      <c r="O3204" t="s">
        <v>2286</v>
      </c>
      <c r="P3204" t="s">
        <v>131</v>
      </c>
      <c r="Q3204">
        <v>83</v>
      </c>
      <c r="R3204" s="296">
        <v>0</v>
      </c>
      <c r="S3204" s="296">
        <v>0.99199999999999999</v>
      </c>
      <c r="T3204">
        <v>203</v>
      </c>
      <c r="U3204" s="340">
        <v>87166</v>
      </c>
      <c r="V3204" s="340">
        <v>258886</v>
      </c>
      <c r="W3204">
        <v>477</v>
      </c>
      <c r="X3204" s="296">
        <v>-0.02</v>
      </c>
    </row>
    <row r="3205" spans="13:24">
      <c r="M3205">
        <v>3203</v>
      </c>
      <c r="N3205">
        <v>65020</v>
      </c>
      <c r="O3205" t="s">
        <v>2287</v>
      </c>
      <c r="P3205" t="s">
        <v>186</v>
      </c>
      <c r="Q3205">
        <v>389</v>
      </c>
      <c r="R3205" s="296">
        <v>0</v>
      </c>
      <c r="S3205" s="296">
        <v>0.99199999999999999</v>
      </c>
      <c r="T3205" s="297">
        <v>6163</v>
      </c>
      <c r="U3205" s="340">
        <v>87070</v>
      </c>
      <c r="V3205" s="340">
        <v>359831</v>
      </c>
      <c r="W3205" s="297">
        <v>14870</v>
      </c>
      <c r="X3205" s="296">
        <v>0.01</v>
      </c>
    </row>
    <row r="3206" spans="13:24">
      <c r="M3206">
        <v>3204</v>
      </c>
      <c r="N3206">
        <v>97322</v>
      </c>
      <c r="O3206" t="s">
        <v>573</v>
      </c>
      <c r="P3206" t="s">
        <v>207</v>
      </c>
      <c r="Q3206">
        <v>1765</v>
      </c>
      <c r="R3206" s="296">
        <v>0</v>
      </c>
      <c r="S3206" s="296">
        <v>0.99199999999999999</v>
      </c>
      <c r="T3206" s="297">
        <v>15474</v>
      </c>
      <c r="U3206" s="340">
        <v>87016</v>
      </c>
      <c r="V3206" s="340">
        <v>415710</v>
      </c>
      <c r="W3206" s="297">
        <v>39170</v>
      </c>
      <c r="X3206" s="296">
        <v>1.0999999999999999E-2</v>
      </c>
    </row>
    <row r="3207" spans="13:24">
      <c r="M3207">
        <v>3205</v>
      </c>
      <c r="N3207">
        <v>48885</v>
      </c>
      <c r="O3207" t="s">
        <v>2023</v>
      </c>
      <c r="P3207" t="s">
        <v>140</v>
      </c>
      <c r="Q3207">
        <v>155</v>
      </c>
      <c r="R3207" s="296">
        <v>0</v>
      </c>
      <c r="S3207" s="296">
        <v>0.99199999999999999</v>
      </c>
      <c r="T3207">
        <v>371</v>
      </c>
      <c r="U3207" s="340">
        <v>87011</v>
      </c>
      <c r="V3207" s="340">
        <v>252154</v>
      </c>
      <c r="W3207">
        <v>868</v>
      </c>
      <c r="X3207" s="296">
        <v>-7.0000000000000001E-3</v>
      </c>
    </row>
    <row r="3208" spans="13:24">
      <c r="M3208">
        <v>3206</v>
      </c>
      <c r="N3208">
        <v>78552</v>
      </c>
      <c r="O3208" t="s">
        <v>2288</v>
      </c>
      <c r="P3208" t="s">
        <v>134</v>
      </c>
      <c r="Q3208">
        <v>1239</v>
      </c>
      <c r="R3208" s="296">
        <v>0</v>
      </c>
      <c r="S3208" s="296">
        <v>0.99199999999999999</v>
      </c>
      <c r="T3208" s="297">
        <v>13903</v>
      </c>
      <c r="U3208" s="340">
        <v>86979</v>
      </c>
      <c r="V3208" s="340">
        <v>218733</v>
      </c>
      <c r="W3208" s="297">
        <v>40640</v>
      </c>
      <c r="X3208" s="296">
        <v>8.9999999999999993E-3</v>
      </c>
    </row>
    <row r="3209" spans="13:24">
      <c r="M3209">
        <v>3207</v>
      </c>
      <c r="N3209">
        <v>67570</v>
      </c>
      <c r="O3209" t="s">
        <v>2289</v>
      </c>
      <c r="P3209" t="s">
        <v>176</v>
      </c>
      <c r="Q3209">
        <v>617</v>
      </c>
      <c r="R3209" s="296">
        <v>0</v>
      </c>
      <c r="S3209" s="296">
        <v>0.99199999999999999</v>
      </c>
      <c r="T3209">
        <v>479</v>
      </c>
      <c r="U3209" s="340">
        <v>86903</v>
      </c>
      <c r="V3209" s="340">
        <v>294005</v>
      </c>
      <c r="W3209" s="297">
        <v>1221</v>
      </c>
      <c r="X3209" s="296">
        <v>-7.0000000000000001E-3</v>
      </c>
    </row>
    <row r="3210" spans="13:24">
      <c r="M3210">
        <v>3208</v>
      </c>
      <c r="N3210">
        <v>63701</v>
      </c>
      <c r="O3210" t="s">
        <v>2290</v>
      </c>
      <c r="P3210" t="s">
        <v>186</v>
      </c>
      <c r="Q3210">
        <v>347</v>
      </c>
      <c r="R3210" s="296">
        <v>0</v>
      </c>
      <c r="S3210" s="296">
        <v>0.99209999999999998</v>
      </c>
      <c r="T3210" s="297">
        <v>16068</v>
      </c>
      <c r="U3210" s="340">
        <v>86832</v>
      </c>
      <c r="V3210" s="340">
        <v>287310</v>
      </c>
      <c r="W3210" s="297">
        <v>39937</v>
      </c>
      <c r="X3210" s="296">
        <v>5.0000000000000001E-3</v>
      </c>
    </row>
    <row r="3211" spans="13:24">
      <c r="M3211">
        <v>3209</v>
      </c>
      <c r="N3211">
        <v>43512</v>
      </c>
      <c r="O3211" t="s">
        <v>2291</v>
      </c>
      <c r="P3211" t="s">
        <v>136</v>
      </c>
      <c r="Q3211">
        <v>186</v>
      </c>
      <c r="R3211" s="296">
        <v>0</v>
      </c>
      <c r="S3211" s="296">
        <v>0.99209999999999998</v>
      </c>
      <c r="T3211" s="297">
        <v>11594</v>
      </c>
      <c r="U3211" s="340">
        <v>86828</v>
      </c>
      <c r="V3211" s="340">
        <v>197857</v>
      </c>
      <c r="W3211" s="297">
        <v>28029</v>
      </c>
      <c r="X3211" s="296">
        <v>-1E-3</v>
      </c>
    </row>
    <row r="3212" spans="13:24">
      <c r="M3212">
        <v>3210</v>
      </c>
      <c r="N3212">
        <v>78252</v>
      </c>
      <c r="O3212" t="s">
        <v>326</v>
      </c>
      <c r="P3212" t="s">
        <v>134</v>
      </c>
      <c r="Q3212">
        <v>1072</v>
      </c>
      <c r="R3212" s="296">
        <v>0</v>
      </c>
      <c r="S3212" s="296">
        <v>0.99209999999999998</v>
      </c>
      <c r="T3212" s="297">
        <v>9038</v>
      </c>
      <c r="U3212" s="340">
        <v>86825</v>
      </c>
      <c r="V3212" s="340">
        <v>276127</v>
      </c>
      <c r="W3212" s="297">
        <v>32395</v>
      </c>
      <c r="X3212" s="296">
        <v>0.14799999999999999</v>
      </c>
    </row>
    <row r="3213" spans="13:24">
      <c r="M3213">
        <v>3211</v>
      </c>
      <c r="N3213">
        <v>62341</v>
      </c>
      <c r="O3213" t="s">
        <v>739</v>
      </c>
      <c r="P3213" t="s">
        <v>131</v>
      </c>
      <c r="Q3213">
        <v>220</v>
      </c>
      <c r="R3213" s="296">
        <v>0</v>
      </c>
      <c r="S3213" s="296">
        <v>0.99209999999999998</v>
      </c>
      <c r="T3213" s="297">
        <v>1414</v>
      </c>
      <c r="U3213" s="340">
        <v>86818</v>
      </c>
      <c r="V3213" s="340">
        <v>164486</v>
      </c>
      <c r="W3213" s="297">
        <v>3290</v>
      </c>
      <c r="X3213" s="296">
        <v>-3.0000000000000001E-3</v>
      </c>
    </row>
    <row r="3214" spans="13:24">
      <c r="M3214">
        <v>3212</v>
      </c>
      <c r="N3214">
        <v>77420</v>
      </c>
      <c r="O3214" t="s">
        <v>2292</v>
      </c>
      <c r="P3214" t="s">
        <v>134</v>
      </c>
      <c r="Q3214">
        <v>1001</v>
      </c>
      <c r="R3214" s="296">
        <v>0</v>
      </c>
      <c r="S3214" s="296">
        <v>0.99209999999999998</v>
      </c>
      <c r="T3214">
        <v>891</v>
      </c>
      <c r="U3214" s="340">
        <v>86807</v>
      </c>
      <c r="V3214" s="340">
        <v>231727</v>
      </c>
      <c r="W3214" s="297">
        <v>2341</v>
      </c>
      <c r="X3214" s="296">
        <v>1.0999999999999999E-2</v>
      </c>
    </row>
    <row r="3215" spans="13:24">
      <c r="M3215">
        <v>3213</v>
      </c>
      <c r="N3215">
        <v>48237</v>
      </c>
      <c r="O3215" t="s">
        <v>807</v>
      </c>
      <c r="P3215" t="s">
        <v>140</v>
      </c>
      <c r="Q3215">
        <v>236</v>
      </c>
      <c r="R3215" s="296">
        <v>0</v>
      </c>
      <c r="S3215" s="296">
        <v>0.99209999999999998</v>
      </c>
      <c r="T3215" s="297">
        <v>12642</v>
      </c>
      <c r="U3215" s="340">
        <v>86772</v>
      </c>
      <c r="V3215" s="340">
        <v>236338</v>
      </c>
      <c r="W3215" s="297">
        <v>29315</v>
      </c>
      <c r="X3215" s="296">
        <v>-2E-3</v>
      </c>
    </row>
    <row r="3216" spans="13:24">
      <c r="M3216">
        <v>3214</v>
      </c>
      <c r="N3216">
        <v>33810</v>
      </c>
      <c r="O3216" t="s">
        <v>587</v>
      </c>
      <c r="P3216" t="s">
        <v>127</v>
      </c>
      <c r="Q3216">
        <v>1020</v>
      </c>
      <c r="R3216" s="296">
        <v>0</v>
      </c>
      <c r="S3216" s="296">
        <v>0.99209999999999998</v>
      </c>
      <c r="T3216" s="297">
        <v>20608</v>
      </c>
      <c r="U3216" s="340">
        <v>86732</v>
      </c>
      <c r="V3216" s="340">
        <v>330837</v>
      </c>
      <c r="W3216" s="297">
        <v>55535</v>
      </c>
      <c r="X3216" s="296">
        <v>1.6E-2</v>
      </c>
    </row>
    <row r="3217" spans="13:24">
      <c r="M3217">
        <v>3215</v>
      </c>
      <c r="N3217">
        <v>19111</v>
      </c>
      <c r="O3217" t="s">
        <v>469</v>
      </c>
      <c r="P3217" t="s">
        <v>133</v>
      </c>
      <c r="Q3217">
        <v>677</v>
      </c>
      <c r="R3217" s="296">
        <v>0</v>
      </c>
      <c r="S3217" s="296">
        <v>0.99209999999999998</v>
      </c>
      <c r="T3217" s="297">
        <v>25182</v>
      </c>
      <c r="U3217" s="340">
        <v>86658</v>
      </c>
      <c r="V3217" s="340">
        <v>310434</v>
      </c>
      <c r="W3217" s="297">
        <v>65919</v>
      </c>
      <c r="X3217" s="296">
        <v>-6.0000000000000001E-3</v>
      </c>
    </row>
    <row r="3218" spans="13:24">
      <c r="M3218">
        <v>3216</v>
      </c>
      <c r="N3218">
        <v>6360</v>
      </c>
      <c r="O3218" t="s">
        <v>582</v>
      </c>
      <c r="P3218" t="s">
        <v>141</v>
      </c>
      <c r="Q3218">
        <v>808</v>
      </c>
      <c r="R3218" s="296">
        <v>0</v>
      </c>
      <c r="S3218" s="296">
        <v>0.99219999999999997</v>
      </c>
      <c r="T3218" s="297">
        <v>15605</v>
      </c>
      <c r="U3218" s="340">
        <v>86653</v>
      </c>
      <c r="V3218" s="340">
        <v>306036</v>
      </c>
      <c r="W3218" s="297">
        <v>36812</v>
      </c>
      <c r="X3218" s="296">
        <v>-1E-3</v>
      </c>
    </row>
    <row r="3219" spans="13:24">
      <c r="M3219">
        <v>3217</v>
      </c>
      <c r="N3219">
        <v>52347</v>
      </c>
      <c r="O3219" t="s">
        <v>1807</v>
      </c>
      <c r="P3219" t="s">
        <v>170</v>
      </c>
      <c r="Q3219">
        <v>233</v>
      </c>
      <c r="R3219" s="296">
        <v>0</v>
      </c>
      <c r="S3219" s="296">
        <v>0.99219999999999997</v>
      </c>
      <c r="T3219">
        <v>562</v>
      </c>
      <c r="U3219" s="340">
        <v>86650</v>
      </c>
      <c r="V3219" s="340">
        <v>243304</v>
      </c>
      <c r="W3219" s="297">
        <v>1319</v>
      </c>
      <c r="X3219" s="296">
        <v>-8.0000000000000002E-3</v>
      </c>
    </row>
    <row r="3220" spans="13:24">
      <c r="M3220">
        <v>3218</v>
      </c>
      <c r="N3220">
        <v>47848</v>
      </c>
      <c r="O3220" t="s">
        <v>2293</v>
      </c>
      <c r="P3220" t="s">
        <v>144</v>
      </c>
      <c r="Q3220">
        <v>214</v>
      </c>
      <c r="R3220" s="296">
        <v>0</v>
      </c>
      <c r="S3220" s="296">
        <v>0.99219999999999997</v>
      </c>
      <c r="T3220">
        <v>598</v>
      </c>
      <c r="U3220" s="340">
        <v>86649</v>
      </c>
      <c r="V3220" s="340">
        <v>230159</v>
      </c>
      <c r="W3220" s="297">
        <v>1400</v>
      </c>
      <c r="X3220" s="296">
        <v>-8.0000000000000002E-3</v>
      </c>
    </row>
    <row r="3221" spans="13:24">
      <c r="M3221">
        <v>3219</v>
      </c>
      <c r="N3221">
        <v>53556</v>
      </c>
      <c r="O3221" t="s">
        <v>2294</v>
      </c>
      <c r="P3221" t="s">
        <v>149</v>
      </c>
      <c r="Q3221">
        <v>145</v>
      </c>
      <c r="R3221" s="296">
        <v>0</v>
      </c>
      <c r="S3221" s="296">
        <v>0.99219999999999997</v>
      </c>
      <c r="T3221" s="297">
        <v>1141</v>
      </c>
      <c r="U3221" s="340">
        <v>86646</v>
      </c>
      <c r="V3221" s="340">
        <v>277092</v>
      </c>
      <c r="W3221" s="297">
        <v>2688</v>
      </c>
      <c r="X3221" s="296">
        <v>0</v>
      </c>
    </row>
    <row r="3222" spans="13:24">
      <c r="M3222">
        <v>3220</v>
      </c>
      <c r="N3222">
        <v>65202</v>
      </c>
      <c r="O3222" t="s">
        <v>344</v>
      </c>
      <c r="P3222" t="s">
        <v>186</v>
      </c>
      <c r="Q3222">
        <v>320</v>
      </c>
      <c r="R3222" s="296">
        <v>0</v>
      </c>
      <c r="S3222" s="296">
        <v>0.99219999999999997</v>
      </c>
      <c r="T3222" s="297">
        <v>20448</v>
      </c>
      <c r="U3222" s="340">
        <v>86606</v>
      </c>
      <c r="V3222" s="340">
        <v>281895</v>
      </c>
      <c r="W3222" s="297">
        <v>49762</v>
      </c>
      <c r="X3222" s="296">
        <v>7.0000000000000001E-3</v>
      </c>
    </row>
    <row r="3223" spans="13:24">
      <c r="M3223">
        <v>3221</v>
      </c>
      <c r="N3223">
        <v>50548</v>
      </c>
      <c r="O3223" t="s">
        <v>2295</v>
      </c>
      <c r="P3223" t="s">
        <v>170</v>
      </c>
      <c r="Q3223">
        <v>330</v>
      </c>
      <c r="R3223" s="296">
        <v>0</v>
      </c>
      <c r="S3223" s="296">
        <v>0.99219999999999997</v>
      </c>
      <c r="T3223" s="297">
        <v>2475</v>
      </c>
      <c r="U3223" s="340">
        <v>86593</v>
      </c>
      <c r="V3223" s="340">
        <v>205380</v>
      </c>
      <c r="W3223" s="297">
        <v>5799</v>
      </c>
      <c r="X3223" s="296">
        <v>-4.0000000000000001E-3</v>
      </c>
    </row>
    <row r="3224" spans="13:24">
      <c r="M3224">
        <v>3222</v>
      </c>
      <c r="N3224">
        <v>24171</v>
      </c>
      <c r="O3224" t="s">
        <v>801</v>
      </c>
      <c r="P3224" t="s">
        <v>139</v>
      </c>
      <c r="Q3224">
        <v>553</v>
      </c>
      <c r="R3224" s="296">
        <v>0</v>
      </c>
      <c r="S3224" s="296">
        <v>0.99219999999999997</v>
      </c>
      <c r="T3224" s="297">
        <v>3661</v>
      </c>
      <c r="U3224" s="340">
        <v>86562</v>
      </c>
      <c r="V3224" s="340">
        <v>253396</v>
      </c>
      <c r="W3224" s="297">
        <v>8118</v>
      </c>
      <c r="X3224" s="296">
        <v>-4.0000000000000001E-3</v>
      </c>
    </row>
    <row r="3225" spans="13:24">
      <c r="M3225">
        <v>3223</v>
      </c>
      <c r="N3225">
        <v>47978</v>
      </c>
      <c r="O3225" t="s">
        <v>2296</v>
      </c>
      <c r="P3225" t="s">
        <v>144</v>
      </c>
      <c r="Q3225">
        <v>87</v>
      </c>
      <c r="R3225" s="296">
        <v>0</v>
      </c>
      <c r="S3225" s="296">
        <v>0.99219999999999997</v>
      </c>
      <c r="T3225" s="297">
        <v>4283</v>
      </c>
      <c r="U3225" s="340">
        <v>86544</v>
      </c>
      <c r="V3225" s="340">
        <v>241313</v>
      </c>
      <c r="W3225" s="297">
        <v>10559</v>
      </c>
      <c r="X3225" s="296">
        <v>-3.0000000000000001E-3</v>
      </c>
    </row>
    <row r="3226" spans="13:24">
      <c r="M3226">
        <v>3224</v>
      </c>
      <c r="N3226">
        <v>47670</v>
      </c>
      <c r="O3226" t="s">
        <v>491</v>
      </c>
      <c r="P3226" t="s">
        <v>144</v>
      </c>
      <c r="Q3226">
        <v>263</v>
      </c>
      <c r="R3226" s="296">
        <v>0</v>
      </c>
      <c r="S3226" s="296">
        <v>0.99229999999999996</v>
      </c>
      <c r="T3226" s="297">
        <v>5056</v>
      </c>
      <c r="U3226" s="340">
        <v>86525</v>
      </c>
      <c r="V3226" s="340">
        <v>199154</v>
      </c>
      <c r="W3226" s="297">
        <v>12203</v>
      </c>
      <c r="X3226" s="296">
        <v>1E-3</v>
      </c>
    </row>
    <row r="3227" spans="13:24">
      <c r="M3227">
        <v>3225</v>
      </c>
      <c r="N3227">
        <v>87116</v>
      </c>
      <c r="O3227" t="s">
        <v>783</v>
      </c>
      <c r="P3227" t="s">
        <v>200</v>
      </c>
      <c r="Q3227">
        <v>1122</v>
      </c>
      <c r="R3227" s="296">
        <v>0</v>
      </c>
      <c r="S3227" s="296">
        <v>0.99229999999999996</v>
      </c>
      <c r="T3227" s="297">
        <v>1304</v>
      </c>
      <c r="U3227" s="340">
        <v>86519</v>
      </c>
      <c r="V3227" s="340">
        <v>375000</v>
      </c>
      <c r="W3227" s="297">
        <v>4511</v>
      </c>
      <c r="X3227" s="296">
        <v>1E-3</v>
      </c>
    </row>
    <row r="3228" spans="13:24">
      <c r="M3228">
        <v>3226</v>
      </c>
      <c r="N3228">
        <v>62881</v>
      </c>
      <c r="O3228" t="s">
        <v>394</v>
      </c>
      <c r="P3228" t="s">
        <v>131</v>
      </c>
      <c r="Q3228">
        <v>250</v>
      </c>
      <c r="R3228" s="296">
        <v>0</v>
      </c>
      <c r="S3228" s="296">
        <v>0.99229999999999996</v>
      </c>
      <c r="T3228" s="297">
        <v>4487</v>
      </c>
      <c r="U3228" s="340">
        <v>86451</v>
      </c>
      <c r="V3228" s="340">
        <v>158222</v>
      </c>
      <c r="W3228" s="297">
        <v>10659</v>
      </c>
      <c r="X3228" s="296">
        <v>-0.01</v>
      </c>
    </row>
    <row r="3229" spans="13:24">
      <c r="M3229">
        <v>3227</v>
      </c>
      <c r="N3229">
        <v>90018</v>
      </c>
      <c r="O3229" t="s">
        <v>309</v>
      </c>
      <c r="P3229" t="s">
        <v>132</v>
      </c>
      <c r="Q3229">
        <v>1741</v>
      </c>
      <c r="R3229" s="296">
        <v>0</v>
      </c>
      <c r="S3229" s="296">
        <v>0.99229999999999996</v>
      </c>
      <c r="T3229" s="297">
        <v>17352</v>
      </c>
      <c r="U3229" s="340">
        <v>86447</v>
      </c>
      <c r="V3229" s="340">
        <v>1011819</v>
      </c>
      <c r="W3229" s="297">
        <v>50848</v>
      </c>
      <c r="X3229" s="296">
        <v>-6.0000000000000001E-3</v>
      </c>
    </row>
    <row r="3230" spans="13:24">
      <c r="M3230">
        <v>3228</v>
      </c>
      <c r="N3230">
        <v>54405</v>
      </c>
      <c r="O3230" t="s">
        <v>2297</v>
      </c>
      <c r="P3230" t="s">
        <v>149</v>
      </c>
      <c r="Q3230">
        <v>231</v>
      </c>
      <c r="R3230" s="296">
        <v>0</v>
      </c>
      <c r="S3230" s="296">
        <v>0.99229999999999996</v>
      </c>
      <c r="T3230" s="297">
        <v>1161</v>
      </c>
      <c r="U3230" s="340">
        <v>86392</v>
      </c>
      <c r="V3230" s="340">
        <v>237918</v>
      </c>
      <c r="W3230" s="297">
        <v>3105</v>
      </c>
      <c r="X3230" s="296">
        <v>4.0000000000000001E-3</v>
      </c>
    </row>
    <row r="3231" spans="13:24">
      <c r="M3231">
        <v>3229</v>
      </c>
      <c r="N3231">
        <v>54755</v>
      </c>
      <c r="O3231" t="s">
        <v>2298</v>
      </c>
      <c r="P3231" t="s">
        <v>149</v>
      </c>
      <c r="Q3231">
        <v>254</v>
      </c>
      <c r="R3231" s="296">
        <v>0</v>
      </c>
      <c r="S3231" s="296">
        <v>0.99229999999999996</v>
      </c>
      <c r="T3231" s="297">
        <v>2972</v>
      </c>
      <c r="U3231" s="340">
        <v>86384</v>
      </c>
      <c r="V3231" s="340">
        <v>315439</v>
      </c>
      <c r="W3231" s="297">
        <v>7363</v>
      </c>
      <c r="X3231" s="296">
        <v>2E-3</v>
      </c>
    </row>
    <row r="3232" spans="13:24">
      <c r="M3232">
        <v>3230</v>
      </c>
      <c r="N3232">
        <v>45320</v>
      </c>
      <c r="O3232" t="s">
        <v>1902</v>
      </c>
      <c r="P3232" t="s">
        <v>136</v>
      </c>
      <c r="Q3232">
        <v>232</v>
      </c>
      <c r="R3232" s="296">
        <v>0</v>
      </c>
      <c r="S3232" s="296">
        <v>0.99229999999999996</v>
      </c>
      <c r="T3232" s="297">
        <v>6519</v>
      </c>
      <c r="U3232" s="340">
        <v>86333</v>
      </c>
      <c r="V3232" s="340">
        <v>234757</v>
      </c>
      <c r="W3232" s="297">
        <v>15620</v>
      </c>
      <c r="X3232" s="296">
        <v>-3.0000000000000001E-3</v>
      </c>
    </row>
    <row r="3233" spans="13:24">
      <c r="M3233">
        <v>3231</v>
      </c>
      <c r="N3233">
        <v>10002</v>
      </c>
      <c r="O3233" t="s">
        <v>203</v>
      </c>
      <c r="P3233" t="s">
        <v>128</v>
      </c>
      <c r="Q3233">
        <v>721</v>
      </c>
      <c r="R3233" s="296">
        <v>0</v>
      </c>
      <c r="S3233" s="296">
        <v>0.99229999999999996</v>
      </c>
      <c r="T3233" s="297">
        <v>36422</v>
      </c>
      <c r="U3233" s="340">
        <v>86325</v>
      </c>
      <c r="V3233" s="340">
        <v>921060</v>
      </c>
      <c r="W3233" s="297">
        <v>78366</v>
      </c>
      <c r="X3233" s="296">
        <v>-0.01</v>
      </c>
    </row>
    <row r="3234" spans="13:24">
      <c r="M3234">
        <v>3232</v>
      </c>
      <c r="N3234">
        <v>14227</v>
      </c>
      <c r="O3234" t="s">
        <v>789</v>
      </c>
      <c r="P3234" t="s">
        <v>128</v>
      </c>
      <c r="Q3234">
        <v>463</v>
      </c>
      <c r="R3234" s="296">
        <v>0</v>
      </c>
      <c r="S3234" s="296">
        <v>0.99239999999999995</v>
      </c>
      <c r="T3234" s="297">
        <v>10735</v>
      </c>
      <c r="U3234" s="340">
        <v>86301</v>
      </c>
      <c r="V3234" s="340">
        <v>294710</v>
      </c>
      <c r="W3234" s="297">
        <v>22657</v>
      </c>
      <c r="X3234" s="296">
        <v>-1E-3</v>
      </c>
    </row>
    <row r="3235" spans="13:24">
      <c r="M3235">
        <v>3233</v>
      </c>
      <c r="N3235">
        <v>61764</v>
      </c>
      <c r="O3235" t="s">
        <v>1696</v>
      </c>
      <c r="P3235" t="s">
        <v>131</v>
      </c>
      <c r="Q3235">
        <v>98</v>
      </c>
      <c r="R3235" s="296">
        <v>0</v>
      </c>
      <c r="S3235" s="296">
        <v>0.99239999999999995</v>
      </c>
      <c r="T3235" s="297">
        <v>5349</v>
      </c>
      <c r="U3235" s="340">
        <v>86292</v>
      </c>
      <c r="V3235" s="340">
        <v>175497</v>
      </c>
      <c r="W3235" s="297">
        <v>13605</v>
      </c>
      <c r="X3235" s="296">
        <v>-2E-3</v>
      </c>
    </row>
    <row r="3236" spans="13:24">
      <c r="M3236">
        <v>3234</v>
      </c>
      <c r="N3236">
        <v>30168</v>
      </c>
      <c r="O3236" t="s">
        <v>2299</v>
      </c>
      <c r="P3236" t="s">
        <v>130</v>
      </c>
      <c r="Q3236">
        <v>603</v>
      </c>
      <c r="R3236" s="296">
        <v>0</v>
      </c>
      <c r="S3236" s="296">
        <v>0.99239999999999995</v>
      </c>
      <c r="T3236" s="297">
        <v>9812</v>
      </c>
      <c r="U3236" s="340">
        <v>86249</v>
      </c>
      <c r="V3236" s="340">
        <v>276081</v>
      </c>
      <c r="W3236" s="297">
        <v>26556</v>
      </c>
      <c r="X3236" s="296">
        <v>1E-3</v>
      </c>
    </row>
    <row r="3237" spans="13:24">
      <c r="M3237">
        <v>3235</v>
      </c>
      <c r="N3237">
        <v>1420</v>
      </c>
      <c r="O3237" t="s">
        <v>409</v>
      </c>
      <c r="P3237" t="s">
        <v>135</v>
      </c>
      <c r="Q3237">
        <v>815</v>
      </c>
      <c r="R3237" s="296">
        <v>0</v>
      </c>
      <c r="S3237" s="296">
        <v>0.99239999999999995</v>
      </c>
      <c r="T3237" s="297">
        <v>16439</v>
      </c>
      <c r="U3237" s="340">
        <v>86243</v>
      </c>
      <c r="V3237" s="340">
        <v>398967</v>
      </c>
      <c r="W3237" s="297">
        <v>42401</v>
      </c>
      <c r="X3237" s="296">
        <v>3.0000000000000001E-3</v>
      </c>
    </row>
    <row r="3238" spans="13:24">
      <c r="M3238">
        <v>3236</v>
      </c>
      <c r="N3238">
        <v>54843</v>
      </c>
      <c r="O3238" t="s">
        <v>2300</v>
      </c>
      <c r="P3238" t="s">
        <v>149</v>
      </c>
      <c r="Q3238">
        <v>319</v>
      </c>
      <c r="R3238" s="296">
        <v>0</v>
      </c>
      <c r="S3238" s="296">
        <v>0.99239999999999995</v>
      </c>
      <c r="T3238" s="297">
        <v>5710</v>
      </c>
      <c r="U3238" s="340">
        <v>86220</v>
      </c>
      <c r="V3238" s="340">
        <v>338796</v>
      </c>
      <c r="W3238" s="297">
        <v>12903</v>
      </c>
      <c r="X3238" s="296">
        <v>4.0000000000000001E-3</v>
      </c>
    </row>
    <row r="3239" spans="13:24">
      <c r="M3239">
        <v>3237</v>
      </c>
      <c r="N3239">
        <v>90040</v>
      </c>
      <c r="O3239" t="s">
        <v>309</v>
      </c>
      <c r="P3239" t="s">
        <v>132</v>
      </c>
      <c r="Q3239">
        <v>1734</v>
      </c>
      <c r="R3239" s="296">
        <v>0</v>
      </c>
      <c r="S3239" s="296">
        <v>0.99239999999999995</v>
      </c>
      <c r="T3239" s="297">
        <v>3578</v>
      </c>
      <c r="U3239" s="340">
        <v>86211</v>
      </c>
      <c r="V3239" s="340">
        <v>630752</v>
      </c>
      <c r="W3239" s="297">
        <v>12510</v>
      </c>
      <c r="X3239" s="296">
        <v>-6.0000000000000001E-3</v>
      </c>
    </row>
    <row r="3240" spans="13:24">
      <c r="M3240">
        <v>3238</v>
      </c>
      <c r="N3240">
        <v>48917</v>
      </c>
      <c r="O3240" t="s">
        <v>967</v>
      </c>
      <c r="P3240" t="s">
        <v>140</v>
      </c>
      <c r="Q3240">
        <v>166</v>
      </c>
      <c r="R3240" s="296">
        <v>0</v>
      </c>
      <c r="S3240" s="296">
        <v>0.99239999999999995</v>
      </c>
      <c r="T3240" s="297">
        <v>15083</v>
      </c>
      <c r="U3240" s="340">
        <v>86166</v>
      </c>
      <c r="V3240" s="340">
        <v>225198</v>
      </c>
      <c r="W3240" s="297">
        <v>32417</v>
      </c>
      <c r="X3240" s="296">
        <v>-2E-3</v>
      </c>
    </row>
    <row r="3241" spans="13:24">
      <c r="M3241">
        <v>3239</v>
      </c>
      <c r="N3241">
        <v>85202</v>
      </c>
      <c r="O3241" t="s">
        <v>1085</v>
      </c>
      <c r="P3241" t="s">
        <v>158</v>
      </c>
      <c r="Q3241">
        <v>1441</v>
      </c>
      <c r="R3241" s="296">
        <v>0</v>
      </c>
      <c r="S3241" s="296">
        <v>0.99239999999999995</v>
      </c>
      <c r="T3241" s="297">
        <v>18748</v>
      </c>
      <c r="U3241" s="340">
        <v>86147</v>
      </c>
      <c r="V3241" s="340">
        <v>443304</v>
      </c>
      <c r="W3241" s="297">
        <v>43311</v>
      </c>
      <c r="X3241" s="296">
        <v>1E-3</v>
      </c>
    </row>
    <row r="3242" spans="13:24">
      <c r="M3242">
        <v>3240</v>
      </c>
      <c r="N3242">
        <v>48036</v>
      </c>
      <c r="O3242" t="s">
        <v>2098</v>
      </c>
      <c r="P3242" t="s">
        <v>140</v>
      </c>
      <c r="Q3242">
        <v>251</v>
      </c>
      <c r="R3242" s="296">
        <v>0</v>
      </c>
      <c r="S3242" s="296">
        <v>0.99250000000000005</v>
      </c>
      <c r="T3242" s="297">
        <v>9634</v>
      </c>
      <c r="U3242" s="340">
        <v>86144</v>
      </c>
      <c r="V3242" s="340">
        <v>247702</v>
      </c>
      <c r="W3242" s="297">
        <v>22554</v>
      </c>
      <c r="X3242" s="296">
        <v>-1E-3</v>
      </c>
    </row>
    <row r="3243" spans="13:24">
      <c r="M3243">
        <v>3241</v>
      </c>
      <c r="N3243">
        <v>84115</v>
      </c>
      <c r="O3243" t="s">
        <v>333</v>
      </c>
      <c r="P3243" t="s">
        <v>219</v>
      </c>
      <c r="Q3243">
        <v>1248</v>
      </c>
      <c r="R3243" s="296">
        <v>0</v>
      </c>
      <c r="S3243" s="296">
        <v>0.99250000000000005</v>
      </c>
      <c r="T3243" s="297">
        <v>13223</v>
      </c>
      <c r="U3243" s="340">
        <v>86110</v>
      </c>
      <c r="V3243" s="340">
        <v>519273</v>
      </c>
      <c r="W3243" s="297">
        <v>29752</v>
      </c>
      <c r="X3243" s="296">
        <v>8.9999999999999993E-3</v>
      </c>
    </row>
    <row r="3244" spans="13:24">
      <c r="M3244">
        <v>3242</v>
      </c>
      <c r="N3244">
        <v>36303</v>
      </c>
      <c r="O3244" t="s">
        <v>2301</v>
      </c>
      <c r="P3244" t="s">
        <v>154</v>
      </c>
      <c r="Q3244">
        <v>763</v>
      </c>
      <c r="R3244" s="296">
        <v>0</v>
      </c>
      <c r="S3244" s="296">
        <v>0.99250000000000005</v>
      </c>
      <c r="T3244" s="297">
        <v>13584</v>
      </c>
      <c r="U3244" s="340">
        <v>86089</v>
      </c>
      <c r="V3244" s="340">
        <v>243706</v>
      </c>
      <c r="W3244" s="297">
        <v>31969</v>
      </c>
      <c r="X3244" s="296">
        <v>4.0000000000000001E-3</v>
      </c>
    </row>
    <row r="3245" spans="13:24">
      <c r="M3245">
        <v>3243</v>
      </c>
      <c r="N3245">
        <v>49045</v>
      </c>
      <c r="O3245" t="s">
        <v>829</v>
      </c>
      <c r="P3245" t="s">
        <v>140</v>
      </c>
      <c r="Q3245">
        <v>90</v>
      </c>
      <c r="R3245" s="296">
        <v>0</v>
      </c>
      <c r="S3245" s="296">
        <v>0.99250000000000005</v>
      </c>
      <c r="T3245" s="297">
        <v>2166</v>
      </c>
      <c r="U3245" s="340">
        <v>86026</v>
      </c>
      <c r="V3245" s="340">
        <v>264757</v>
      </c>
      <c r="W3245" s="297">
        <v>5484</v>
      </c>
      <c r="X3245" s="296">
        <v>-5.0000000000000001E-3</v>
      </c>
    </row>
    <row r="3246" spans="13:24">
      <c r="M3246">
        <v>3244</v>
      </c>
      <c r="N3246">
        <v>33809</v>
      </c>
      <c r="O3246" t="s">
        <v>587</v>
      </c>
      <c r="P3246" t="s">
        <v>127</v>
      </c>
      <c r="Q3246">
        <v>1019</v>
      </c>
      <c r="R3246" s="296">
        <v>0</v>
      </c>
      <c r="S3246" s="296">
        <v>0.99250000000000005</v>
      </c>
      <c r="T3246" s="297">
        <v>12354</v>
      </c>
      <c r="U3246" s="340">
        <v>86011</v>
      </c>
      <c r="V3246" s="340">
        <v>322879</v>
      </c>
      <c r="W3246" s="297">
        <v>31194</v>
      </c>
      <c r="X3246" s="296">
        <v>8.9999999999999993E-3</v>
      </c>
    </row>
    <row r="3247" spans="13:24">
      <c r="M3247">
        <v>3245</v>
      </c>
      <c r="N3247">
        <v>54762</v>
      </c>
      <c r="O3247" t="s">
        <v>2302</v>
      </c>
      <c r="P3247" t="s">
        <v>149</v>
      </c>
      <c r="Q3247">
        <v>300</v>
      </c>
      <c r="R3247" s="296">
        <v>0</v>
      </c>
      <c r="S3247" s="296">
        <v>0.99250000000000005</v>
      </c>
      <c r="T3247">
        <v>522</v>
      </c>
      <c r="U3247" s="340">
        <v>85978</v>
      </c>
      <c r="V3247" s="340">
        <v>269221</v>
      </c>
      <c r="W3247" s="297">
        <v>1359</v>
      </c>
      <c r="X3247" s="296">
        <v>-6.0000000000000001E-3</v>
      </c>
    </row>
    <row r="3248" spans="13:24">
      <c r="M3248">
        <v>3246</v>
      </c>
      <c r="N3248">
        <v>19805</v>
      </c>
      <c r="O3248" t="s">
        <v>311</v>
      </c>
      <c r="P3248" t="s">
        <v>164</v>
      </c>
      <c r="Q3248">
        <v>658</v>
      </c>
      <c r="R3248" s="296">
        <v>0</v>
      </c>
      <c r="S3248" s="296">
        <v>0.99250000000000005</v>
      </c>
      <c r="T3248" s="297">
        <v>16360</v>
      </c>
      <c r="U3248" s="340">
        <v>85962</v>
      </c>
      <c r="V3248" s="340">
        <v>307977</v>
      </c>
      <c r="W3248" s="297">
        <v>40900</v>
      </c>
      <c r="X3248" s="296">
        <v>4.0000000000000001E-3</v>
      </c>
    </row>
    <row r="3249" spans="13:24">
      <c r="M3249">
        <v>3247</v>
      </c>
      <c r="N3249">
        <v>62611</v>
      </c>
      <c r="O3249" t="s">
        <v>2303</v>
      </c>
      <c r="P3249" t="s">
        <v>131</v>
      </c>
      <c r="Q3249">
        <v>205</v>
      </c>
      <c r="R3249" s="296">
        <v>0</v>
      </c>
      <c r="S3249" s="296">
        <v>0.99250000000000005</v>
      </c>
      <c r="T3249">
        <v>391</v>
      </c>
      <c r="U3249" s="340">
        <v>85935</v>
      </c>
      <c r="V3249" s="340">
        <v>182589</v>
      </c>
      <c r="W3249">
        <v>912</v>
      </c>
      <c r="X3249" s="296">
        <v>-0.01</v>
      </c>
    </row>
    <row r="3250" spans="13:24">
      <c r="M3250">
        <v>3248</v>
      </c>
      <c r="N3250">
        <v>47403</v>
      </c>
      <c r="O3250" t="s">
        <v>570</v>
      </c>
      <c r="P3250" t="s">
        <v>144</v>
      </c>
      <c r="Q3250">
        <v>218</v>
      </c>
      <c r="R3250" s="296">
        <v>0</v>
      </c>
      <c r="S3250" s="296">
        <v>0.99260000000000004</v>
      </c>
      <c r="T3250" s="297">
        <v>14947</v>
      </c>
      <c r="U3250" s="340">
        <v>85928</v>
      </c>
      <c r="V3250" s="340">
        <v>284928</v>
      </c>
      <c r="W3250" s="297">
        <v>33307</v>
      </c>
      <c r="X3250" s="296">
        <v>-1E-3</v>
      </c>
    </row>
    <row r="3251" spans="13:24">
      <c r="M3251">
        <v>3249</v>
      </c>
      <c r="N3251">
        <v>61319</v>
      </c>
      <c r="O3251" t="s">
        <v>2304</v>
      </c>
      <c r="P3251" t="s">
        <v>131</v>
      </c>
      <c r="Q3251">
        <v>92</v>
      </c>
      <c r="R3251" s="296">
        <v>0</v>
      </c>
      <c r="S3251" s="296">
        <v>0.99260000000000004</v>
      </c>
      <c r="T3251">
        <v>438</v>
      </c>
      <c r="U3251" s="340">
        <v>85907</v>
      </c>
      <c r="V3251" s="340">
        <v>169452</v>
      </c>
      <c r="W3251" s="297">
        <v>1012</v>
      </c>
      <c r="X3251" s="296">
        <v>-6.0000000000000001E-3</v>
      </c>
    </row>
    <row r="3252" spans="13:24">
      <c r="M3252">
        <v>3250</v>
      </c>
      <c r="N3252">
        <v>62930</v>
      </c>
      <c r="O3252" t="s">
        <v>2305</v>
      </c>
      <c r="P3252" t="s">
        <v>131</v>
      </c>
      <c r="Q3252">
        <v>301</v>
      </c>
      <c r="R3252" s="296">
        <v>0</v>
      </c>
      <c r="S3252" s="296">
        <v>0.99260000000000004</v>
      </c>
      <c r="T3252" s="297">
        <v>2342</v>
      </c>
      <c r="U3252" s="340">
        <v>85897</v>
      </c>
      <c r="V3252" s="340">
        <v>125716</v>
      </c>
      <c r="W3252" s="297">
        <v>5344</v>
      </c>
      <c r="X3252" s="296">
        <v>-1.4999999999999999E-2</v>
      </c>
    </row>
    <row r="3253" spans="13:24">
      <c r="M3253">
        <v>3251</v>
      </c>
      <c r="N3253">
        <v>42301</v>
      </c>
      <c r="O3253" t="s">
        <v>2214</v>
      </c>
      <c r="P3253" t="s">
        <v>143</v>
      </c>
      <c r="Q3253">
        <v>306</v>
      </c>
      <c r="R3253" s="296">
        <v>0</v>
      </c>
      <c r="S3253" s="296">
        <v>0.99260000000000004</v>
      </c>
      <c r="T3253" s="297">
        <v>18459</v>
      </c>
      <c r="U3253" s="340">
        <v>85842</v>
      </c>
      <c r="V3253" s="340">
        <v>229838</v>
      </c>
      <c r="W3253" s="297">
        <v>44966</v>
      </c>
      <c r="X3253" s="296">
        <v>2E-3</v>
      </c>
    </row>
    <row r="3254" spans="13:24">
      <c r="M3254">
        <v>3252</v>
      </c>
      <c r="N3254">
        <v>34482</v>
      </c>
      <c r="O3254" t="s">
        <v>766</v>
      </c>
      <c r="P3254" t="s">
        <v>127</v>
      </c>
      <c r="Q3254">
        <v>943</v>
      </c>
      <c r="R3254" s="296">
        <v>0</v>
      </c>
      <c r="S3254" s="296">
        <v>0.99260000000000004</v>
      </c>
      <c r="T3254" s="297">
        <v>9086</v>
      </c>
      <c r="U3254" s="340">
        <v>85769</v>
      </c>
      <c r="V3254" s="340">
        <v>396972</v>
      </c>
      <c r="W3254" s="297">
        <v>24752</v>
      </c>
      <c r="X3254" s="296">
        <v>1.2E-2</v>
      </c>
    </row>
    <row r="3255" spans="13:24">
      <c r="M3255">
        <v>3253</v>
      </c>
      <c r="N3255">
        <v>43351</v>
      </c>
      <c r="O3255" t="s">
        <v>2306</v>
      </c>
      <c r="P3255" t="s">
        <v>136</v>
      </c>
      <c r="Q3255">
        <v>250</v>
      </c>
      <c r="R3255" s="296">
        <v>0</v>
      </c>
      <c r="S3255" s="296">
        <v>0.99260000000000004</v>
      </c>
      <c r="T3255" s="297">
        <v>4228</v>
      </c>
      <c r="U3255" s="340">
        <v>85753</v>
      </c>
      <c r="V3255" s="340">
        <v>236982</v>
      </c>
      <c r="W3255" s="297">
        <v>9943</v>
      </c>
      <c r="X3255" s="296">
        <v>-2E-3</v>
      </c>
    </row>
    <row r="3256" spans="13:24">
      <c r="M3256">
        <v>3254</v>
      </c>
      <c r="N3256">
        <v>24401</v>
      </c>
      <c r="O3256" t="s">
        <v>2307</v>
      </c>
      <c r="P3256" t="s">
        <v>139</v>
      </c>
      <c r="Q3256">
        <v>537</v>
      </c>
      <c r="R3256" s="296">
        <v>0</v>
      </c>
      <c r="S3256" s="296">
        <v>0.99260000000000004</v>
      </c>
      <c r="T3256" s="297">
        <v>17361</v>
      </c>
      <c r="U3256" s="340">
        <v>85692</v>
      </c>
      <c r="V3256" s="340">
        <v>382216</v>
      </c>
      <c r="W3256" s="297">
        <v>39853</v>
      </c>
      <c r="X3256" s="296">
        <v>6.0000000000000001E-3</v>
      </c>
    </row>
    <row r="3257" spans="13:24">
      <c r="M3257">
        <v>3255</v>
      </c>
      <c r="N3257">
        <v>98304</v>
      </c>
      <c r="O3257" t="s">
        <v>2308</v>
      </c>
      <c r="P3257" t="s">
        <v>224</v>
      </c>
      <c r="Q3257">
        <v>1703</v>
      </c>
      <c r="R3257" s="296">
        <v>0</v>
      </c>
      <c r="S3257" s="296">
        <v>0.99260000000000004</v>
      </c>
      <c r="T3257">
        <v>370</v>
      </c>
      <c r="U3257" s="340">
        <v>85681</v>
      </c>
      <c r="V3257" s="340">
        <v>477273</v>
      </c>
      <c r="W3257">
        <v>787</v>
      </c>
      <c r="X3257" s="296">
        <v>1.0999999999999999E-2</v>
      </c>
    </row>
    <row r="3258" spans="13:24">
      <c r="M3258">
        <v>3256</v>
      </c>
      <c r="N3258">
        <v>53714</v>
      </c>
      <c r="O3258" t="s">
        <v>823</v>
      </c>
      <c r="P3258" t="s">
        <v>149</v>
      </c>
      <c r="Q3258">
        <v>102</v>
      </c>
      <c r="R3258" s="296">
        <v>0</v>
      </c>
      <c r="S3258" s="296">
        <v>0.99270000000000003</v>
      </c>
      <c r="T3258" s="297">
        <v>7818</v>
      </c>
      <c r="U3258" s="340">
        <v>85672</v>
      </c>
      <c r="V3258" s="340">
        <v>317682</v>
      </c>
      <c r="W3258" s="297">
        <v>16924</v>
      </c>
      <c r="X3258" s="296">
        <v>1.0999999999999999E-2</v>
      </c>
    </row>
    <row r="3259" spans="13:24">
      <c r="M3259">
        <v>3257</v>
      </c>
      <c r="N3259">
        <v>50025</v>
      </c>
      <c r="O3259" t="s">
        <v>2309</v>
      </c>
      <c r="P3259" t="s">
        <v>170</v>
      </c>
      <c r="Q3259">
        <v>367</v>
      </c>
      <c r="R3259" s="296">
        <v>0</v>
      </c>
      <c r="S3259" s="296">
        <v>0.99270000000000003</v>
      </c>
      <c r="T3259" s="297">
        <v>1337</v>
      </c>
      <c r="U3259" s="340">
        <v>85652</v>
      </c>
      <c r="V3259" s="340">
        <v>180920</v>
      </c>
      <c r="W3259" s="297">
        <v>3000</v>
      </c>
      <c r="X3259" s="296">
        <v>-4.0000000000000001E-3</v>
      </c>
    </row>
    <row r="3260" spans="13:24">
      <c r="M3260">
        <v>3258</v>
      </c>
      <c r="N3260">
        <v>65738</v>
      </c>
      <c r="O3260" t="s">
        <v>2310</v>
      </c>
      <c r="P3260" t="s">
        <v>186</v>
      </c>
      <c r="Q3260">
        <v>461</v>
      </c>
      <c r="R3260" s="296">
        <v>0</v>
      </c>
      <c r="S3260" s="296">
        <v>0.99270000000000003</v>
      </c>
      <c r="T3260" s="297">
        <v>8393</v>
      </c>
      <c r="U3260" s="340">
        <v>85638</v>
      </c>
      <c r="V3260" s="340">
        <v>259155</v>
      </c>
      <c r="W3260" s="297">
        <v>22590</v>
      </c>
      <c r="X3260" s="296">
        <v>1.6E-2</v>
      </c>
    </row>
    <row r="3261" spans="13:24">
      <c r="M3261">
        <v>3259</v>
      </c>
      <c r="N3261">
        <v>48014</v>
      </c>
      <c r="O3261" t="s">
        <v>2311</v>
      </c>
      <c r="P3261" t="s">
        <v>140</v>
      </c>
      <c r="Q3261">
        <v>254</v>
      </c>
      <c r="R3261" s="296">
        <v>0</v>
      </c>
      <c r="S3261" s="296">
        <v>0.99270000000000003</v>
      </c>
      <c r="T3261" s="297">
        <v>1663</v>
      </c>
      <c r="U3261" s="340">
        <v>85634</v>
      </c>
      <c r="V3261" s="340">
        <v>252143</v>
      </c>
      <c r="W3261" s="297">
        <v>4318</v>
      </c>
      <c r="X3261" s="296">
        <v>2E-3</v>
      </c>
    </row>
    <row r="3262" spans="13:24">
      <c r="M3262">
        <v>3260</v>
      </c>
      <c r="N3262">
        <v>90028</v>
      </c>
      <c r="O3262" t="s">
        <v>309</v>
      </c>
      <c r="P3262" t="s">
        <v>132</v>
      </c>
      <c r="Q3262">
        <v>1740</v>
      </c>
      <c r="R3262" s="296">
        <v>0</v>
      </c>
      <c r="S3262" s="296">
        <v>0.99270000000000003</v>
      </c>
      <c r="T3262" s="297">
        <v>19163</v>
      </c>
      <c r="U3262" s="340">
        <v>85564</v>
      </c>
      <c r="V3262" s="340">
        <v>1161095</v>
      </c>
      <c r="W3262" s="297">
        <v>33204</v>
      </c>
      <c r="X3262" s="296">
        <v>1.4E-2</v>
      </c>
    </row>
    <row r="3263" spans="13:24">
      <c r="M3263">
        <v>3261</v>
      </c>
      <c r="N3263">
        <v>54427</v>
      </c>
      <c r="O3263" t="s">
        <v>2312</v>
      </c>
      <c r="P3263" t="s">
        <v>149</v>
      </c>
      <c r="Q3263">
        <v>199</v>
      </c>
      <c r="R3263" s="296">
        <v>0</v>
      </c>
      <c r="S3263" s="296">
        <v>0.99270000000000003</v>
      </c>
      <c r="T3263">
        <v>411</v>
      </c>
      <c r="U3263" s="340">
        <v>85489</v>
      </c>
      <c r="V3263" s="340">
        <v>296512</v>
      </c>
      <c r="W3263" s="297">
        <v>1056</v>
      </c>
      <c r="X3263" s="296">
        <v>-6.0000000000000001E-3</v>
      </c>
    </row>
    <row r="3264" spans="13:24">
      <c r="M3264">
        <v>3262</v>
      </c>
      <c r="N3264">
        <v>75231</v>
      </c>
      <c r="O3264" t="s">
        <v>338</v>
      </c>
      <c r="P3264" t="s">
        <v>134</v>
      </c>
      <c r="Q3264">
        <v>806</v>
      </c>
      <c r="R3264" s="296">
        <v>0</v>
      </c>
      <c r="S3264" s="296">
        <v>0.99270000000000003</v>
      </c>
      <c r="T3264" s="297">
        <v>18743</v>
      </c>
      <c r="U3264" s="340">
        <v>85486</v>
      </c>
      <c r="V3264" s="340">
        <v>498879</v>
      </c>
      <c r="W3264" s="297">
        <v>40813</v>
      </c>
      <c r="X3264" s="296">
        <v>2E-3</v>
      </c>
    </row>
    <row r="3265" spans="13:24">
      <c r="M3265">
        <v>3263</v>
      </c>
      <c r="N3265">
        <v>44121</v>
      </c>
      <c r="O3265" t="s">
        <v>1251</v>
      </c>
      <c r="P3265" t="s">
        <v>136</v>
      </c>
      <c r="Q3265">
        <v>325</v>
      </c>
      <c r="R3265" s="296">
        <v>0</v>
      </c>
      <c r="S3265" s="296">
        <v>0.99270000000000003</v>
      </c>
      <c r="T3265" s="297">
        <v>13131</v>
      </c>
      <c r="U3265" s="340">
        <v>85469</v>
      </c>
      <c r="V3265" s="340">
        <v>192264</v>
      </c>
      <c r="W3265" s="297">
        <v>31045</v>
      </c>
      <c r="X3265" s="296">
        <v>-8.0000000000000002E-3</v>
      </c>
    </row>
    <row r="3266" spans="13:24">
      <c r="M3266">
        <v>3264</v>
      </c>
      <c r="N3266">
        <v>44240</v>
      </c>
      <c r="O3266" t="s">
        <v>559</v>
      </c>
      <c r="P3266" t="s">
        <v>136</v>
      </c>
      <c r="Q3266">
        <v>340</v>
      </c>
      <c r="R3266" s="296">
        <v>0</v>
      </c>
      <c r="S3266" s="296">
        <v>0.99280000000000002</v>
      </c>
      <c r="T3266" s="297">
        <v>18045</v>
      </c>
      <c r="U3266" s="340">
        <v>85467</v>
      </c>
      <c r="V3266" s="340">
        <v>284666</v>
      </c>
      <c r="W3266" s="297">
        <v>39257</v>
      </c>
      <c r="X3266" s="296">
        <v>4.0000000000000001E-3</v>
      </c>
    </row>
    <row r="3267" spans="13:24">
      <c r="M3267">
        <v>3265</v>
      </c>
      <c r="N3267">
        <v>32935</v>
      </c>
      <c r="O3267" t="s">
        <v>2040</v>
      </c>
      <c r="P3267" t="s">
        <v>127</v>
      </c>
      <c r="Q3267">
        <v>1048</v>
      </c>
      <c r="R3267" s="296">
        <v>0</v>
      </c>
      <c r="S3267" s="296">
        <v>0.99280000000000002</v>
      </c>
      <c r="T3267" s="297">
        <v>18294</v>
      </c>
      <c r="U3267" s="340">
        <v>85438</v>
      </c>
      <c r="V3267" s="340">
        <v>401510</v>
      </c>
      <c r="W3267" s="297">
        <v>40612</v>
      </c>
      <c r="X3267" s="296">
        <v>1E-3</v>
      </c>
    </row>
    <row r="3268" spans="13:24">
      <c r="M3268">
        <v>3266</v>
      </c>
      <c r="N3268">
        <v>67522</v>
      </c>
      <c r="O3268" t="s">
        <v>2313</v>
      </c>
      <c r="P3268" t="s">
        <v>176</v>
      </c>
      <c r="Q3268">
        <v>595</v>
      </c>
      <c r="R3268" s="296">
        <v>0</v>
      </c>
      <c r="S3268" s="296">
        <v>0.99280000000000002</v>
      </c>
      <c r="T3268">
        <v>712</v>
      </c>
      <c r="U3268" s="340">
        <v>85382</v>
      </c>
      <c r="V3268" s="340">
        <v>177269</v>
      </c>
      <c r="W3268" s="297">
        <v>1956</v>
      </c>
      <c r="X3268" s="296">
        <v>-4.0000000000000001E-3</v>
      </c>
    </row>
    <row r="3269" spans="13:24">
      <c r="M3269">
        <v>3267</v>
      </c>
      <c r="N3269">
        <v>29577</v>
      </c>
      <c r="O3269" t="s">
        <v>2133</v>
      </c>
      <c r="P3269" t="s">
        <v>145</v>
      </c>
      <c r="Q3269">
        <v>757</v>
      </c>
      <c r="R3269" s="296">
        <v>0</v>
      </c>
      <c r="S3269" s="296">
        <v>0.99280000000000002</v>
      </c>
      <c r="T3269" s="297">
        <v>17982</v>
      </c>
      <c r="U3269" s="340">
        <v>85378</v>
      </c>
      <c r="V3269" s="340">
        <v>400889</v>
      </c>
      <c r="W3269" s="297">
        <v>39376</v>
      </c>
      <c r="X3269" s="296">
        <v>3.5000000000000003E-2</v>
      </c>
    </row>
    <row r="3270" spans="13:24">
      <c r="M3270">
        <v>3268</v>
      </c>
      <c r="N3270">
        <v>54514</v>
      </c>
      <c r="O3270" t="s">
        <v>2314</v>
      </c>
      <c r="P3270" t="s">
        <v>149</v>
      </c>
      <c r="Q3270">
        <v>302</v>
      </c>
      <c r="R3270" s="296">
        <v>0</v>
      </c>
      <c r="S3270" s="296">
        <v>0.99280000000000002</v>
      </c>
      <c r="T3270">
        <v>793</v>
      </c>
      <c r="U3270" s="340">
        <v>85354</v>
      </c>
      <c r="V3270" s="340">
        <v>256138</v>
      </c>
      <c r="W3270" s="297">
        <v>1650</v>
      </c>
      <c r="X3270" s="296">
        <v>-8.9999999999999993E-3</v>
      </c>
    </row>
    <row r="3271" spans="13:24">
      <c r="M3271">
        <v>3269</v>
      </c>
      <c r="N3271">
        <v>54153</v>
      </c>
      <c r="O3271" t="s">
        <v>2315</v>
      </c>
      <c r="P3271" t="s">
        <v>149</v>
      </c>
      <c r="Q3271">
        <v>190</v>
      </c>
      <c r="R3271" s="296">
        <v>0</v>
      </c>
      <c r="S3271" s="296">
        <v>0.99280000000000002</v>
      </c>
      <c r="T3271" s="297">
        <v>3174</v>
      </c>
      <c r="U3271" s="340">
        <v>85343</v>
      </c>
      <c r="V3271" s="340">
        <v>259084</v>
      </c>
      <c r="W3271" s="297">
        <v>7372</v>
      </c>
      <c r="X3271" s="296">
        <v>1E-3</v>
      </c>
    </row>
    <row r="3272" spans="13:24">
      <c r="M3272">
        <v>3270</v>
      </c>
      <c r="N3272">
        <v>76134</v>
      </c>
      <c r="O3272" t="s">
        <v>688</v>
      </c>
      <c r="P3272" t="s">
        <v>134</v>
      </c>
      <c r="Q3272">
        <v>839</v>
      </c>
      <c r="R3272" s="296">
        <v>0</v>
      </c>
      <c r="S3272" s="296">
        <v>0.99280000000000002</v>
      </c>
      <c r="T3272" s="297">
        <v>8780</v>
      </c>
      <c r="U3272" s="340">
        <v>85242</v>
      </c>
      <c r="V3272" s="340">
        <v>315164</v>
      </c>
      <c r="W3272" s="297">
        <v>26468</v>
      </c>
      <c r="X3272" s="296">
        <v>-4.0000000000000001E-3</v>
      </c>
    </row>
    <row r="3273" spans="13:24">
      <c r="M3273">
        <v>3271</v>
      </c>
      <c r="N3273">
        <v>54724</v>
      </c>
      <c r="O3273" t="s">
        <v>2316</v>
      </c>
      <c r="P3273" t="s">
        <v>149</v>
      </c>
      <c r="Q3273">
        <v>276</v>
      </c>
      <c r="R3273" s="296">
        <v>0</v>
      </c>
      <c r="S3273" s="296">
        <v>0.99280000000000002</v>
      </c>
      <c r="T3273" s="297">
        <v>3181</v>
      </c>
      <c r="U3273" s="340">
        <v>85236</v>
      </c>
      <c r="V3273" s="340">
        <v>317624</v>
      </c>
      <c r="W3273" s="297">
        <v>7692</v>
      </c>
      <c r="X3273" s="296">
        <v>5.0000000000000001E-3</v>
      </c>
    </row>
    <row r="3274" spans="13:24">
      <c r="M3274">
        <v>3272</v>
      </c>
      <c r="N3274">
        <v>49744</v>
      </c>
      <c r="O3274" t="s">
        <v>2317</v>
      </c>
      <c r="P3274" t="s">
        <v>140</v>
      </c>
      <c r="Q3274">
        <v>285</v>
      </c>
      <c r="R3274" s="296">
        <v>0</v>
      </c>
      <c r="S3274" s="296">
        <v>0.9929</v>
      </c>
      <c r="T3274">
        <v>391</v>
      </c>
      <c r="U3274" s="340">
        <v>85216</v>
      </c>
      <c r="V3274" s="340">
        <v>210109</v>
      </c>
      <c r="W3274">
        <v>934</v>
      </c>
      <c r="X3274" s="296">
        <v>1E-3</v>
      </c>
    </row>
    <row r="3275" spans="13:24">
      <c r="M3275">
        <v>3273</v>
      </c>
      <c r="N3275">
        <v>65616</v>
      </c>
      <c r="O3275" t="s">
        <v>2318</v>
      </c>
      <c r="P3275" t="s">
        <v>186</v>
      </c>
      <c r="Q3275">
        <v>477</v>
      </c>
      <c r="R3275" s="296">
        <v>0</v>
      </c>
      <c r="S3275" s="296">
        <v>0.9929</v>
      </c>
      <c r="T3275" s="297">
        <v>12052</v>
      </c>
      <c r="U3275" s="340">
        <v>85215</v>
      </c>
      <c r="V3275" s="340">
        <v>319039</v>
      </c>
      <c r="W3275" s="297">
        <v>28391</v>
      </c>
      <c r="X3275" s="296">
        <v>8.0000000000000002E-3</v>
      </c>
    </row>
    <row r="3276" spans="13:24">
      <c r="M3276">
        <v>3274</v>
      </c>
      <c r="N3276">
        <v>35205</v>
      </c>
      <c r="O3276" t="s">
        <v>538</v>
      </c>
      <c r="P3276" t="s">
        <v>154</v>
      </c>
      <c r="Q3276">
        <v>600</v>
      </c>
      <c r="R3276" s="296">
        <v>0</v>
      </c>
      <c r="S3276" s="296">
        <v>0.9929</v>
      </c>
      <c r="T3276" s="297">
        <v>9605</v>
      </c>
      <c r="U3276" s="340">
        <v>85190</v>
      </c>
      <c r="V3276" s="340">
        <v>445920</v>
      </c>
      <c r="W3276" s="297">
        <v>18949</v>
      </c>
      <c r="X3276" s="296">
        <v>3.0000000000000001E-3</v>
      </c>
    </row>
    <row r="3277" spans="13:24">
      <c r="M3277">
        <v>3275</v>
      </c>
      <c r="N3277">
        <v>46001</v>
      </c>
      <c r="O3277" t="s">
        <v>521</v>
      </c>
      <c r="P3277" t="s">
        <v>144</v>
      </c>
      <c r="Q3277">
        <v>171</v>
      </c>
      <c r="R3277" s="296">
        <v>0</v>
      </c>
      <c r="S3277" s="296">
        <v>0.9929</v>
      </c>
      <c r="T3277" s="297">
        <v>4427</v>
      </c>
      <c r="U3277" s="340">
        <v>85187</v>
      </c>
      <c r="V3277" s="340">
        <v>196619</v>
      </c>
      <c r="W3277" s="297">
        <v>10697</v>
      </c>
      <c r="X3277" s="296">
        <v>-3.0000000000000001E-3</v>
      </c>
    </row>
    <row r="3278" spans="13:24">
      <c r="M3278">
        <v>3276</v>
      </c>
      <c r="N3278">
        <v>77530</v>
      </c>
      <c r="O3278" t="s">
        <v>2319</v>
      </c>
      <c r="P3278" t="s">
        <v>134</v>
      </c>
      <c r="Q3278">
        <v>946</v>
      </c>
      <c r="R3278" s="296">
        <v>0</v>
      </c>
      <c r="S3278" s="296">
        <v>0.9929</v>
      </c>
      <c r="T3278" s="297">
        <v>10074</v>
      </c>
      <c r="U3278" s="340">
        <v>85080</v>
      </c>
      <c r="V3278" s="340">
        <v>304713</v>
      </c>
      <c r="W3278" s="297">
        <v>33743</v>
      </c>
      <c r="X3278" s="296">
        <v>-2E-3</v>
      </c>
    </row>
    <row r="3279" spans="13:24">
      <c r="M3279">
        <v>3277</v>
      </c>
      <c r="N3279">
        <v>12095</v>
      </c>
      <c r="O3279" t="s">
        <v>2228</v>
      </c>
      <c r="P3279" t="s">
        <v>128</v>
      </c>
      <c r="Q3279">
        <v>684</v>
      </c>
      <c r="R3279" s="296">
        <v>0</v>
      </c>
      <c r="S3279" s="296">
        <v>0.9929</v>
      </c>
      <c r="T3279" s="297">
        <v>4921</v>
      </c>
      <c r="U3279" s="340">
        <v>85080</v>
      </c>
      <c r="V3279" s="340">
        <v>223804</v>
      </c>
      <c r="W3279" s="297">
        <v>11574</v>
      </c>
      <c r="X3279" s="296">
        <v>-1.2E-2</v>
      </c>
    </row>
    <row r="3280" spans="13:24">
      <c r="M3280">
        <v>3278</v>
      </c>
      <c r="N3280">
        <v>48423</v>
      </c>
      <c r="O3280" t="s">
        <v>2320</v>
      </c>
      <c r="P3280" t="s">
        <v>140</v>
      </c>
      <c r="Q3280">
        <v>226</v>
      </c>
      <c r="R3280" s="296">
        <v>0</v>
      </c>
      <c r="S3280" s="296">
        <v>0.9929</v>
      </c>
      <c r="T3280" s="297">
        <v>14559</v>
      </c>
      <c r="U3280" s="340">
        <v>85016</v>
      </c>
      <c r="V3280" s="340">
        <v>242398</v>
      </c>
      <c r="W3280" s="297">
        <v>33367</v>
      </c>
      <c r="X3280" s="296">
        <v>-4.0000000000000001E-3</v>
      </c>
    </row>
    <row r="3281" spans="13:24">
      <c r="M3281">
        <v>3279</v>
      </c>
      <c r="N3281">
        <v>43464</v>
      </c>
      <c r="O3281" t="s">
        <v>2321</v>
      </c>
      <c r="P3281" t="s">
        <v>136</v>
      </c>
      <c r="Q3281">
        <v>257</v>
      </c>
      <c r="R3281" s="296">
        <v>0</v>
      </c>
      <c r="S3281" s="296">
        <v>0.9929</v>
      </c>
      <c r="T3281">
        <v>588</v>
      </c>
      <c r="U3281" s="340">
        <v>84990</v>
      </c>
      <c r="V3281" s="340">
        <v>211169</v>
      </c>
      <c r="W3281" s="297">
        <v>1404</v>
      </c>
      <c r="X3281" s="296">
        <v>3.0000000000000001E-3</v>
      </c>
    </row>
    <row r="3282" spans="13:24">
      <c r="M3282">
        <v>3280</v>
      </c>
      <c r="N3282">
        <v>49969</v>
      </c>
      <c r="O3282" t="s">
        <v>2322</v>
      </c>
      <c r="P3282" t="s">
        <v>140</v>
      </c>
      <c r="Q3282">
        <v>292</v>
      </c>
      <c r="R3282" s="296">
        <v>0</v>
      </c>
      <c r="S3282" s="296">
        <v>0.99299999999999999</v>
      </c>
      <c r="T3282">
        <v>691</v>
      </c>
      <c r="U3282" s="340">
        <v>84948</v>
      </c>
      <c r="V3282" s="340">
        <v>385932</v>
      </c>
      <c r="W3282" s="297">
        <v>1487</v>
      </c>
      <c r="X3282" s="296">
        <v>5.0000000000000001E-3</v>
      </c>
    </row>
    <row r="3283" spans="13:24">
      <c r="M3283">
        <v>3281</v>
      </c>
      <c r="N3283">
        <v>47130</v>
      </c>
      <c r="O3283" t="s">
        <v>2323</v>
      </c>
      <c r="P3283" t="s">
        <v>144</v>
      </c>
      <c r="Q3283">
        <v>287</v>
      </c>
      <c r="R3283" s="296">
        <v>0</v>
      </c>
      <c r="S3283" s="296">
        <v>0.99299999999999999</v>
      </c>
      <c r="T3283" s="297">
        <v>21848</v>
      </c>
      <c r="U3283" s="340">
        <v>84921</v>
      </c>
      <c r="V3283" s="340">
        <v>278644</v>
      </c>
      <c r="W3283" s="297">
        <v>50912</v>
      </c>
      <c r="X3283" s="296">
        <v>1.2E-2</v>
      </c>
    </row>
    <row r="3284" spans="13:24">
      <c r="M3284">
        <v>3282</v>
      </c>
      <c r="N3284">
        <v>44708</v>
      </c>
      <c r="O3284" t="s">
        <v>383</v>
      </c>
      <c r="P3284" t="s">
        <v>136</v>
      </c>
      <c r="Q3284">
        <v>341</v>
      </c>
      <c r="R3284" s="296">
        <v>0</v>
      </c>
      <c r="S3284" s="296">
        <v>0.99299999999999999</v>
      </c>
      <c r="T3284" s="297">
        <v>11230</v>
      </c>
      <c r="U3284" s="340">
        <v>84887</v>
      </c>
      <c r="V3284" s="340">
        <v>216708</v>
      </c>
      <c r="W3284" s="297">
        <v>25282</v>
      </c>
      <c r="X3284" s="296">
        <v>-2E-3</v>
      </c>
    </row>
    <row r="3285" spans="13:24">
      <c r="M3285">
        <v>3283</v>
      </c>
      <c r="N3285">
        <v>78240</v>
      </c>
      <c r="O3285" t="s">
        <v>326</v>
      </c>
      <c r="P3285" t="s">
        <v>134</v>
      </c>
      <c r="Q3285">
        <v>1060</v>
      </c>
      <c r="R3285" s="296">
        <v>0</v>
      </c>
      <c r="S3285" s="296">
        <v>0.99299999999999999</v>
      </c>
      <c r="T3285" s="297">
        <v>25202</v>
      </c>
      <c r="U3285" s="340">
        <v>84885</v>
      </c>
      <c r="V3285" s="340">
        <v>312839</v>
      </c>
      <c r="W3285" s="297">
        <v>55624</v>
      </c>
      <c r="X3285" s="296">
        <v>-1E-3</v>
      </c>
    </row>
    <row r="3286" spans="13:24">
      <c r="M3286">
        <v>3284</v>
      </c>
      <c r="N3286">
        <v>84104</v>
      </c>
      <c r="O3286" t="s">
        <v>333</v>
      </c>
      <c r="P3286" t="s">
        <v>219</v>
      </c>
      <c r="Q3286">
        <v>1252</v>
      </c>
      <c r="R3286" s="296">
        <v>0</v>
      </c>
      <c r="S3286" s="296">
        <v>0.99299999999999999</v>
      </c>
      <c r="T3286" s="297">
        <v>7168</v>
      </c>
      <c r="U3286" s="340">
        <v>84832</v>
      </c>
      <c r="V3286" s="340">
        <v>457935</v>
      </c>
      <c r="W3286" s="297">
        <v>23081</v>
      </c>
      <c r="X3286" s="296">
        <v>-3.0000000000000001E-3</v>
      </c>
    </row>
    <row r="3287" spans="13:24">
      <c r="M3287">
        <v>3285</v>
      </c>
      <c r="N3287">
        <v>92345</v>
      </c>
      <c r="O3287" t="s">
        <v>2324</v>
      </c>
      <c r="P3287" t="s">
        <v>132</v>
      </c>
      <c r="Q3287">
        <v>1677</v>
      </c>
      <c r="R3287" s="296">
        <v>0</v>
      </c>
      <c r="S3287" s="296">
        <v>0.99299999999999999</v>
      </c>
      <c r="T3287" s="297">
        <v>26074</v>
      </c>
      <c r="U3287" s="340">
        <v>84740</v>
      </c>
      <c r="V3287" s="340">
        <v>465037</v>
      </c>
      <c r="W3287" s="297">
        <v>86769</v>
      </c>
      <c r="X3287" s="296">
        <v>2E-3</v>
      </c>
    </row>
    <row r="3288" spans="13:24">
      <c r="M3288">
        <v>3286</v>
      </c>
      <c r="N3288">
        <v>59101</v>
      </c>
      <c r="O3288" t="s">
        <v>2325</v>
      </c>
      <c r="P3288" t="s">
        <v>190</v>
      </c>
      <c r="Q3288">
        <v>1057</v>
      </c>
      <c r="R3288" s="296">
        <v>0</v>
      </c>
      <c r="S3288" s="296">
        <v>0.99299999999999999</v>
      </c>
      <c r="T3288" s="297">
        <v>18200</v>
      </c>
      <c r="U3288" s="340">
        <v>84676</v>
      </c>
      <c r="V3288" s="340">
        <v>396570</v>
      </c>
      <c r="W3288" s="297">
        <v>43106</v>
      </c>
      <c r="X3288" s="296">
        <v>8.9999999999999993E-3</v>
      </c>
    </row>
    <row r="3289" spans="13:24">
      <c r="M3289">
        <v>3287</v>
      </c>
      <c r="N3289">
        <v>68801</v>
      </c>
      <c r="O3289" t="s">
        <v>1358</v>
      </c>
      <c r="P3289" t="s">
        <v>195</v>
      </c>
      <c r="Q3289">
        <v>552</v>
      </c>
      <c r="R3289" s="296">
        <v>0</v>
      </c>
      <c r="S3289" s="296">
        <v>0.99299999999999999</v>
      </c>
      <c r="T3289" s="297">
        <v>11015</v>
      </c>
      <c r="U3289" s="340">
        <v>84618</v>
      </c>
      <c r="V3289" s="340">
        <v>236562</v>
      </c>
      <c r="W3289" s="297">
        <v>30276</v>
      </c>
      <c r="X3289" s="296">
        <v>-2E-3</v>
      </c>
    </row>
    <row r="3290" spans="13:24">
      <c r="M3290">
        <v>3288</v>
      </c>
      <c r="N3290">
        <v>97503</v>
      </c>
      <c r="O3290" t="s">
        <v>2326</v>
      </c>
      <c r="P3290" t="s">
        <v>207</v>
      </c>
      <c r="Q3290">
        <v>1778</v>
      </c>
      <c r="R3290" s="296">
        <v>0</v>
      </c>
      <c r="S3290" s="296">
        <v>0.99309999999999998</v>
      </c>
      <c r="T3290" s="297">
        <v>4198</v>
      </c>
      <c r="U3290" s="340">
        <v>84598</v>
      </c>
      <c r="V3290" s="340">
        <v>400315</v>
      </c>
      <c r="W3290" s="297">
        <v>12685</v>
      </c>
      <c r="X3290" s="296">
        <v>1.0999999999999999E-2</v>
      </c>
    </row>
    <row r="3291" spans="13:24">
      <c r="M3291">
        <v>3289</v>
      </c>
      <c r="N3291">
        <v>76302</v>
      </c>
      <c r="O3291" t="s">
        <v>2327</v>
      </c>
      <c r="P3291" t="s">
        <v>134</v>
      </c>
      <c r="Q3291">
        <v>816</v>
      </c>
      <c r="R3291" s="296">
        <v>0</v>
      </c>
      <c r="S3291" s="296">
        <v>0.99309999999999998</v>
      </c>
      <c r="T3291" s="297">
        <v>4249</v>
      </c>
      <c r="U3291" s="340">
        <v>84556</v>
      </c>
      <c r="V3291" s="340">
        <v>206731</v>
      </c>
      <c r="W3291" s="297">
        <v>10694</v>
      </c>
      <c r="X3291" s="296">
        <v>1E-3</v>
      </c>
    </row>
    <row r="3292" spans="13:24">
      <c r="M3292">
        <v>3290</v>
      </c>
      <c r="N3292">
        <v>37882</v>
      </c>
      <c r="O3292" t="s">
        <v>651</v>
      </c>
      <c r="P3292" t="s">
        <v>146</v>
      </c>
      <c r="Q3292">
        <v>499</v>
      </c>
      <c r="R3292" s="296">
        <v>0</v>
      </c>
      <c r="S3292" s="296">
        <v>0.99309999999999998</v>
      </c>
      <c r="T3292" s="297">
        <v>1600</v>
      </c>
      <c r="U3292" s="340">
        <v>84554</v>
      </c>
      <c r="V3292" s="340">
        <v>475991</v>
      </c>
      <c r="W3292" s="297">
        <v>3253</v>
      </c>
      <c r="X3292" s="296">
        <v>0.01</v>
      </c>
    </row>
    <row r="3293" spans="13:24">
      <c r="M3293">
        <v>3291</v>
      </c>
      <c r="N3293">
        <v>85345</v>
      </c>
      <c r="O3293" t="s">
        <v>1052</v>
      </c>
      <c r="P3293" t="s">
        <v>158</v>
      </c>
      <c r="Q3293">
        <v>1452</v>
      </c>
      <c r="R3293" s="296">
        <v>0</v>
      </c>
      <c r="S3293" s="296">
        <v>0.99309999999999998</v>
      </c>
      <c r="T3293" s="297">
        <v>23856</v>
      </c>
      <c r="U3293" s="340">
        <v>84535</v>
      </c>
      <c r="V3293" s="340">
        <v>385542</v>
      </c>
      <c r="W3293" s="297">
        <v>64953</v>
      </c>
      <c r="X3293" s="296">
        <v>7.0000000000000001E-3</v>
      </c>
    </row>
    <row r="3294" spans="13:24">
      <c r="M3294">
        <v>3292</v>
      </c>
      <c r="N3294">
        <v>56633</v>
      </c>
      <c r="O3294" t="s">
        <v>2328</v>
      </c>
      <c r="P3294" t="s">
        <v>151</v>
      </c>
      <c r="Q3294">
        <v>491</v>
      </c>
      <c r="R3294" s="296">
        <v>0</v>
      </c>
      <c r="S3294" s="296">
        <v>0.99309999999999998</v>
      </c>
      <c r="T3294" s="297">
        <v>1577</v>
      </c>
      <c r="U3294" s="340">
        <v>84534</v>
      </c>
      <c r="V3294" s="340">
        <v>318470</v>
      </c>
      <c r="W3294" s="297">
        <v>4833</v>
      </c>
      <c r="X3294" s="296">
        <v>8.0000000000000002E-3</v>
      </c>
    </row>
    <row r="3295" spans="13:24">
      <c r="M3295">
        <v>3293</v>
      </c>
      <c r="N3295">
        <v>33016</v>
      </c>
      <c r="O3295" t="s">
        <v>512</v>
      </c>
      <c r="P3295" t="s">
        <v>127</v>
      </c>
      <c r="Q3295">
        <v>1200</v>
      </c>
      <c r="R3295" s="296">
        <v>0</v>
      </c>
      <c r="S3295" s="296">
        <v>0.99309999999999998</v>
      </c>
      <c r="T3295" s="297">
        <v>15350</v>
      </c>
      <c r="U3295" s="340">
        <v>84492</v>
      </c>
      <c r="V3295" s="340">
        <v>535907</v>
      </c>
      <c r="W3295" s="297">
        <v>44660</v>
      </c>
      <c r="X3295" s="296">
        <v>-5.0000000000000001E-3</v>
      </c>
    </row>
    <row r="3296" spans="13:24">
      <c r="M3296">
        <v>3294</v>
      </c>
      <c r="N3296">
        <v>13148</v>
      </c>
      <c r="O3296" t="s">
        <v>2329</v>
      </c>
      <c r="P3296" t="s">
        <v>128</v>
      </c>
      <c r="Q3296">
        <v>563</v>
      </c>
      <c r="R3296" s="296">
        <v>0</v>
      </c>
      <c r="S3296" s="296">
        <v>0.99309999999999998</v>
      </c>
      <c r="T3296" s="297">
        <v>4567</v>
      </c>
      <c r="U3296" s="340">
        <v>84409</v>
      </c>
      <c r="V3296" s="340">
        <v>204482</v>
      </c>
      <c r="W3296" s="297">
        <v>10121</v>
      </c>
      <c r="X3296" s="296">
        <v>-8.0000000000000002E-3</v>
      </c>
    </row>
    <row r="3297" spans="13:24">
      <c r="M3297">
        <v>3295</v>
      </c>
      <c r="N3297">
        <v>45414</v>
      </c>
      <c r="O3297" t="s">
        <v>767</v>
      </c>
      <c r="P3297" t="s">
        <v>136</v>
      </c>
      <c r="Q3297">
        <v>246</v>
      </c>
      <c r="R3297" s="296">
        <v>0</v>
      </c>
      <c r="S3297" s="296">
        <v>0.99309999999999998</v>
      </c>
      <c r="T3297" s="297">
        <v>8998</v>
      </c>
      <c r="U3297" s="340">
        <v>84390</v>
      </c>
      <c r="V3297" s="340">
        <v>230613</v>
      </c>
      <c r="W3297" s="297">
        <v>20615</v>
      </c>
      <c r="X3297" s="296">
        <v>-4.0000000000000001E-3</v>
      </c>
    </row>
    <row r="3298" spans="13:24">
      <c r="M3298">
        <v>3296</v>
      </c>
      <c r="N3298">
        <v>11354</v>
      </c>
      <c r="O3298" t="s">
        <v>705</v>
      </c>
      <c r="P3298" t="s">
        <v>128</v>
      </c>
      <c r="Q3298">
        <v>729</v>
      </c>
      <c r="R3298" s="296">
        <v>0</v>
      </c>
      <c r="S3298" s="296">
        <v>0.99319999999999997</v>
      </c>
      <c r="T3298" s="297">
        <v>24596</v>
      </c>
      <c r="U3298" s="340">
        <v>84373</v>
      </c>
      <c r="V3298" s="340">
        <v>743239</v>
      </c>
      <c r="W3298" s="297">
        <v>65232</v>
      </c>
      <c r="X3298" s="296">
        <v>-1E-3</v>
      </c>
    </row>
    <row r="3299" spans="13:24">
      <c r="M3299">
        <v>3297</v>
      </c>
      <c r="N3299">
        <v>18447</v>
      </c>
      <c r="O3299" t="s">
        <v>2330</v>
      </c>
      <c r="P3299" t="s">
        <v>133</v>
      </c>
      <c r="Q3299">
        <v>629</v>
      </c>
      <c r="R3299" s="296">
        <v>0</v>
      </c>
      <c r="S3299" s="296">
        <v>0.99319999999999997</v>
      </c>
      <c r="T3299" s="297">
        <v>4820</v>
      </c>
      <c r="U3299" s="340">
        <v>84364</v>
      </c>
      <c r="V3299" s="340">
        <v>254556</v>
      </c>
      <c r="W3299" s="297">
        <v>10769</v>
      </c>
      <c r="X3299" s="296">
        <v>-1E-3</v>
      </c>
    </row>
    <row r="3300" spans="13:24">
      <c r="M3300">
        <v>3298</v>
      </c>
      <c r="N3300">
        <v>48161</v>
      </c>
      <c r="O3300" t="s">
        <v>610</v>
      </c>
      <c r="P3300" t="s">
        <v>140</v>
      </c>
      <c r="Q3300">
        <v>222</v>
      </c>
      <c r="R3300" s="296">
        <v>0</v>
      </c>
      <c r="S3300" s="296">
        <v>0.99319999999999997</v>
      </c>
      <c r="T3300" s="297">
        <v>10849</v>
      </c>
      <c r="U3300" s="340">
        <v>84329</v>
      </c>
      <c r="V3300" s="340">
        <v>239012</v>
      </c>
      <c r="W3300" s="297">
        <v>27077</v>
      </c>
      <c r="X3300" s="296">
        <v>5.0000000000000001E-3</v>
      </c>
    </row>
    <row r="3301" spans="13:24">
      <c r="M3301">
        <v>3299</v>
      </c>
      <c r="N3301">
        <v>31548</v>
      </c>
      <c r="O3301" t="s">
        <v>2331</v>
      </c>
      <c r="P3301" t="s">
        <v>130</v>
      </c>
      <c r="Q3301">
        <v>852</v>
      </c>
      <c r="R3301" s="296">
        <v>0</v>
      </c>
      <c r="S3301" s="296">
        <v>0.99319999999999997</v>
      </c>
      <c r="T3301" s="297">
        <v>9434</v>
      </c>
      <c r="U3301" s="340">
        <v>84323</v>
      </c>
      <c r="V3301" s="340">
        <v>264099</v>
      </c>
      <c r="W3301" s="297">
        <v>24999</v>
      </c>
      <c r="X3301" s="296">
        <v>2.5000000000000001E-2</v>
      </c>
    </row>
    <row r="3302" spans="13:24">
      <c r="M3302">
        <v>3300</v>
      </c>
      <c r="N3302">
        <v>95380</v>
      </c>
      <c r="O3302" t="s">
        <v>2332</v>
      </c>
      <c r="P3302" t="s">
        <v>132</v>
      </c>
      <c r="Q3302">
        <v>1773</v>
      </c>
      <c r="R3302" s="296">
        <v>0</v>
      </c>
      <c r="S3302" s="296">
        <v>0.99319999999999997</v>
      </c>
      <c r="T3302" s="297">
        <v>13826</v>
      </c>
      <c r="U3302" s="340">
        <v>84302</v>
      </c>
      <c r="V3302" s="340">
        <v>499428</v>
      </c>
      <c r="W3302" s="297">
        <v>42151</v>
      </c>
      <c r="X3302" s="296">
        <v>-1E-3</v>
      </c>
    </row>
    <row r="3303" spans="13:24">
      <c r="M3303">
        <v>3301</v>
      </c>
      <c r="N3303">
        <v>52353</v>
      </c>
      <c r="O3303" t="s">
        <v>225</v>
      </c>
      <c r="P3303" t="s">
        <v>170</v>
      </c>
      <c r="Q3303">
        <v>211</v>
      </c>
      <c r="R3303" s="296">
        <v>0</v>
      </c>
      <c r="S3303" s="296">
        <v>0.99319999999999997</v>
      </c>
      <c r="T3303" s="297">
        <v>3831</v>
      </c>
      <c r="U3303" s="340">
        <v>84257</v>
      </c>
      <c r="V3303" s="340">
        <v>224890</v>
      </c>
      <c r="W3303" s="297">
        <v>9448</v>
      </c>
      <c r="X3303" s="296">
        <v>2E-3</v>
      </c>
    </row>
    <row r="3304" spans="13:24">
      <c r="M3304">
        <v>3302</v>
      </c>
      <c r="N3304">
        <v>65656</v>
      </c>
      <c r="O3304" t="s">
        <v>2333</v>
      </c>
      <c r="P3304" t="s">
        <v>186</v>
      </c>
      <c r="Q3304">
        <v>477</v>
      </c>
      <c r="R3304" s="296">
        <v>0</v>
      </c>
      <c r="S3304" s="296">
        <v>0.99319999999999997</v>
      </c>
      <c r="T3304" s="297">
        <v>1979</v>
      </c>
      <c r="U3304" s="340">
        <v>84235</v>
      </c>
      <c r="V3304" s="340">
        <v>315896</v>
      </c>
      <c r="W3304" s="297">
        <v>4926</v>
      </c>
      <c r="X3304" s="296">
        <v>8.0000000000000002E-3</v>
      </c>
    </row>
    <row r="3305" spans="13:24">
      <c r="M3305">
        <v>3303</v>
      </c>
      <c r="N3305">
        <v>54933</v>
      </c>
      <c r="O3305" t="s">
        <v>2334</v>
      </c>
      <c r="P3305" t="s">
        <v>149</v>
      </c>
      <c r="Q3305">
        <v>180</v>
      </c>
      <c r="R3305" s="296">
        <v>0</v>
      </c>
      <c r="S3305" s="296">
        <v>0.99319999999999997</v>
      </c>
      <c r="T3305">
        <v>5</v>
      </c>
      <c r="U3305" s="340">
        <v>84219</v>
      </c>
      <c r="V3305" s="340">
        <v>230000</v>
      </c>
      <c r="W3305">
        <v>19</v>
      </c>
      <c r="X3305" s="296">
        <v>0</v>
      </c>
    </row>
    <row r="3306" spans="13:24">
      <c r="M3306">
        <v>3304</v>
      </c>
      <c r="N3306">
        <v>63020</v>
      </c>
      <c r="O3306" t="s">
        <v>805</v>
      </c>
      <c r="P3306" t="s">
        <v>186</v>
      </c>
      <c r="Q3306">
        <v>314</v>
      </c>
      <c r="R3306" s="296">
        <v>0</v>
      </c>
      <c r="S3306" s="296">
        <v>0.99329999999999996</v>
      </c>
      <c r="T3306" s="297">
        <v>8184</v>
      </c>
      <c r="U3306" s="340">
        <v>84140</v>
      </c>
      <c r="V3306" s="340">
        <v>257245</v>
      </c>
      <c r="W3306" s="297">
        <v>20685</v>
      </c>
      <c r="X3306" s="296">
        <v>3.0000000000000001E-3</v>
      </c>
    </row>
    <row r="3307" spans="13:24">
      <c r="M3307">
        <v>3305</v>
      </c>
      <c r="N3307">
        <v>8360</v>
      </c>
      <c r="O3307" t="s">
        <v>2335</v>
      </c>
      <c r="P3307" t="s">
        <v>129</v>
      </c>
      <c r="Q3307">
        <v>692</v>
      </c>
      <c r="R3307" s="296">
        <v>0</v>
      </c>
      <c r="S3307" s="296">
        <v>0.99329999999999996</v>
      </c>
      <c r="T3307" s="297">
        <v>15303</v>
      </c>
      <c r="U3307" s="340">
        <v>84080</v>
      </c>
      <c r="V3307" s="340">
        <v>227817</v>
      </c>
      <c r="W3307" s="297">
        <v>41592</v>
      </c>
      <c r="X3307" s="296">
        <v>-5.0000000000000001E-3</v>
      </c>
    </row>
    <row r="3308" spans="13:24">
      <c r="M3308">
        <v>3306</v>
      </c>
      <c r="N3308">
        <v>48174</v>
      </c>
      <c r="O3308" t="s">
        <v>2336</v>
      </c>
      <c r="P3308" t="s">
        <v>140</v>
      </c>
      <c r="Q3308">
        <v>227</v>
      </c>
      <c r="R3308" s="296">
        <v>0</v>
      </c>
      <c r="S3308" s="296">
        <v>0.99329999999999996</v>
      </c>
      <c r="T3308" s="297">
        <v>13068</v>
      </c>
      <c r="U3308" s="340">
        <v>84066</v>
      </c>
      <c r="V3308" s="340">
        <v>208252</v>
      </c>
      <c r="W3308" s="297">
        <v>33595</v>
      </c>
      <c r="X3308" s="296">
        <v>-2E-3</v>
      </c>
    </row>
    <row r="3309" spans="13:24">
      <c r="M3309">
        <v>3307</v>
      </c>
      <c r="N3309">
        <v>90744</v>
      </c>
      <c r="O3309" t="s">
        <v>311</v>
      </c>
      <c r="P3309" t="s">
        <v>132</v>
      </c>
      <c r="Q3309">
        <v>1747</v>
      </c>
      <c r="R3309" s="296">
        <v>0</v>
      </c>
      <c r="S3309" s="296">
        <v>0.99329999999999996</v>
      </c>
      <c r="T3309" s="297">
        <v>14685</v>
      </c>
      <c r="U3309" s="340">
        <v>84042</v>
      </c>
      <c r="V3309" s="340">
        <v>726432</v>
      </c>
      <c r="W3309" s="297">
        <v>50954</v>
      </c>
      <c r="X3309" s="296">
        <v>-8.0000000000000002E-3</v>
      </c>
    </row>
    <row r="3310" spans="13:24">
      <c r="M3310">
        <v>3308</v>
      </c>
      <c r="N3310">
        <v>66835</v>
      </c>
      <c r="O3310" t="s">
        <v>2337</v>
      </c>
      <c r="P3310" t="s">
        <v>176</v>
      </c>
      <c r="Q3310">
        <v>511</v>
      </c>
      <c r="R3310" s="296">
        <v>0</v>
      </c>
      <c r="S3310" s="296">
        <v>0.99329999999999996</v>
      </c>
      <c r="T3310">
        <v>466</v>
      </c>
      <c r="U3310" s="340">
        <v>84021</v>
      </c>
      <c r="V3310" s="340">
        <v>265793</v>
      </c>
      <c r="W3310" s="297">
        <v>1109</v>
      </c>
      <c r="X3310" s="296">
        <v>-8.9999999999999993E-3</v>
      </c>
    </row>
    <row r="3311" spans="13:24">
      <c r="M3311">
        <v>3309</v>
      </c>
      <c r="N3311">
        <v>49048</v>
      </c>
      <c r="O3311" t="s">
        <v>1156</v>
      </c>
      <c r="P3311" t="s">
        <v>140</v>
      </c>
      <c r="Q3311">
        <v>118</v>
      </c>
      <c r="R3311" s="296">
        <v>0</v>
      </c>
      <c r="S3311" s="296">
        <v>0.99329999999999996</v>
      </c>
      <c r="T3311" s="297">
        <v>10419</v>
      </c>
      <c r="U3311" s="340">
        <v>83984</v>
      </c>
      <c r="V3311" s="340">
        <v>253405</v>
      </c>
      <c r="W3311" s="297">
        <v>25185</v>
      </c>
      <c r="X3311" s="296">
        <v>-3.0000000000000001E-3</v>
      </c>
    </row>
    <row r="3312" spans="13:24">
      <c r="M3312">
        <v>3310</v>
      </c>
      <c r="N3312">
        <v>78119</v>
      </c>
      <c r="O3312" t="s">
        <v>2338</v>
      </c>
      <c r="P3312" t="s">
        <v>134</v>
      </c>
      <c r="Q3312">
        <v>1080</v>
      </c>
      <c r="R3312" s="296">
        <v>0</v>
      </c>
      <c r="S3312" s="296">
        <v>0.99329999999999996</v>
      </c>
      <c r="T3312" s="297">
        <v>2012</v>
      </c>
      <c r="U3312" s="340">
        <v>83949</v>
      </c>
      <c r="V3312" s="340">
        <v>259959</v>
      </c>
      <c r="W3312" s="297">
        <v>7153</v>
      </c>
      <c r="X3312" s="296">
        <v>2E-3</v>
      </c>
    </row>
    <row r="3313" spans="13:24">
      <c r="M3313">
        <v>3311</v>
      </c>
      <c r="N3313">
        <v>46048</v>
      </c>
      <c r="O3313" t="s">
        <v>2339</v>
      </c>
      <c r="P3313" t="s">
        <v>144</v>
      </c>
      <c r="Q3313">
        <v>183</v>
      </c>
      <c r="R3313" s="296">
        <v>0</v>
      </c>
      <c r="S3313" s="296">
        <v>0.99339999999999995</v>
      </c>
      <c r="T3313">
        <v>727</v>
      </c>
      <c r="U3313" s="340">
        <v>83939</v>
      </c>
      <c r="V3313" s="340">
        <v>243406</v>
      </c>
      <c r="W3313" s="297">
        <v>2003</v>
      </c>
      <c r="X3313" s="296">
        <v>4.0000000000000001E-3</v>
      </c>
    </row>
    <row r="3314" spans="13:24">
      <c r="M3314">
        <v>3312</v>
      </c>
      <c r="N3314">
        <v>50533</v>
      </c>
      <c r="O3314" t="s">
        <v>2340</v>
      </c>
      <c r="P3314" t="s">
        <v>170</v>
      </c>
      <c r="Q3314">
        <v>314</v>
      </c>
      <c r="R3314" s="296">
        <v>0</v>
      </c>
      <c r="S3314" s="296">
        <v>0.99339999999999995</v>
      </c>
      <c r="T3314" s="297">
        <v>1608</v>
      </c>
      <c r="U3314" s="340">
        <v>83939</v>
      </c>
      <c r="V3314" s="340">
        <v>129359</v>
      </c>
      <c r="W3314" s="297">
        <v>4010</v>
      </c>
      <c r="X3314" s="296">
        <v>-2E-3</v>
      </c>
    </row>
    <row r="3315" spans="13:24">
      <c r="M3315">
        <v>3313</v>
      </c>
      <c r="N3315">
        <v>46952</v>
      </c>
      <c r="O3315" t="s">
        <v>529</v>
      </c>
      <c r="P3315" t="s">
        <v>144</v>
      </c>
      <c r="Q3315">
        <v>155</v>
      </c>
      <c r="R3315" s="296">
        <v>0</v>
      </c>
      <c r="S3315" s="296">
        <v>0.99339999999999995</v>
      </c>
      <c r="T3315" s="297">
        <v>8497</v>
      </c>
      <c r="U3315" s="340">
        <v>83896</v>
      </c>
      <c r="V3315" s="340">
        <v>204499</v>
      </c>
      <c r="W3315" s="297">
        <v>18906</v>
      </c>
      <c r="X3315" s="296">
        <v>-4.0000000000000001E-3</v>
      </c>
    </row>
    <row r="3316" spans="13:24">
      <c r="M3316">
        <v>3314</v>
      </c>
      <c r="N3316">
        <v>64058</v>
      </c>
      <c r="O3316" t="s">
        <v>1581</v>
      </c>
      <c r="P3316" t="s">
        <v>186</v>
      </c>
      <c r="Q3316">
        <v>399</v>
      </c>
      <c r="R3316" s="296">
        <v>0</v>
      </c>
      <c r="S3316" s="296">
        <v>0.99339999999999995</v>
      </c>
      <c r="T3316" s="297">
        <v>2382</v>
      </c>
      <c r="U3316" s="340">
        <v>83831</v>
      </c>
      <c r="V3316" s="340">
        <v>264746</v>
      </c>
      <c r="W3316" s="297">
        <v>6778</v>
      </c>
      <c r="X3316" s="296">
        <v>-3.0000000000000001E-3</v>
      </c>
    </row>
    <row r="3317" spans="13:24">
      <c r="M3317">
        <v>3315</v>
      </c>
      <c r="N3317">
        <v>34785</v>
      </c>
      <c r="O3317" t="s">
        <v>494</v>
      </c>
      <c r="P3317" t="s">
        <v>127</v>
      </c>
      <c r="Q3317">
        <v>974</v>
      </c>
      <c r="R3317" s="296">
        <v>0</v>
      </c>
      <c r="S3317" s="296">
        <v>0.99339999999999995</v>
      </c>
      <c r="T3317" s="297">
        <v>7141</v>
      </c>
      <c r="U3317" s="340">
        <v>83818</v>
      </c>
      <c r="V3317" s="340">
        <v>350172</v>
      </c>
      <c r="W3317" s="297">
        <v>22285</v>
      </c>
      <c r="X3317" s="296">
        <v>4.1000000000000002E-2</v>
      </c>
    </row>
    <row r="3318" spans="13:24">
      <c r="M3318">
        <v>3316</v>
      </c>
      <c r="N3318">
        <v>77327</v>
      </c>
      <c r="O3318" t="s">
        <v>1251</v>
      </c>
      <c r="P3318" t="s">
        <v>134</v>
      </c>
      <c r="Q3318">
        <v>907</v>
      </c>
      <c r="R3318" s="296">
        <v>0</v>
      </c>
      <c r="S3318" s="296">
        <v>0.99339999999999995</v>
      </c>
      <c r="T3318" s="297">
        <v>12139</v>
      </c>
      <c r="U3318" s="340">
        <v>83800</v>
      </c>
      <c r="V3318" s="340">
        <v>217547</v>
      </c>
      <c r="W3318" s="297">
        <v>39779</v>
      </c>
      <c r="X3318" s="296">
        <v>4.5999999999999999E-2</v>
      </c>
    </row>
    <row r="3319" spans="13:24">
      <c r="M3319">
        <v>3317</v>
      </c>
      <c r="N3319">
        <v>93591</v>
      </c>
      <c r="O3319" t="s">
        <v>2341</v>
      </c>
      <c r="P3319" t="s">
        <v>132</v>
      </c>
      <c r="Q3319">
        <v>1698</v>
      </c>
      <c r="R3319" s="296">
        <v>0</v>
      </c>
      <c r="S3319" s="296">
        <v>0.99339999999999995</v>
      </c>
      <c r="T3319" s="297">
        <v>2104</v>
      </c>
      <c r="U3319" s="340">
        <v>83798</v>
      </c>
      <c r="V3319" s="340">
        <v>493257</v>
      </c>
      <c r="W3319" s="297">
        <v>7309</v>
      </c>
      <c r="X3319" s="296">
        <v>-6.0000000000000001E-3</v>
      </c>
    </row>
    <row r="3320" spans="13:24">
      <c r="M3320">
        <v>3318</v>
      </c>
      <c r="N3320">
        <v>61910</v>
      </c>
      <c r="O3320" t="s">
        <v>2342</v>
      </c>
      <c r="P3320" t="s">
        <v>131</v>
      </c>
      <c r="Q3320">
        <v>172</v>
      </c>
      <c r="R3320" s="296">
        <v>0</v>
      </c>
      <c r="S3320" s="296">
        <v>0.99339999999999995</v>
      </c>
      <c r="T3320" s="297">
        <v>1602</v>
      </c>
      <c r="U3320" s="340">
        <v>83795</v>
      </c>
      <c r="V3320" s="340">
        <v>191857</v>
      </c>
      <c r="W3320" s="297">
        <v>4518</v>
      </c>
      <c r="X3320" s="296">
        <v>-1E-3</v>
      </c>
    </row>
    <row r="3321" spans="13:24">
      <c r="M3321">
        <v>3319</v>
      </c>
      <c r="N3321">
        <v>85302</v>
      </c>
      <c r="O3321" t="s">
        <v>1477</v>
      </c>
      <c r="P3321" t="s">
        <v>158</v>
      </c>
      <c r="Q3321">
        <v>1450</v>
      </c>
      <c r="R3321" s="296">
        <v>0</v>
      </c>
      <c r="S3321" s="296">
        <v>0.99339999999999995</v>
      </c>
      <c r="T3321" s="297">
        <v>15596</v>
      </c>
      <c r="U3321" s="340">
        <v>83767</v>
      </c>
      <c r="V3321" s="340">
        <v>437628</v>
      </c>
      <c r="W3321" s="297">
        <v>41728</v>
      </c>
      <c r="X3321" s="296">
        <v>5.0000000000000001E-3</v>
      </c>
    </row>
    <row r="3322" spans="13:24">
      <c r="M3322">
        <v>3320</v>
      </c>
      <c r="N3322">
        <v>29526</v>
      </c>
      <c r="O3322" t="s">
        <v>638</v>
      </c>
      <c r="P3322" t="s">
        <v>145</v>
      </c>
      <c r="Q3322">
        <v>745</v>
      </c>
      <c r="R3322" s="296">
        <v>0</v>
      </c>
      <c r="S3322" s="296">
        <v>0.99350000000000005</v>
      </c>
      <c r="T3322" s="297">
        <v>22157</v>
      </c>
      <c r="U3322" s="340">
        <v>83728</v>
      </c>
      <c r="V3322" s="340">
        <v>343754</v>
      </c>
      <c r="W3322" s="297">
        <v>59868</v>
      </c>
      <c r="X3322" s="296">
        <v>3.1E-2</v>
      </c>
    </row>
    <row r="3323" spans="13:24">
      <c r="M3323">
        <v>3321</v>
      </c>
      <c r="N3323">
        <v>44815</v>
      </c>
      <c r="O3323" t="s">
        <v>2343</v>
      </c>
      <c r="P3323" t="s">
        <v>136</v>
      </c>
      <c r="Q3323">
        <v>243</v>
      </c>
      <c r="R3323" s="296">
        <v>0</v>
      </c>
      <c r="S3323" s="296">
        <v>0.99350000000000005</v>
      </c>
      <c r="T3323">
        <v>202</v>
      </c>
      <c r="U3323" s="340">
        <v>83697</v>
      </c>
      <c r="V3323" s="340">
        <v>113354</v>
      </c>
      <c r="W3323">
        <v>433</v>
      </c>
      <c r="X3323" s="296">
        <v>-6.0000000000000001E-3</v>
      </c>
    </row>
    <row r="3324" spans="13:24">
      <c r="M3324">
        <v>3322</v>
      </c>
      <c r="N3324">
        <v>55055</v>
      </c>
      <c r="O3324" t="s">
        <v>346</v>
      </c>
      <c r="P3324" t="s">
        <v>151</v>
      </c>
      <c r="Q3324">
        <v>322</v>
      </c>
      <c r="R3324" s="296">
        <v>0</v>
      </c>
      <c r="S3324" s="296">
        <v>0.99350000000000005</v>
      </c>
      <c r="T3324" s="297">
        <v>1607</v>
      </c>
      <c r="U3324" s="340">
        <v>83695</v>
      </c>
      <c r="V3324" s="340">
        <v>486949</v>
      </c>
      <c r="W3324" s="297">
        <v>4098</v>
      </c>
      <c r="X3324" s="296">
        <v>0.02</v>
      </c>
    </row>
    <row r="3325" spans="13:24">
      <c r="M3325">
        <v>3323</v>
      </c>
      <c r="N3325">
        <v>52321</v>
      </c>
      <c r="O3325" t="s">
        <v>2344</v>
      </c>
      <c r="P3325" t="s">
        <v>170</v>
      </c>
      <c r="Q3325">
        <v>165</v>
      </c>
      <c r="R3325" s="296">
        <v>0</v>
      </c>
      <c r="S3325" s="296">
        <v>0.99350000000000005</v>
      </c>
      <c r="T3325">
        <v>158</v>
      </c>
      <c r="U3325" s="340">
        <v>83677</v>
      </c>
      <c r="V3325" s="340">
        <v>218992</v>
      </c>
      <c r="W3325">
        <v>402</v>
      </c>
      <c r="X3325" s="296">
        <v>1E-3</v>
      </c>
    </row>
    <row r="3326" spans="13:24">
      <c r="M3326">
        <v>3324</v>
      </c>
      <c r="N3326">
        <v>10030</v>
      </c>
      <c r="O3326" t="s">
        <v>203</v>
      </c>
      <c r="P3326" t="s">
        <v>128</v>
      </c>
      <c r="Q3326">
        <v>722</v>
      </c>
      <c r="R3326" s="296">
        <v>0</v>
      </c>
      <c r="S3326" s="296">
        <v>0.99350000000000005</v>
      </c>
      <c r="T3326" s="297">
        <v>12187</v>
      </c>
      <c r="U3326" s="340">
        <v>83594</v>
      </c>
      <c r="V3326" s="340">
        <v>875262</v>
      </c>
      <c r="W3326" s="297">
        <v>27578</v>
      </c>
      <c r="X3326" s="296">
        <v>-1.2E-2</v>
      </c>
    </row>
    <row r="3327" spans="13:24">
      <c r="M3327">
        <v>3325</v>
      </c>
      <c r="N3327">
        <v>28213</v>
      </c>
      <c r="O3327" t="s">
        <v>477</v>
      </c>
      <c r="P3327" t="s">
        <v>138</v>
      </c>
      <c r="Q3327">
        <v>607</v>
      </c>
      <c r="R3327" s="296">
        <v>0</v>
      </c>
      <c r="S3327" s="296">
        <v>0.99350000000000005</v>
      </c>
      <c r="T3327" s="297">
        <v>19100</v>
      </c>
      <c r="U3327" s="340">
        <v>83590</v>
      </c>
      <c r="V3327" s="340">
        <v>357707</v>
      </c>
      <c r="W3327" s="297">
        <v>51055</v>
      </c>
      <c r="X3327" s="296">
        <v>2.1999999999999999E-2</v>
      </c>
    </row>
    <row r="3328" spans="13:24">
      <c r="M3328">
        <v>3326</v>
      </c>
      <c r="N3328">
        <v>47274</v>
      </c>
      <c r="O3328" t="s">
        <v>2152</v>
      </c>
      <c r="P3328" t="s">
        <v>144</v>
      </c>
      <c r="Q3328">
        <v>242</v>
      </c>
      <c r="R3328" s="296">
        <v>0</v>
      </c>
      <c r="S3328" s="296">
        <v>0.99350000000000005</v>
      </c>
      <c r="T3328" s="297">
        <v>12912</v>
      </c>
      <c r="U3328" s="340">
        <v>83521</v>
      </c>
      <c r="V3328" s="340">
        <v>217963</v>
      </c>
      <c r="W3328" s="297">
        <v>33728</v>
      </c>
      <c r="X3328" s="296">
        <v>4.0000000000000001E-3</v>
      </c>
    </row>
    <row r="3329" spans="13:24">
      <c r="M3329">
        <v>3327</v>
      </c>
      <c r="N3329">
        <v>49412</v>
      </c>
      <c r="O3329" t="s">
        <v>292</v>
      </c>
      <c r="P3329" t="s">
        <v>140</v>
      </c>
      <c r="Q3329">
        <v>130</v>
      </c>
      <c r="R3329" s="296">
        <v>0</v>
      </c>
      <c r="S3329" s="296">
        <v>0.99350000000000005</v>
      </c>
      <c r="T3329" s="297">
        <v>4680</v>
      </c>
      <c r="U3329" s="340">
        <v>83518</v>
      </c>
      <c r="V3329" s="340">
        <v>254631</v>
      </c>
      <c r="W3329" s="297">
        <v>11987</v>
      </c>
      <c r="X3329" s="296">
        <v>2E-3</v>
      </c>
    </row>
    <row r="3330" spans="13:24">
      <c r="M3330">
        <v>3328</v>
      </c>
      <c r="N3330">
        <v>54446</v>
      </c>
      <c r="O3330" t="s">
        <v>2345</v>
      </c>
      <c r="P3330" t="s">
        <v>149</v>
      </c>
      <c r="Q3330">
        <v>225</v>
      </c>
      <c r="R3330" s="296">
        <v>0</v>
      </c>
      <c r="S3330" s="296">
        <v>0.99360000000000004</v>
      </c>
      <c r="T3330" s="297">
        <v>1100</v>
      </c>
      <c r="U3330" s="340">
        <v>83494</v>
      </c>
      <c r="V3330" s="340">
        <v>239754</v>
      </c>
      <c r="W3330" s="297">
        <v>3031</v>
      </c>
      <c r="X3330" s="296">
        <v>-1.0999999999999999E-2</v>
      </c>
    </row>
    <row r="3331" spans="13:24">
      <c r="M3331">
        <v>3329</v>
      </c>
      <c r="N3331">
        <v>43050</v>
      </c>
      <c r="O3331" t="s">
        <v>660</v>
      </c>
      <c r="P3331" t="s">
        <v>136</v>
      </c>
      <c r="Q3331">
        <v>301</v>
      </c>
      <c r="R3331" s="296">
        <v>0</v>
      </c>
      <c r="S3331" s="296">
        <v>0.99360000000000004</v>
      </c>
      <c r="T3331" s="297">
        <v>11997</v>
      </c>
      <c r="U3331" s="340">
        <v>83451</v>
      </c>
      <c r="V3331" s="340">
        <v>242656</v>
      </c>
      <c r="W3331" s="297">
        <v>29866</v>
      </c>
      <c r="X3331" s="296">
        <v>2E-3</v>
      </c>
    </row>
    <row r="3332" spans="13:24">
      <c r="M3332">
        <v>3330</v>
      </c>
      <c r="N3332">
        <v>89502</v>
      </c>
      <c r="O3332" t="s">
        <v>335</v>
      </c>
      <c r="P3332" t="s">
        <v>148</v>
      </c>
      <c r="Q3332">
        <v>1673</v>
      </c>
      <c r="R3332" s="296">
        <v>0</v>
      </c>
      <c r="S3332" s="296">
        <v>0.99360000000000004</v>
      </c>
      <c r="T3332" s="297">
        <v>19872</v>
      </c>
      <c r="U3332" s="340">
        <v>83440</v>
      </c>
      <c r="V3332" s="340">
        <v>421723</v>
      </c>
      <c r="W3332" s="297">
        <v>47912</v>
      </c>
      <c r="X3332" s="296">
        <v>1.2E-2</v>
      </c>
    </row>
    <row r="3333" spans="13:24">
      <c r="M3333">
        <v>3331</v>
      </c>
      <c r="N3333">
        <v>46349</v>
      </c>
      <c r="O3333" t="s">
        <v>2346</v>
      </c>
      <c r="P3333" t="s">
        <v>144</v>
      </c>
      <c r="Q3333">
        <v>72</v>
      </c>
      <c r="R3333" s="296">
        <v>0</v>
      </c>
      <c r="S3333" s="296">
        <v>0.99360000000000004</v>
      </c>
      <c r="T3333" s="297">
        <v>1363</v>
      </c>
      <c r="U3333" s="340">
        <v>83415</v>
      </c>
      <c r="V3333" s="340">
        <v>214671</v>
      </c>
      <c r="W3333" s="297">
        <v>3386</v>
      </c>
      <c r="X3333" s="296">
        <v>0</v>
      </c>
    </row>
    <row r="3334" spans="13:24">
      <c r="M3334">
        <v>3332</v>
      </c>
      <c r="N3334">
        <v>39562</v>
      </c>
      <c r="O3334" t="s">
        <v>2347</v>
      </c>
      <c r="P3334" t="s">
        <v>188</v>
      </c>
      <c r="Q3334">
        <v>802</v>
      </c>
      <c r="R3334" s="296">
        <v>0</v>
      </c>
      <c r="S3334" s="296">
        <v>0.99360000000000004</v>
      </c>
      <c r="T3334" s="297">
        <v>6577</v>
      </c>
      <c r="U3334" s="340">
        <v>83336</v>
      </c>
      <c r="V3334" s="340">
        <v>230498</v>
      </c>
      <c r="W3334" s="297">
        <v>16930</v>
      </c>
      <c r="X3334" s="296">
        <v>2E-3</v>
      </c>
    </row>
    <row r="3335" spans="13:24">
      <c r="M3335">
        <v>3333</v>
      </c>
      <c r="N3335">
        <v>49036</v>
      </c>
      <c r="O3335" t="s">
        <v>2348</v>
      </c>
      <c r="P3335" t="s">
        <v>140</v>
      </c>
      <c r="Q3335">
        <v>144</v>
      </c>
      <c r="R3335" s="296">
        <v>0</v>
      </c>
      <c r="S3335" s="296">
        <v>0.99360000000000004</v>
      </c>
      <c r="T3335" s="297">
        <v>9404</v>
      </c>
      <c r="U3335" s="340">
        <v>83243</v>
      </c>
      <c r="V3335" s="340">
        <v>209739</v>
      </c>
      <c r="W3335" s="297">
        <v>24415</v>
      </c>
      <c r="X3335" s="296">
        <v>-1E-3</v>
      </c>
    </row>
    <row r="3336" spans="13:24">
      <c r="M3336">
        <v>3334</v>
      </c>
      <c r="N3336">
        <v>16028</v>
      </c>
      <c r="O3336" t="s">
        <v>2349</v>
      </c>
      <c r="P3336" t="s">
        <v>133</v>
      </c>
      <c r="Q3336">
        <v>429</v>
      </c>
      <c r="R3336" s="296">
        <v>0</v>
      </c>
      <c r="S3336" s="296">
        <v>0.99360000000000004</v>
      </c>
      <c r="T3336">
        <v>746</v>
      </c>
      <c r="U3336" s="340">
        <v>83164</v>
      </c>
      <c r="V3336" s="340">
        <v>244761</v>
      </c>
      <c r="W3336" s="297">
        <v>1686</v>
      </c>
      <c r="X3336" s="296">
        <v>4.0000000000000001E-3</v>
      </c>
    </row>
    <row r="3337" spans="13:24">
      <c r="M3337">
        <v>3335</v>
      </c>
      <c r="N3337">
        <v>61616</v>
      </c>
      <c r="O3337" t="s">
        <v>2350</v>
      </c>
      <c r="P3337" t="s">
        <v>131</v>
      </c>
      <c r="Q3337">
        <v>134</v>
      </c>
      <c r="R3337" s="296">
        <v>0</v>
      </c>
      <c r="S3337" s="296">
        <v>0.99360000000000004</v>
      </c>
      <c r="T3337" s="297">
        <v>2493</v>
      </c>
      <c r="U3337" s="340">
        <v>83136</v>
      </c>
      <c r="V3337" s="340">
        <v>176468</v>
      </c>
      <c r="W3337" s="297">
        <v>5214</v>
      </c>
      <c r="X3337" s="296">
        <v>-8.0000000000000002E-3</v>
      </c>
    </row>
    <row r="3338" spans="13:24">
      <c r="M3338">
        <v>3336</v>
      </c>
      <c r="N3338">
        <v>27804</v>
      </c>
      <c r="O3338" t="s">
        <v>1630</v>
      </c>
      <c r="P3338" t="s">
        <v>138</v>
      </c>
      <c r="Q3338">
        <v>681</v>
      </c>
      <c r="R3338" s="296">
        <v>0</v>
      </c>
      <c r="S3338" s="296">
        <v>0.99370000000000003</v>
      </c>
      <c r="T3338" s="297">
        <v>12612</v>
      </c>
      <c r="U3338" s="340">
        <v>83050</v>
      </c>
      <c r="V3338" s="340">
        <v>226333</v>
      </c>
      <c r="W3338" s="297">
        <v>28637</v>
      </c>
      <c r="X3338" s="296">
        <v>0</v>
      </c>
    </row>
    <row r="3339" spans="13:24">
      <c r="M3339">
        <v>3337</v>
      </c>
      <c r="N3339">
        <v>55106</v>
      </c>
      <c r="O3339" t="s">
        <v>445</v>
      </c>
      <c r="P3339" t="s">
        <v>151</v>
      </c>
      <c r="Q3339">
        <v>328</v>
      </c>
      <c r="R3339" s="296">
        <v>0</v>
      </c>
      <c r="S3339" s="296">
        <v>0.99370000000000003</v>
      </c>
      <c r="T3339" s="297">
        <v>18336</v>
      </c>
      <c r="U3339" s="340">
        <v>82966</v>
      </c>
      <c r="V3339" s="340">
        <v>327351</v>
      </c>
      <c r="W3339" s="297">
        <v>58663</v>
      </c>
      <c r="X3339" s="296">
        <v>-7.0000000000000001E-3</v>
      </c>
    </row>
    <row r="3340" spans="13:24">
      <c r="M3340">
        <v>3338</v>
      </c>
      <c r="N3340">
        <v>31401</v>
      </c>
      <c r="O3340" t="s">
        <v>483</v>
      </c>
      <c r="P3340" t="s">
        <v>130</v>
      </c>
      <c r="Q3340">
        <v>787</v>
      </c>
      <c r="R3340" s="296">
        <v>0</v>
      </c>
      <c r="S3340" s="296">
        <v>0.99370000000000003</v>
      </c>
      <c r="T3340" s="297">
        <v>10760</v>
      </c>
      <c r="U3340" s="340">
        <v>82954</v>
      </c>
      <c r="V3340" s="340">
        <v>572904</v>
      </c>
      <c r="W3340" s="297">
        <v>24166</v>
      </c>
      <c r="X3340" s="296">
        <v>3.1E-2</v>
      </c>
    </row>
    <row r="3341" spans="13:24">
      <c r="M3341">
        <v>3339</v>
      </c>
      <c r="N3341">
        <v>62075</v>
      </c>
      <c r="O3341" t="s">
        <v>1463</v>
      </c>
      <c r="P3341" t="s">
        <v>131</v>
      </c>
      <c r="Q3341">
        <v>212</v>
      </c>
      <c r="R3341" s="296">
        <v>0</v>
      </c>
      <c r="S3341" s="296">
        <v>0.99370000000000003</v>
      </c>
      <c r="T3341" s="297">
        <v>1335</v>
      </c>
      <c r="U3341" s="340">
        <v>82935</v>
      </c>
      <c r="V3341" s="340">
        <v>166400</v>
      </c>
      <c r="W3341" s="297">
        <v>3135</v>
      </c>
      <c r="X3341" s="296">
        <v>-8.9999999999999993E-3</v>
      </c>
    </row>
    <row r="3342" spans="13:24">
      <c r="M3342">
        <v>3340</v>
      </c>
      <c r="N3342">
        <v>49047</v>
      </c>
      <c r="O3342" t="s">
        <v>2351</v>
      </c>
      <c r="P3342" t="s">
        <v>140</v>
      </c>
      <c r="Q3342">
        <v>86</v>
      </c>
      <c r="R3342" s="296">
        <v>0</v>
      </c>
      <c r="S3342" s="296">
        <v>0.99370000000000003</v>
      </c>
      <c r="T3342" s="297">
        <v>5854</v>
      </c>
      <c r="U3342" s="340">
        <v>82932</v>
      </c>
      <c r="V3342" s="340">
        <v>227433</v>
      </c>
      <c r="W3342" s="297">
        <v>14511</v>
      </c>
      <c r="X3342" s="296">
        <v>1E-3</v>
      </c>
    </row>
    <row r="3343" spans="13:24">
      <c r="M3343">
        <v>3341</v>
      </c>
      <c r="N3343">
        <v>38804</v>
      </c>
      <c r="O3343" t="s">
        <v>1639</v>
      </c>
      <c r="P3343" t="s">
        <v>188</v>
      </c>
      <c r="Q3343">
        <v>545</v>
      </c>
      <c r="R3343" s="296">
        <v>0</v>
      </c>
      <c r="S3343" s="296">
        <v>0.99370000000000003</v>
      </c>
      <c r="T3343" s="297">
        <v>7154</v>
      </c>
      <c r="U3343" s="340">
        <v>82906</v>
      </c>
      <c r="V3343" s="340">
        <v>265090</v>
      </c>
      <c r="W3343" s="297">
        <v>17315</v>
      </c>
      <c r="X3343" s="296">
        <v>4.0000000000000001E-3</v>
      </c>
    </row>
    <row r="3344" spans="13:24">
      <c r="M3344">
        <v>3342</v>
      </c>
      <c r="N3344">
        <v>68510</v>
      </c>
      <c r="O3344" t="s">
        <v>415</v>
      </c>
      <c r="P3344" t="s">
        <v>195</v>
      </c>
      <c r="Q3344">
        <v>468</v>
      </c>
      <c r="R3344" s="296">
        <v>0</v>
      </c>
      <c r="S3344" s="296">
        <v>0.99370000000000003</v>
      </c>
      <c r="T3344" s="297">
        <v>9319</v>
      </c>
      <c r="U3344" s="340">
        <v>82894</v>
      </c>
      <c r="V3344" s="340">
        <v>299911</v>
      </c>
      <c r="W3344" s="297">
        <v>20965</v>
      </c>
      <c r="X3344" s="296">
        <v>5.0000000000000001E-3</v>
      </c>
    </row>
    <row r="3345" spans="13:24">
      <c r="M3345">
        <v>3343</v>
      </c>
      <c r="N3345">
        <v>28655</v>
      </c>
      <c r="O3345" t="s">
        <v>2352</v>
      </c>
      <c r="P3345" t="s">
        <v>138</v>
      </c>
      <c r="Q3345">
        <v>550</v>
      </c>
      <c r="R3345" s="296">
        <v>0</v>
      </c>
      <c r="S3345" s="296">
        <v>0.99370000000000003</v>
      </c>
      <c r="T3345" s="297">
        <v>22506</v>
      </c>
      <c r="U3345" s="340">
        <v>82877</v>
      </c>
      <c r="V3345" s="340">
        <v>282428</v>
      </c>
      <c r="W3345" s="297">
        <v>56209</v>
      </c>
      <c r="X3345" s="296">
        <v>1E-3</v>
      </c>
    </row>
    <row r="3346" spans="13:24">
      <c r="M3346">
        <v>3344</v>
      </c>
      <c r="N3346">
        <v>61520</v>
      </c>
      <c r="O3346" t="s">
        <v>383</v>
      </c>
      <c r="P3346" t="s">
        <v>131</v>
      </c>
      <c r="Q3346">
        <v>161</v>
      </c>
      <c r="R3346" s="296">
        <v>0</v>
      </c>
      <c r="S3346" s="296">
        <v>0.99380000000000002</v>
      </c>
      <c r="T3346" s="297">
        <v>6565</v>
      </c>
      <c r="U3346" s="340">
        <v>82858</v>
      </c>
      <c r="V3346" s="340">
        <v>151743</v>
      </c>
      <c r="W3346" s="297">
        <v>15992</v>
      </c>
      <c r="X3346" s="296">
        <v>-8.0000000000000002E-3</v>
      </c>
    </row>
    <row r="3347" spans="13:24">
      <c r="M3347">
        <v>3345</v>
      </c>
      <c r="N3347">
        <v>37160</v>
      </c>
      <c r="O3347" t="s">
        <v>2353</v>
      </c>
      <c r="P3347" t="s">
        <v>146</v>
      </c>
      <c r="Q3347">
        <v>466</v>
      </c>
      <c r="R3347" s="296">
        <v>0</v>
      </c>
      <c r="S3347" s="296">
        <v>0.99380000000000002</v>
      </c>
      <c r="T3347" s="297">
        <v>14244</v>
      </c>
      <c r="U3347" s="340">
        <v>82809</v>
      </c>
      <c r="V3347" s="340">
        <v>353537</v>
      </c>
      <c r="W3347" s="297">
        <v>39046</v>
      </c>
      <c r="X3347" s="296">
        <v>1.2999999999999999E-2</v>
      </c>
    </row>
    <row r="3348" spans="13:24">
      <c r="M3348">
        <v>3346</v>
      </c>
      <c r="N3348">
        <v>47001</v>
      </c>
      <c r="O3348" t="s">
        <v>334</v>
      </c>
      <c r="P3348" t="s">
        <v>144</v>
      </c>
      <c r="Q3348">
        <v>260</v>
      </c>
      <c r="R3348" s="296">
        <v>0</v>
      </c>
      <c r="S3348" s="296">
        <v>0.99380000000000002</v>
      </c>
      <c r="T3348" s="297">
        <v>4048</v>
      </c>
      <c r="U3348" s="340">
        <v>82801</v>
      </c>
      <c r="V3348" s="340">
        <v>240967</v>
      </c>
      <c r="W3348" s="297">
        <v>9979</v>
      </c>
      <c r="X3348" s="296">
        <v>-2E-3</v>
      </c>
    </row>
    <row r="3349" spans="13:24">
      <c r="M3349">
        <v>3347</v>
      </c>
      <c r="N3349">
        <v>27349</v>
      </c>
      <c r="O3349" t="s">
        <v>2354</v>
      </c>
      <c r="P3349" t="s">
        <v>138</v>
      </c>
      <c r="Q3349">
        <v>623</v>
      </c>
      <c r="R3349" s="296">
        <v>0</v>
      </c>
      <c r="S3349" s="296">
        <v>0.99380000000000002</v>
      </c>
      <c r="T3349" s="297">
        <v>2711</v>
      </c>
      <c r="U3349" s="340">
        <v>82795</v>
      </c>
      <c r="V3349" s="340">
        <v>338533</v>
      </c>
      <c r="W3349" s="297">
        <v>6895</v>
      </c>
      <c r="X3349" s="296">
        <v>5.0000000000000001E-3</v>
      </c>
    </row>
    <row r="3350" spans="13:24">
      <c r="M3350">
        <v>3348</v>
      </c>
      <c r="N3350">
        <v>47578</v>
      </c>
      <c r="O3350" t="s">
        <v>2355</v>
      </c>
      <c r="P3350" t="s">
        <v>144</v>
      </c>
      <c r="Q3350">
        <v>228</v>
      </c>
      <c r="R3350" s="296">
        <v>0</v>
      </c>
      <c r="S3350" s="296">
        <v>0.99380000000000002</v>
      </c>
      <c r="T3350">
        <v>262</v>
      </c>
      <c r="U3350" s="340">
        <v>82781</v>
      </c>
      <c r="V3350" s="340">
        <v>176382</v>
      </c>
      <c r="W3350">
        <v>667</v>
      </c>
      <c r="X3350" s="296">
        <v>4.0000000000000001E-3</v>
      </c>
    </row>
    <row r="3351" spans="13:24">
      <c r="M3351">
        <v>3349</v>
      </c>
      <c r="N3351">
        <v>44425</v>
      </c>
      <c r="O3351" t="s">
        <v>2356</v>
      </c>
      <c r="P3351" t="s">
        <v>136</v>
      </c>
      <c r="Q3351">
        <v>378</v>
      </c>
      <c r="R3351" s="296">
        <v>0</v>
      </c>
      <c r="S3351" s="296">
        <v>0.99380000000000002</v>
      </c>
      <c r="T3351" s="297">
        <v>6187</v>
      </c>
      <c r="U3351" s="340">
        <v>82773</v>
      </c>
      <c r="V3351" s="340">
        <v>164655</v>
      </c>
      <c r="W3351" s="297">
        <v>13936</v>
      </c>
      <c r="X3351" s="296">
        <v>-4.0000000000000001E-3</v>
      </c>
    </row>
    <row r="3352" spans="13:24">
      <c r="M3352">
        <v>3350</v>
      </c>
      <c r="N3352">
        <v>33063</v>
      </c>
      <c r="O3352" t="s">
        <v>567</v>
      </c>
      <c r="P3352" t="s">
        <v>127</v>
      </c>
      <c r="Q3352">
        <v>1178</v>
      </c>
      <c r="R3352" s="296">
        <v>0</v>
      </c>
      <c r="S3352" s="296">
        <v>0.99380000000000002</v>
      </c>
      <c r="T3352" s="297">
        <v>23867</v>
      </c>
      <c r="U3352" s="340">
        <v>82723</v>
      </c>
      <c r="V3352" s="340">
        <v>347910</v>
      </c>
      <c r="W3352" s="297">
        <v>56620</v>
      </c>
      <c r="X3352" s="296">
        <v>-3.0000000000000001E-3</v>
      </c>
    </row>
    <row r="3353" spans="13:24">
      <c r="M3353">
        <v>3351</v>
      </c>
      <c r="N3353">
        <v>64055</v>
      </c>
      <c r="O3353" t="s">
        <v>1581</v>
      </c>
      <c r="P3353" t="s">
        <v>186</v>
      </c>
      <c r="Q3353">
        <v>407</v>
      </c>
      <c r="R3353" s="296">
        <v>0</v>
      </c>
      <c r="S3353" s="296">
        <v>0.99380000000000002</v>
      </c>
      <c r="T3353" s="297">
        <v>15932</v>
      </c>
      <c r="U3353" s="340">
        <v>82717</v>
      </c>
      <c r="V3353" s="340">
        <v>229322</v>
      </c>
      <c r="W3353" s="297">
        <v>35818</v>
      </c>
      <c r="X3353" s="296">
        <v>-1E-3</v>
      </c>
    </row>
    <row r="3354" spans="13:24">
      <c r="M3354">
        <v>3352</v>
      </c>
      <c r="N3354">
        <v>61231</v>
      </c>
      <c r="O3354" t="s">
        <v>2357</v>
      </c>
      <c r="P3354" t="s">
        <v>131</v>
      </c>
      <c r="Q3354">
        <v>164</v>
      </c>
      <c r="R3354" s="296">
        <v>0</v>
      </c>
      <c r="S3354" s="296">
        <v>0.99390000000000001</v>
      </c>
      <c r="T3354" s="297">
        <v>2235</v>
      </c>
      <c r="U3354" s="340">
        <v>82690</v>
      </c>
      <c r="V3354" s="340">
        <v>159632</v>
      </c>
      <c r="W3354" s="297">
        <v>5223</v>
      </c>
      <c r="X3354" s="296">
        <v>-3.0000000000000001E-3</v>
      </c>
    </row>
    <row r="3355" spans="13:24">
      <c r="M3355">
        <v>3353</v>
      </c>
      <c r="N3355">
        <v>44691</v>
      </c>
      <c r="O3355" t="s">
        <v>797</v>
      </c>
      <c r="P3355" t="s">
        <v>136</v>
      </c>
      <c r="Q3355">
        <v>316</v>
      </c>
      <c r="R3355" s="296">
        <v>0</v>
      </c>
      <c r="S3355" s="296">
        <v>0.99390000000000001</v>
      </c>
      <c r="T3355" s="297">
        <v>18037</v>
      </c>
      <c r="U3355" s="340">
        <v>82676</v>
      </c>
      <c r="V3355" s="340">
        <v>263720</v>
      </c>
      <c r="W3355" s="297">
        <v>44726</v>
      </c>
      <c r="X3355" s="296">
        <v>0</v>
      </c>
    </row>
    <row r="3356" spans="13:24">
      <c r="M3356">
        <v>3354</v>
      </c>
      <c r="N3356">
        <v>54968</v>
      </c>
      <c r="O3356" t="s">
        <v>491</v>
      </c>
      <c r="P3356" t="s">
        <v>149</v>
      </c>
      <c r="Q3356">
        <v>136</v>
      </c>
      <c r="R3356" s="296">
        <v>0</v>
      </c>
      <c r="S3356" s="296">
        <v>0.99390000000000001</v>
      </c>
      <c r="T3356" s="297">
        <v>1420</v>
      </c>
      <c r="U3356" s="340">
        <v>82651</v>
      </c>
      <c r="V3356" s="340">
        <v>293675</v>
      </c>
      <c r="W3356" s="297">
        <v>3066</v>
      </c>
      <c r="X3356" s="296">
        <v>4.0000000000000001E-3</v>
      </c>
    </row>
    <row r="3357" spans="13:24">
      <c r="M3357">
        <v>3355</v>
      </c>
      <c r="N3357">
        <v>52404</v>
      </c>
      <c r="O3357" t="s">
        <v>969</v>
      </c>
      <c r="P3357" t="s">
        <v>170</v>
      </c>
      <c r="Q3357">
        <v>200</v>
      </c>
      <c r="R3357" s="296">
        <v>0</v>
      </c>
      <c r="S3357" s="296">
        <v>0.99390000000000001</v>
      </c>
      <c r="T3357" s="297">
        <v>19032</v>
      </c>
      <c r="U3357" s="340">
        <v>82603</v>
      </c>
      <c r="V3357" s="340">
        <v>229168</v>
      </c>
      <c r="W3357" s="297">
        <v>45539</v>
      </c>
      <c r="X3357" s="296">
        <v>6.0000000000000001E-3</v>
      </c>
    </row>
    <row r="3358" spans="13:24">
      <c r="M3358">
        <v>3356</v>
      </c>
      <c r="N3358">
        <v>33830</v>
      </c>
      <c r="O3358" t="s">
        <v>2358</v>
      </c>
      <c r="P3358" t="s">
        <v>127</v>
      </c>
      <c r="Q3358">
        <v>1040</v>
      </c>
      <c r="R3358" s="296">
        <v>0</v>
      </c>
      <c r="S3358" s="296">
        <v>0.99390000000000001</v>
      </c>
      <c r="T3358" s="297">
        <v>11218</v>
      </c>
      <c r="U3358" s="340">
        <v>82573</v>
      </c>
      <c r="V3358" s="340">
        <v>340889</v>
      </c>
      <c r="W3358" s="297">
        <v>31394</v>
      </c>
      <c r="X3358" s="296">
        <v>1.4999999999999999E-2</v>
      </c>
    </row>
    <row r="3359" spans="13:24">
      <c r="M3359">
        <v>3357</v>
      </c>
      <c r="N3359">
        <v>49102</v>
      </c>
      <c r="O3359" t="s">
        <v>2359</v>
      </c>
      <c r="P3359" t="s">
        <v>140</v>
      </c>
      <c r="Q3359">
        <v>78</v>
      </c>
      <c r="R3359" s="296">
        <v>0</v>
      </c>
      <c r="S3359" s="296">
        <v>0.99390000000000001</v>
      </c>
      <c r="T3359">
        <v>581</v>
      </c>
      <c r="U3359" s="340">
        <v>82560</v>
      </c>
      <c r="V3359" s="340">
        <v>251528</v>
      </c>
      <c r="W3359" s="297">
        <v>1633</v>
      </c>
      <c r="X3359" s="296">
        <v>-7.0000000000000001E-3</v>
      </c>
    </row>
    <row r="3360" spans="13:24">
      <c r="M3360">
        <v>3358</v>
      </c>
      <c r="N3360">
        <v>47342</v>
      </c>
      <c r="O3360" t="s">
        <v>2360</v>
      </c>
      <c r="P3360" t="s">
        <v>144</v>
      </c>
      <c r="Q3360">
        <v>175</v>
      </c>
      <c r="R3360" s="296">
        <v>0</v>
      </c>
      <c r="S3360" s="296">
        <v>0.99390000000000001</v>
      </c>
      <c r="T3360" s="297">
        <v>1066</v>
      </c>
      <c r="U3360" s="340">
        <v>82556</v>
      </c>
      <c r="V3360" s="340">
        <v>193963</v>
      </c>
      <c r="W3360" s="297">
        <v>2522</v>
      </c>
      <c r="X3360" s="296">
        <v>-5.0000000000000001E-3</v>
      </c>
    </row>
    <row r="3361" spans="13:24">
      <c r="M3361">
        <v>3359</v>
      </c>
      <c r="N3361">
        <v>33004</v>
      </c>
      <c r="O3361" t="s">
        <v>2361</v>
      </c>
      <c r="P3361" t="s">
        <v>127</v>
      </c>
      <c r="Q3361">
        <v>1193</v>
      </c>
      <c r="R3361" s="296">
        <v>0</v>
      </c>
      <c r="S3361" s="296">
        <v>0.99390000000000001</v>
      </c>
      <c r="T3361" s="297">
        <v>8074</v>
      </c>
      <c r="U3361" s="340">
        <v>82525</v>
      </c>
      <c r="V3361" s="340">
        <v>518190</v>
      </c>
      <c r="W3361" s="297">
        <v>17699</v>
      </c>
      <c r="X3361" s="296">
        <v>2.1999999999999999E-2</v>
      </c>
    </row>
    <row r="3362" spans="13:24">
      <c r="M3362">
        <v>3360</v>
      </c>
      <c r="N3362">
        <v>98586</v>
      </c>
      <c r="O3362" t="s">
        <v>1212</v>
      </c>
      <c r="P3362" t="s">
        <v>224</v>
      </c>
      <c r="Q3362">
        <v>1790</v>
      </c>
      <c r="R3362" s="296">
        <v>0</v>
      </c>
      <c r="S3362" s="296">
        <v>0.99399999999999999</v>
      </c>
      <c r="T3362">
        <v>967</v>
      </c>
      <c r="U3362" s="340">
        <v>82465</v>
      </c>
      <c r="V3362" s="340">
        <v>299270</v>
      </c>
      <c r="W3362" s="297">
        <v>2370</v>
      </c>
      <c r="X3362" s="296">
        <v>7.0000000000000001E-3</v>
      </c>
    </row>
    <row r="3363" spans="13:24">
      <c r="M3363">
        <v>3361</v>
      </c>
      <c r="N3363">
        <v>92284</v>
      </c>
      <c r="O3363" t="s">
        <v>2362</v>
      </c>
      <c r="P3363" t="s">
        <v>132</v>
      </c>
      <c r="Q3363">
        <v>1642</v>
      </c>
      <c r="R3363" s="296">
        <v>0</v>
      </c>
      <c r="S3363" s="296">
        <v>0.99399999999999999</v>
      </c>
      <c r="T3363" s="297">
        <v>10582</v>
      </c>
      <c r="U3363" s="340">
        <v>82456</v>
      </c>
      <c r="V3363" s="340">
        <v>385613</v>
      </c>
      <c r="W3363" s="297">
        <v>25730</v>
      </c>
      <c r="X3363" s="296">
        <v>-3.0000000000000001E-3</v>
      </c>
    </row>
    <row r="3364" spans="13:24">
      <c r="M3364">
        <v>3362</v>
      </c>
      <c r="N3364">
        <v>46176</v>
      </c>
      <c r="O3364" t="s">
        <v>2353</v>
      </c>
      <c r="P3364" t="s">
        <v>144</v>
      </c>
      <c r="Q3364">
        <v>210</v>
      </c>
      <c r="R3364" s="296">
        <v>0</v>
      </c>
      <c r="S3364" s="296">
        <v>0.99399999999999999</v>
      </c>
      <c r="T3364" s="297">
        <v>11917</v>
      </c>
      <c r="U3364" s="340">
        <v>82447</v>
      </c>
      <c r="V3364" s="340">
        <v>213802</v>
      </c>
      <c r="W3364" s="297">
        <v>29276</v>
      </c>
      <c r="X3364" s="296">
        <v>2E-3</v>
      </c>
    </row>
    <row r="3365" spans="13:24">
      <c r="M3365">
        <v>3363</v>
      </c>
      <c r="N3365">
        <v>63118</v>
      </c>
      <c r="O3365" t="s">
        <v>536</v>
      </c>
      <c r="P3365" t="s">
        <v>186</v>
      </c>
      <c r="Q3365">
        <v>277</v>
      </c>
      <c r="R3365" s="296">
        <v>0</v>
      </c>
      <c r="S3365" s="296">
        <v>0.99399999999999999</v>
      </c>
      <c r="T3365" s="297">
        <v>10997</v>
      </c>
      <c r="U3365" s="340">
        <v>82383</v>
      </c>
      <c r="V3365" s="340">
        <v>248836</v>
      </c>
      <c r="W3365" s="297">
        <v>24120</v>
      </c>
      <c r="X3365" s="296">
        <v>-8.9999999999999993E-3</v>
      </c>
    </row>
    <row r="3366" spans="13:24">
      <c r="M3366">
        <v>3364</v>
      </c>
      <c r="N3366">
        <v>11355</v>
      </c>
      <c r="O3366" t="s">
        <v>705</v>
      </c>
      <c r="P3366" t="s">
        <v>128</v>
      </c>
      <c r="Q3366">
        <v>729</v>
      </c>
      <c r="R3366" s="296">
        <v>0</v>
      </c>
      <c r="S3366" s="296">
        <v>0.99399999999999999</v>
      </c>
      <c r="T3366" s="297">
        <v>30313</v>
      </c>
      <c r="U3366" s="340">
        <v>82379</v>
      </c>
      <c r="V3366" s="340">
        <v>848595</v>
      </c>
      <c r="W3366" s="297">
        <v>87510</v>
      </c>
      <c r="X3366" s="296">
        <v>2E-3</v>
      </c>
    </row>
    <row r="3367" spans="13:24">
      <c r="M3367">
        <v>3365</v>
      </c>
      <c r="N3367">
        <v>39073</v>
      </c>
      <c r="O3367" t="s">
        <v>696</v>
      </c>
      <c r="P3367" t="s">
        <v>188</v>
      </c>
      <c r="Q3367">
        <v>706</v>
      </c>
      <c r="R3367" s="296">
        <v>0</v>
      </c>
      <c r="S3367" s="296">
        <v>0.99399999999999999</v>
      </c>
      <c r="T3367" s="297">
        <v>8241</v>
      </c>
      <c r="U3367" s="340">
        <v>82360</v>
      </c>
      <c r="V3367" s="340">
        <v>261349</v>
      </c>
      <c r="W3367" s="297">
        <v>21696</v>
      </c>
      <c r="X3367" s="296">
        <v>5.0000000000000001E-3</v>
      </c>
    </row>
    <row r="3368" spans="13:24">
      <c r="M3368">
        <v>3366</v>
      </c>
      <c r="N3368">
        <v>33917</v>
      </c>
      <c r="O3368" t="s">
        <v>815</v>
      </c>
      <c r="P3368" t="s">
        <v>127</v>
      </c>
      <c r="Q3368">
        <v>1117</v>
      </c>
      <c r="R3368" s="296">
        <v>0</v>
      </c>
      <c r="S3368" s="296">
        <v>0.99399999999999999</v>
      </c>
      <c r="T3368" s="297">
        <v>16392</v>
      </c>
      <c r="U3368" s="340">
        <v>82353</v>
      </c>
      <c r="V3368" s="340">
        <v>368538</v>
      </c>
      <c r="W3368" s="297">
        <v>33711</v>
      </c>
      <c r="X3368" s="296">
        <v>2.1999999999999999E-2</v>
      </c>
    </row>
    <row r="3369" spans="13:24">
      <c r="M3369">
        <v>3367</v>
      </c>
      <c r="N3369">
        <v>63033</v>
      </c>
      <c r="O3369" t="s">
        <v>2255</v>
      </c>
      <c r="P3369" t="s">
        <v>186</v>
      </c>
      <c r="Q3369">
        <v>266</v>
      </c>
      <c r="R3369" s="296">
        <v>0</v>
      </c>
      <c r="S3369" s="296">
        <v>0.99399999999999999</v>
      </c>
      <c r="T3369" s="297">
        <v>16990</v>
      </c>
      <c r="U3369" s="340">
        <v>82212</v>
      </c>
      <c r="V3369" s="340">
        <v>184659</v>
      </c>
      <c r="W3369" s="297">
        <v>42322</v>
      </c>
      <c r="X3369" s="296">
        <v>-4.0000000000000001E-3</v>
      </c>
    </row>
    <row r="3370" spans="13:24">
      <c r="M3370">
        <v>3368</v>
      </c>
      <c r="N3370">
        <v>20019</v>
      </c>
      <c r="O3370" t="s">
        <v>225</v>
      </c>
      <c r="P3370" t="s">
        <v>150</v>
      </c>
      <c r="Q3370">
        <v>612</v>
      </c>
      <c r="R3370" s="296">
        <v>0</v>
      </c>
      <c r="S3370" s="296">
        <v>0.99409999999999998</v>
      </c>
      <c r="T3370" s="297">
        <v>23629</v>
      </c>
      <c r="U3370" s="340">
        <v>82148</v>
      </c>
      <c r="V3370" s="340">
        <v>452183</v>
      </c>
      <c r="W3370" s="297">
        <v>57767</v>
      </c>
      <c r="X3370" s="296">
        <v>-8.0000000000000002E-3</v>
      </c>
    </row>
    <row r="3371" spans="13:24">
      <c r="M3371">
        <v>3369</v>
      </c>
      <c r="N3371">
        <v>62239</v>
      </c>
      <c r="O3371" t="s">
        <v>514</v>
      </c>
      <c r="P3371" t="s">
        <v>131</v>
      </c>
      <c r="Q3371">
        <v>281</v>
      </c>
      <c r="R3371" s="296">
        <v>0</v>
      </c>
      <c r="S3371" s="296">
        <v>0.99409999999999998</v>
      </c>
      <c r="T3371" s="297">
        <v>1925</v>
      </c>
      <c r="U3371" s="340">
        <v>82124</v>
      </c>
      <c r="V3371" s="340">
        <v>150897</v>
      </c>
      <c r="W3371" s="297">
        <v>4527</v>
      </c>
      <c r="X3371" s="296">
        <v>-7.0000000000000001E-3</v>
      </c>
    </row>
    <row r="3372" spans="13:24">
      <c r="M3372">
        <v>3370</v>
      </c>
      <c r="N3372">
        <v>48768</v>
      </c>
      <c r="O3372" t="s">
        <v>2363</v>
      </c>
      <c r="P3372" t="s">
        <v>140</v>
      </c>
      <c r="Q3372">
        <v>229</v>
      </c>
      <c r="R3372" s="296">
        <v>0</v>
      </c>
      <c r="S3372" s="296">
        <v>0.99409999999999998</v>
      </c>
      <c r="T3372" s="297">
        <v>3854</v>
      </c>
      <c r="U3372" s="340">
        <v>82091</v>
      </c>
      <c r="V3372" s="340">
        <v>195813</v>
      </c>
      <c r="W3372" s="297">
        <v>9511</v>
      </c>
      <c r="X3372" s="296">
        <v>-4.0000000000000001E-3</v>
      </c>
    </row>
    <row r="3373" spans="13:24">
      <c r="M3373">
        <v>3371</v>
      </c>
      <c r="N3373">
        <v>78052</v>
      </c>
      <c r="O3373" t="s">
        <v>2364</v>
      </c>
      <c r="P3373" t="s">
        <v>134</v>
      </c>
      <c r="Q3373">
        <v>1083</v>
      </c>
      <c r="R3373" s="296">
        <v>0</v>
      </c>
      <c r="S3373" s="296">
        <v>0.99409999999999998</v>
      </c>
      <c r="T3373" s="297">
        <v>2513</v>
      </c>
      <c r="U3373" s="340">
        <v>82026</v>
      </c>
      <c r="V3373" s="340">
        <v>211697</v>
      </c>
      <c r="W3373" s="297">
        <v>7680</v>
      </c>
      <c r="X3373" s="296">
        <v>1.6E-2</v>
      </c>
    </row>
    <row r="3374" spans="13:24">
      <c r="M3374">
        <v>3372</v>
      </c>
      <c r="N3374">
        <v>54234</v>
      </c>
      <c r="O3374" t="s">
        <v>2365</v>
      </c>
      <c r="P3374" t="s">
        <v>149</v>
      </c>
      <c r="Q3374">
        <v>212</v>
      </c>
      <c r="R3374" s="296">
        <v>0</v>
      </c>
      <c r="S3374" s="296">
        <v>0.99409999999999998</v>
      </c>
      <c r="T3374" s="297">
        <v>1072</v>
      </c>
      <c r="U3374" s="340">
        <v>82014</v>
      </c>
      <c r="V3374" s="340">
        <v>514739</v>
      </c>
      <c r="W3374" s="297">
        <v>2096</v>
      </c>
      <c r="X3374" s="296">
        <v>-2E-3</v>
      </c>
    </row>
    <row r="3375" spans="13:24">
      <c r="M3375">
        <v>3373</v>
      </c>
      <c r="N3375">
        <v>60957</v>
      </c>
      <c r="O3375" t="s">
        <v>2366</v>
      </c>
      <c r="P3375" t="s">
        <v>131</v>
      </c>
      <c r="Q3375">
        <v>119</v>
      </c>
      <c r="R3375" s="296">
        <v>0</v>
      </c>
      <c r="S3375" s="296">
        <v>0.99409999999999998</v>
      </c>
      <c r="T3375" s="297">
        <v>2150</v>
      </c>
      <c r="U3375" s="340">
        <v>82011</v>
      </c>
      <c r="V3375" s="340">
        <v>153803</v>
      </c>
      <c r="W3375" s="297">
        <v>5226</v>
      </c>
      <c r="X3375" s="296">
        <v>-8.9999999999999993E-3</v>
      </c>
    </row>
    <row r="3376" spans="13:24">
      <c r="M3376">
        <v>3374</v>
      </c>
      <c r="N3376">
        <v>54982</v>
      </c>
      <c r="O3376" t="s">
        <v>2367</v>
      </c>
      <c r="P3376" t="s">
        <v>149</v>
      </c>
      <c r="Q3376">
        <v>153</v>
      </c>
      <c r="R3376" s="296">
        <v>0</v>
      </c>
      <c r="S3376" s="296">
        <v>0.99409999999999998</v>
      </c>
      <c r="T3376" s="297">
        <v>3203</v>
      </c>
      <c r="U3376" s="340">
        <v>82005</v>
      </c>
      <c r="V3376" s="340">
        <v>278246</v>
      </c>
      <c r="W3376" s="297">
        <v>7218</v>
      </c>
      <c r="X3376" s="296">
        <v>5.0000000000000001E-3</v>
      </c>
    </row>
    <row r="3377" spans="13:24">
      <c r="M3377">
        <v>3375</v>
      </c>
      <c r="N3377">
        <v>85208</v>
      </c>
      <c r="O3377" t="s">
        <v>1085</v>
      </c>
      <c r="P3377" t="s">
        <v>158</v>
      </c>
      <c r="Q3377">
        <v>1430</v>
      </c>
      <c r="R3377" s="296">
        <v>0</v>
      </c>
      <c r="S3377" s="296">
        <v>0.99409999999999998</v>
      </c>
      <c r="T3377" s="297">
        <v>16852</v>
      </c>
      <c r="U3377" s="340">
        <v>81992</v>
      </c>
      <c r="V3377" s="340">
        <v>306048</v>
      </c>
      <c r="W3377" s="297">
        <v>40466</v>
      </c>
      <c r="X3377" s="296">
        <v>6.0000000000000001E-3</v>
      </c>
    </row>
    <row r="3378" spans="13:24">
      <c r="M3378">
        <v>3376</v>
      </c>
      <c r="N3378">
        <v>48135</v>
      </c>
      <c r="O3378" t="s">
        <v>590</v>
      </c>
      <c r="P3378" t="s">
        <v>140</v>
      </c>
      <c r="Q3378">
        <v>228</v>
      </c>
      <c r="R3378" s="296">
        <v>0</v>
      </c>
      <c r="S3378" s="296">
        <v>0.99419999999999997</v>
      </c>
      <c r="T3378" s="297">
        <v>11048</v>
      </c>
      <c r="U3378" s="340">
        <v>81944</v>
      </c>
      <c r="V3378" s="340">
        <v>190161</v>
      </c>
      <c r="W3378" s="297">
        <v>26485</v>
      </c>
      <c r="X3378" s="296">
        <v>-8.0000000000000002E-3</v>
      </c>
    </row>
    <row r="3379" spans="13:24">
      <c r="M3379">
        <v>3377</v>
      </c>
      <c r="N3379">
        <v>13126</v>
      </c>
      <c r="O3379" t="s">
        <v>945</v>
      </c>
      <c r="P3379" t="s">
        <v>128</v>
      </c>
      <c r="Q3379">
        <v>581</v>
      </c>
      <c r="R3379" s="296">
        <v>0</v>
      </c>
      <c r="S3379" s="296">
        <v>0.99419999999999997</v>
      </c>
      <c r="T3379" s="297">
        <v>13569</v>
      </c>
      <c r="U3379" s="340">
        <v>81858</v>
      </c>
      <c r="V3379" s="340">
        <v>185958</v>
      </c>
      <c r="W3379" s="297">
        <v>35483</v>
      </c>
      <c r="X3379" s="296">
        <v>1E-3</v>
      </c>
    </row>
    <row r="3380" spans="13:24">
      <c r="M3380">
        <v>3378</v>
      </c>
      <c r="N3380">
        <v>65584</v>
      </c>
      <c r="O3380" t="s">
        <v>2368</v>
      </c>
      <c r="P3380" t="s">
        <v>186</v>
      </c>
      <c r="Q3380">
        <v>377</v>
      </c>
      <c r="R3380" s="296">
        <v>0</v>
      </c>
      <c r="S3380" s="296">
        <v>0.99419999999999997</v>
      </c>
      <c r="T3380" s="297">
        <v>4259</v>
      </c>
      <c r="U3380" s="340">
        <v>81809</v>
      </c>
      <c r="V3380" s="340">
        <v>215277</v>
      </c>
      <c r="W3380" s="297">
        <v>10906</v>
      </c>
      <c r="X3380" s="296">
        <v>5.0000000000000001E-3</v>
      </c>
    </row>
    <row r="3381" spans="13:24">
      <c r="M3381">
        <v>3379</v>
      </c>
      <c r="N3381">
        <v>31061</v>
      </c>
      <c r="O3381" t="s">
        <v>833</v>
      </c>
      <c r="P3381" t="s">
        <v>130</v>
      </c>
      <c r="Q3381">
        <v>674</v>
      </c>
      <c r="R3381" s="296">
        <v>0</v>
      </c>
      <c r="S3381" s="296">
        <v>0.99419999999999997</v>
      </c>
      <c r="T3381" s="297">
        <v>16042</v>
      </c>
      <c r="U3381" s="340">
        <v>81804</v>
      </c>
      <c r="V3381" s="340">
        <v>282010</v>
      </c>
      <c r="W3381" s="297">
        <v>41680</v>
      </c>
      <c r="X3381" s="296">
        <v>-3.0000000000000001E-3</v>
      </c>
    </row>
    <row r="3382" spans="13:24">
      <c r="M3382">
        <v>3380</v>
      </c>
      <c r="N3382">
        <v>49896</v>
      </c>
      <c r="O3382" t="s">
        <v>2369</v>
      </c>
      <c r="P3382" t="s">
        <v>140</v>
      </c>
      <c r="Q3382">
        <v>245</v>
      </c>
      <c r="R3382" s="296">
        <v>0</v>
      </c>
      <c r="S3382" s="296">
        <v>0.99419999999999997</v>
      </c>
      <c r="T3382">
        <v>692</v>
      </c>
      <c r="U3382" s="340">
        <v>81718</v>
      </c>
      <c r="V3382" s="340">
        <v>215047</v>
      </c>
      <c r="W3382" s="297">
        <v>1697</v>
      </c>
      <c r="X3382" s="296">
        <v>-1.0999999999999999E-2</v>
      </c>
    </row>
    <row r="3383" spans="13:24">
      <c r="M3383">
        <v>3381</v>
      </c>
      <c r="N3383">
        <v>61842</v>
      </c>
      <c r="O3383" t="s">
        <v>2370</v>
      </c>
      <c r="P3383" t="s">
        <v>131</v>
      </c>
      <c r="Q3383">
        <v>139</v>
      </c>
      <c r="R3383" s="296">
        <v>0</v>
      </c>
      <c r="S3383" s="296">
        <v>0.99419999999999997</v>
      </c>
      <c r="T3383" s="297">
        <v>1109</v>
      </c>
      <c r="U3383" s="340">
        <v>81634</v>
      </c>
      <c r="V3383" s="340">
        <v>194410</v>
      </c>
      <c r="W3383" s="297">
        <v>2635</v>
      </c>
      <c r="X3383" s="296">
        <v>-6.0000000000000001E-3</v>
      </c>
    </row>
    <row r="3384" spans="13:24">
      <c r="M3384">
        <v>3382</v>
      </c>
      <c r="N3384">
        <v>29631</v>
      </c>
      <c r="O3384" t="s">
        <v>802</v>
      </c>
      <c r="P3384" t="s">
        <v>145</v>
      </c>
      <c r="Q3384">
        <v>581</v>
      </c>
      <c r="R3384" s="296">
        <v>0</v>
      </c>
      <c r="S3384" s="296">
        <v>0.99419999999999997</v>
      </c>
      <c r="T3384" s="297">
        <v>6868</v>
      </c>
      <c r="U3384" s="340">
        <v>81609</v>
      </c>
      <c r="V3384" s="340">
        <v>406274</v>
      </c>
      <c r="W3384" s="297">
        <v>17819</v>
      </c>
      <c r="X3384" s="296">
        <v>8.9999999999999993E-3</v>
      </c>
    </row>
    <row r="3385" spans="13:24">
      <c r="M3385">
        <v>3383</v>
      </c>
      <c r="N3385">
        <v>58102</v>
      </c>
      <c r="O3385" t="s">
        <v>2004</v>
      </c>
      <c r="P3385" t="s">
        <v>193</v>
      </c>
      <c r="Q3385">
        <v>554</v>
      </c>
      <c r="R3385" s="296">
        <v>0</v>
      </c>
      <c r="S3385" s="296">
        <v>0.99419999999999997</v>
      </c>
      <c r="T3385" s="297">
        <v>15281</v>
      </c>
      <c r="U3385" s="340">
        <v>81592</v>
      </c>
      <c r="V3385" s="340">
        <v>334285</v>
      </c>
      <c r="W3385" s="297">
        <v>33606</v>
      </c>
      <c r="X3385" s="296">
        <v>0.02</v>
      </c>
    </row>
    <row r="3386" spans="13:24">
      <c r="M3386">
        <v>3384</v>
      </c>
      <c r="N3386">
        <v>60518</v>
      </c>
      <c r="O3386" t="s">
        <v>2371</v>
      </c>
      <c r="P3386" t="s">
        <v>131</v>
      </c>
      <c r="Q3386">
        <v>69</v>
      </c>
      <c r="R3386" s="296">
        <v>0</v>
      </c>
      <c r="S3386" s="296">
        <v>0.99429999999999996</v>
      </c>
      <c r="T3386" s="297">
        <v>1446</v>
      </c>
      <c r="U3386" s="340">
        <v>81578</v>
      </c>
      <c r="V3386" s="340">
        <v>213636</v>
      </c>
      <c r="W3386" s="297">
        <v>3408</v>
      </c>
      <c r="X3386" s="296">
        <v>-8.9999999999999993E-3</v>
      </c>
    </row>
    <row r="3387" spans="13:24">
      <c r="M3387">
        <v>3385</v>
      </c>
      <c r="N3387">
        <v>27239</v>
      </c>
      <c r="O3387" t="s">
        <v>2372</v>
      </c>
      <c r="P3387" t="s">
        <v>138</v>
      </c>
      <c r="Q3387">
        <v>612</v>
      </c>
      <c r="R3387" s="296">
        <v>0</v>
      </c>
      <c r="S3387" s="296">
        <v>0.99429999999999996</v>
      </c>
      <c r="T3387" s="297">
        <v>3871</v>
      </c>
      <c r="U3387" s="340">
        <v>81567</v>
      </c>
      <c r="V3387" s="340">
        <v>286547</v>
      </c>
      <c r="W3387" s="297">
        <v>9231</v>
      </c>
      <c r="X3387" s="296">
        <v>5.0000000000000001E-3</v>
      </c>
    </row>
    <row r="3388" spans="13:24">
      <c r="M3388">
        <v>3386</v>
      </c>
      <c r="N3388">
        <v>97365</v>
      </c>
      <c r="O3388" t="s">
        <v>346</v>
      </c>
      <c r="P3388" t="s">
        <v>207</v>
      </c>
      <c r="Q3388">
        <v>1814</v>
      </c>
      <c r="R3388" s="296">
        <v>0</v>
      </c>
      <c r="S3388" s="296">
        <v>0.99429999999999996</v>
      </c>
      <c r="T3388" s="297">
        <v>4958</v>
      </c>
      <c r="U3388" s="340">
        <v>81482</v>
      </c>
      <c r="V3388" s="340">
        <v>521695</v>
      </c>
      <c r="W3388" s="297">
        <v>10977</v>
      </c>
      <c r="X3388" s="296">
        <v>1.2E-2</v>
      </c>
    </row>
    <row r="3389" spans="13:24">
      <c r="M3389">
        <v>3387</v>
      </c>
      <c r="N3389">
        <v>28546</v>
      </c>
      <c r="O3389" t="s">
        <v>331</v>
      </c>
      <c r="P3389" t="s">
        <v>138</v>
      </c>
      <c r="Q3389">
        <v>758</v>
      </c>
      <c r="R3389" s="296">
        <v>0</v>
      </c>
      <c r="S3389" s="296">
        <v>0.99429999999999996</v>
      </c>
      <c r="T3389" s="297">
        <v>20039</v>
      </c>
      <c r="U3389" s="340">
        <v>81454</v>
      </c>
      <c r="V3389" s="340">
        <v>250315</v>
      </c>
      <c r="W3389" s="297">
        <v>50870</v>
      </c>
      <c r="X3389" s="296">
        <v>8.0000000000000002E-3</v>
      </c>
    </row>
    <row r="3390" spans="13:24">
      <c r="M3390">
        <v>3388</v>
      </c>
      <c r="N3390">
        <v>61458</v>
      </c>
      <c r="O3390" t="s">
        <v>2373</v>
      </c>
      <c r="P3390" t="s">
        <v>131</v>
      </c>
      <c r="Q3390">
        <v>157</v>
      </c>
      <c r="R3390" s="296">
        <v>0</v>
      </c>
      <c r="S3390" s="296">
        <v>0.99429999999999996</v>
      </c>
      <c r="T3390">
        <v>322</v>
      </c>
      <c r="U3390" s="340">
        <v>81431</v>
      </c>
      <c r="V3390" s="340">
        <v>218934</v>
      </c>
      <c r="W3390">
        <v>724</v>
      </c>
      <c r="X3390" s="296">
        <v>1.9E-2</v>
      </c>
    </row>
    <row r="3391" spans="13:24">
      <c r="M3391">
        <v>3389</v>
      </c>
      <c r="N3391">
        <v>44857</v>
      </c>
      <c r="O3391" t="s">
        <v>543</v>
      </c>
      <c r="P3391" t="s">
        <v>136</v>
      </c>
      <c r="Q3391">
        <v>276</v>
      </c>
      <c r="R3391" s="296">
        <v>0</v>
      </c>
      <c r="S3391" s="296">
        <v>0.99429999999999996</v>
      </c>
      <c r="T3391" s="297">
        <v>9877</v>
      </c>
      <c r="U3391" s="340">
        <v>81395</v>
      </c>
      <c r="V3391" s="340">
        <v>211693</v>
      </c>
      <c r="W3391" s="297">
        <v>23346</v>
      </c>
      <c r="X3391" s="296">
        <v>-3.0000000000000001E-3</v>
      </c>
    </row>
    <row r="3392" spans="13:24">
      <c r="M3392">
        <v>3390</v>
      </c>
      <c r="N3392">
        <v>80247</v>
      </c>
      <c r="O3392" t="s">
        <v>330</v>
      </c>
      <c r="P3392" t="s">
        <v>142</v>
      </c>
      <c r="Q3392">
        <v>907</v>
      </c>
      <c r="R3392" s="296">
        <v>0</v>
      </c>
      <c r="S3392" s="296">
        <v>0.99429999999999996</v>
      </c>
      <c r="T3392" s="297">
        <v>15124</v>
      </c>
      <c r="U3392" s="340">
        <v>81386</v>
      </c>
      <c r="V3392" s="340">
        <v>432922</v>
      </c>
      <c r="W3392" s="297">
        <v>30663</v>
      </c>
      <c r="X3392" s="296">
        <v>2E-3</v>
      </c>
    </row>
    <row r="3393" spans="13:24">
      <c r="M3393">
        <v>3391</v>
      </c>
      <c r="N3393">
        <v>13605</v>
      </c>
      <c r="O3393" t="s">
        <v>1933</v>
      </c>
      <c r="P3393" t="s">
        <v>128</v>
      </c>
      <c r="Q3393">
        <v>604</v>
      </c>
      <c r="R3393" s="296">
        <v>0</v>
      </c>
      <c r="S3393" s="296">
        <v>0.99429999999999996</v>
      </c>
      <c r="T3393" s="297">
        <v>1827</v>
      </c>
      <c r="U3393" s="340">
        <v>81272</v>
      </c>
      <c r="V3393" s="340">
        <v>241471</v>
      </c>
      <c r="W3393" s="297">
        <v>4523</v>
      </c>
      <c r="X3393" s="296">
        <v>-7.0000000000000001E-3</v>
      </c>
    </row>
    <row r="3394" spans="13:24">
      <c r="M3394">
        <v>3392</v>
      </c>
      <c r="N3394">
        <v>61462</v>
      </c>
      <c r="O3394" t="s">
        <v>2374</v>
      </c>
      <c r="P3394" t="s">
        <v>131</v>
      </c>
      <c r="Q3394">
        <v>171</v>
      </c>
      <c r="R3394" s="296">
        <v>0</v>
      </c>
      <c r="S3394" s="296">
        <v>0.99439999999999995</v>
      </c>
      <c r="T3394" s="297">
        <v>4142</v>
      </c>
      <c r="U3394" s="340">
        <v>81134</v>
      </c>
      <c r="V3394" s="340">
        <v>158673</v>
      </c>
      <c r="W3394" s="297">
        <v>10541</v>
      </c>
      <c r="X3394" s="296">
        <v>-1.0999999999999999E-2</v>
      </c>
    </row>
    <row r="3395" spans="13:24">
      <c r="M3395">
        <v>3393</v>
      </c>
      <c r="N3395">
        <v>33409</v>
      </c>
      <c r="O3395" t="s">
        <v>586</v>
      </c>
      <c r="P3395" t="s">
        <v>127</v>
      </c>
      <c r="Q3395">
        <v>1152</v>
      </c>
      <c r="R3395" s="296">
        <v>0</v>
      </c>
      <c r="S3395" s="296">
        <v>0.99439999999999995</v>
      </c>
      <c r="T3395" s="297">
        <v>12960</v>
      </c>
      <c r="U3395" s="340">
        <v>81131</v>
      </c>
      <c r="V3395" s="340">
        <v>506839</v>
      </c>
      <c r="W3395" s="297">
        <v>34070</v>
      </c>
      <c r="X3395" s="296">
        <v>8.0000000000000002E-3</v>
      </c>
    </row>
    <row r="3396" spans="13:24">
      <c r="M3396">
        <v>3394</v>
      </c>
      <c r="N3396">
        <v>30230</v>
      </c>
      <c r="O3396" t="s">
        <v>2375</v>
      </c>
      <c r="P3396" t="s">
        <v>130</v>
      </c>
      <c r="Q3396">
        <v>640</v>
      </c>
      <c r="R3396" s="296">
        <v>0</v>
      </c>
      <c r="S3396" s="296">
        <v>0.99439999999999995</v>
      </c>
      <c r="T3396" s="297">
        <v>3682</v>
      </c>
      <c r="U3396" s="340">
        <v>81056</v>
      </c>
      <c r="V3396" s="340">
        <v>297593</v>
      </c>
      <c r="W3396" s="297">
        <v>9515</v>
      </c>
      <c r="X3396" s="296">
        <v>0.01</v>
      </c>
    </row>
    <row r="3397" spans="13:24">
      <c r="M3397">
        <v>3395</v>
      </c>
      <c r="N3397">
        <v>54540</v>
      </c>
      <c r="O3397" t="s">
        <v>672</v>
      </c>
      <c r="P3397" t="s">
        <v>149</v>
      </c>
      <c r="Q3397">
        <v>288</v>
      </c>
      <c r="R3397" s="296">
        <v>0</v>
      </c>
      <c r="S3397" s="296">
        <v>0.99439999999999995</v>
      </c>
      <c r="T3397">
        <v>556</v>
      </c>
      <c r="U3397" s="340">
        <v>81023</v>
      </c>
      <c r="V3397" s="340">
        <v>362718</v>
      </c>
      <c r="W3397" s="297">
        <v>1075</v>
      </c>
      <c r="X3397" s="296">
        <v>3.0000000000000001E-3</v>
      </c>
    </row>
    <row r="3398" spans="13:24">
      <c r="M3398">
        <v>3396</v>
      </c>
      <c r="N3398">
        <v>36054</v>
      </c>
      <c r="O3398" t="s">
        <v>2376</v>
      </c>
      <c r="P3398" t="s">
        <v>154</v>
      </c>
      <c r="Q3398">
        <v>671</v>
      </c>
      <c r="R3398" s="296">
        <v>0</v>
      </c>
      <c r="S3398" s="296">
        <v>0.99439999999999995</v>
      </c>
      <c r="T3398" s="297">
        <v>6222</v>
      </c>
      <c r="U3398" s="340">
        <v>80947</v>
      </c>
      <c r="V3398" s="340">
        <v>223300</v>
      </c>
      <c r="W3398" s="297">
        <v>15490</v>
      </c>
      <c r="X3398" s="296">
        <v>5.0000000000000001E-3</v>
      </c>
    </row>
    <row r="3399" spans="13:24">
      <c r="M3399">
        <v>3397</v>
      </c>
      <c r="N3399">
        <v>17084</v>
      </c>
      <c r="O3399" t="s">
        <v>2377</v>
      </c>
      <c r="P3399" t="s">
        <v>133</v>
      </c>
      <c r="Q3399">
        <v>536</v>
      </c>
      <c r="R3399" s="296">
        <v>0</v>
      </c>
      <c r="S3399" s="296">
        <v>0.99439999999999995</v>
      </c>
      <c r="T3399" s="297">
        <v>1720</v>
      </c>
      <c r="U3399" s="340">
        <v>80946</v>
      </c>
      <c r="V3399" s="340">
        <v>238260</v>
      </c>
      <c r="W3399" s="297">
        <v>4292</v>
      </c>
      <c r="X3399" s="296">
        <v>-4.0000000000000001E-3</v>
      </c>
    </row>
    <row r="3400" spans="13:24">
      <c r="M3400">
        <v>3398</v>
      </c>
      <c r="N3400">
        <v>68104</v>
      </c>
      <c r="O3400" t="s">
        <v>337</v>
      </c>
      <c r="P3400" t="s">
        <v>195</v>
      </c>
      <c r="Q3400">
        <v>427</v>
      </c>
      <c r="R3400" s="296">
        <v>0</v>
      </c>
      <c r="S3400" s="296">
        <v>0.99439999999999995</v>
      </c>
      <c r="T3400" s="297">
        <v>14065</v>
      </c>
      <c r="U3400" s="340">
        <v>80944</v>
      </c>
      <c r="V3400" s="340">
        <v>280695</v>
      </c>
      <c r="W3400" s="297">
        <v>36608</v>
      </c>
      <c r="X3400" s="296">
        <v>1E-3</v>
      </c>
    </row>
    <row r="3401" spans="13:24">
      <c r="M3401">
        <v>3399</v>
      </c>
      <c r="N3401">
        <v>86046</v>
      </c>
      <c r="O3401" t="s">
        <v>2378</v>
      </c>
      <c r="P3401" t="s">
        <v>158</v>
      </c>
      <c r="Q3401">
        <v>1383</v>
      </c>
      <c r="R3401" s="296">
        <v>0</v>
      </c>
      <c r="S3401" s="296">
        <v>0.99439999999999995</v>
      </c>
      <c r="T3401" s="297">
        <v>3482</v>
      </c>
      <c r="U3401" s="340">
        <v>80907</v>
      </c>
      <c r="V3401" s="340">
        <v>450851</v>
      </c>
      <c r="W3401" s="297">
        <v>8340</v>
      </c>
      <c r="X3401" s="296">
        <v>1.2E-2</v>
      </c>
    </row>
    <row r="3402" spans="13:24">
      <c r="M3402">
        <v>3400</v>
      </c>
      <c r="N3402">
        <v>54112</v>
      </c>
      <c r="O3402" t="s">
        <v>2379</v>
      </c>
      <c r="P3402" t="s">
        <v>149</v>
      </c>
      <c r="Q3402">
        <v>203</v>
      </c>
      <c r="R3402" s="296">
        <v>0</v>
      </c>
      <c r="S3402" s="296">
        <v>0.99450000000000005</v>
      </c>
      <c r="T3402">
        <v>966</v>
      </c>
      <c r="U3402" s="340">
        <v>80875</v>
      </c>
      <c r="V3402" s="340">
        <v>245353</v>
      </c>
      <c r="W3402" s="297">
        <v>2293</v>
      </c>
      <c r="X3402" s="296">
        <v>-5.0000000000000001E-3</v>
      </c>
    </row>
    <row r="3403" spans="13:24">
      <c r="M3403">
        <v>3401</v>
      </c>
      <c r="N3403">
        <v>28147</v>
      </c>
      <c r="O3403" t="s">
        <v>733</v>
      </c>
      <c r="P3403" t="s">
        <v>138</v>
      </c>
      <c r="Q3403">
        <v>592</v>
      </c>
      <c r="R3403" s="296">
        <v>0</v>
      </c>
      <c r="S3403" s="296">
        <v>0.99450000000000005</v>
      </c>
      <c r="T3403" s="297">
        <v>10456</v>
      </c>
      <c r="U3403" s="340">
        <v>80799</v>
      </c>
      <c r="V3403" s="340">
        <v>297620</v>
      </c>
      <c r="W3403" s="297">
        <v>27149</v>
      </c>
      <c r="X3403" s="296">
        <v>5.0000000000000001E-3</v>
      </c>
    </row>
    <row r="3404" spans="13:24">
      <c r="M3404">
        <v>3402</v>
      </c>
      <c r="N3404">
        <v>59645</v>
      </c>
      <c r="O3404" t="s">
        <v>2380</v>
      </c>
      <c r="P3404" t="s">
        <v>190</v>
      </c>
      <c r="Q3404">
        <v>1181</v>
      </c>
      <c r="R3404" s="296">
        <v>0</v>
      </c>
      <c r="S3404" s="296">
        <v>0.99450000000000005</v>
      </c>
      <c r="T3404">
        <v>765</v>
      </c>
      <c r="U3404" s="340">
        <v>80770</v>
      </c>
      <c r="V3404" s="340">
        <v>608480</v>
      </c>
      <c r="W3404" s="297">
        <v>1712</v>
      </c>
      <c r="X3404" s="296">
        <v>1E-3</v>
      </c>
    </row>
    <row r="3405" spans="13:24">
      <c r="M3405">
        <v>3403</v>
      </c>
      <c r="N3405">
        <v>21222</v>
      </c>
      <c r="O3405" t="s">
        <v>2381</v>
      </c>
      <c r="P3405" t="s">
        <v>137</v>
      </c>
      <c r="Q3405">
        <v>624</v>
      </c>
      <c r="R3405" s="296">
        <v>0</v>
      </c>
      <c r="S3405" s="296">
        <v>0.99450000000000005</v>
      </c>
      <c r="T3405" s="297">
        <v>22398</v>
      </c>
      <c r="U3405" s="340">
        <v>80737</v>
      </c>
      <c r="V3405" s="340">
        <v>355682</v>
      </c>
      <c r="W3405" s="297">
        <v>59087</v>
      </c>
      <c r="X3405" s="296">
        <v>0</v>
      </c>
    </row>
    <row r="3406" spans="13:24">
      <c r="M3406">
        <v>3404</v>
      </c>
      <c r="N3406">
        <v>2120</v>
      </c>
      <c r="O3406" t="s">
        <v>371</v>
      </c>
      <c r="P3406" t="s">
        <v>135</v>
      </c>
      <c r="Q3406">
        <v>853</v>
      </c>
      <c r="R3406" s="296">
        <v>0</v>
      </c>
      <c r="S3406" s="296">
        <v>0.99450000000000005</v>
      </c>
      <c r="T3406" s="297">
        <v>6399</v>
      </c>
      <c r="U3406" s="340">
        <v>80725</v>
      </c>
      <c r="V3406" s="340">
        <v>866056</v>
      </c>
      <c r="W3406" s="297">
        <v>19404</v>
      </c>
      <c r="X3406" s="296">
        <v>-4.0000000000000001E-3</v>
      </c>
    </row>
    <row r="3407" spans="13:24">
      <c r="M3407">
        <v>3405</v>
      </c>
      <c r="N3407">
        <v>33860</v>
      </c>
      <c r="O3407" t="s">
        <v>2382</v>
      </c>
      <c r="P3407" t="s">
        <v>127</v>
      </c>
      <c r="Q3407">
        <v>1037</v>
      </c>
      <c r="R3407" s="296">
        <v>0</v>
      </c>
      <c r="S3407" s="296">
        <v>0.99450000000000005</v>
      </c>
      <c r="T3407" s="297">
        <v>8792</v>
      </c>
      <c r="U3407" s="340">
        <v>80696</v>
      </c>
      <c r="V3407" s="340">
        <v>260222</v>
      </c>
      <c r="W3407" s="297">
        <v>25398</v>
      </c>
      <c r="X3407" s="296">
        <v>7.0000000000000001E-3</v>
      </c>
    </row>
    <row r="3408" spans="13:24">
      <c r="M3408">
        <v>3406</v>
      </c>
      <c r="N3408">
        <v>75243</v>
      </c>
      <c r="O3408" t="s">
        <v>338</v>
      </c>
      <c r="P3408" t="s">
        <v>134</v>
      </c>
      <c r="Q3408">
        <v>804</v>
      </c>
      <c r="R3408" s="296">
        <v>0</v>
      </c>
      <c r="S3408" s="296">
        <v>0.99450000000000005</v>
      </c>
      <c r="T3408" s="297">
        <v>25575</v>
      </c>
      <c r="U3408" s="340">
        <v>80677</v>
      </c>
      <c r="V3408" s="340">
        <v>439354</v>
      </c>
      <c r="W3408" s="297">
        <v>59442</v>
      </c>
      <c r="X3408" s="296">
        <v>-6.0000000000000001E-3</v>
      </c>
    </row>
    <row r="3409" spans="13:24">
      <c r="M3409">
        <v>3407</v>
      </c>
      <c r="N3409">
        <v>46173</v>
      </c>
      <c r="O3409" t="s">
        <v>826</v>
      </c>
      <c r="P3409" t="s">
        <v>144</v>
      </c>
      <c r="Q3409">
        <v>214</v>
      </c>
      <c r="R3409" s="296">
        <v>0</v>
      </c>
      <c r="S3409" s="296">
        <v>0.99450000000000005</v>
      </c>
      <c r="T3409" s="297">
        <v>4207</v>
      </c>
      <c r="U3409" s="340">
        <v>80575</v>
      </c>
      <c r="V3409" s="340">
        <v>230947</v>
      </c>
      <c r="W3409" s="297">
        <v>10420</v>
      </c>
      <c r="X3409" s="296">
        <v>-1E-3</v>
      </c>
    </row>
    <row r="3410" spans="13:24">
      <c r="M3410">
        <v>3408</v>
      </c>
      <c r="N3410">
        <v>41016</v>
      </c>
      <c r="O3410" t="s">
        <v>2122</v>
      </c>
      <c r="P3410" t="s">
        <v>143</v>
      </c>
      <c r="Q3410">
        <v>271</v>
      </c>
      <c r="R3410" s="296">
        <v>0</v>
      </c>
      <c r="S3410" s="296">
        <v>0.99460000000000004</v>
      </c>
      <c r="T3410" s="297">
        <v>2467</v>
      </c>
      <c r="U3410" s="340">
        <v>80535</v>
      </c>
      <c r="V3410" s="340">
        <v>262138</v>
      </c>
      <c r="W3410" s="297">
        <v>5554</v>
      </c>
      <c r="X3410" s="296">
        <v>-2E-3</v>
      </c>
    </row>
    <row r="3411" spans="13:24">
      <c r="M3411">
        <v>3409</v>
      </c>
      <c r="N3411">
        <v>46932</v>
      </c>
      <c r="O3411" t="s">
        <v>832</v>
      </c>
      <c r="P3411" t="s">
        <v>144</v>
      </c>
      <c r="Q3411">
        <v>136</v>
      </c>
      <c r="R3411" s="296">
        <v>0</v>
      </c>
      <c r="S3411" s="296">
        <v>0.99460000000000004</v>
      </c>
      <c r="T3411" s="297">
        <v>1381</v>
      </c>
      <c r="U3411" s="340">
        <v>80532</v>
      </c>
      <c r="V3411" s="340">
        <v>203413</v>
      </c>
      <c r="W3411" s="297">
        <v>3228</v>
      </c>
      <c r="X3411" s="296">
        <v>-1E-3</v>
      </c>
    </row>
    <row r="3412" spans="13:24">
      <c r="M3412">
        <v>3410</v>
      </c>
      <c r="N3412">
        <v>49026</v>
      </c>
      <c r="O3412" t="s">
        <v>899</v>
      </c>
      <c r="P3412" t="s">
        <v>140</v>
      </c>
      <c r="Q3412">
        <v>94</v>
      </c>
      <c r="R3412" s="296">
        <v>0</v>
      </c>
      <c r="S3412" s="296">
        <v>0.99460000000000004</v>
      </c>
      <c r="T3412">
        <v>814</v>
      </c>
      <c r="U3412" s="340">
        <v>80508</v>
      </c>
      <c r="V3412" s="340">
        <v>311747</v>
      </c>
      <c r="W3412" s="297">
        <v>2094</v>
      </c>
      <c r="X3412" s="296">
        <v>6.0000000000000001E-3</v>
      </c>
    </row>
    <row r="3413" spans="13:24">
      <c r="M3413">
        <v>3411</v>
      </c>
      <c r="N3413">
        <v>42120</v>
      </c>
      <c r="O3413" t="s">
        <v>2383</v>
      </c>
      <c r="P3413" t="s">
        <v>143</v>
      </c>
      <c r="Q3413">
        <v>387</v>
      </c>
      <c r="R3413" s="296">
        <v>0</v>
      </c>
      <c r="S3413" s="296">
        <v>0.99460000000000004</v>
      </c>
      <c r="T3413">
        <v>964</v>
      </c>
      <c r="U3413" s="340">
        <v>80489</v>
      </c>
      <c r="V3413" s="340">
        <v>217415</v>
      </c>
      <c r="W3413" s="297">
        <v>2535</v>
      </c>
      <c r="X3413" s="296">
        <v>2E-3</v>
      </c>
    </row>
    <row r="3414" spans="13:24">
      <c r="M3414">
        <v>3412</v>
      </c>
      <c r="N3414">
        <v>32087</v>
      </c>
      <c r="O3414" t="s">
        <v>2384</v>
      </c>
      <c r="P3414" t="s">
        <v>127</v>
      </c>
      <c r="Q3414">
        <v>867</v>
      </c>
      <c r="R3414" s="296">
        <v>0</v>
      </c>
      <c r="S3414" s="296">
        <v>0.99460000000000004</v>
      </c>
      <c r="T3414" s="297">
        <v>1502</v>
      </c>
      <c r="U3414" s="340">
        <v>80409</v>
      </c>
      <c r="V3414" s="340">
        <v>227971</v>
      </c>
      <c r="W3414" s="297">
        <v>4615</v>
      </c>
      <c r="X3414" s="296">
        <v>-4.2000000000000003E-2</v>
      </c>
    </row>
    <row r="3415" spans="13:24">
      <c r="M3415">
        <v>3413</v>
      </c>
      <c r="N3415">
        <v>40351</v>
      </c>
      <c r="O3415" t="s">
        <v>2385</v>
      </c>
      <c r="P3415" t="s">
        <v>143</v>
      </c>
      <c r="Q3415">
        <v>357</v>
      </c>
      <c r="R3415" s="296">
        <v>0</v>
      </c>
      <c r="S3415" s="296">
        <v>0.99460000000000004</v>
      </c>
      <c r="T3415" s="297">
        <v>8175</v>
      </c>
      <c r="U3415" s="340">
        <v>80396</v>
      </c>
      <c r="V3415" s="340">
        <v>215952</v>
      </c>
      <c r="W3415" s="297">
        <v>21949</v>
      </c>
      <c r="X3415" s="296">
        <v>-3.0000000000000001E-3</v>
      </c>
    </row>
    <row r="3416" spans="13:24">
      <c r="M3416">
        <v>3414</v>
      </c>
      <c r="N3416">
        <v>29105</v>
      </c>
      <c r="O3416" t="s">
        <v>2386</v>
      </c>
      <c r="P3416" t="s">
        <v>145</v>
      </c>
      <c r="Q3416">
        <v>669</v>
      </c>
      <c r="R3416" s="296">
        <v>0</v>
      </c>
      <c r="S3416" s="296">
        <v>0.99460000000000004</v>
      </c>
      <c r="T3416">
        <v>604</v>
      </c>
      <c r="U3416" s="340">
        <v>80305</v>
      </c>
      <c r="V3416" s="340">
        <v>452760</v>
      </c>
      <c r="W3416" s="297">
        <v>1544</v>
      </c>
      <c r="X3416" s="296">
        <v>1.2E-2</v>
      </c>
    </row>
    <row r="3417" spans="13:24">
      <c r="M3417">
        <v>3415</v>
      </c>
      <c r="N3417">
        <v>32159</v>
      </c>
      <c r="O3417" t="s">
        <v>2387</v>
      </c>
      <c r="P3417" t="s">
        <v>127</v>
      </c>
      <c r="Q3417">
        <v>971</v>
      </c>
      <c r="R3417" s="296">
        <v>0</v>
      </c>
      <c r="S3417" s="296">
        <v>0.99460000000000004</v>
      </c>
      <c r="T3417" s="297">
        <v>16702</v>
      </c>
      <c r="U3417" s="340">
        <v>80264</v>
      </c>
      <c r="V3417" s="340">
        <v>349490</v>
      </c>
      <c r="W3417" s="297">
        <v>31137</v>
      </c>
      <c r="X3417" s="296">
        <v>1.0999999999999999E-2</v>
      </c>
    </row>
    <row r="3418" spans="13:24">
      <c r="M3418">
        <v>3416</v>
      </c>
      <c r="N3418">
        <v>43055</v>
      </c>
      <c r="O3418" t="s">
        <v>300</v>
      </c>
      <c r="P3418" t="s">
        <v>136</v>
      </c>
      <c r="Q3418">
        <v>315</v>
      </c>
      <c r="R3418" s="296">
        <v>0</v>
      </c>
      <c r="S3418" s="296">
        <v>0.99470000000000003</v>
      </c>
      <c r="T3418" s="297">
        <v>25834</v>
      </c>
      <c r="U3418" s="340">
        <v>80210</v>
      </c>
      <c r="V3418" s="340">
        <v>286996</v>
      </c>
      <c r="W3418" s="297">
        <v>63147</v>
      </c>
      <c r="X3418" s="296">
        <v>3.0000000000000001E-3</v>
      </c>
    </row>
    <row r="3419" spans="13:24">
      <c r="M3419">
        <v>3417</v>
      </c>
      <c r="N3419">
        <v>35444</v>
      </c>
      <c r="O3419" t="s">
        <v>2388</v>
      </c>
      <c r="P3419" t="s">
        <v>154</v>
      </c>
      <c r="Q3419">
        <v>613</v>
      </c>
      <c r="R3419" s="296">
        <v>0</v>
      </c>
      <c r="S3419" s="296">
        <v>0.99470000000000003</v>
      </c>
      <c r="T3419" s="297">
        <v>1763</v>
      </c>
      <c r="U3419" s="340">
        <v>80191</v>
      </c>
      <c r="V3419" s="340">
        <v>254625</v>
      </c>
      <c r="W3419" s="297">
        <v>4670</v>
      </c>
      <c r="X3419" s="296">
        <v>4.0000000000000001E-3</v>
      </c>
    </row>
    <row r="3420" spans="13:24">
      <c r="M3420">
        <v>3418</v>
      </c>
      <c r="N3420">
        <v>78566</v>
      </c>
      <c r="O3420" t="s">
        <v>2389</v>
      </c>
      <c r="P3420" t="s">
        <v>134</v>
      </c>
      <c r="Q3420">
        <v>1235</v>
      </c>
      <c r="R3420" s="296">
        <v>0</v>
      </c>
      <c r="S3420" s="296">
        <v>0.99470000000000003</v>
      </c>
      <c r="T3420" s="297">
        <v>7148</v>
      </c>
      <c r="U3420" s="340">
        <v>80168</v>
      </c>
      <c r="V3420" s="340">
        <v>225397</v>
      </c>
      <c r="W3420" s="297">
        <v>25324</v>
      </c>
      <c r="X3420" s="296">
        <v>1.2999999999999999E-2</v>
      </c>
    </row>
    <row r="3421" spans="13:24">
      <c r="M3421">
        <v>3419</v>
      </c>
      <c r="N3421">
        <v>63645</v>
      </c>
      <c r="O3421" t="s">
        <v>2390</v>
      </c>
      <c r="P3421" t="s">
        <v>186</v>
      </c>
      <c r="Q3421">
        <v>347</v>
      </c>
      <c r="R3421" s="296">
        <v>0</v>
      </c>
      <c r="S3421" s="296">
        <v>0.99470000000000003</v>
      </c>
      <c r="T3421" s="297">
        <v>4761</v>
      </c>
      <c r="U3421" s="340">
        <v>80098</v>
      </c>
      <c r="V3421" s="340">
        <v>232243</v>
      </c>
      <c r="W3421" s="297">
        <v>11969</v>
      </c>
      <c r="X3421" s="296">
        <v>-1E-3</v>
      </c>
    </row>
    <row r="3422" spans="13:24">
      <c r="M3422">
        <v>3420</v>
      </c>
      <c r="N3422">
        <v>28023</v>
      </c>
      <c r="O3422" t="s">
        <v>2391</v>
      </c>
      <c r="P3422" t="s">
        <v>138</v>
      </c>
      <c r="Q3422">
        <v>596</v>
      </c>
      <c r="R3422" s="296">
        <v>0</v>
      </c>
      <c r="S3422" s="296">
        <v>0.99470000000000003</v>
      </c>
      <c r="T3422" s="297">
        <v>5937</v>
      </c>
      <c r="U3422" s="340">
        <v>80098</v>
      </c>
      <c r="V3422" s="340">
        <v>329686</v>
      </c>
      <c r="W3422" s="297">
        <v>15223</v>
      </c>
      <c r="X3422" s="296">
        <v>4.0000000000000001E-3</v>
      </c>
    </row>
    <row r="3423" spans="13:24">
      <c r="M3423">
        <v>3421</v>
      </c>
      <c r="N3423">
        <v>90022</v>
      </c>
      <c r="O3423" t="s">
        <v>309</v>
      </c>
      <c r="P3423" t="s">
        <v>132</v>
      </c>
      <c r="Q3423">
        <v>1733</v>
      </c>
      <c r="R3423" s="296">
        <v>0</v>
      </c>
      <c r="S3423" s="296">
        <v>0.99470000000000003</v>
      </c>
      <c r="T3423" s="297">
        <v>17278</v>
      </c>
      <c r="U3423" s="340">
        <v>80062</v>
      </c>
      <c r="V3423" s="340">
        <v>709177</v>
      </c>
      <c r="W3423" s="297">
        <v>61811</v>
      </c>
      <c r="X3423" s="296">
        <v>-0.01</v>
      </c>
    </row>
    <row r="3424" spans="13:24">
      <c r="M3424">
        <v>3422</v>
      </c>
      <c r="N3424">
        <v>44312</v>
      </c>
      <c r="O3424" t="s">
        <v>844</v>
      </c>
      <c r="P3424" t="s">
        <v>136</v>
      </c>
      <c r="Q3424">
        <v>337</v>
      </c>
      <c r="R3424" s="296">
        <v>0</v>
      </c>
      <c r="S3424" s="296">
        <v>0.99470000000000003</v>
      </c>
      <c r="T3424" s="297">
        <v>13504</v>
      </c>
      <c r="U3424" s="340">
        <v>79958</v>
      </c>
      <c r="V3424" s="340">
        <v>188860</v>
      </c>
      <c r="W3424" s="297">
        <v>29740</v>
      </c>
      <c r="X3424" s="296">
        <v>-5.0000000000000001E-3</v>
      </c>
    </row>
    <row r="3425" spans="13:24">
      <c r="M3425">
        <v>3423</v>
      </c>
      <c r="N3425">
        <v>68863</v>
      </c>
      <c r="O3425" t="s">
        <v>2392</v>
      </c>
      <c r="P3425" t="s">
        <v>195</v>
      </c>
      <c r="Q3425">
        <v>614</v>
      </c>
      <c r="R3425" s="296">
        <v>0</v>
      </c>
      <c r="S3425" s="296">
        <v>0.99470000000000003</v>
      </c>
      <c r="T3425">
        <v>412</v>
      </c>
      <c r="U3425" s="340">
        <v>79891</v>
      </c>
      <c r="V3425" s="340">
        <v>251589</v>
      </c>
      <c r="W3425" s="297">
        <v>1087</v>
      </c>
      <c r="X3425" s="296">
        <v>-8.9999999999999993E-3</v>
      </c>
    </row>
    <row r="3426" spans="13:24">
      <c r="M3426">
        <v>3424</v>
      </c>
      <c r="N3426">
        <v>62246</v>
      </c>
      <c r="O3426" t="s">
        <v>670</v>
      </c>
      <c r="P3426" t="s">
        <v>131</v>
      </c>
      <c r="Q3426">
        <v>241</v>
      </c>
      <c r="R3426" s="296">
        <v>0</v>
      </c>
      <c r="S3426" s="296">
        <v>0.99480000000000002</v>
      </c>
      <c r="T3426" s="297">
        <v>3395</v>
      </c>
      <c r="U3426" s="340">
        <v>79890</v>
      </c>
      <c r="V3426" s="340">
        <v>184743</v>
      </c>
      <c r="W3426" s="297">
        <v>9642</v>
      </c>
      <c r="X3426" s="296">
        <v>-1.2E-2</v>
      </c>
    </row>
    <row r="3427" spans="13:24">
      <c r="M3427">
        <v>3425</v>
      </c>
      <c r="N3427">
        <v>62448</v>
      </c>
      <c r="O3427" t="s">
        <v>402</v>
      </c>
      <c r="P3427" t="s">
        <v>131</v>
      </c>
      <c r="Q3427">
        <v>220</v>
      </c>
      <c r="R3427" s="296">
        <v>0</v>
      </c>
      <c r="S3427" s="296">
        <v>0.99480000000000002</v>
      </c>
      <c r="T3427" s="297">
        <v>2310</v>
      </c>
      <c r="U3427" s="340">
        <v>79864</v>
      </c>
      <c r="V3427" s="340">
        <v>191781</v>
      </c>
      <c r="W3427" s="297">
        <v>5465</v>
      </c>
      <c r="X3427" s="296">
        <v>-7.0000000000000001E-3</v>
      </c>
    </row>
    <row r="3428" spans="13:24">
      <c r="M3428">
        <v>3426</v>
      </c>
      <c r="N3428">
        <v>47326</v>
      </c>
      <c r="O3428" t="s">
        <v>2195</v>
      </c>
      <c r="P3428" t="s">
        <v>144</v>
      </c>
      <c r="Q3428">
        <v>184</v>
      </c>
      <c r="R3428" s="296">
        <v>0</v>
      </c>
      <c r="S3428" s="296">
        <v>0.99480000000000002</v>
      </c>
      <c r="T3428">
        <v>578</v>
      </c>
      <c r="U3428" s="340">
        <v>79814</v>
      </c>
      <c r="V3428" s="340">
        <v>294912</v>
      </c>
      <c r="W3428" s="297">
        <v>2142</v>
      </c>
      <c r="X3428" s="296">
        <v>-1.2E-2</v>
      </c>
    </row>
    <row r="3429" spans="13:24">
      <c r="M3429">
        <v>3427</v>
      </c>
      <c r="N3429">
        <v>45449</v>
      </c>
      <c r="O3429" t="s">
        <v>767</v>
      </c>
      <c r="P3429" t="s">
        <v>136</v>
      </c>
      <c r="Q3429">
        <v>252</v>
      </c>
      <c r="R3429" s="296">
        <v>0</v>
      </c>
      <c r="S3429" s="296">
        <v>0.99480000000000002</v>
      </c>
      <c r="T3429" s="297">
        <v>8721</v>
      </c>
      <c r="U3429" s="340">
        <v>79808</v>
      </c>
      <c r="V3429" s="340">
        <v>209314</v>
      </c>
      <c r="W3429" s="297">
        <v>19109</v>
      </c>
      <c r="X3429" s="296">
        <v>-5.0000000000000001E-3</v>
      </c>
    </row>
    <row r="3430" spans="13:24">
      <c r="M3430">
        <v>3428</v>
      </c>
      <c r="N3430">
        <v>79549</v>
      </c>
      <c r="O3430" t="s">
        <v>2393</v>
      </c>
      <c r="P3430" t="s">
        <v>134</v>
      </c>
      <c r="Q3430">
        <v>953</v>
      </c>
      <c r="R3430" s="296">
        <v>0</v>
      </c>
      <c r="S3430" s="296">
        <v>0.99480000000000002</v>
      </c>
      <c r="T3430" s="297">
        <v>5371</v>
      </c>
      <c r="U3430" s="340">
        <v>79798</v>
      </c>
      <c r="V3430" s="340">
        <v>180883</v>
      </c>
      <c r="W3430" s="297">
        <v>15350</v>
      </c>
      <c r="X3430" s="296">
        <v>-3.0000000000000001E-3</v>
      </c>
    </row>
    <row r="3431" spans="13:24">
      <c r="M3431">
        <v>3429</v>
      </c>
      <c r="N3431">
        <v>54456</v>
      </c>
      <c r="O3431" t="s">
        <v>2394</v>
      </c>
      <c r="P3431" t="s">
        <v>149</v>
      </c>
      <c r="Q3431">
        <v>219</v>
      </c>
      <c r="R3431" s="296">
        <v>0</v>
      </c>
      <c r="S3431" s="296">
        <v>0.99480000000000002</v>
      </c>
      <c r="T3431" s="297">
        <v>2487</v>
      </c>
      <c r="U3431" s="340">
        <v>79793</v>
      </c>
      <c r="V3431" s="340">
        <v>241051</v>
      </c>
      <c r="W3431" s="297">
        <v>5669</v>
      </c>
      <c r="X3431" s="296">
        <v>-7.0000000000000001E-3</v>
      </c>
    </row>
    <row r="3432" spans="13:24">
      <c r="M3432">
        <v>3430</v>
      </c>
      <c r="N3432">
        <v>97401</v>
      </c>
      <c r="O3432" t="s">
        <v>347</v>
      </c>
      <c r="P3432" t="s">
        <v>207</v>
      </c>
      <c r="Q3432">
        <v>1772</v>
      </c>
      <c r="R3432" s="296">
        <v>0</v>
      </c>
      <c r="S3432" s="296">
        <v>0.99480000000000002</v>
      </c>
      <c r="T3432" s="297">
        <v>22293</v>
      </c>
      <c r="U3432" s="340">
        <v>79793</v>
      </c>
      <c r="V3432" s="340">
        <v>590917</v>
      </c>
      <c r="W3432" s="297">
        <v>47161</v>
      </c>
      <c r="X3432" s="296">
        <v>8.0000000000000002E-3</v>
      </c>
    </row>
    <row r="3433" spans="13:24">
      <c r="M3433">
        <v>3431</v>
      </c>
      <c r="N3433">
        <v>21740</v>
      </c>
      <c r="O3433" t="s">
        <v>719</v>
      </c>
      <c r="P3433" t="s">
        <v>137</v>
      </c>
      <c r="Q3433">
        <v>553</v>
      </c>
      <c r="R3433" s="296">
        <v>0</v>
      </c>
      <c r="S3433" s="296">
        <v>0.99480000000000002</v>
      </c>
      <c r="T3433" s="297">
        <v>25958</v>
      </c>
      <c r="U3433" s="340">
        <v>79672</v>
      </c>
      <c r="V3433" s="340">
        <v>342791</v>
      </c>
      <c r="W3433" s="297">
        <v>67846</v>
      </c>
      <c r="X3433" s="296">
        <v>6.0000000000000001E-3</v>
      </c>
    </row>
    <row r="3434" spans="13:24">
      <c r="M3434">
        <v>3432</v>
      </c>
      <c r="N3434">
        <v>54646</v>
      </c>
      <c r="O3434" t="s">
        <v>2395</v>
      </c>
      <c r="P3434" t="s">
        <v>149</v>
      </c>
      <c r="Q3434">
        <v>174</v>
      </c>
      <c r="R3434" s="296">
        <v>0</v>
      </c>
      <c r="S3434" s="296">
        <v>0.99490000000000001</v>
      </c>
      <c r="T3434" s="297">
        <v>1689</v>
      </c>
      <c r="U3434" s="340">
        <v>79671</v>
      </c>
      <c r="V3434" s="340">
        <v>246316</v>
      </c>
      <c r="W3434" s="297">
        <v>4019</v>
      </c>
      <c r="X3434" s="296">
        <v>0</v>
      </c>
    </row>
    <row r="3435" spans="13:24">
      <c r="M3435">
        <v>3433</v>
      </c>
      <c r="N3435">
        <v>2860</v>
      </c>
      <c r="O3435" t="s">
        <v>404</v>
      </c>
      <c r="P3435" t="s">
        <v>212</v>
      </c>
      <c r="Q3435">
        <v>841</v>
      </c>
      <c r="R3435" s="296">
        <v>0</v>
      </c>
      <c r="S3435" s="296">
        <v>0.99490000000000001</v>
      </c>
      <c r="T3435" s="297">
        <v>20655</v>
      </c>
      <c r="U3435" s="340">
        <v>79629</v>
      </c>
      <c r="V3435" s="340">
        <v>383123</v>
      </c>
      <c r="W3435" s="297">
        <v>48883</v>
      </c>
      <c r="X3435" s="296">
        <v>5.0000000000000001E-3</v>
      </c>
    </row>
    <row r="3436" spans="13:24">
      <c r="M3436">
        <v>3434</v>
      </c>
      <c r="N3436">
        <v>24084</v>
      </c>
      <c r="O3436" t="s">
        <v>1271</v>
      </c>
      <c r="P3436" t="s">
        <v>139</v>
      </c>
      <c r="Q3436">
        <v>514</v>
      </c>
      <c r="R3436" s="296">
        <v>0</v>
      </c>
      <c r="S3436" s="296">
        <v>0.99490000000000001</v>
      </c>
      <c r="T3436" s="297">
        <v>4506</v>
      </c>
      <c r="U3436" s="340">
        <v>79566</v>
      </c>
      <c r="V3436" s="340">
        <v>361038</v>
      </c>
      <c r="W3436" s="297">
        <v>10873</v>
      </c>
      <c r="X3436" s="296">
        <v>-2E-3</v>
      </c>
    </row>
    <row r="3437" spans="13:24">
      <c r="M3437">
        <v>3435</v>
      </c>
      <c r="N3437">
        <v>45601</v>
      </c>
      <c r="O3437" t="s">
        <v>2096</v>
      </c>
      <c r="P3437" t="s">
        <v>136</v>
      </c>
      <c r="Q3437">
        <v>317</v>
      </c>
      <c r="R3437" s="296">
        <v>0</v>
      </c>
      <c r="S3437" s="296">
        <v>0.99490000000000001</v>
      </c>
      <c r="T3437" s="297">
        <v>21615</v>
      </c>
      <c r="U3437" s="340">
        <v>79565</v>
      </c>
      <c r="V3437" s="340">
        <v>219766</v>
      </c>
      <c r="W3437" s="297">
        <v>56081</v>
      </c>
      <c r="X3437" s="296">
        <v>-1E-3</v>
      </c>
    </row>
    <row r="3438" spans="13:24">
      <c r="M3438">
        <v>3436</v>
      </c>
      <c r="N3438">
        <v>32277</v>
      </c>
      <c r="O3438" t="s">
        <v>331</v>
      </c>
      <c r="P3438" t="s">
        <v>127</v>
      </c>
      <c r="Q3438">
        <v>883</v>
      </c>
      <c r="R3438" s="296">
        <v>0</v>
      </c>
      <c r="S3438" s="296">
        <v>0.99490000000000001</v>
      </c>
      <c r="T3438" s="297">
        <v>12031</v>
      </c>
      <c r="U3438" s="340">
        <v>79559</v>
      </c>
      <c r="V3438" s="340">
        <v>382385</v>
      </c>
      <c r="W3438" s="297">
        <v>31739</v>
      </c>
      <c r="X3438" s="296">
        <v>-3.0000000000000001E-3</v>
      </c>
    </row>
    <row r="3439" spans="13:24">
      <c r="M3439">
        <v>3437</v>
      </c>
      <c r="N3439">
        <v>63112</v>
      </c>
      <c r="O3439" t="s">
        <v>536</v>
      </c>
      <c r="P3439" t="s">
        <v>186</v>
      </c>
      <c r="Q3439">
        <v>274</v>
      </c>
      <c r="R3439" s="296">
        <v>0</v>
      </c>
      <c r="S3439" s="296">
        <v>0.99490000000000001</v>
      </c>
      <c r="T3439" s="297">
        <v>9472</v>
      </c>
      <c r="U3439" s="340">
        <v>79499</v>
      </c>
      <c r="V3439" s="340">
        <v>310316</v>
      </c>
      <c r="W3439" s="297">
        <v>19139</v>
      </c>
      <c r="X3439" s="296">
        <v>-2E-3</v>
      </c>
    </row>
    <row r="3440" spans="13:24">
      <c r="M3440">
        <v>3438</v>
      </c>
      <c r="N3440">
        <v>54665</v>
      </c>
      <c r="O3440" t="s">
        <v>2396</v>
      </c>
      <c r="P3440" t="s">
        <v>149</v>
      </c>
      <c r="Q3440">
        <v>185</v>
      </c>
      <c r="R3440" s="296">
        <v>0</v>
      </c>
      <c r="S3440" s="296">
        <v>0.99490000000000001</v>
      </c>
      <c r="T3440" s="297">
        <v>3636</v>
      </c>
      <c r="U3440" s="340">
        <v>79410</v>
      </c>
      <c r="V3440" s="340">
        <v>321327</v>
      </c>
      <c r="W3440" s="297">
        <v>8817</v>
      </c>
      <c r="X3440" s="296">
        <v>4.0000000000000001E-3</v>
      </c>
    </row>
    <row r="3441" spans="13:24">
      <c r="M3441">
        <v>3439</v>
      </c>
      <c r="N3441">
        <v>78412</v>
      </c>
      <c r="O3441" t="s">
        <v>1540</v>
      </c>
      <c r="P3441" t="s">
        <v>134</v>
      </c>
      <c r="Q3441">
        <v>1133</v>
      </c>
      <c r="R3441" s="296">
        <v>0</v>
      </c>
      <c r="S3441" s="296">
        <v>0.99490000000000001</v>
      </c>
      <c r="T3441" s="297">
        <v>15605</v>
      </c>
      <c r="U3441" s="340">
        <v>79399</v>
      </c>
      <c r="V3441" s="340">
        <v>287011</v>
      </c>
      <c r="W3441" s="297">
        <v>38264</v>
      </c>
      <c r="X3441" s="296">
        <v>-3.0000000000000001E-3</v>
      </c>
    </row>
    <row r="3442" spans="13:24">
      <c r="M3442">
        <v>3440</v>
      </c>
      <c r="N3442">
        <v>89431</v>
      </c>
      <c r="O3442" t="s">
        <v>1772</v>
      </c>
      <c r="P3442" t="s">
        <v>148</v>
      </c>
      <c r="Q3442">
        <v>1671</v>
      </c>
      <c r="R3442" s="296">
        <v>0</v>
      </c>
      <c r="S3442" s="296">
        <v>0.995</v>
      </c>
      <c r="T3442" s="297">
        <v>16016</v>
      </c>
      <c r="U3442" s="340">
        <v>79351</v>
      </c>
      <c r="V3442" s="340">
        <v>482497</v>
      </c>
      <c r="W3442" s="297">
        <v>40519</v>
      </c>
      <c r="X3442" s="296">
        <v>0</v>
      </c>
    </row>
    <row r="3443" spans="13:24">
      <c r="M3443">
        <v>3441</v>
      </c>
      <c r="N3443">
        <v>44883</v>
      </c>
      <c r="O3443" t="s">
        <v>2397</v>
      </c>
      <c r="P3443" t="s">
        <v>136</v>
      </c>
      <c r="Q3443">
        <v>248</v>
      </c>
      <c r="R3443" s="296">
        <v>0</v>
      </c>
      <c r="S3443" s="296">
        <v>0.995</v>
      </c>
      <c r="T3443" s="297">
        <v>11712</v>
      </c>
      <c r="U3443" s="340">
        <v>79339</v>
      </c>
      <c r="V3443" s="340">
        <v>180190</v>
      </c>
      <c r="W3443" s="297">
        <v>28528</v>
      </c>
      <c r="X3443" s="296">
        <v>-3.0000000000000001E-3</v>
      </c>
    </row>
    <row r="3444" spans="13:24">
      <c r="M3444">
        <v>3442</v>
      </c>
      <c r="N3444">
        <v>45750</v>
      </c>
      <c r="O3444" t="s">
        <v>611</v>
      </c>
      <c r="P3444" t="s">
        <v>136</v>
      </c>
      <c r="Q3444">
        <v>382</v>
      </c>
      <c r="R3444" s="296">
        <v>0</v>
      </c>
      <c r="S3444" s="296">
        <v>0.995</v>
      </c>
      <c r="T3444" s="297">
        <v>10961</v>
      </c>
      <c r="U3444" s="340">
        <v>79261</v>
      </c>
      <c r="V3444" s="340">
        <v>239060</v>
      </c>
      <c r="W3444" s="297">
        <v>25609</v>
      </c>
      <c r="X3444" s="296">
        <v>-4.0000000000000001E-3</v>
      </c>
    </row>
    <row r="3445" spans="13:24">
      <c r="M3445">
        <v>3443</v>
      </c>
      <c r="N3445">
        <v>64093</v>
      </c>
      <c r="O3445" t="s">
        <v>2398</v>
      </c>
      <c r="P3445" t="s">
        <v>186</v>
      </c>
      <c r="Q3445">
        <v>390</v>
      </c>
      <c r="R3445" s="296">
        <v>0</v>
      </c>
      <c r="S3445" s="296">
        <v>0.995</v>
      </c>
      <c r="T3445" s="297">
        <v>10734</v>
      </c>
      <c r="U3445" s="340">
        <v>79248</v>
      </c>
      <c r="V3445" s="340">
        <v>277549</v>
      </c>
      <c r="W3445" s="297">
        <v>28410</v>
      </c>
      <c r="X3445" s="296">
        <v>2E-3</v>
      </c>
    </row>
    <row r="3446" spans="13:24">
      <c r="M3446">
        <v>3444</v>
      </c>
      <c r="N3446">
        <v>53964</v>
      </c>
      <c r="O3446" t="s">
        <v>327</v>
      </c>
      <c r="P3446" t="s">
        <v>149</v>
      </c>
      <c r="Q3446">
        <v>149</v>
      </c>
      <c r="R3446" s="296">
        <v>0</v>
      </c>
      <c r="S3446" s="296">
        <v>0.995</v>
      </c>
      <c r="T3446" s="297">
        <v>1454</v>
      </c>
      <c r="U3446" s="340">
        <v>79240</v>
      </c>
      <c r="V3446" s="340">
        <v>306338</v>
      </c>
      <c r="W3446" s="297">
        <v>3517</v>
      </c>
      <c r="X3446" s="296">
        <v>-3.0000000000000001E-3</v>
      </c>
    </row>
    <row r="3447" spans="13:24">
      <c r="M3447">
        <v>3445</v>
      </c>
      <c r="N3447">
        <v>34608</v>
      </c>
      <c r="O3447" t="s">
        <v>1485</v>
      </c>
      <c r="P3447" t="s">
        <v>127</v>
      </c>
      <c r="Q3447">
        <v>989</v>
      </c>
      <c r="R3447" s="296">
        <v>0</v>
      </c>
      <c r="S3447" s="296">
        <v>0.995</v>
      </c>
      <c r="T3447" s="297">
        <v>14083</v>
      </c>
      <c r="U3447" s="340">
        <v>79206</v>
      </c>
      <c r="V3447" s="340">
        <v>329585</v>
      </c>
      <c r="W3447" s="297">
        <v>36090</v>
      </c>
      <c r="X3447" s="296">
        <v>8.9999999999999993E-3</v>
      </c>
    </row>
    <row r="3448" spans="13:24">
      <c r="M3448">
        <v>3446</v>
      </c>
      <c r="N3448">
        <v>70359</v>
      </c>
      <c r="O3448" t="s">
        <v>731</v>
      </c>
      <c r="P3448" t="s">
        <v>147</v>
      </c>
      <c r="Q3448">
        <v>877</v>
      </c>
      <c r="R3448" s="296">
        <v>0</v>
      </c>
      <c r="S3448" s="296">
        <v>0.995</v>
      </c>
      <c r="T3448" s="297">
        <v>3500</v>
      </c>
      <c r="U3448" s="340">
        <v>79205</v>
      </c>
      <c r="V3448" s="340">
        <v>221110</v>
      </c>
      <c r="W3448" s="297">
        <v>9636</v>
      </c>
      <c r="X3448" s="296">
        <v>1E-3</v>
      </c>
    </row>
    <row r="3449" spans="13:24">
      <c r="M3449">
        <v>3447</v>
      </c>
      <c r="N3449">
        <v>69022</v>
      </c>
      <c r="O3449" t="s">
        <v>323</v>
      </c>
      <c r="P3449" t="s">
        <v>195</v>
      </c>
      <c r="Q3449">
        <v>656</v>
      </c>
      <c r="R3449" s="296">
        <v>0</v>
      </c>
      <c r="S3449" s="296">
        <v>0.995</v>
      </c>
      <c r="T3449">
        <v>563</v>
      </c>
      <c r="U3449" s="340">
        <v>79172</v>
      </c>
      <c r="V3449" s="340">
        <v>159446</v>
      </c>
      <c r="W3449" s="297">
        <v>1248</v>
      </c>
      <c r="X3449" s="296">
        <v>-1.0999999999999999E-2</v>
      </c>
    </row>
    <row r="3450" spans="13:24">
      <c r="M3450">
        <v>3448</v>
      </c>
      <c r="N3450">
        <v>93308</v>
      </c>
      <c r="O3450" t="s">
        <v>329</v>
      </c>
      <c r="P3450" t="s">
        <v>132</v>
      </c>
      <c r="Q3450">
        <v>1726</v>
      </c>
      <c r="R3450" s="296">
        <v>0</v>
      </c>
      <c r="S3450" s="296">
        <v>0.995</v>
      </c>
      <c r="T3450" s="297">
        <v>19841</v>
      </c>
      <c r="U3450" s="340">
        <v>79166</v>
      </c>
      <c r="V3450" s="340">
        <v>354870</v>
      </c>
      <c r="W3450" s="297">
        <v>55154</v>
      </c>
      <c r="X3450" s="296">
        <v>-2E-3</v>
      </c>
    </row>
    <row r="3451" spans="13:24">
      <c r="M3451">
        <v>3449</v>
      </c>
      <c r="N3451">
        <v>14225</v>
      </c>
      <c r="O3451" t="s">
        <v>789</v>
      </c>
      <c r="P3451" t="s">
        <v>128</v>
      </c>
      <c r="Q3451">
        <v>463</v>
      </c>
      <c r="R3451" s="296">
        <v>0</v>
      </c>
      <c r="S3451" s="296">
        <v>0.99509999999999998</v>
      </c>
      <c r="T3451" s="297">
        <v>15825</v>
      </c>
      <c r="U3451" s="340">
        <v>79150</v>
      </c>
      <c r="V3451" s="340">
        <v>282342</v>
      </c>
      <c r="W3451" s="297">
        <v>34566</v>
      </c>
      <c r="X3451" s="296">
        <v>-1E-3</v>
      </c>
    </row>
    <row r="3452" spans="13:24">
      <c r="M3452">
        <v>3450</v>
      </c>
      <c r="N3452">
        <v>34669</v>
      </c>
      <c r="O3452" t="s">
        <v>425</v>
      </c>
      <c r="P3452" t="s">
        <v>127</v>
      </c>
      <c r="Q3452">
        <v>996</v>
      </c>
      <c r="R3452" s="296">
        <v>0</v>
      </c>
      <c r="S3452" s="296">
        <v>0.99509999999999998</v>
      </c>
      <c r="T3452" s="297">
        <v>6609</v>
      </c>
      <c r="U3452" s="340">
        <v>79120</v>
      </c>
      <c r="V3452" s="340">
        <v>326779</v>
      </c>
      <c r="W3452" s="297">
        <v>16642</v>
      </c>
      <c r="X3452" s="296">
        <v>0.02</v>
      </c>
    </row>
    <row r="3453" spans="13:24">
      <c r="M3453">
        <v>3451</v>
      </c>
      <c r="N3453">
        <v>37058</v>
      </c>
      <c r="O3453" t="s">
        <v>449</v>
      </c>
      <c r="P3453" t="s">
        <v>146</v>
      </c>
      <c r="Q3453">
        <v>389</v>
      </c>
      <c r="R3453" s="296">
        <v>0</v>
      </c>
      <c r="S3453" s="296">
        <v>0.99509999999999998</v>
      </c>
      <c r="T3453" s="297">
        <v>2990</v>
      </c>
      <c r="U3453" s="340">
        <v>79049</v>
      </c>
      <c r="V3453" s="340">
        <v>272881</v>
      </c>
      <c r="W3453" s="297">
        <v>7356</v>
      </c>
      <c r="X3453" s="296">
        <v>5.0000000000000001E-3</v>
      </c>
    </row>
    <row r="3454" spans="13:24">
      <c r="M3454">
        <v>3452</v>
      </c>
      <c r="N3454">
        <v>36535</v>
      </c>
      <c r="O3454" t="s">
        <v>2399</v>
      </c>
      <c r="P3454" t="s">
        <v>154</v>
      </c>
      <c r="Q3454">
        <v>812</v>
      </c>
      <c r="R3454" s="296">
        <v>0</v>
      </c>
      <c r="S3454" s="296">
        <v>0.99509999999999998</v>
      </c>
      <c r="T3454" s="297">
        <v>17226</v>
      </c>
      <c r="U3454" s="340">
        <v>79044</v>
      </c>
      <c r="V3454" s="340">
        <v>323969</v>
      </c>
      <c r="W3454" s="297">
        <v>40966</v>
      </c>
      <c r="X3454" s="296">
        <v>3.1E-2</v>
      </c>
    </row>
    <row r="3455" spans="13:24">
      <c r="M3455">
        <v>3453</v>
      </c>
      <c r="N3455">
        <v>46544</v>
      </c>
      <c r="O3455" t="s">
        <v>2400</v>
      </c>
      <c r="P3455" t="s">
        <v>144</v>
      </c>
      <c r="Q3455">
        <v>93</v>
      </c>
      <c r="R3455" s="296">
        <v>0</v>
      </c>
      <c r="S3455" s="296">
        <v>0.99509999999999998</v>
      </c>
      <c r="T3455" s="297">
        <v>13685</v>
      </c>
      <c r="U3455" s="340">
        <v>79024</v>
      </c>
      <c r="V3455" s="340">
        <v>206814</v>
      </c>
      <c r="W3455" s="297">
        <v>31430</v>
      </c>
      <c r="X3455" s="296">
        <v>-1E-3</v>
      </c>
    </row>
    <row r="3456" spans="13:24">
      <c r="M3456">
        <v>3454</v>
      </c>
      <c r="N3456">
        <v>43228</v>
      </c>
      <c r="O3456" t="s">
        <v>468</v>
      </c>
      <c r="P3456" t="s">
        <v>136</v>
      </c>
      <c r="Q3456">
        <v>286</v>
      </c>
      <c r="R3456" s="296">
        <v>0</v>
      </c>
      <c r="S3456" s="296">
        <v>0.99509999999999998</v>
      </c>
      <c r="T3456" s="297">
        <v>23623</v>
      </c>
      <c r="U3456" s="340">
        <v>78957</v>
      </c>
      <c r="V3456" s="340">
        <v>245830</v>
      </c>
      <c r="W3456" s="297">
        <v>59011</v>
      </c>
      <c r="X3456" s="296">
        <v>3.0000000000000001E-3</v>
      </c>
    </row>
    <row r="3457" spans="13:24">
      <c r="M3457">
        <v>3455</v>
      </c>
      <c r="N3457">
        <v>37738</v>
      </c>
      <c r="O3457" t="s">
        <v>2401</v>
      </c>
      <c r="P3457" t="s">
        <v>146</v>
      </c>
      <c r="Q3457">
        <v>500</v>
      </c>
      <c r="R3457" s="296">
        <v>0</v>
      </c>
      <c r="S3457" s="296">
        <v>0.99509999999999998</v>
      </c>
      <c r="T3457" s="297">
        <v>2126</v>
      </c>
      <c r="U3457" s="340">
        <v>78917</v>
      </c>
      <c r="V3457" s="340">
        <v>443517</v>
      </c>
      <c r="W3457" s="297">
        <v>4896</v>
      </c>
      <c r="X3457" s="296">
        <v>-6.0000000000000001E-3</v>
      </c>
    </row>
    <row r="3458" spans="13:24">
      <c r="M3458">
        <v>3456</v>
      </c>
      <c r="N3458">
        <v>65710</v>
      </c>
      <c r="O3458" t="s">
        <v>2402</v>
      </c>
      <c r="P3458" t="s">
        <v>186</v>
      </c>
      <c r="Q3458">
        <v>440</v>
      </c>
      <c r="R3458" s="296">
        <v>0</v>
      </c>
      <c r="S3458" s="296">
        <v>0.99519999999999997</v>
      </c>
      <c r="T3458">
        <v>448</v>
      </c>
      <c r="U3458" s="340">
        <v>78876</v>
      </c>
      <c r="V3458" s="340">
        <v>184174</v>
      </c>
      <c r="W3458" s="297">
        <v>1145</v>
      </c>
      <c r="X3458" s="296">
        <v>-2E-3</v>
      </c>
    </row>
    <row r="3459" spans="13:24">
      <c r="M3459">
        <v>3457</v>
      </c>
      <c r="N3459">
        <v>47850</v>
      </c>
      <c r="O3459" t="s">
        <v>2403</v>
      </c>
      <c r="P3459" t="s">
        <v>144</v>
      </c>
      <c r="Q3459">
        <v>202</v>
      </c>
      <c r="R3459" s="296">
        <v>0</v>
      </c>
      <c r="S3459" s="296">
        <v>0.99519999999999997</v>
      </c>
      <c r="T3459">
        <v>979</v>
      </c>
      <c r="U3459" s="340">
        <v>78848</v>
      </c>
      <c r="V3459" s="340">
        <v>155967</v>
      </c>
      <c r="W3459" s="297">
        <v>2340</v>
      </c>
      <c r="X3459" s="296">
        <v>-8.0000000000000002E-3</v>
      </c>
    </row>
    <row r="3460" spans="13:24">
      <c r="M3460">
        <v>3458</v>
      </c>
      <c r="N3460">
        <v>44203</v>
      </c>
      <c r="O3460" t="s">
        <v>2404</v>
      </c>
      <c r="P3460" t="s">
        <v>136</v>
      </c>
      <c r="Q3460">
        <v>328</v>
      </c>
      <c r="R3460" s="296">
        <v>0</v>
      </c>
      <c r="S3460" s="296">
        <v>0.99519999999999997</v>
      </c>
      <c r="T3460" s="297">
        <v>16760</v>
      </c>
      <c r="U3460" s="340">
        <v>78841</v>
      </c>
      <c r="V3460" s="340">
        <v>210734</v>
      </c>
      <c r="W3460" s="297">
        <v>38964</v>
      </c>
      <c r="X3460" s="296">
        <v>-3.0000000000000001E-3</v>
      </c>
    </row>
    <row r="3461" spans="13:24">
      <c r="M3461">
        <v>3459</v>
      </c>
      <c r="N3461">
        <v>34234</v>
      </c>
      <c r="O3461" t="s">
        <v>677</v>
      </c>
      <c r="P3461" t="s">
        <v>127</v>
      </c>
      <c r="Q3461">
        <v>1063</v>
      </c>
      <c r="R3461" s="296">
        <v>0</v>
      </c>
      <c r="S3461" s="296">
        <v>0.99519999999999997</v>
      </c>
      <c r="T3461" s="297">
        <v>8715</v>
      </c>
      <c r="U3461" s="340">
        <v>78810</v>
      </c>
      <c r="V3461" s="340">
        <v>371421</v>
      </c>
      <c r="W3461" s="297">
        <v>20940</v>
      </c>
      <c r="X3461" s="296">
        <v>2E-3</v>
      </c>
    </row>
    <row r="3462" spans="13:24">
      <c r="M3462">
        <v>3460</v>
      </c>
      <c r="N3462">
        <v>42240</v>
      </c>
      <c r="O3462" t="s">
        <v>2405</v>
      </c>
      <c r="P3462" t="s">
        <v>143</v>
      </c>
      <c r="Q3462">
        <v>366</v>
      </c>
      <c r="R3462" s="296">
        <v>0</v>
      </c>
      <c r="S3462" s="296">
        <v>0.99519999999999997</v>
      </c>
      <c r="T3462" s="297">
        <v>16982</v>
      </c>
      <c r="U3462" s="340">
        <v>78800</v>
      </c>
      <c r="V3462" s="340">
        <v>207750</v>
      </c>
      <c r="W3462" s="297">
        <v>41203</v>
      </c>
      <c r="X3462" s="296">
        <v>-3.0000000000000001E-3</v>
      </c>
    </row>
    <row r="3463" spans="13:24">
      <c r="M3463">
        <v>3461</v>
      </c>
      <c r="N3463">
        <v>62631</v>
      </c>
      <c r="O3463" t="s">
        <v>343</v>
      </c>
      <c r="P3463" t="s">
        <v>131</v>
      </c>
      <c r="Q3463">
        <v>209</v>
      </c>
      <c r="R3463" s="296">
        <v>0</v>
      </c>
      <c r="S3463" s="296">
        <v>0.99519999999999997</v>
      </c>
      <c r="T3463">
        <v>116</v>
      </c>
      <c r="U3463" s="340">
        <v>78790</v>
      </c>
      <c r="V3463" s="340">
        <v>207767</v>
      </c>
      <c r="W3463">
        <v>282</v>
      </c>
      <c r="X3463" s="296">
        <v>-1.2E-2</v>
      </c>
    </row>
    <row r="3464" spans="13:24">
      <c r="M3464">
        <v>3462</v>
      </c>
      <c r="N3464">
        <v>72543</v>
      </c>
      <c r="O3464" t="s">
        <v>2406</v>
      </c>
      <c r="P3464" t="s">
        <v>156</v>
      </c>
      <c r="Q3464">
        <v>512</v>
      </c>
      <c r="R3464" s="296">
        <v>0</v>
      </c>
      <c r="S3464" s="296">
        <v>0.99519999999999997</v>
      </c>
      <c r="T3464" s="297">
        <v>5443</v>
      </c>
      <c r="U3464" s="340">
        <v>78755</v>
      </c>
      <c r="V3464" s="340">
        <v>256758</v>
      </c>
      <c r="W3464" s="297">
        <v>12126</v>
      </c>
      <c r="X3464" s="296">
        <v>0</v>
      </c>
    </row>
    <row r="3465" spans="13:24">
      <c r="M3465">
        <v>3463</v>
      </c>
      <c r="N3465">
        <v>19151</v>
      </c>
      <c r="O3465" t="s">
        <v>469</v>
      </c>
      <c r="P3465" t="s">
        <v>133</v>
      </c>
      <c r="Q3465">
        <v>669</v>
      </c>
      <c r="R3465" s="296">
        <v>0</v>
      </c>
      <c r="S3465" s="296">
        <v>0.99519999999999997</v>
      </c>
      <c r="T3465" s="297">
        <v>12064</v>
      </c>
      <c r="U3465" s="340">
        <v>78702</v>
      </c>
      <c r="V3465" s="340">
        <v>259582</v>
      </c>
      <c r="W3465" s="297">
        <v>29424</v>
      </c>
      <c r="X3465" s="296">
        <v>-5.0000000000000001E-3</v>
      </c>
    </row>
    <row r="3466" spans="13:24">
      <c r="M3466">
        <v>3464</v>
      </c>
      <c r="N3466">
        <v>29169</v>
      </c>
      <c r="O3466" t="s">
        <v>2407</v>
      </c>
      <c r="P3466" t="s">
        <v>145</v>
      </c>
      <c r="Q3466">
        <v>670</v>
      </c>
      <c r="R3466" s="296">
        <v>0</v>
      </c>
      <c r="S3466" s="296">
        <v>0.99529999999999996</v>
      </c>
      <c r="T3466" s="297">
        <v>11435</v>
      </c>
      <c r="U3466" s="340">
        <v>78672</v>
      </c>
      <c r="V3466" s="340">
        <v>275328</v>
      </c>
      <c r="W3466" s="297">
        <v>24270</v>
      </c>
      <c r="X3466" s="296">
        <v>1.4E-2</v>
      </c>
    </row>
    <row r="3467" spans="13:24">
      <c r="M3467">
        <v>3465</v>
      </c>
      <c r="N3467">
        <v>37687</v>
      </c>
      <c r="O3467" t="s">
        <v>2408</v>
      </c>
      <c r="P3467" t="s">
        <v>146</v>
      </c>
      <c r="Q3467">
        <v>513</v>
      </c>
      <c r="R3467" s="296">
        <v>0</v>
      </c>
      <c r="S3467" s="296">
        <v>0.99529999999999996</v>
      </c>
      <c r="T3467" s="297">
        <v>2006</v>
      </c>
      <c r="U3467" s="340">
        <v>78623</v>
      </c>
      <c r="V3467" s="340">
        <v>238568</v>
      </c>
      <c r="W3467" s="297">
        <v>4656</v>
      </c>
      <c r="X3467" s="296">
        <v>2E-3</v>
      </c>
    </row>
    <row r="3468" spans="13:24">
      <c r="M3468">
        <v>3466</v>
      </c>
      <c r="N3468">
        <v>72653</v>
      </c>
      <c r="O3468" t="s">
        <v>2409</v>
      </c>
      <c r="P3468" t="s">
        <v>156</v>
      </c>
      <c r="Q3468">
        <v>471</v>
      </c>
      <c r="R3468" s="296">
        <v>0</v>
      </c>
      <c r="S3468" s="296">
        <v>0.99529999999999996</v>
      </c>
      <c r="T3468" s="297">
        <v>13454</v>
      </c>
      <c r="U3468" s="340">
        <v>78610</v>
      </c>
      <c r="V3468" s="340">
        <v>262175</v>
      </c>
      <c r="W3468" s="297">
        <v>29339</v>
      </c>
      <c r="X3468" s="296">
        <v>4.0000000000000001E-3</v>
      </c>
    </row>
    <row r="3469" spans="13:24">
      <c r="M3469">
        <v>3467</v>
      </c>
      <c r="N3469">
        <v>33009</v>
      </c>
      <c r="O3469" t="s">
        <v>827</v>
      </c>
      <c r="P3469" t="s">
        <v>127</v>
      </c>
      <c r="Q3469">
        <v>1198</v>
      </c>
      <c r="R3469" s="296">
        <v>0</v>
      </c>
      <c r="S3469" s="296">
        <v>0.99529999999999996</v>
      </c>
      <c r="T3469" s="297">
        <v>21090</v>
      </c>
      <c r="U3469" s="340">
        <v>78589</v>
      </c>
      <c r="V3469" s="340">
        <v>428955</v>
      </c>
      <c r="W3469" s="297">
        <v>44231</v>
      </c>
      <c r="X3469" s="296">
        <v>6.0000000000000001E-3</v>
      </c>
    </row>
    <row r="3470" spans="13:24">
      <c r="M3470">
        <v>3468</v>
      </c>
      <c r="N3470">
        <v>43160</v>
      </c>
      <c r="O3470" t="s">
        <v>2410</v>
      </c>
      <c r="P3470" t="s">
        <v>136</v>
      </c>
      <c r="Q3470">
        <v>289</v>
      </c>
      <c r="R3470" s="296">
        <v>0</v>
      </c>
      <c r="S3470" s="296">
        <v>0.99529999999999996</v>
      </c>
      <c r="T3470" s="297">
        <v>9216</v>
      </c>
      <c r="U3470" s="340">
        <v>78587</v>
      </c>
      <c r="V3470" s="340">
        <v>203839</v>
      </c>
      <c r="W3470" s="297">
        <v>22118</v>
      </c>
      <c r="X3470" s="296">
        <v>-1E-3</v>
      </c>
    </row>
    <row r="3471" spans="13:24">
      <c r="M3471">
        <v>3469</v>
      </c>
      <c r="N3471">
        <v>63401</v>
      </c>
      <c r="O3471" t="s">
        <v>2411</v>
      </c>
      <c r="P3471" t="s">
        <v>186</v>
      </c>
      <c r="Q3471">
        <v>255</v>
      </c>
      <c r="R3471" s="296">
        <v>0</v>
      </c>
      <c r="S3471" s="296">
        <v>0.99529999999999996</v>
      </c>
      <c r="T3471" s="297">
        <v>8851</v>
      </c>
      <c r="U3471" s="340">
        <v>78483</v>
      </c>
      <c r="V3471" s="340">
        <v>211918</v>
      </c>
      <c r="W3471" s="297">
        <v>21848</v>
      </c>
      <c r="X3471" s="296">
        <v>0</v>
      </c>
    </row>
    <row r="3472" spans="13:24">
      <c r="M3472">
        <v>3470</v>
      </c>
      <c r="N3472">
        <v>14787</v>
      </c>
      <c r="O3472" t="s">
        <v>327</v>
      </c>
      <c r="P3472" t="s">
        <v>128</v>
      </c>
      <c r="Q3472">
        <v>420</v>
      </c>
      <c r="R3472" s="296">
        <v>0</v>
      </c>
      <c r="S3472" s="296">
        <v>0.99529999999999996</v>
      </c>
      <c r="T3472" s="297">
        <v>2054</v>
      </c>
      <c r="U3472" s="340">
        <v>78434</v>
      </c>
      <c r="V3472" s="340">
        <v>180568</v>
      </c>
      <c r="W3472" s="297">
        <v>4541</v>
      </c>
      <c r="X3472" s="296">
        <v>-8.0000000000000002E-3</v>
      </c>
    </row>
    <row r="3473" spans="13:24">
      <c r="M3473">
        <v>3471</v>
      </c>
      <c r="N3473">
        <v>49056</v>
      </c>
      <c r="O3473" t="s">
        <v>1491</v>
      </c>
      <c r="P3473" t="s">
        <v>140</v>
      </c>
      <c r="Q3473">
        <v>90</v>
      </c>
      <c r="R3473" s="296">
        <v>0</v>
      </c>
      <c r="S3473" s="296">
        <v>0.99529999999999996</v>
      </c>
      <c r="T3473" s="297">
        <v>1612</v>
      </c>
      <c r="U3473" s="340">
        <v>78277</v>
      </c>
      <c r="V3473" s="340">
        <v>231428</v>
      </c>
      <c r="W3473" s="297">
        <v>4183</v>
      </c>
      <c r="X3473" s="296">
        <v>6.0000000000000001E-3</v>
      </c>
    </row>
    <row r="3474" spans="13:24">
      <c r="M3474">
        <v>3472</v>
      </c>
      <c r="N3474">
        <v>49721</v>
      </c>
      <c r="O3474" t="s">
        <v>825</v>
      </c>
      <c r="P3474" t="s">
        <v>140</v>
      </c>
      <c r="Q3474">
        <v>289</v>
      </c>
      <c r="R3474" s="296">
        <v>0</v>
      </c>
      <c r="S3474" s="296">
        <v>0.99529999999999996</v>
      </c>
      <c r="T3474" s="297">
        <v>6343</v>
      </c>
      <c r="U3474" s="340">
        <v>78269</v>
      </c>
      <c r="V3474" s="340">
        <v>293717</v>
      </c>
      <c r="W3474" s="297">
        <v>14266</v>
      </c>
      <c r="X3474" s="296">
        <v>0</v>
      </c>
    </row>
    <row r="3475" spans="13:24">
      <c r="M3475">
        <v>3473</v>
      </c>
      <c r="N3475">
        <v>77590</v>
      </c>
      <c r="O3475" t="s">
        <v>2412</v>
      </c>
      <c r="P3475" t="s">
        <v>134</v>
      </c>
      <c r="Q3475">
        <v>967</v>
      </c>
      <c r="R3475" s="296">
        <v>0</v>
      </c>
      <c r="S3475" s="296">
        <v>0.99539999999999995</v>
      </c>
      <c r="T3475" s="297">
        <v>11980</v>
      </c>
      <c r="U3475" s="340">
        <v>78261</v>
      </c>
      <c r="V3475" s="340">
        <v>250816</v>
      </c>
      <c r="W3475" s="297">
        <v>30624</v>
      </c>
      <c r="X3475" s="296">
        <v>-1E-3</v>
      </c>
    </row>
    <row r="3476" spans="13:24">
      <c r="M3476">
        <v>3474</v>
      </c>
      <c r="N3476">
        <v>31015</v>
      </c>
      <c r="O3476" t="s">
        <v>2413</v>
      </c>
      <c r="P3476" t="s">
        <v>130</v>
      </c>
      <c r="Q3476">
        <v>738</v>
      </c>
      <c r="R3476" s="296">
        <v>0</v>
      </c>
      <c r="S3476" s="296">
        <v>0.99539999999999995</v>
      </c>
      <c r="T3476" s="297">
        <v>7618</v>
      </c>
      <c r="U3476" s="340">
        <v>78157</v>
      </c>
      <c r="V3476" s="340">
        <v>193371</v>
      </c>
      <c r="W3476" s="297">
        <v>18176</v>
      </c>
      <c r="X3476" s="296">
        <v>-8.0000000000000002E-3</v>
      </c>
    </row>
    <row r="3477" spans="13:24">
      <c r="M3477">
        <v>3475</v>
      </c>
      <c r="N3477">
        <v>79106</v>
      </c>
      <c r="O3477" t="s">
        <v>741</v>
      </c>
      <c r="P3477" t="s">
        <v>134</v>
      </c>
      <c r="Q3477">
        <v>898</v>
      </c>
      <c r="R3477" s="296">
        <v>0</v>
      </c>
      <c r="S3477" s="296">
        <v>0.99539999999999995</v>
      </c>
      <c r="T3477" s="297">
        <v>11965</v>
      </c>
      <c r="U3477" s="340">
        <v>78123</v>
      </c>
      <c r="V3477" s="340">
        <v>217762</v>
      </c>
      <c r="W3477" s="297">
        <v>28005</v>
      </c>
      <c r="X3477" s="296">
        <v>-4.0000000000000001E-3</v>
      </c>
    </row>
    <row r="3478" spans="13:24">
      <c r="M3478">
        <v>3476</v>
      </c>
      <c r="N3478">
        <v>50317</v>
      </c>
      <c r="O3478" t="s">
        <v>820</v>
      </c>
      <c r="P3478" t="s">
        <v>170</v>
      </c>
      <c r="Q3478">
        <v>298</v>
      </c>
      <c r="R3478" s="296">
        <v>0</v>
      </c>
      <c r="S3478" s="296">
        <v>0.99539999999999995</v>
      </c>
      <c r="T3478" s="297">
        <v>15096</v>
      </c>
      <c r="U3478" s="340">
        <v>78072</v>
      </c>
      <c r="V3478" s="340">
        <v>236169</v>
      </c>
      <c r="W3478" s="297">
        <v>38104</v>
      </c>
      <c r="X3478" s="296">
        <v>6.0000000000000001E-3</v>
      </c>
    </row>
    <row r="3479" spans="13:24">
      <c r="M3479">
        <v>3477</v>
      </c>
      <c r="N3479">
        <v>47567</v>
      </c>
      <c r="O3479" t="s">
        <v>1337</v>
      </c>
      <c r="P3479" t="s">
        <v>144</v>
      </c>
      <c r="Q3479">
        <v>255</v>
      </c>
      <c r="R3479" s="296">
        <v>0</v>
      </c>
      <c r="S3479" s="296">
        <v>0.99539999999999995</v>
      </c>
      <c r="T3479" s="297">
        <v>2317</v>
      </c>
      <c r="U3479" s="340">
        <v>78009</v>
      </c>
      <c r="V3479" s="340">
        <v>199700</v>
      </c>
      <c r="W3479" s="297">
        <v>5713</v>
      </c>
      <c r="X3479" s="296">
        <v>-6.0000000000000001E-3</v>
      </c>
    </row>
    <row r="3480" spans="13:24">
      <c r="M3480">
        <v>3478</v>
      </c>
      <c r="N3480">
        <v>49911</v>
      </c>
      <c r="O3480" t="s">
        <v>2414</v>
      </c>
      <c r="P3480" t="s">
        <v>140</v>
      </c>
      <c r="Q3480">
        <v>320</v>
      </c>
      <c r="R3480" s="296">
        <v>0</v>
      </c>
      <c r="S3480" s="296">
        <v>0.99539999999999995</v>
      </c>
      <c r="T3480" s="297">
        <v>1285</v>
      </c>
      <c r="U3480" s="340">
        <v>77981</v>
      </c>
      <c r="V3480" s="340">
        <v>160572</v>
      </c>
      <c r="W3480" s="297">
        <v>2564</v>
      </c>
      <c r="X3480" s="296">
        <v>-8.9999999999999993E-3</v>
      </c>
    </row>
    <row r="3481" spans="13:24">
      <c r="M3481">
        <v>3479</v>
      </c>
      <c r="N3481">
        <v>46041</v>
      </c>
      <c r="O3481" t="s">
        <v>914</v>
      </c>
      <c r="P3481" t="s">
        <v>144</v>
      </c>
      <c r="Q3481">
        <v>145</v>
      </c>
      <c r="R3481" s="296">
        <v>0</v>
      </c>
      <c r="S3481" s="296">
        <v>0.99539999999999995</v>
      </c>
      <c r="T3481" s="297">
        <v>9061</v>
      </c>
      <c r="U3481" s="340">
        <v>77961</v>
      </c>
      <c r="V3481" s="340">
        <v>215644</v>
      </c>
      <c r="W3481" s="297">
        <v>24196</v>
      </c>
      <c r="X3481" s="296">
        <v>1E-3</v>
      </c>
    </row>
    <row r="3482" spans="13:24">
      <c r="M3482">
        <v>3480</v>
      </c>
      <c r="N3482">
        <v>66604</v>
      </c>
      <c r="O3482" t="s">
        <v>1217</v>
      </c>
      <c r="P3482" t="s">
        <v>176</v>
      </c>
      <c r="Q3482">
        <v>468</v>
      </c>
      <c r="R3482" s="296">
        <v>0</v>
      </c>
      <c r="S3482" s="296">
        <v>0.99539999999999995</v>
      </c>
      <c r="T3482" s="297">
        <v>10210</v>
      </c>
      <c r="U3482" s="340">
        <v>77886</v>
      </c>
      <c r="V3482" s="340">
        <v>159384</v>
      </c>
      <c r="W3482" s="297">
        <v>22603</v>
      </c>
      <c r="X3482" s="296">
        <v>-1E-3</v>
      </c>
    </row>
    <row r="3483" spans="13:24">
      <c r="M3483">
        <v>3481</v>
      </c>
      <c r="N3483">
        <v>40214</v>
      </c>
      <c r="O3483" t="s">
        <v>830</v>
      </c>
      <c r="P3483" t="s">
        <v>143</v>
      </c>
      <c r="Q3483">
        <v>296</v>
      </c>
      <c r="R3483" s="296">
        <v>0</v>
      </c>
      <c r="S3483" s="296">
        <v>0.99550000000000005</v>
      </c>
      <c r="T3483" s="297">
        <v>18427</v>
      </c>
      <c r="U3483" s="340">
        <v>77744</v>
      </c>
      <c r="V3483" s="340">
        <v>266455</v>
      </c>
      <c r="W3483" s="297">
        <v>46116</v>
      </c>
      <c r="X3483" s="296">
        <v>-2E-3</v>
      </c>
    </row>
    <row r="3484" spans="13:24">
      <c r="M3484">
        <v>3482</v>
      </c>
      <c r="N3484">
        <v>57350</v>
      </c>
      <c r="O3484" t="s">
        <v>2415</v>
      </c>
      <c r="P3484" t="s">
        <v>215</v>
      </c>
      <c r="Q3484">
        <v>546</v>
      </c>
      <c r="R3484" s="296">
        <v>0</v>
      </c>
      <c r="S3484" s="296">
        <v>0.99550000000000005</v>
      </c>
      <c r="T3484" s="297">
        <v>6359</v>
      </c>
      <c r="U3484" s="340">
        <v>77725</v>
      </c>
      <c r="V3484" s="340">
        <v>240751</v>
      </c>
      <c r="W3484" s="297">
        <v>16611</v>
      </c>
      <c r="X3484" s="296">
        <v>6.0000000000000001E-3</v>
      </c>
    </row>
    <row r="3485" spans="13:24">
      <c r="M3485">
        <v>3483</v>
      </c>
      <c r="N3485">
        <v>14623</v>
      </c>
      <c r="O3485" t="s">
        <v>476</v>
      </c>
      <c r="P3485" t="s">
        <v>128</v>
      </c>
      <c r="Q3485">
        <v>519</v>
      </c>
      <c r="R3485" s="296">
        <v>0</v>
      </c>
      <c r="S3485" s="296">
        <v>0.99550000000000005</v>
      </c>
      <c r="T3485" s="297">
        <v>9715</v>
      </c>
      <c r="U3485" s="340">
        <v>77710</v>
      </c>
      <c r="V3485" s="340">
        <v>228025</v>
      </c>
      <c r="W3485" s="297">
        <v>27662</v>
      </c>
      <c r="X3485" s="296">
        <v>-4.0000000000000001E-3</v>
      </c>
    </row>
    <row r="3486" spans="13:24">
      <c r="M3486">
        <v>3484</v>
      </c>
      <c r="N3486">
        <v>62458</v>
      </c>
      <c r="O3486" t="s">
        <v>2416</v>
      </c>
      <c r="P3486" t="s">
        <v>131</v>
      </c>
      <c r="Q3486">
        <v>222</v>
      </c>
      <c r="R3486" s="296">
        <v>0</v>
      </c>
      <c r="S3486" s="296">
        <v>0.99550000000000005</v>
      </c>
      <c r="T3486">
        <v>822</v>
      </c>
      <c r="U3486" s="340">
        <v>77653</v>
      </c>
      <c r="V3486" s="340">
        <v>169586</v>
      </c>
      <c r="W3486" s="297">
        <v>1977</v>
      </c>
      <c r="X3486" s="296">
        <v>-5.0000000000000001E-3</v>
      </c>
    </row>
    <row r="3487" spans="13:24">
      <c r="M3487">
        <v>3485</v>
      </c>
      <c r="N3487">
        <v>17701</v>
      </c>
      <c r="O3487" t="s">
        <v>2417</v>
      </c>
      <c r="P3487" t="s">
        <v>133</v>
      </c>
      <c r="Q3487">
        <v>560</v>
      </c>
      <c r="R3487" s="296">
        <v>0</v>
      </c>
      <c r="S3487" s="296">
        <v>0.99550000000000005</v>
      </c>
      <c r="T3487" s="297">
        <v>17986</v>
      </c>
      <c r="U3487" s="340">
        <v>77616</v>
      </c>
      <c r="V3487" s="340">
        <v>249356</v>
      </c>
      <c r="W3487" s="297">
        <v>42718</v>
      </c>
      <c r="X3487" s="296">
        <v>-3.0000000000000001E-3</v>
      </c>
    </row>
    <row r="3488" spans="13:24">
      <c r="M3488">
        <v>3486</v>
      </c>
      <c r="N3488">
        <v>73662</v>
      </c>
      <c r="O3488" t="s">
        <v>2418</v>
      </c>
      <c r="P3488" t="s">
        <v>205</v>
      </c>
      <c r="Q3488">
        <v>793</v>
      </c>
      <c r="R3488" s="296">
        <v>0</v>
      </c>
      <c r="S3488" s="296">
        <v>0.99550000000000005</v>
      </c>
      <c r="T3488" s="297">
        <v>1622</v>
      </c>
      <c r="U3488" s="340">
        <v>77554</v>
      </c>
      <c r="V3488" s="340">
        <v>200219</v>
      </c>
      <c r="W3488" s="297">
        <v>5992</v>
      </c>
      <c r="X3488" s="296">
        <v>-7.0000000000000001E-3</v>
      </c>
    </row>
    <row r="3489" spans="13:24">
      <c r="M3489">
        <v>3487</v>
      </c>
      <c r="N3489">
        <v>36748</v>
      </c>
      <c r="O3489" t="s">
        <v>717</v>
      </c>
      <c r="P3489" t="s">
        <v>154</v>
      </c>
      <c r="Q3489">
        <v>682</v>
      </c>
      <c r="R3489" s="296">
        <v>0</v>
      </c>
      <c r="S3489" s="296">
        <v>0.99550000000000005</v>
      </c>
      <c r="T3489" s="297">
        <v>1242</v>
      </c>
      <c r="U3489" s="340">
        <v>77552</v>
      </c>
      <c r="V3489" s="340">
        <v>149521</v>
      </c>
      <c r="W3489" s="297">
        <v>2869</v>
      </c>
      <c r="X3489" s="296">
        <v>-1.0999999999999999E-2</v>
      </c>
    </row>
    <row r="3490" spans="13:24">
      <c r="M3490">
        <v>3488</v>
      </c>
      <c r="N3490">
        <v>54241</v>
      </c>
      <c r="O3490" t="s">
        <v>2419</v>
      </c>
      <c r="P3490" t="s">
        <v>149</v>
      </c>
      <c r="Q3490">
        <v>143</v>
      </c>
      <c r="R3490" s="296">
        <v>0</v>
      </c>
      <c r="S3490" s="296">
        <v>0.99550000000000005</v>
      </c>
      <c r="T3490" s="297">
        <v>6389</v>
      </c>
      <c r="U3490" s="340">
        <v>77509</v>
      </c>
      <c r="V3490" s="340">
        <v>255589</v>
      </c>
      <c r="W3490" s="297">
        <v>13924</v>
      </c>
      <c r="X3490" s="296">
        <v>-3.0000000000000001E-3</v>
      </c>
    </row>
    <row r="3491" spans="13:24">
      <c r="M3491">
        <v>3489</v>
      </c>
      <c r="N3491">
        <v>65706</v>
      </c>
      <c r="O3491" t="s">
        <v>392</v>
      </c>
      <c r="P3491" t="s">
        <v>186</v>
      </c>
      <c r="Q3491">
        <v>430</v>
      </c>
      <c r="R3491" s="296">
        <v>0</v>
      </c>
      <c r="S3491" s="296">
        <v>0.99560000000000004</v>
      </c>
      <c r="T3491" s="297">
        <v>6159</v>
      </c>
      <c r="U3491" s="340">
        <v>77467</v>
      </c>
      <c r="V3491" s="340">
        <v>243469</v>
      </c>
      <c r="W3491" s="297">
        <v>15883</v>
      </c>
      <c r="X3491" s="296">
        <v>4.0000000000000001E-3</v>
      </c>
    </row>
    <row r="3492" spans="13:24">
      <c r="M3492">
        <v>3490</v>
      </c>
      <c r="N3492">
        <v>23324</v>
      </c>
      <c r="O3492" t="s">
        <v>541</v>
      </c>
      <c r="P3492" t="s">
        <v>139</v>
      </c>
      <c r="Q3492">
        <v>716</v>
      </c>
      <c r="R3492" s="296">
        <v>0</v>
      </c>
      <c r="S3492" s="296">
        <v>0.99560000000000004</v>
      </c>
      <c r="T3492" s="297">
        <v>9878</v>
      </c>
      <c r="U3492" s="340">
        <v>77455</v>
      </c>
      <c r="V3492" s="340">
        <v>303993</v>
      </c>
      <c r="W3492" s="297">
        <v>25621</v>
      </c>
      <c r="X3492" s="296">
        <v>6.0000000000000001E-3</v>
      </c>
    </row>
    <row r="3493" spans="13:24">
      <c r="M3493">
        <v>3491</v>
      </c>
      <c r="N3493">
        <v>32726</v>
      </c>
      <c r="O3493" t="s">
        <v>2420</v>
      </c>
      <c r="P3493" t="s">
        <v>127</v>
      </c>
      <c r="Q3493">
        <v>980</v>
      </c>
      <c r="R3493" s="296">
        <v>0</v>
      </c>
      <c r="S3493" s="296">
        <v>0.99560000000000004</v>
      </c>
      <c r="T3493" s="297">
        <v>10596</v>
      </c>
      <c r="U3493" s="340">
        <v>77407</v>
      </c>
      <c r="V3493" s="340">
        <v>350988</v>
      </c>
      <c r="W3493" s="297">
        <v>25351</v>
      </c>
      <c r="X3493" s="296">
        <v>1.4E-2</v>
      </c>
    </row>
    <row r="3494" spans="13:24">
      <c r="M3494">
        <v>3492</v>
      </c>
      <c r="N3494">
        <v>1119</v>
      </c>
      <c r="O3494" t="s">
        <v>515</v>
      </c>
      <c r="P3494" t="s">
        <v>135</v>
      </c>
      <c r="Q3494">
        <v>782</v>
      </c>
      <c r="R3494" s="296">
        <v>0</v>
      </c>
      <c r="S3494" s="296">
        <v>0.99560000000000004</v>
      </c>
      <c r="T3494" s="297">
        <v>5084</v>
      </c>
      <c r="U3494" s="340">
        <v>77382</v>
      </c>
      <c r="V3494" s="340">
        <v>257734</v>
      </c>
      <c r="W3494" s="297">
        <v>14377</v>
      </c>
      <c r="X3494" s="296">
        <v>-3.0000000000000001E-3</v>
      </c>
    </row>
    <row r="3495" spans="13:24">
      <c r="M3495">
        <v>3493</v>
      </c>
      <c r="N3495">
        <v>60436</v>
      </c>
      <c r="O3495" t="s">
        <v>941</v>
      </c>
      <c r="P3495" t="s">
        <v>131</v>
      </c>
      <c r="Q3495">
        <v>49</v>
      </c>
      <c r="R3495" s="296">
        <v>0</v>
      </c>
      <c r="S3495" s="296">
        <v>0.99560000000000004</v>
      </c>
      <c r="T3495" s="297">
        <v>6504</v>
      </c>
      <c r="U3495" s="340">
        <v>77281</v>
      </c>
      <c r="V3495" s="340">
        <v>272144</v>
      </c>
      <c r="W3495" s="297">
        <v>18264</v>
      </c>
      <c r="X3495" s="296">
        <v>-5.0000000000000001E-3</v>
      </c>
    </row>
    <row r="3496" spans="13:24">
      <c r="M3496">
        <v>3494</v>
      </c>
      <c r="N3496">
        <v>52730</v>
      </c>
      <c r="O3496" t="s">
        <v>2421</v>
      </c>
      <c r="P3496" t="s">
        <v>170</v>
      </c>
      <c r="Q3496">
        <v>134</v>
      </c>
      <c r="R3496" s="296">
        <v>0</v>
      </c>
      <c r="S3496" s="296">
        <v>0.99560000000000004</v>
      </c>
      <c r="T3496" s="297">
        <v>2158</v>
      </c>
      <c r="U3496" s="340">
        <v>77280</v>
      </c>
      <c r="V3496" s="340">
        <v>220253</v>
      </c>
      <c r="W3496" s="297">
        <v>4994</v>
      </c>
      <c r="X3496" s="296">
        <v>-1E-3</v>
      </c>
    </row>
    <row r="3497" spans="13:24">
      <c r="M3497">
        <v>3495</v>
      </c>
      <c r="N3497">
        <v>45123</v>
      </c>
      <c r="O3497" t="s">
        <v>2055</v>
      </c>
      <c r="P3497" t="s">
        <v>136</v>
      </c>
      <c r="Q3497">
        <v>301</v>
      </c>
      <c r="R3497" s="296">
        <v>0</v>
      </c>
      <c r="S3497" s="296">
        <v>0.99560000000000004</v>
      </c>
      <c r="T3497" s="297">
        <v>3243</v>
      </c>
      <c r="U3497" s="340">
        <v>77244</v>
      </c>
      <c r="V3497" s="340">
        <v>196218</v>
      </c>
      <c r="W3497" s="297">
        <v>8475</v>
      </c>
      <c r="X3497" s="296">
        <v>1E-3</v>
      </c>
    </row>
    <row r="3498" spans="13:24">
      <c r="M3498">
        <v>3496</v>
      </c>
      <c r="N3498">
        <v>72933</v>
      </c>
      <c r="O3498" t="s">
        <v>431</v>
      </c>
      <c r="P3498" t="s">
        <v>156</v>
      </c>
      <c r="Q3498">
        <v>578</v>
      </c>
      <c r="R3498" s="296">
        <v>0</v>
      </c>
      <c r="S3498" s="296">
        <v>0.99560000000000004</v>
      </c>
      <c r="T3498" s="297">
        <v>1923</v>
      </c>
      <c r="U3498" s="340">
        <v>77196</v>
      </c>
      <c r="V3498" s="340">
        <v>211817</v>
      </c>
      <c r="W3498" s="297">
        <v>5036</v>
      </c>
      <c r="X3498" s="296">
        <v>4.0000000000000001E-3</v>
      </c>
    </row>
    <row r="3499" spans="13:24">
      <c r="M3499">
        <v>3497</v>
      </c>
      <c r="N3499">
        <v>49507</v>
      </c>
      <c r="O3499" t="s">
        <v>467</v>
      </c>
      <c r="P3499" t="s">
        <v>140</v>
      </c>
      <c r="Q3499">
        <v>121</v>
      </c>
      <c r="R3499" s="296">
        <v>0</v>
      </c>
      <c r="S3499" s="296">
        <v>0.99570000000000003</v>
      </c>
      <c r="T3499" s="297">
        <v>13006</v>
      </c>
      <c r="U3499" s="340">
        <v>77192</v>
      </c>
      <c r="V3499" s="340">
        <v>250409</v>
      </c>
      <c r="W3499" s="297">
        <v>38167</v>
      </c>
      <c r="X3499" s="296">
        <v>-1E-3</v>
      </c>
    </row>
    <row r="3500" spans="13:24">
      <c r="M3500">
        <v>3498</v>
      </c>
      <c r="N3500">
        <v>78572</v>
      </c>
      <c r="O3500" t="s">
        <v>1438</v>
      </c>
      <c r="P3500" t="s">
        <v>134</v>
      </c>
      <c r="Q3500">
        <v>1248</v>
      </c>
      <c r="R3500" s="296">
        <v>0</v>
      </c>
      <c r="S3500" s="296">
        <v>0.99570000000000003</v>
      </c>
      <c r="T3500" s="297">
        <v>26477</v>
      </c>
      <c r="U3500" s="340">
        <v>77112</v>
      </c>
      <c r="V3500" s="340">
        <v>200876</v>
      </c>
      <c r="W3500" s="297">
        <v>80330</v>
      </c>
      <c r="X3500" s="296">
        <v>6.0000000000000001E-3</v>
      </c>
    </row>
    <row r="3501" spans="13:24">
      <c r="M3501">
        <v>3499</v>
      </c>
      <c r="N3501">
        <v>46939</v>
      </c>
      <c r="O3501" t="s">
        <v>813</v>
      </c>
      <c r="P3501" t="s">
        <v>144</v>
      </c>
      <c r="Q3501">
        <v>107</v>
      </c>
      <c r="R3501" s="296">
        <v>0</v>
      </c>
      <c r="S3501" s="296">
        <v>0.99570000000000003</v>
      </c>
      <c r="T3501">
        <v>815</v>
      </c>
      <c r="U3501" s="340">
        <v>77074</v>
      </c>
      <c r="V3501" s="340">
        <v>230414</v>
      </c>
      <c r="W3501" s="297">
        <v>1934</v>
      </c>
      <c r="X3501" s="296">
        <v>-5.0000000000000001E-3</v>
      </c>
    </row>
    <row r="3502" spans="13:24">
      <c r="M3502">
        <v>3500</v>
      </c>
      <c r="N3502">
        <v>54806</v>
      </c>
      <c r="O3502" t="s">
        <v>474</v>
      </c>
      <c r="P3502" t="s">
        <v>149</v>
      </c>
      <c r="Q3502">
        <v>340</v>
      </c>
      <c r="R3502" s="296">
        <v>0</v>
      </c>
      <c r="S3502" s="296">
        <v>0.99570000000000003</v>
      </c>
      <c r="T3502" s="297">
        <v>5084</v>
      </c>
      <c r="U3502" s="340">
        <v>77050</v>
      </c>
      <c r="V3502" s="340">
        <v>239166</v>
      </c>
      <c r="W3502" s="297">
        <v>11868</v>
      </c>
      <c r="X3502" s="296">
        <v>-2E-3</v>
      </c>
    </row>
    <row r="3503" spans="13:24">
      <c r="M3503">
        <v>3501</v>
      </c>
      <c r="N3503">
        <v>35121</v>
      </c>
      <c r="O3503" t="s">
        <v>2422</v>
      </c>
      <c r="P3503" t="s">
        <v>154</v>
      </c>
      <c r="Q3503">
        <v>572</v>
      </c>
      <c r="R3503" s="296">
        <v>0</v>
      </c>
      <c r="S3503" s="296">
        <v>0.99570000000000003</v>
      </c>
      <c r="T3503" s="297">
        <v>6131</v>
      </c>
      <c r="U3503" s="340">
        <v>76972</v>
      </c>
      <c r="V3503" s="340">
        <v>246293</v>
      </c>
      <c r="W3503" s="297">
        <v>16111</v>
      </c>
      <c r="X3503" s="296">
        <v>1E-3</v>
      </c>
    </row>
    <row r="3504" spans="13:24">
      <c r="M3504">
        <v>3502</v>
      </c>
      <c r="N3504">
        <v>37601</v>
      </c>
      <c r="O3504" t="s">
        <v>2423</v>
      </c>
      <c r="P3504" t="s">
        <v>146</v>
      </c>
      <c r="Q3504">
        <v>497</v>
      </c>
      <c r="R3504" s="296">
        <v>0</v>
      </c>
      <c r="S3504" s="296">
        <v>0.99570000000000003</v>
      </c>
      <c r="T3504" s="297">
        <v>16454</v>
      </c>
      <c r="U3504" s="340">
        <v>76947</v>
      </c>
      <c r="V3504" s="340">
        <v>278768</v>
      </c>
      <c r="W3504" s="297">
        <v>37849</v>
      </c>
      <c r="X3504" s="296">
        <v>4.0000000000000001E-3</v>
      </c>
    </row>
    <row r="3505" spans="13:24">
      <c r="M3505">
        <v>3503</v>
      </c>
      <c r="N3505">
        <v>63459</v>
      </c>
      <c r="O3505" t="s">
        <v>560</v>
      </c>
      <c r="P3505" t="s">
        <v>186</v>
      </c>
      <c r="Q3505">
        <v>259</v>
      </c>
      <c r="R3505" s="296">
        <v>0</v>
      </c>
      <c r="S3505" s="296">
        <v>0.99570000000000003</v>
      </c>
      <c r="T3505" s="297">
        <v>1693</v>
      </c>
      <c r="U3505" s="340">
        <v>76909</v>
      </c>
      <c r="V3505" s="340">
        <v>197906</v>
      </c>
      <c r="W3505" s="297">
        <v>4331</v>
      </c>
      <c r="X3505" s="296">
        <v>4.0000000000000001E-3</v>
      </c>
    </row>
    <row r="3506" spans="13:24">
      <c r="M3506">
        <v>3504</v>
      </c>
      <c r="N3506">
        <v>72401</v>
      </c>
      <c r="O3506" t="s">
        <v>1599</v>
      </c>
      <c r="P3506" t="s">
        <v>156</v>
      </c>
      <c r="Q3506">
        <v>463</v>
      </c>
      <c r="R3506" s="296">
        <v>0</v>
      </c>
      <c r="S3506" s="296">
        <v>0.99570000000000003</v>
      </c>
      <c r="T3506" s="297">
        <v>17538</v>
      </c>
      <c r="U3506" s="340">
        <v>76889</v>
      </c>
      <c r="V3506" s="340">
        <v>289977</v>
      </c>
      <c r="W3506" s="297">
        <v>42764</v>
      </c>
      <c r="X3506" s="296">
        <v>8.9999999999999993E-3</v>
      </c>
    </row>
    <row r="3507" spans="13:24">
      <c r="M3507">
        <v>3505</v>
      </c>
      <c r="N3507">
        <v>38257</v>
      </c>
      <c r="O3507" t="s">
        <v>2424</v>
      </c>
      <c r="P3507" t="s">
        <v>146</v>
      </c>
      <c r="Q3507">
        <v>397</v>
      </c>
      <c r="R3507" s="296">
        <v>0</v>
      </c>
      <c r="S3507" s="296">
        <v>0.99580000000000002</v>
      </c>
      <c r="T3507" s="297">
        <v>1802</v>
      </c>
      <c r="U3507" s="340">
        <v>76792</v>
      </c>
      <c r="V3507" s="340">
        <v>211128</v>
      </c>
      <c r="W3507" s="297">
        <v>3998</v>
      </c>
      <c r="X3507" s="296">
        <v>-7.0000000000000001E-3</v>
      </c>
    </row>
    <row r="3508" spans="13:24">
      <c r="M3508">
        <v>3506</v>
      </c>
      <c r="N3508">
        <v>33013</v>
      </c>
      <c r="O3508" t="s">
        <v>512</v>
      </c>
      <c r="P3508" t="s">
        <v>127</v>
      </c>
      <c r="Q3508">
        <v>1204</v>
      </c>
      <c r="R3508" s="296">
        <v>0</v>
      </c>
      <c r="S3508" s="296">
        <v>0.99580000000000002</v>
      </c>
      <c r="T3508" s="297">
        <v>9478</v>
      </c>
      <c r="U3508" s="340">
        <v>76749</v>
      </c>
      <c r="V3508" s="340">
        <v>483937</v>
      </c>
      <c r="W3508" s="297">
        <v>30243</v>
      </c>
      <c r="X3508" s="296">
        <v>-8.0000000000000002E-3</v>
      </c>
    </row>
    <row r="3509" spans="13:24">
      <c r="M3509">
        <v>3507</v>
      </c>
      <c r="N3509">
        <v>73463</v>
      </c>
      <c r="O3509" t="s">
        <v>2369</v>
      </c>
      <c r="P3509" t="s">
        <v>205</v>
      </c>
      <c r="Q3509">
        <v>759</v>
      </c>
      <c r="R3509" s="296">
        <v>0</v>
      </c>
      <c r="S3509" s="296">
        <v>0.99580000000000002</v>
      </c>
      <c r="T3509" s="297">
        <v>1370</v>
      </c>
      <c r="U3509" s="340">
        <v>76747</v>
      </c>
      <c r="V3509" s="340">
        <v>210945</v>
      </c>
      <c r="W3509" s="297">
        <v>3510</v>
      </c>
      <c r="X3509" s="296">
        <v>8.9999999999999993E-3</v>
      </c>
    </row>
    <row r="3510" spans="13:24">
      <c r="M3510">
        <v>3508</v>
      </c>
      <c r="N3510">
        <v>75602</v>
      </c>
      <c r="O3510" t="s">
        <v>2260</v>
      </c>
      <c r="P3510" t="s">
        <v>134</v>
      </c>
      <c r="Q3510">
        <v>768</v>
      </c>
      <c r="R3510" s="296">
        <v>0</v>
      </c>
      <c r="S3510" s="296">
        <v>0.99580000000000002</v>
      </c>
      <c r="T3510" s="297">
        <v>7705</v>
      </c>
      <c r="U3510" s="340">
        <v>76736</v>
      </c>
      <c r="V3510" s="340">
        <v>218718</v>
      </c>
      <c r="W3510" s="297">
        <v>21771</v>
      </c>
      <c r="X3510" s="296">
        <v>-2E-3</v>
      </c>
    </row>
    <row r="3511" spans="13:24">
      <c r="M3511">
        <v>3509</v>
      </c>
      <c r="N3511">
        <v>62094</v>
      </c>
      <c r="O3511" t="s">
        <v>2425</v>
      </c>
      <c r="P3511" t="s">
        <v>131</v>
      </c>
      <c r="Q3511">
        <v>217</v>
      </c>
      <c r="R3511" s="296">
        <v>0</v>
      </c>
      <c r="S3511" s="296">
        <v>0.99580000000000002</v>
      </c>
      <c r="T3511">
        <v>465</v>
      </c>
      <c r="U3511" s="340">
        <v>76695</v>
      </c>
      <c r="V3511" s="340">
        <v>150603</v>
      </c>
      <c r="W3511" s="297">
        <v>1074</v>
      </c>
      <c r="X3511" s="296">
        <v>8.0000000000000002E-3</v>
      </c>
    </row>
    <row r="3512" spans="13:24">
      <c r="M3512">
        <v>3510</v>
      </c>
      <c r="N3512">
        <v>30557</v>
      </c>
      <c r="O3512" t="s">
        <v>2426</v>
      </c>
      <c r="P3512" t="s">
        <v>130</v>
      </c>
      <c r="Q3512">
        <v>585</v>
      </c>
      <c r="R3512" s="296">
        <v>0</v>
      </c>
      <c r="S3512" s="296">
        <v>0.99580000000000002</v>
      </c>
      <c r="T3512" s="297">
        <v>2125</v>
      </c>
      <c r="U3512" s="340">
        <v>76598</v>
      </c>
      <c r="V3512" s="340">
        <v>312939</v>
      </c>
      <c r="W3512" s="297">
        <v>5293</v>
      </c>
      <c r="X3512" s="296">
        <v>1.2999999999999999E-2</v>
      </c>
    </row>
    <row r="3513" spans="13:24">
      <c r="M3513">
        <v>3511</v>
      </c>
      <c r="N3513">
        <v>4330</v>
      </c>
      <c r="O3513" t="s">
        <v>513</v>
      </c>
      <c r="P3513" t="s">
        <v>182</v>
      </c>
      <c r="Q3513">
        <v>918</v>
      </c>
      <c r="R3513" s="296">
        <v>0</v>
      </c>
      <c r="S3513" s="296">
        <v>0.99580000000000002</v>
      </c>
      <c r="T3513" s="297">
        <v>12328</v>
      </c>
      <c r="U3513" s="340">
        <v>76587</v>
      </c>
      <c r="V3513" s="340">
        <v>251839</v>
      </c>
      <c r="W3513" s="297">
        <v>27121</v>
      </c>
      <c r="X3513" s="296">
        <v>6.0000000000000001E-3</v>
      </c>
    </row>
    <row r="3514" spans="13:24">
      <c r="M3514">
        <v>3512</v>
      </c>
      <c r="N3514">
        <v>73017</v>
      </c>
      <c r="O3514" t="s">
        <v>2427</v>
      </c>
      <c r="P3514" t="s">
        <v>205</v>
      </c>
      <c r="Q3514">
        <v>749</v>
      </c>
      <c r="R3514" s="296">
        <v>0</v>
      </c>
      <c r="S3514" s="296">
        <v>0.99580000000000002</v>
      </c>
      <c r="T3514">
        <v>715</v>
      </c>
      <c r="U3514" s="340">
        <v>76582</v>
      </c>
      <c r="V3514" s="340">
        <v>190177</v>
      </c>
      <c r="W3514" s="297">
        <v>1711</v>
      </c>
      <c r="X3514" s="296">
        <v>-1.2E-2</v>
      </c>
    </row>
    <row r="3515" spans="13:24">
      <c r="M3515">
        <v>3513</v>
      </c>
      <c r="N3515">
        <v>40218</v>
      </c>
      <c r="O3515" t="s">
        <v>830</v>
      </c>
      <c r="P3515" t="s">
        <v>143</v>
      </c>
      <c r="Q3515">
        <v>296</v>
      </c>
      <c r="R3515" s="296">
        <v>0</v>
      </c>
      <c r="S3515" s="296">
        <v>0.99590000000000001</v>
      </c>
      <c r="T3515" s="297">
        <v>13149</v>
      </c>
      <c r="U3515" s="340">
        <v>76566</v>
      </c>
      <c r="V3515" s="340">
        <v>231128</v>
      </c>
      <c r="W3515" s="297">
        <v>32288</v>
      </c>
      <c r="X3515" s="296">
        <v>-2E-3</v>
      </c>
    </row>
    <row r="3516" spans="13:24">
      <c r="M3516">
        <v>3514</v>
      </c>
      <c r="N3516">
        <v>59405</v>
      </c>
      <c r="O3516" t="s">
        <v>2428</v>
      </c>
      <c r="P3516" t="s">
        <v>190</v>
      </c>
      <c r="Q3516">
        <v>1202</v>
      </c>
      <c r="R3516" s="296">
        <v>0</v>
      </c>
      <c r="S3516" s="296">
        <v>0.99590000000000001</v>
      </c>
      <c r="T3516" s="297">
        <v>13999</v>
      </c>
      <c r="U3516" s="340">
        <v>76555</v>
      </c>
      <c r="V3516" s="340">
        <v>317279</v>
      </c>
      <c r="W3516" s="297">
        <v>32770</v>
      </c>
      <c r="X3516" s="296">
        <v>4.0000000000000001E-3</v>
      </c>
    </row>
    <row r="3517" spans="13:24">
      <c r="M3517">
        <v>3515</v>
      </c>
      <c r="N3517">
        <v>50313</v>
      </c>
      <c r="O3517" t="s">
        <v>820</v>
      </c>
      <c r="P3517" t="s">
        <v>170</v>
      </c>
      <c r="Q3517">
        <v>302</v>
      </c>
      <c r="R3517" s="296">
        <v>0</v>
      </c>
      <c r="S3517" s="296">
        <v>0.99590000000000001</v>
      </c>
      <c r="T3517" s="297">
        <v>6752</v>
      </c>
      <c r="U3517" s="340">
        <v>76542</v>
      </c>
      <c r="V3517" s="340">
        <v>259513</v>
      </c>
      <c r="W3517" s="297">
        <v>17655</v>
      </c>
      <c r="X3517" s="296">
        <v>3.0000000000000001E-3</v>
      </c>
    </row>
    <row r="3518" spans="13:24">
      <c r="M3518">
        <v>3516</v>
      </c>
      <c r="N3518">
        <v>32821</v>
      </c>
      <c r="O3518" t="s">
        <v>539</v>
      </c>
      <c r="P3518" t="s">
        <v>127</v>
      </c>
      <c r="Q3518">
        <v>1014</v>
      </c>
      <c r="R3518" s="296">
        <v>0</v>
      </c>
      <c r="S3518" s="296">
        <v>0.99590000000000001</v>
      </c>
      <c r="T3518" s="297">
        <v>12364</v>
      </c>
      <c r="U3518" s="340">
        <v>76493</v>
      </c>
      <c r="V3518" s="340">
        <v>347828</v>
      </c>
      <c r="W3518" s="297">
        <v>28964</v>
      </c>
      <c r="X3518" s="296">
        <v>2.5999999999999999E-2</v>
      </c>
    </row>
    <row r="3519" spans="13:24">
      <c r="M3519">
        <v>3517</v>
      </c>
      <c r="N3519">
        <v>29568</v>
      </c>
      <c r="O3519" t="s">
        <v>2429</v>
      </c>
      <c r="P3519" t="s">
        <v>145</v>
      </c>
      <c r="Q3519">
        <v>750</v>
      </c>
      <c r="R3519" s="296">
        <v>0</v>
      </c>
      <c r="S3519" s="296">
        <v>0.99590000000000001</v>
      </c>
      <c r="T3519" s="297">
        <v>7186</v>
      </c>
      <c r="U3519" s="340">
        <v>76451</v>
      </c>
      <c r="V3519" s="340">
        <v>322044</v>
      </c>
      <c r="W3519" s="297">
        <v>16431</v>
      </c>
      <c r="X3519" s="296">
        <v>2.9000000000000001E-2</v>
      </c>
    </row>
    <row r="3520" spans="13:24">
      <c r="M3520">
        <v>3518</v>
      </c>
      <c r="N3520">
        <v>85546</v>
      </c>
      <c r="O3520" t="s">
        <v>2430</v>
      </c>
      <c r="P3520" t="s">
        <v>158</v>
      </c>
      <c r="Q3520">
        <v>1354</v>
      </c>
      <c r="R3520" s="296">
        <v>0</v>
      </c>
      <c r="S3520" s="296">
        <v>0.99590000000000001</v>
      </c>
      <c r="T3520" s="297">
        <v>7183</v>
      </c>
      <c r="U3520" s="340">
        <v>76382</v>
      </c>
      <c r="V3520" s="340">
        <v>246429</v>
      </c>
      <c r="W3520" s="297">
        <v>20835</v>
      </c>
      <c r="X3520" s="296">
        <v>4.0000000000000001E-3</v>
      </c>
    </row>
    <row r="3521" spans="13:24">
      <c r="M3521">
        <v>3519</v>
      </c>
      <c r="N3521">
        <v>54801</v>
      </c>
      <c r="O3521" t="s">
        <v>2431</v>
      </c>
      <c r="P3521" t="s">
        <v>149</v>
      </c>
      <c r="Q3521">
        <v>329</v>
      </c>
      <c r="R3521" s="296">
        <v>0</v>
      </c>
      <c r="S3521" s="296">
        <v>0.99590000000000001</v>
      </c>
      <c r="T3521" s="297">
        <v>3070</v>
      </c>
      <c r="U3521" s="340">
        <v>76306</v>
      </c>
      <c r="V3521" s="340">
        <v>286029</v>
      </c>
      <c r="W3521" s="297">
        <v>6868</v>
      </c>
      <c r="X3521" s="296">
        <v>4.0000000000000001E-3</v>
      </c>
    </row>
    <row r="3522" spans="13:24">
      <c r="M3522">
        <v>3520</v>
      </c>
      <c r="N3522">
        <v>28043</v>
      </c>
      <c r="O3522" t="s">
        <v>2432</v>
      </c>
      <c r="P3522" t="s">
        <v>138</v>
      </c>
      <c r="Q3522">
        <v>570</v>
      </c>
      <c r="R3522" s="296">
        <v>0</v>
      </c>
      <c r="S3522" s="296">
        <v>0.99590000000000001</v>
      </c>
      <c r="T3522" s="297">
        <v>8574</v>
      </c>
      <c r="U3522" s="340">
        <v>76300</v>
      </c>
      <c r="V3522" s="340">
        <v>233893</v>
      </c>
      <c r="W3522" s="297">
        <v>20460</v>
      </c>
      <c r="X3522" s="296">
        <v>-1E-3</v>
      </c>
    </row>
    <row r="3523" spans="13:24">
      <c r="M3523">
        <v>3521</v>
      </c>
      <c r="N3523">
        <v>71923</v>
      </c>
      <c r="O3523" t="s">
        <v>2433</v>
      </c>
      <c r="P3523" t="s">
        <v>156</v>
      </c>
      <c r="Q3523">
        <v>624</v>
      </c>
      <c r="R3523" s="296">
        <v>0</v>
      </c>
      <c r="S3523" s="296">
        <v>0.996</v>
      </c>
      <c r="T3523" s="297">
        <v>5621</v>
      </c>
      <c r="U3523" s="340">
        <v>76270</v>
      </c>
      <c r="V3523" s="340">
        <v>260401</v>
      </c>
      <c r="W3523" s="297">
        <v>13800</v>
      </c>
      <c r="X3523" s="296">
        <v>-5.0000000000000001E-3</v>
      </c>
    </row>
    <row r="3524" spans="13:24">
      <c r="M3524">
        <v>3522</v>
      </c>
      <c r="N3524">
        <v>37115</v>
      </c>
      <c r="O3524" t="s">
        <v>823</v>
      </c>
      <c r="P3524" t="s">
        <v>146</v>
      </c>
      <c r="Q3524">
        <v>411</v>
      </c>
      <c r="R3524" s="296">
        <v>0</v>
      </c>
      <c r="S3524" s="296">
        <v>0.996</v>
      </c>
      <c r="T3524" s="297">
        <v>17813</v>
      </c>
      <c r="U3524" s="340">
        <v>76177</v>
      </c>
      <c r="V3524" s="340">
        <v>423478</v>
      </c>
      <c r="W3524" s="297">
        <v>41609</v>
      </c>
      <c r="X3524" s="296">
        <v>0.01</v>
      </c>
    </row>
    <row r="3525" spans="13:24">
      <c r="M3525">
        <v>3523</v>
      </c>
      <c r="N3525">
        <v>62450</v>
      </c>
      <c r="O3525" t="s">
        <v>2434</v>
      </c>
      <c r="P3525" t="s">
        <v>131</v>
      </c>
      <c r="Q3525">
        <v>236</v>
      </c>
      <c r="R3525" s="296">
        <v>0</v>
      </c>
      <c r="S3525" s="296">
        <v>0.996</v>
      </c>
      <c r="T3525" s="297">
        <v>5030</v>
      </c>
      <c r="U3525" s="340">
        <v>76139</v>
      </c>
      <c r="V3525" s="340">
        <v>182029</v>
      </c>
      <c r="W3525" s="297">
        <v>11677</v>
      </c>
      <c r="X3525" s="296">
        <v>-7.0000000000000001E-3</v>
      </c>
    </row>
    <row r="3526" spans="13:24">
      <c r="M3526">
        <v>3524</v>
      </c>
      <c r="N3526">
        <v>67530</v>
      </c>
      <c r="O3526" t="s">
        <v>2435</v>
      </c>
      <c r="P3526" t="s">
        <v>176</v>
      </c>
      <c r="Q3526">
        <v>636</v>
      </c>
      <c r="R3526" s="296">
        <v>0</v>
      </c>
      <c r="S3526" s="296">
        <v>0.996</v>
      </c>
      <c r="T3526" s="297">
        <v>7308</v>
      </c>
      <c r="U3526" s="340">
        <v>76128</v>
      </c>
      <c r="V3526" s="340">
        <v>158650</v>
      </c>
      <c r="W3526" s="297">
        <v>17527</v>
      </c>
      <c r="X3526" s="296">
        <v>-6.0000000000000001E-3</v>
      </c>
    </row>
    <row r="3527" spans="13:24">
      <c r="M3527">
        <v>3525</v>
      </c>
      <c r="N3527">
        <v>92408</v>
      </c>
      <c r="O3527" t="s">
        <v>2010</v>
      </c>
      <c r="P3527" t="s">
        <v>132</v>
      </c>
      <c r="Q3527">
        <v>1686</v>
      </c>
      <c r="R3527" s="296">
        <v>0</v>
      </c>
      <c r="S3527" s="296">
        <v>0.996</v>
      </c>
      <c r="T3527" s="297">
        <v>4321</v>
      </c>
      <c r="U3527" s="340">
        <v>76043</v>
      </c>
      <c r="V3527" s="340">
        <v>435436</v>
      </c>
      <c r="W3527" s="297">
        <v>14970</v>
      </c>
      <c r="X3527" s="296">
        <v>4.0000000000000001E-3</v>
      </c>
    </row>
    <row r="3528" spans="13:24">
      <c r="M3528">
        <v>3526</v>
      </c>
      <c r="N3528">
        <v>65301</v>
      </c>
      <c r="O3528" t="s">
        <v>2436</v>
      </c>
      <c r="P3528" t="s">
        <v>186</v>
      </c>
      <c r="Q3528">
        <v>372</v>
      </c>
      <c r="R3528" s="296">
        <v>0</v>
      </c>
      <c r="S3528" s="296">
        <v>0.996</v>
      </c>
      <c r="T3528" s="297">
        <v>14098</v>
      </c>
      <c r="U3528" s="340">
        <v>76001</v>
      </c>
      <c r="V3528" s="340">
        <v>238880</v>
      </c>
      <c r="W3528" s="297">
        <v>35758</v>
      </c>
      <c r="X3528" s="296">
        <v>3.0000000000000001E-3</v>
      </c>
    </row>
    <row r="3529" spans="13:24">
      <c r="M3529">
        <v>3527</v>
      </c>
      <c r="N3529">
        <v>44663</v>
      </c>
      <c r="O3529" t="s">
        <v>2437</v>
      </c>
      <c r="P3529" t="s">
        <v>136</v>
      </c>
      <c r="Q3529">
        <v>349</v>
      </c>
      <c r="R3529" s="296">
        <v>0</v>
      </c>
      <c r="S3529" s="296">
        <v>0.996</v>
      </c>
      <c r="T3529" s="297">
        <v>10835</v>
      </c>
      <c r="U3529" s="340">
        <v>75963</v>
      </c>
      <c r="V3529" s="340">
        <v>227036</v>
      </c>
      <c r="W3529" s="297">
        <v>25460</v>
      </c>
      <c r="X3529" s="296">
        <v>-3.0000000000000001E-3</v>
      </c>
    </row>
    <row r="3530" spans="13:24">
      <c r="M3530">
        <v>3528</v>
      </c>
      <c r="N3530">
        <v>17745</v>
      </c>
      <c r="O3530" t="s">
        <v>2438</v>
      </c>
      <c r="P3530" t="s">
        <v>133</v>
      </c>
      <c r="Q3530">
        <v>538</v>
      </c>
      <c r="R3530" s="296">
        <v>0</v>
      </c>
      <c r="S3530" s="296">
        <v>0.996</v>
      </c>
      <c r="T3530" s="297">
        <v>7353</v>
      </c>
      <c r="U3530" s="340">
        <v>75908</v>
      </c>
      <c r="V3530" s="340">
        <v>226087</v>
      </c>
      <c r="W3530" s="297">
        <v>18026</v>
      </c>
      <c r="X3530" s="296">
        <v>5.0000000000000001E-3</v>
      </c>
    </row>
    <row r="3531" spans="13:24">
      <c r="M3531">
        <v>3529</v>
      </c>
      <c r="N3531">
        <v>31712</v>
      </c>
      <c r="O3531" t="s">
        <v>2439</v>
      </c>
      <c r="P3531" t="s">
        <v>130</v>
      </c>
      <c r="Q3531">
        <v>747</v>
      </c>
      <c r="R3531" s="296">
        <v>0</v>
      </c>
      <c r="S3531" s="296">
        <v>0.99609999999999999</v>
      </c>
      <c r="T3531">
        <v>452</v>
      </c>
      <c r="U3531" s="340">
        <v>75878</v>
      </c>
      <c r="V3531" s="340">
        <v>178440</v>
      </c>
      <c r="W3531" s="297">
        <v>1050</v>
      </c>
      <c r="X3531" s="296">
        <v>-0.02</v>
      </c>
    </row>
    <row r="3532" spans="13:24">
      <c r="M3532">
        <v>3530</v>
      </c>
      <c r="N3532">
        <v>37217</v>
      </c>
      <c r="O3532" t="s">
        <v>500</v>
      </c>
      <c r="P3532" t="s">
        <v>146</v>
      </c>
      <c r="Q3532">
        <v>422</v>
      </c>
      <c r="R3532" s="296">
        <v>0</v>
      </c>
      <c r="S3532" s="296">
        <v>0.99609999999999999</v>
      </c>
      <c r="T3532" s="297">
        <v>13472</v>
      </c>
      <c r="U3532" s="340">
        <v>75835</v>
      </c>
      <c r="V3532" s="340">
        <v>456685</v>
      </c>
      <c r="W3532" s="297">
        <v>33369</v>
      </c>
      <c r="X3532" s="296">
        <v>2E-3</v>
      </c>
    </row>
    <row r="3533" spans="13:24">
      <c r="M3533">
        <v>3531</v>
      </c>
      <c r="N3533">
        <v>62946</v>
      </c>
      <c r="O3533" t="s">
        <v>2108</v>
      </c>
      <c r="P3533" t="s">
        <v>131</v>
      </c>
      <c r="Q3533">
        <v>309</v>
      </c>
      <c r="R3533" s="296">
        <v>0</v>
      </c>
      <c r="S3533" s="296">
        <v>0.99609999999999999</v>
      </c>
      <c r="T3533" s="297">
        <v>5115</v>
      </c>
      <c r="U3533" s="340">
        <v>75796</v>
      </c>
      <c r="V3533" s="340">
        <v>140432</v>
      </c>
      <c r="W3533" s="297">
        <v>11839</v>
      </c>
      <c r="X3533" s="296">
        <v>-8.9999999999999993E-3</v>
      </c>
    </row>
    <row r="3534" spans="13:24">
      <c r="M3534">
        <v>3532</v>
      </c>
      <c r="N3534">
        <v>87049</v>
      </c>
      <c r="O3534" t="s">
        <v>2440</v>
      </c>
      <c r="P3534" t="s">
        <v>200</v>
      </c>
      <c r="Q3534">
        <v>1172</v>
      </c>
      <c r="R3534" s="296">
        <v>0</v>
      </c>
      <c r="S3534" s="296">
        <v>0.99609999999999999</v>
      </c>
      <c r="T3534">
        <v>1</v>
      </c>
      <c r="U3534" s="340">
        <v>75770</v>
      </c>
      <c r="V3534" s="340">
        <v>75000</v>
      </c>
      <c r="W3534">
        <v>14</v>
      </c>
      <c r="X3534" s="296">
        <v>3.6999999999999998E-2</v>
      </c>
    </row>
    <row r="3535" spans="13:24">
      <c r="M3535">
        <v>3533</v>
      </c>
      <c r="N3535">
        <v>69101</v>
      </c>
      <c r="O3535" t="s">
        <v>2441</v>
      </c>
      <c r="P3535" t="s">
        <v>195</v>
      </c>
      <c r="Q3535">
        <v>674</v>
      </c>
      <c r="R3535" s="296">
        <v>0</v>
      </c>
      <c r="S3535" s="296">
        <v>0.99609999999999999</v>
      </c>
      <c r="T3535" s="297">
        <v>12033</v>
      </c>
      <c r="U3535" s="340">
        <v>75723</v>
      </c>
      <c r="V3535" s="340">
        <v>229678</v>
      </c>
      <c r="W3535" s="297">
        <v>27930</v>
      </c>
      <c r="X3535" s="296">
        <v>-6.0000000000000001E-3</v>
      </c>
    </row>
    <row r="3536" spans="13:24">
      <c r="M3536">
        <v>3534</v>
      </c>
      <c r="N3536">
        <v>65747</v>
      </c>
      <c r="O3536" t="s">
        <v>2442</v>
      </c>
      <c r="P3536" t="s">
        <v>186</v>
      </c>
      <c r="Q3536">
        <v>492</v>
      </c>
      <c r="R3536" s="296">
        <v>0</v>
      </c>
      <c r="S3536" s="296">
        <v>0.99609999999999999</v>
      </c>
      <c r="T3536" s="297">
        <v>1657</v>
      </c>
      <c r="U3536" s="340">
        <v>75720</v>
      </c>
      <c r="V3536" s="340">
        <v>363530</v>
      </c>
      <c r="W3536" s="297">
        <v>3521</v>
      </c>
      <c r="X3536" s="296">
        <v>5.0000000000000001E-3</v>
      </c>
    </row>
    <row r="3537" spans="13:24">
      <c r="M3537">
        <v>3535</v>
      </c>
      <c r="N3537">
        <v>61071</v>
      </c>
      <c r="O3537" t="s">
        <v>2443</v>
      </c>
      <c r="P3537" t="s">
        <v>131</v>
      </c>
      <c r="Q3537">
        <v>103</v>
      </c>
      <c r="R3537" s="296">
        <v>0</v>
      </c>
      <c r="S3537" s="296">
        <v>0.99609999999999999</v>
      </c>
      <c r="T3537" s="297">
        <v>5729</v>
      </c>
      <c r="U3537" s="340">
        <v>75714</v>
      </c>
      <c r="V3537" s="340">
        <v>145862</v>
      </c>
      <c r="W3537" s="297">
        <v>13149</v>
      </c>
      <c r="X3537" s="296">
        <v>-5.0000000000000001E-3</v>
      </c>
    </row>
    <row r="3538" spans="13:24">
      <c r="M3538">
        <v>3536</v>
      </c>
      <c r="N3538">
        <v>66605</v>
      </c>
      <c r="O3538" t="s">
        <v>1217</v>
      </c>
      <c r="P3538" t="s">
        <v>176</v>
      </c>
      <c r="Q3538">
        <v>465</v>
      </c>
      <c r="R3538" s="296">
        <v>0</v>
      </c>
      <c r="S3538" s="296">
        <v>0.99609999999999999</v>
      </c>
      <c r="T3538" s="297">
        <v>7412</v>
      </c>
      <c r="U3538" s="340">
        <v>75692</v>
      </c>
      <c r="V3538" s="340">
        <v>192195</v>
      </c>
      <c r="W3538" s="297">
        <v>19334</v>
      </c>
      <c r="X3538" s="296">
        <v>-3.0000000000000001E-3</v>
      </c>
    </row>
    <row r="3539" spans="13:24">
      <c r="M3539">
        <v>3537</v>
      </c>
      <c r="N3539">
        <v>1841</v>
      </c>
      <c r="O3539" t="s">
        <v>401</v>
      </c>
      <c r="P3539" t="s">
        <v>135</v>
      </c>
      <c r="Q3539">
        <v>847</v>
      </c>
      <c r="R3539" s="296">
        <v>0</v>
      </c>
      <c r="S3539" s="296">
        <v>0.99619999999999997</v>
      </c>
      <c r="T3539" s="297">
        <v>16284</v>
      </c>
      <c r="U3539" s="340">
        <v>75605</v>
      </c>
      <c r="V3539" s="340">
        <v>549044</v>
      </c>
      <c r="W3539" s="297">
        <v>53915</v>
      </c>
      <c r="X3539" s="296">
        <v>1E-3</v>
      </c>
    </row>
    <row r="3540" spans="13:24">
      <c r="M3540">
        <v>3538</v>
      </c>
      <c r="N3540">
        <v>31905</v>
      </c>
      <c r="O3540" t="s">
        <v>2444</v>
      </c>
      <c r="P3540" t="s">
        <v>130</v>
      </c>
      <c r="Q3540">
        <v>692</v>
      </c>
      <c r="R3540" s="296">
        <v>0</v>
      </c>
      <c r="S3540" s="296">
        <v>0.99619999999999997</v>
      </c>
      <c r="T3540" s="297">
        <v>3361</v>
      </c>
      <c r="U3540" s="340">
        <v>75547</v>
      </c>
      <c r="V3540" s="340">
        <v>165625</v>
      </c>
      <c r="W3540" s="297">
        <v>13117</v>
      </c>
      <c r="X3540" s="296">
        <v>-1.2999999999999999E-2</v>
      </c>
    </row>
    <row r="3541" spans="13:24">
      <c r="M3541">
        <v>3539</v>
      </c>
      <c r="N3541">
        <v>64429</v>
      </c>
      <c r="O3541" t="s">
        <v>2445</v>
      </c>
      <c r="P3541" t="s">
        <v>186</v>
      </c>
      <c r="Q3541">
        <v>376</v>
      </c>
      <c r="R3541" s="296">
        <v>0</v>
      </c>
      <c r="S3541" s="296">
        <v>0.99619999999999997</v>
      </c>
      <c r="T3541" s="297">
        <v>3879</v>
      </c>
      <c r="U3541" s="340">
        <v>75516</v>
      </c>
      <c r="V3541" s="340">
        <v>246560</v>
      </c>
      <c r="W3541" s="297">
        <v>11742</v>
      </c>
      <c r="X3541" s="296">
        <v>2E-3</v>
      </c>
    </row>
    <row r="3542" spans="13:24">
      <c r="M3542">
        <v>3540</v>
      </c>
      <c r="N3542">
        <v>73008</v>
      </c>
      <c r="O3542" t="s">
        <v>2446</v>
      </c>
      <c r="P3542" t="s">
        <v>205</v>
      </c>
      <c r="Q3542">
        <v>700</v>
      </c>
      <c r="R3542" s="296">
        <v>0</v>
      </c>
      <c r="S3542" s="296">
        <v>0.99619999999999997</v>
      </c>
      <c r="T3542" s="297">
        <v>8372</v>
      </c>
      <c r="U3542" s="340">
        <v>75509</v>
      </c>
      <c r="V3542" s="340">
        <v>242984</v>
      </c>
      <c r="W3542" s="297">
        <v>21859</v>
      </c>
      <c r="X3542" s="296">
        <v>1E-3</v>
      </c>
    </row>
    <row r="3543" spans="13:24">
      <c r="M3543">
        <v>3541</v>
      </c>
      <c r="N3543">
        <v>35233</v>
      </c>
      <c r="O3543" t="s">
        <v>538</v>
      </c>
      <c r="P3543" t="s">
        <v>154</v>
      </c>
      <c r="Q3543">
        <v>599</v>
      </c>
      <c r="R3543" s="296">
        <v>0</v>
      </c>
      <c r="S3543" s="296">
        <v>0.99619999999999997</v>
      </c>
      <c r="T3543" s="297">
        <v>2561</v>
      </c>
      <c r="U3543" s="340">
        <v>75373</v>
      </c>
      <c r="V3543" s="340">
        <v>311667</v>
      </c>
      <c r="W3543" s="297">
        <v>4087</v>
      </c>
      <c r="X3543" s="296">
        <v>0.12</v>
      </c>
    </row>
    <row r="3544" spans="13:24">
      <c r="M3544">
        <v>3542</v>
      </c>
      <c r="N3544">
        <v>54409</v>
      </c>
      <c r="O3544" t="s">
        <v>2447</v>
      </c>
      <c r="P3544" t="s">
        <v>149</v>
      </c>
      <c r="Q3544">
        <v>217</v>
      </c>
      <c r="R3544" s="296">
        <v>0</v>
      </c>
      <c r="S3544" s="296">
        <v>0.99619999999999997</v>
      </c>
      <c r="T3544" s="297">
        <v>5615</v>
      </c>
      <c r="U3544" s="340">
        <v>75361</v>
      </c>
      <c r="V3544" s="340">
        <v>182932</v>
      </c>
      <c r="W3544" s="297">
        <v>12892</v>
      </c>
      <c r="X3544" s="296">
        <v>-1E-3</v>
      </c>
    </row>
    <row r="3545" spans="13:24">
      <c r="M3545">
        <v>3543</v>
      </c>
      <c r="N3545">
        <v>40507</v>
      </c>
      <c r="O3545" t="s">
        <v>405</v>
      </c>
      <c r="P3545" t="s">
        <v>143</v>
      </c>
      <c r="Q3545">
        <v>332</v>
      </c>
      <c r="R3545" s="296">
        <v>0</v>
      </c>
      <c r="S3545" s="296">
        <v>0.99619999999999997</v>
      </c>
      <c r="T3545" s="297">
        <v>1432</v>
      </c>
      <c r="U3545" s="340">
        <v>75247</v>
      </c>
      <c r="V3545" s="340">
        <v>651965</v>
      </c>
      <c r="W3545" s="297">
        <v>2171</v>
      </c>
      <c r="X3545" s="296">
        <v>2.4E-2</v>
      </c>
    </row>
    <row r="3546" spans="13:24">
      <c r="M3546">
        <v>3544</v>
      </c>
      <c r="N3546">
        <v>61053</v>
      </c>
      <c r="O3546" t="s">
        <v>2448</v>
      </c>
      <c r="P3546" t="s">
        <v>131</v>
      </c>
      <c r="Q3546">
        <v>113</v>
      </c>
      <c r="R3546" s="296">
        <v>0</v>
      </c>
      <c r="S3546" s="296">
        <v>0.99619999999999997</v>
      </c>
      <c r="T3546" s="297">
        <v>1136</v>
      </c>
      <c r="U3546" s="340">
        <v>75227</v>
      </c>
      <c r="V3546" s="340">
        <v>201624</v>
      </c>
      <c r="W3546" s="297">
        <v>2483</v>
      </c>
      <c r="X3546" s="296">
        <v>-7.0000000000000001E-3</v>
      </c>
    </row>
    <row r="3547" spans="13:24">
      <c r="M3547">
        <v>3545</v>
      </c>
      <c r="N3547">
        <v>37820</v>
      </c>
      <c r="O3547" t="s">
        <v>1011</v>
      </c>
      <c r="P3547" t="s">
        <v>146</v>
      </c>
      <c r="Q3547">
        <v>476</v>
      </c>
      <c r="R3547" s="296">
        <v>0</v>
      </c>
      <c r="S3547" s="296">
        <v>0.99629999999999996</v>
      </c>
      <c r="T3547" s="297">
        <v>3087</v>
      </c>
      <c r="U3547" s="340">
        <v>75225</v>
      </c>
      <c r="V3547" s="340">
        <v>338028</v>
      </c>
      <c r="W3547" s="297">
        <v>7952</v>
      </c>
      <c r="X3547" s="296">
        <v>6.0000000000000001E-3</v>
      </c>
    </row>
    <row r="3548" spans="13:24">
      <c r="M3548">
        <v>3546</v>
      </c>
      <c r="N3548">
        <v>85716</v>
      </c>
      <c r="O3548" t="s">
        <v>579</v>
      </c>
      <c r="P3548" t="s">
        <v>158</v>
      </c>
      <c r="Q3548">
        <v>1439</v>
      </c>
      <c r="R3548" s="296">
        <v>0</v>
      </c>
      <c r="S3548" s="296">
        <v>0.99629999999999996</v>
      </c>
      <c r="T3548" s="297">
        <v>17151</v>
      </c>
      <c r="U3548" s="340">
        <v>75213</v>
      </c>
      <c r="V3548" s="340">
        <v>415616</v>
      </c>
      <c r="W3548" s="297">
        <v>33298</v>
      </c>
      <c r="X3548" s="296">
        <v>6.0000000000000001E-3</v>
      </c>
    </row>
    <row r="3549" spans="13:24">
      <c r="M3549">
        <v>3547</v>
      </c>
      <c r="N3549">
        <v>76705</v>
      </c>
      <c r="O3549" t="s">
        <v>2449</v>
      </c>
      <c r="P3549" t="s">
        <v>134</v>
      </c>
      <c r="Q3549">
        <v>888</v>
      </c>
      <c r="R3549" s="296">
        <v>0</v>
      </c>
      <c r="S3549" s="296">
        <v>0.99629999999999996</v>
      </c>
      <c r="T3549" s="297">
        <v>11608</v>
      </c>
      <c r="U3549" s="340">
        <v>75087</v>
      </c>
      <c r="V3549" s="340">
        <v>255968</v>
      </c>
      <c r="W3549" s="297">
        <v>31811</v>
      </c>
      <c r="X3549" s="296">
        <v>8.0000000000000002E-3</v>
      </c>
    </row>
    <row r="3550" spans="13:24">
      <c r="M3550">
        <v>3548</v>
      </c>
      <c r="N3550">
        <v>73036</v>
      </c>
      <c r="O3550" t="s">
        <v>2450</v>
      </c>
      <c r="P3550" t="s">
        <v>205</v>
      </c>
      <c r="Q3550">
        <v>714</v>
      </c>
      <c r="R3550" s="296">
        <v>0</v>
      </c>
      <c r="S3550" s="296">
        <v>0.99629999999999996</v>
      </c>
      <c r="T3550" s="297">
        <v>7354</v>
      </c>
      <c r="U3550" s="340">
        <v>75067</v>
      </c>
      <c r="V3550" s="340">
        <v>248712</v>
      </c>
      <c r="W3550" s="297">
        <v>20583</v>
      </c>
      <c r="X3550" s="296">
        <v>1.2999999999999999E-2</v>
      </c>
    </row>
    <row r="3551" spans="13:24">
      <c r="M3551">
        <v>3549</v>
      </c>
      <c r="N3551">
        <v>66044</v>
      </c>
      <c r="O3551" t="s">
        <v>401</v>
      </c>
      <c r="P3551" t="s">
        <v>176</v>
      </c>
      <c r="Q3551">
        <v>445</v>
      </c>
      <c r="R3551" s="296">
        <v>0</v>
      </c>
      <c r="S3551" s="296">
        <v>0.99629999999999996</v>
      </c>
      <c r="T3551" s="297">
        <v>11423</v>
      </c>
      <c r="U3551" s="340">
        <v>75050</v>
      </c>
      <c r="V3551" s="340">
        <v>346938</v>
      </c>
      <c r="W3551" s="297">
        <v>27175</v>
      </c>
      <c r="X3551" s="296">
        <v>3.0000000000000001E-3</v>
      </c>
    </row>
    <row r="3552" spans="13:24">
      <c r="M3552">
        <v>3550</v>
      </c>
      <c r="N3552">
        <v>27406</v>
      </c>
      <c r="O3552" t="s">
        <v>1323</v>
      </c>
      <c r="P3552" t="s">
        <v>138</v>
      </c>
      <c r="Q3552">
        <v>602</v>
      </c>
      <c r="R3552" s="296">
        <v>0</v>
      </c>
      <c r="S3552" s="296">
        <v>0.99629999999999996</v>
      </c>
      <c r="T3552" s="297">
        <v>24940</v>
      </c>
      <c r="U3552" s="340">
        <v>74997</v>
      </c>
      <c r="V3552" s="340">
        <v>260754</v>
      </c>
      <c r="W3552" s="297">
        <v>61658</v>
      </c>
      <c r="X3552" s="296">
        <v>0</v>
      </c>
    </row>
    <row r="3553" spans="13:24">
      <c r="M3553">
        <v>3551</v>
      </c>
      <c r="N3553">
        <v>19149</v>
      </c>
      <c r="O3553" t="s">
        <v>469</v>
      </c>
      <c r="P3553" t="s">
        <v>133</v>
      </c>
      <c r="Q3553">
        <v>678</v>
      </c>
      <c r="R3553" s="296">
        <v>0</v>
      </c>
      <c r="S3553" s="296">
        <v>0.99629999999999996</v>
      </c>
      <c r="T3553" s="297">
        <v>19308</v>
      </c>
      <c r="U3553" s="340">
        <v>74995</v>
      </c>
      <c r="V3553" s="340">
        <v>254995</v>
      </c>
      <c r="W3553" s="297">
        <v>59153</v>
      </c>
      <c r="X3553" s="296">
        <v>-5.0000000000000001E-3</v>
      </c>
    </row>
    <row r="3554" spans="13:24">
      <c r="M3554">
        <v>3552</v>
      </c>
      <c r="N3554">
        <v>14042</v>
      </c>
      <c r="O3554" t="s">
        <v>2451</v>
      </c>
      <c r="P3554" t="s">
        <v>128</v>
      </c>
      <c r="Q3554">
        <v>476</v>
      </c>
      <c r="R3554" s="296">
        <v>0</v>
      </c>
      <c r="S3554" s="296">
        <v>0.99629999999999996</v>
      </c>
      <c r="T3554" s="297">
        <v>1731</v>
      </c>
      <c r="U3554" s="340">
        <v>74978</v>
      </c>
      <c r="V3554" s="340">
        <v>154805</v>
      </c>
      <c r="W3554" s="297">
        <v>4204</v>
      </c>
      <c r="X3554" s="296">
        <v>-6.0000000000000001E-3</v>
      </c>
    </row>
    <row r="3555" spans="13:24">
      <c r="M3555">
        <v>3553</v>
      </c>
      <c r="N3555">
        <v>34224</v>
      </c>
      <c r="O3555" t="s">
        <v>631</v>
      </c>
      <c r="P3555" t="s">
        <v>127</v>
      </c>
      <c r="Q3555">
        <v>1095</v>
      </c>
      <c r="R3555" s="296">
        <v>0</v>
      </c>
      <c r="S3555" s="296">
        <v>0.99639999999999995</v>
      </c>
      <c r="T3555" s="297">
        <v>8658</v>
      </c>
      <c r="U3555" s="340">
        <v>74948</v>
      </c>
      <c r="V3555" s="340">
        <v>372162</v>
      </c>
      <c r="W3555" s="297">
        <v>17133</v>
      </c>
      <c r="X3555" s="296">
        <v>8.0000000000000002E-3</v>
      </c>
    </row>
    <row r="3556" spans="13:24">
      <c r="M3556">
        <v>3554</v>
      </c>
      <c r="N3556">
        <v>46819</v>
      </c>
      <c r="O3556" t="s">
        <v>1078</v>
      </c>
      <c r="P3556" t="s">
        <v>144</v>
      </c>
      <c r="Q3556">
        <v>160</v>
      </c>
      <c r="R3556" s="296">
        <v>0</v>
      </c>
      <c r="S3556" s="296">
        <v>0.99639999999999995</v>
      </c>
      <c r="T3556" s="297">
        <v>4066</v>
      </c>
      <c r="U3556" s="340">
        <v>74923</v>
      </c>
      <c r="V3556" s="340">
        <v>246842</v>
      </c>
      <c r="W3556" s="297">
        <v>9052</v>
      </c>
      <c r="X3556" s="296">
        <v>-1E-3</v>
      </c>
    </row>
    <row r="3557" spans="13:24">
      <c r="M3557">
        <v>3555</v>
      </c>
      <c r="N3557">
        <v>70062</v>
      </c>
      <c r="O3557" t="s">
        <v>2101</v>
      </c>
      <c r="P3557" t="s">
        <v>147</v>
      </c>
      <c r="Q3557">
        <v>851</v>
      </c>
      <c r="R3557" s="296">
        <v>0</v>
      </c>
      <c r="S3557" s="296">
        <v>0.99639999999999995</v>
      </c>
      <c r="T3557" s="297">
        <v>6330</v>
      </c>
      <c r="U3557" s="340">
        <v>74889</v>
      </c>
      <c r="V3557" s="340">
        <v>264485</v>
      </c>
      <c r="W3557" s="297">
        <v>16598</v>
      </c>
      <c r="X3557" s="296">
        <v>-3.0000000000000001E-3</v>
      </c>
    </row>
    <row r="3558" spans="13:24">
      <c r="M3558">
        <v>3556</v>
      </c>
      <c r="N3558">
        <v>54177</v>
      </c>
      <c r="O3558" t="s">
        <v>2452</v>
      </c>
      <c r="P3558" t="s">
        <v>149</v>
      </c>
      <c r="Q3558">
        <v>221</v>
      </c>
      <c r="R3558" s="296">
        <v>0</v>
      </c>
      <c r="S3558" s="296">
        <v>0.99639999999999995</v>
      </c>
      <c r="T3558" s="297">
        <v>1425</v>
      </c>
      <c r="U3558" s="340">
        <v>74869</v>
      </c>
      <c r="V3558" s="340">
        <v>227565</v>
      </c>
      <c r="W3558" s="297">
        <v>2927</v>
      </c>
      <c r="X3558" s="296">
        <v>6.0000000000000001E-3</v>
      </c>
    </row>
    <row r="3559" spans="13:24">
      <c r="M3559">
        <v>3557</v>
      </c>
      <c r="N3559">
        <v>31906</v>
      </c>
      <c r="O3559" t="s">
        <v>468</v>
      </c>
      <c r="P3559" t="s">
        <v>130</v>
      </c>
      <c r="Q3559">
        <v>687</v>
      </c>
      <c r="R3559" s="296">
        <v>0</v>
      </c>
      <c r="S3559" s="296">
        <v>0.99639999999999995</v>
      </c>
      <c r="T3559" s="297">
        <v>9462</v>
      </c>
      <c r="U3559" s="340">
        <v>74803</v>
      </c>
      <c r="V3559" s="340">
        <v>266381</v>
      </c>
      <c r="W3559" s="297">
        <v>21177</v>
      </c>
      <c r="X3559" s="296">
        <v>-6.0000000000000001E-3</v>
      </c>
    </row>
    <row r="3560" spans="13:24">
      <c r="M3560">
        <v>3558</v>
      </c>
      <c r="N3560">
        <v>61054</v>
      </c>
      <c r="O3560" t="s">
        <v>2453</v>
      </c>
      <c r="P3560" t="s">
        <v>131</v>
      </c>
      <c r="Q3560">
        <v>85</v>
      </c>
      <c r="R3560" s="296">
        <v>0</v>
      </c>
      <c r="S3560" s="296">
        <v>0.99639999999999995</v>
      </c>
      <c r="T3560" s="297">
        <v>1684</v>
      </c>
      <c r="U3560" s="340">
        <v>74731</v>
      </c>
      <c r="V3560" s="340">
        <v>193063</v>
      </c>
      <c r="W3560" s="297">
        <v>3681</v>
      </c>
      <c r="X3560" s="296">
        <v>-5.0000000000000001E-3</v>
      </c>
    </row>
    <row r="3561" spans="13:24">
      <c r="M3561">
        <v>3559</v>
      </c>
      <c r="N3561">
        <v>54114</v>
      </c>
      <c r="O3561" t="s">
        <v>2454</v>
      </c>
      <c r="P3561" t="s">
        <v>149</v>
      </c>
      <c r="Q3561">
        <v>216</v>
      </c>
      <c r="R3561" s="296">
        <v>0</v>
      </c>
      <c r="S3561" s="296">
        <v>0.99639999999999995</v>
      </c>
      <c r="T3561" s="297">
        <v>2695</v>
      </c>
      <c r="U3561" s="340">
        <v>74625</v>
      </c>
      <c r="V3561" s="340">
        <v>247811</v>
      </c>
      <c r="W3561" s="297">
        <v>5818</v>
      </c>
      <c r="X3561" s="296">
        <v>1E-3</v>
      </c>
    </row>
    <row r="3562" spans="13:24">
      <c r="M3562">
        <v>3560</v>
      </c>
      <c r="N3562">
        <v>62821</v>
      </c>
      <c r="O3562" t="s">
        <v>2455</v>
      </c>
      <c r="P3562" t="s">
        <v>131</v>
      </c>
      <c r="Q3562">
        <v>283</v>
      </c>
      <c r="R3562" s="296">
        <v>0</v>
      </c>
      <c r="S3562" s="296">
        <v>0.99639999999999995</v>
      </c>
      <c r="T3562" s="297">
        <v>3062</v>
      </c>
      <c r="U3562" s="340">
        <v>74567</v>
      </c>
      <c r="V3562" s="340">
        <v>182380</v>
      </c>
      <c r="W3562" s="297">
        <v>6942</v>
      </c>
      <c r="X3562" s="296">
        <v>-8.0000000000000002E-3</v>
      </c>
    </row>
    <row r="3563" spans="13:24">
      <c r="M3563">
        <v>3561</v>
      </c>
      <c r="N3563">
        <v>66621</v>
      </c>
      <c r="O3563" t="s">
        <v>1217</v>
      </c>
      <c r="P3563" t="s">
        <v>176</v>
      </c>
      <c r="Q3563">
        <v>467</v>
      </c>
      <c r="R3563" s="296">
        <v>0</v>
      </c>
      <c r="S3563" s="296">
        <v>0.99650000000000005</v>
      </c>
      <c r="T3563">
        <v>1</v>
      </c>
      <c r="U3563" s="340">
        <v>74558</v>
      </c>
      <c r="V3563" s="340">
        <v>75000</v>
      </c>
      <c r="W3563">
        <v>291</v>
      </c>
      <c r="X3563" s="296">
        <v>0</v>
      </c>
    </row>
    <row r="3564" spans="13:24">
      <c r="M3564">
        <v>3562</v>
      </c>
      <c r="N3564">
        <v>40051</v>
      </c>
      <c r="O3564" t="s">
        <v>465</v>
      </c>
      <c r="P3564" t="s">
        <v>143</v>
      </c>
      <c r="Q3564">
        <v>332</v>
      </c>
      <c r="R3564" s="296">
        <v>0</v>
      </c>
      <c r="S3564" s="296">
        <v>0.99650000000000005</v>
      </c>
      <c r="T3564" s="297">
        <v>1813</v>
      </c>
      <c r="U3564" s="340">
        <v>74510</v>
      </c>
      <c r="V3564" s="340">
        <v>248298</v>
      </c>
      <c r="W3564" s="297">
        <v>4440</v>
      </c>
      <c r="X3564" s="296">
        <v>4.0000000000000001E-3</v>
      </c>
    </row>
    <row r="3565" spans="13:24">
      <c r="M3565">
        <v>3563</v>
      </c>
      <c r="N3565">
        <v>63823</v>
      </c>
      <c r="O3565" t="s">
        <v>2456</v>
      </c>
      <c r="P3565" t="s">
        <v>186</v>
      </c>
      <c r="Q3565">
        <v>374</v>
      </c>
      <c r="R3565" s="296">
        <v>0</v>
      </c>
      <c r="S3565" s="296">
        <v>0.99650000000000005</v>
      </c>
      <c r="T3565">
        <v>519</v>
      </c>
      <c r="U3565" s="340">
        <v>74478</v>
      </c>
      <c r="V3565" s="340">
        <v>187181</v>
      </c>
      <c r="W3565" s="297">
        <v>1197</v>
      </c>
      <c r="X3565" s="296">
        <v>-8.9999999999999993E-3</v>
      </c>
    </row>
    <row r="3566" spans="13:24">
      <c r="M3566">
        <v>3564</v>
      </c>
      <c r="N3566">
        <v>90033</v>
      </c>
      <c r="O3566" t="s">
        <v>309</v>
      </c>
      <c r="P3566" t="s">
        <v>132</v>
      </c>
      <c r="Q3566">
        <v>1735</v>
      </c>
      <c r="R3566" s="296">
        <v>0</v>
      </c>
      <c r="S3566" s="296">
        <v>0.99650000000000005</v>
      </c>
      <c r="T3566" s="297">
        <v>13148</v>
      </c>
      <c r="U3566" s="340">
        <v>74472</v>
      </c>
      <c r="V3566" s="340">
        <v>765137</v>
      </c>
      <c r="W3566" s="297">
        <v>44632</v>
      </c>
      <c r="X3566" s="296">
        <v>-7.0000000000000001E-3</v>
      </c>
    </row>
    <row r="3567" spans="13:24">
      <c r="M3567">
        <v>3565</v>
      </c>
      <c r="N3567">
        <v>77092</v>
      </c>
      <c r="O3567" t="s">
        <v>314</v>
      </c>
      <c r="P3567" t="s">
        <v>134</v>
      </c>
      <c r="Q3567">
        <v>952</v>
      </c>
      <c r="R3567" s="296">
        <v>0</v>
      </c>
      <c r="S3567" s="296">
        <v>0.99650000000000005</v>
      </c>
      <c r="T3567" s="297">
        <v>14844</v>
      </c>
      <c r="U3567" s="340">
        <v>74422</v>
      </c>
      <c r="V3567" s="340">
        <v>346956</v>
      </c>
      <c r="W3567" s="297">
        <v>38401</v>
      </c>
      <c r="X3567" s="296">
        <v>1.0999999999999999E-2</v>
      </c>
    </row>
    <row r="3568" spans="13:24">
      <c r="M3568">
        <v>3566</v>
      </c>
      <c r="N3568">
        <v>25143</v>
      </c>
      <c r="O3568" t="s">
        <v>2457</v>
      </c>
      <c r="P3568" t="s">
        <v>227</v>
      </c>
      <c r="Q3568">
        <v>406</v>
      </c>
      <c r="R3568" s="296">
        <v>0</v>
      </c>
      <c r="S3568" s="296">
        <v>0.99650000000000005</v>
      </c>
      <c r="T3568" s="297">
        <v>3749</v>
      </c>
      <c r="U3568" s="340">
        <v>74404</v>
      </c>
      <c r="V3568" s="340">
        <v>186427</v>
      </c>
      <c r="W3568" s="297">
        <v>8553</v>
      </c>
      <c r="X3568" s="296">
        <v>-4.0000000000000001E-3</v>
      </c>
    </row>
    <row r="3569" spans="13:24">
      <c r="M3569">
        <v>3567</v>
      </c>
      <c r="N3569">
        <v>43501</v>
      </c>
      <c r="O3569" t="s">
        <v>2458</v>
      </c>
      <c r="P3569" t="s">
        <v>136</v>
      </c>
      <c r="Q3569">
        <v>174</v>
      </c>
      <c r="R3569" s="296">
        <v>0</v>
      </c>
      <c r="S3569" s="296">
        <v>0.99650000000000005</v>
      </c>
      <c r="T3569">
        <v>319</v>
      </c>
      <c r="U3569" s="340">
        <v>74390</v>
      </c>
      <c r="V3569" s="340">
        <v>175000</v>
      </c>
      <c r="W3569">
        <v>799</v>
      </c>
      <c r="X3569" s="296">
        <v>-1E-3</v>
      </c>
    </row>
    <row r="3570" spans="13:24">
      <c r="M3570">
        <v>3568</v>
      </c>
      <c r="N3570">
        <v>62056</v>
      </c>
      <c r="O3570" t="s">
        <v>647</v>
      </c>
      <c r="P3570" t="s">
        <v>131</v>
      </c>
      <c r="Q3570">
        <v>228</v>
      </c>
      <c r="R3570" s="296">
        <v>0</v>
      </c>
      <c r="S3570" s="296">
        <v>0.99650000000000005</v>
      </c>
      <c r="T3570" s="297">
        <v>3557</v>
      </c>
      <c r="U3570" s="340">
        <v>74366</v>
      </c>
      <c r="V3570" s="340">
        <v>174894</v>
      </c>
      <c r="W3570" s="297">
        <v>8279</v>
      </c>
      <c r="X3570" s="296">
        <v>-8.0000000000000002E-3</v>
      </c>
    </row>
    <row r="3571" spans="13:24">
      <c r="M3571">
        <v>3569</v>
      </c>
      <c r="N3571">
        <v>49098</v>
      </c>
      <c r="O3571" t="s">
        <v>2459</v>
      </c>
      <c r="P3571" t="s">
        <v>140</v>
      </c>
      <c r="Q3571">
        <v>78</v>
      </c>
      <c r="R3571" s="296">
        <v>0</v>
      </c>
      <c r="S3571" s="296">
        <v>0.99660000000000004</v>
      </c>
      <c r="T3571" s="297">
        <v>2368</v>
      </c>
      <c r="U3571" s="340">
        <v>74363</v>
      </c>
      <c r="V3571" s="340">
        <v>271868</v>
      </c>
      <c r="W3571" s="297">
        <v>5863</v>
      </c>
      <c r="X3571" s="296">
        <v>8.0000000000000002E-3</v>
      </c>
    </row>
    <row r="3572" spans="13:24">
      <c r="M3572">
        <v>3570</v>
      </c>
      <c r="N3572">
        <v>50702</v>
      </c>
      <c r="O3572" t="s">
        <v>2239</v>
      </c>
      <c r="P3572" t="s">
        <v>170</v>
      </c>
      <c r="Q3572">
        <v>233</v>
      </c>
      <c r="R3572" s="296">
        <v>0</v>
      </c>
      <c r="S3572" s="296">
        <v>0.99660000000000004</v>
      </c>
      <c r="T3572" s="297">
        <v>8759</v>
      </c>
      <c r="U3572" s="340">
        <v>74352</v>
      </c>
      <c r="V3572" s="340">
        <v>170407</v>
      </c>
      <c r="W3572" s="297">
        <v>20407</v>
      </c>
      <c r="X3572" s="296">
        <v>-3.0000000000000001E-3</v>
      </c>
    </row>
    <row r="3573" spans="13:24">
      <c r="M3573">
        <v>3571</v>
      </c>
      <c r="N3573">
        <v>46254</v>
      </c>
      <c r="O3573" t="s">
        <v>561</v>
      </c>
      <c r="P3573" t="s">
        <v>144</v>
      </c>
      <c r="Q3573">
        <v>177</v>
      </c>
      <c r="R3573" s="296">
        <v>0</v>
      </c>
      <c r="S3573" s="296">
        <v>0.99660000000000004</v>
      </c>
      <c r="T3573" s="297">
        <v>16721</v>
      </c>
      <c r="U3573" s="340">
        <v>74094</v>
      </c>
      <c r="V3573" s="340">
        <v>250639</v>
      </c>
      <c r="W3573" s="297">
        <v>40008</v>
      </c>
      <c r="X3573" s="296">
        <v>-1E-3</v>
      </c>
    </row>
    <row r="3574" spans="13:24">
      <c r="M3574">
        <v>3572</v>
      </c>
      <c r="N3574">
        <v>57104</v>
      </c>
      <c r="O3574" t="s">
        <v>2116</v>
      </c>
      <c r="P3574" t="s">
        <v>215</v>
      </c>
      <c r="Q3574">
        <v>462</v>
      </c>
      <c r="R3574" s="296">
        <v>0</v>
      </c>
      <c r="S3574" s="296">
        <v>0.99660000000000004</v>
      </c>
      <c r="T3574" s="297">
        <v>12593</v>
      </c>
      <c r="U3574" s="340">
        <v>74040</v>
      </c>
      <c r="V3574" s="340">
        <v>243696</v>
      </c>
      <c r="W3574" s="297">
        <v>28323</v>
      </c>
      <c r="X3574" s="296">
        <v>1.2E-2</v>
      </c>
    </row>
    <row r="3575" spans="13:24">
      <c r="M3575">
        <v>3573</v>
      </c>
      <c r="N3575">
        <v>72521</v>
      </c>
      <c r="O3575" t="s">
        <v>2460</v>
      </c>
      <c r="P3575" t="s">
        <v>156</v>
      </c>
      <c r="Q3575">
        <v>473</v>
      </c>
      <c r="R3575" s="296">
        <v>0</v>
      </c>
      <c r="S3575" s="296">
        <v>0.99660000000000004</v>
      </c>
      <c r="T3575" s="297">
        <v>1866</v>
      </c>
      <c r="U3575" s="340">
        <v>73999</v>
      </c>
      <c r="V3575" s="340">
        <v>196618</v>
      </c>
      <c r="W3575" s="297">
        <v>4730</v>
      </c>
      <c r="X3575" s="296">
        <v>8.0000000000000002E-3</v>
      </c>
    </row>
    <row r="3576" spans="13:24">
      <c r="M3576">
        <v>3574</v>
      </c>
      <c r="N3576">
        <v>46545</v>
      </c>
      <c r="O3576" t="s">
        <v>2400</v>
      </c>
      <c r="P3576" t="s">
        <v>144</v>
      </c>
      <c r="Q3576">
        <v>89</v>
      </c>
      <c r="R3576" s="296">
        <v>0</v>
      </c>
      <c r="S3576" s="296">
        <v>0.99660000000000004</v>
      </c>
      <c r="T3576" s="297">
        <v>12074</v>
      </c>
      <c r="U3576" s="340">
        <v>73961</v>
      </c>
      <c r="V3576" s="340">
        <v>263334</v>
      </c>
      <c r="W3576" s="297">
        <v>26164</v>
      </c>
      <c r="X3576" s="296">
        <v>0</v>
      </c>
    </row>
    <row r="3577" spans="13:24">
      <c r="M3577">
        <v>3575</v>
      </c>
      <c r="N3577">
        <v>44125</v>
      </c>
      <c r="O3577" t="s">
        <v>1251</v>
      </c>
      <c r="P3577" t="s">
        <v>136</v>
      </c>
      <c r="Q3577">
        <v>321</v>
      </c>
      <c r="R3577" s="296">
        <v>0</v>
      </c>
      <c r="S3577" s="296">
        <v>0.99660000000000004</v>
      </c>
      <c r="T3577" s="297">
        <v>11603</v>
      </c>
      <c r="U3577" s="340">
        <v>73955</v>
      </c>
      <c r="V3577" s="340">
        <v>176200</v>
      </c>
      <c r="W3577" s="297">
        <v>28750</v>
      </c>
      <c r="X3577" s="296">
        <v>-6.0000000000000001E-3</v>
      </c>
    </row>
    <row r="3578" spans="13:24">
      <c r="M3578">
        <v>3576</v>
      </c>
      <c r="N3578">
        <v>44903</v>
      </c>
      <c r="O3578" t="s">
        <v>456</v>
      </c>
      <c r="P3578" t="s">
        <v>136</v>
      </c>
      <c r="Q3578">
        <v>288</v>
      </c>
      <c r="R3578" s="296">
        <v>0</v>
      </c>
      <c r="S3578" s="296">
        <v>0.99660000000000004</v>
      </c>
      <c r="T3578" s="297">
        <v>10577</v>
      </c>
      <c r="U3578" s="340">
        <v>73893</v>
      </c>
      <c r="V3578" s="340">
        <v>211609</v>
      </c>
      <c r="W3578" s="297">
        <v>25582</v>
      </c>
      <c r="X3578" s="296">
        <v>-1E-3</v>
      </c>
    </row>
    <row r="3579" spans="13:24">
      <c r="M3579">
        <v>3577</v>
      </c>
      <c r="N3579">
        <v>84606</v>
      </c>
      <c r="O3579" t="s">
        <v>2001</v>
      </c>
      <c r="P3579" t="s">
        <v>219</v>
      </c>
      <c r="Q3579">
        <v>1242</v>
      </c>
      <c r="R3579" s="296">
        <v>0</v>
      </c>
      <c r="S3579" s="296">
        <v>0.99670000000000003</v>
      </c>
      <c r="T3579" s="297">
        <v>11108</v>
      </c>
      <c r="U3579" s="340">
        <v>73887</v>
      </c>
      <c r="V3579" s="340">
        <v>529091</v>
      </c>
      <c r="W3579" s="297">
        <v>34437</v>
      </c>
      <c r="X3579" s="296">
        <v>-1E-3</v>
      </c>
    </row>
    <row r="3580" spans="13:24">
      <c r="M3580">
        <v>3578</v>
      </c>
      <c r="N3580">
        <v>54655</v>
      </c>
      <c r="O3580" t="s">
        <v>2461</v>
      </c>
      <c r="P3580" t="s">
        <v>149</v>
      </c>
      <c r="Q3580">
        <v>174</v>
      </c>
      <c r="R3580" s="296">
        <v>0</v>
      </c>
      <c r="S3580" s="296">
        <v>0.99670000000000003</v>
      </c>
      <c r="T3580">
        <v>684</v>
      </c>
      <c r="U3580" s="340">
        <v>73850</v>
      </c>
      <c r="V3580" s="340">
        <v>324368</v>
      </c>
      <c r="W3580" s="297">
        <v>1778</v>
      </c>
      <c r="X3580" s="296">
        <v>7.0000000000000001E-3</v>
      </c>
    </row>
    <row r="3581" spans="13:24">
      <c r="M3581">
        <v>3579</v>
      </c>
      <c r="N3581">
        <v>64137</v>
      </c>
      <c r="O3581" t="s">
        <v>490</v>
      </c>
      <c r="P3581" t="s">
        <v>186</v>
      </c>
      <c r="Q3581">
        <v>418</v>
      </c>
      <c r="R3581" s="296">
        <v>0</v>
      </c>
      <c r="S3581" s="296">
        <v>0.99670000000000003</v>
      </c>
      <c r="T3581" s="297">
        <v>4631</v>
      </c>
      <c r="U3581" s="340">
        <v>73794</v>
      </c>
      <c r="V3581" s="340">
        <v>240088</v>
      </c>
      <c r="W3581" s="297">
        <v>10399</v>
      </c>
      <c r="X3581" s="296">
        <v>-5.0000000000000001E-3</v>
      </c>
    </row>
    <row r="3582" spans="13:24">
      <c r="M3582">
        <v>3580</v>
      </c>
      <c r="N3582">
        <v>64637</v>
      </c>
      <c r="O3582" t="s">
        <v>2462</v>
      </c>
      <c r="P3582" t="s">
        <v>186</v>
      </c>
      <c r="Q3582">
        <v>367</v>
      </c>
      <c r="R3582" s="296">
        <v>0</v>
      </c>
      <c r="S3582" s="296">
        <v>0.99670000000000003</v>
      </c>
      <c r="T3582">
        <v>254</v>
      </c>
      <c r="U3582" s="340">
        <v>73762</v>
      </c>
      <c r="V3582" s="340">
        <v>208844</v>
      </c>
      <c r="W3582">
        <v>585</v>
      </c>
      <c r="X3582" s="296">
        <v>4.0000000000000001E-3</v>
      </c>
    </row>
    <row r="3583" spans="13:24">
      <c r="M3583">
        <v>3581</v>
      </c>
      <c r="N3583">
        <v>72076</v>
      </c>
      <c r="O3583" t="s">
        <v>331</v>
      </c>
      <c r="P3583" t="s">
        <v>156</v>
      </c>
      <c r="Q3583">
        <v>553</v>
      </c>
      <c r="R3583" s="296">
        <v>0</v>
      </c>
      <c r="S3583" s="296">
        <v>0.99670000000000003</v>
      </c>
      <c r="T3583" s="297">
        <v>15562</v>
      </c>
      <c r="U3583" s="340">
        <v>73638</v>
      </c>
      <c r="V3583" s="340">
        <v>245949</v>
      </c>
      <c r="W3583" s="297">
        <v>38225</v>
      </c>
      <c r="X3583" s="296">
        <v>-1E-3</v>
      </c>
    </row>
    <row r="3584" spans="13:24">
      <c r="M3584">
        <v>3582</v>
      </c>
      <c r="N3584">
        <v>43614</v>
      </c>
      <c r="O3584" t="s">
        <v>846</v>
      </c>
      <c r="P3584" t="s">
        <v>136</v>
      </c>
      <c r="Q3584">
        <v>217</v>
      </c>
      <c r="R3584" s="296">
        <v>0</v>
      </c>
      <c r="S3584" s="296">
        <v>0.99670000000000003</v>
      </c>
      <c r="T3584" s="297">
        <v>13879</v>
      </c>
      <c r="U3584" s="340">
        <v>73635</v>
      </c>
      <c r="V3584" s="340">
        <v>183589</v>
      </c>
      <c r="W3584" s="297">
        <v>29303</v>
      </c>
      <c r="X3584" s="296">
        <v>-6.0000000000000001E-3</v>
      </c>
    </row>
    <row r="3585" spans="13:24">
      <c r="M3585">
        <v>3583</v>
      </c>
      <c r="N3585">
        <v>37863</v>
      </c>
      <c r="O3585" t="s">
        <v>2463</v>
      </c>
      <c r="P3585" t="s">
        <v>146</v>
      </c>
      <c r="Q3585">
        <v>494</v>
      </c>
      <c r="R3585" s="296">
        <v>0</v>
      </c>
      <c r="S3585" s="296">
        <v>0.99670000000000003</v>
      </c>
      <c r="T3585" s="297">
        <v>2640</v>
      </c>
      <c r="U3585" s="340">
        <v>73584</v>
      </c>
      <c r="V3585" s="340">
        <v>414015</v>
      </c>
      <c r="W3585" s="297">
        <v>6675</v>
      </c>
      <c r="X3585" s="296">
        <v>-2E-3</v>
      </c>
    </row>
    <row r="3586" spans="13:24">
      <c r="M3586">
        <v>3584</v>
      </c>
      <c r="N3586">
        <v>89108</v>
      </c>
      <c r="O3586" t="s">
        <v>706</v>
      </c>
      <c r="P3586" t="s">
        <v>148</v>
      </c>
      <c r="Q3586">
        <v>1518</v>
      </c>
      <c r="R3586" s="296">
        <v>0</v>
      </c>
      <c r="S3586" s="296">
        <v>0.99670000000000003</v>
      </c>
      <c r="T3586" s="297">
        <v>27740</v>
      </c>
      <c r="U3586" s="340">
        <v>73564</v>
      </c>
      <c r="V3586" s="340">
        <v>423236</v>
      </c>
      <c r="W3586" s="297">
        <v>76574</v>
      </c>
      <c r="X3586" s="296">
        <v>0</v>
      </c>
    </row>
    <row r="3587" spans="13:24">
      <c r="M3587">
        <v>3585</v>
      </c>
      <c r="N3587">
        <v>77067</v>
      </c>
      <c r="O3587" t="s">
        <v>314</v>
      </c>
      <c r="P3587" t="s">
        <v>134</v>
      </c>
      <c r="Q3587">
        <v>944</v>
      </c>
      <c r="R3587" s="296">
        <v>0</v>
      </c>
      <c r="S3587" s="296">
        <v>0.99680000000000002</v>
      </c>
      <c r="T3587" s="297">
        <v>9290</v>
      </c>
      <c r="U3587" s="340">
        <v>73548</v>
      </c>
      <c r="V3587" s="340">
        <v>280054</v>
      </c>
      <c r="W3587" s="297">
        <v>29522</v>
      </c>
      <c r="X3587" s="296">
        <v>0</v>
      </c>
    </row>
    <row r="3588" spans="13:24">
      <c r="M3588">
        <v>3586</v>
      </c>
      <c r="N3588">
        <v>32668</v>
      </c>
      <c r="O3588" t="s">
        <v>2464</v>
      </c>
      <c r="P3588" t="s">
        <v>127</v>
      </c>
      <c r="Q3588">
        <v>937</v>
      </c>
      <c r="R3588" s="296">
        <v>0</v>
      </c>
      <c r="S3588" s="296">
        <v>0.99680000000000002</v>
      </c>
      <c r="T3588" s="297">
        <v>2626</v>
      </c>
      <c r="U3588" s="340">
        <v>73451</v>
      </c>
      <c r="V3588" s="340">
        <v>337588</v>
      </c>
      <c r="W3588" s="297">
        <v>6099</v>
      </c>
      <c r="X3588" s="296">
        <v>1.4999999999999999E-2</v>
      </c>
    </row>
    <row r="3589" spans="13:24">
      <c r="M3589">
        <v>3587</v>
      </c>
      <c r="N3589">
        <v>62237</v>
      </c>
      <c r="O3589" t="s">
        <v>2465</v>
      </c>
      <c r="P3589" t="s">
        <v>131</v>
      </c>
      <c r="Q3589">
        <v>291</v>
      </c>
      <c r="R3589" s="296">
        <v>0</v>
      </c>
      <c r="S3589" s="296">
        <v>0.99680000000000002</v>
      </c>
      <c r="T3589" s="297">
        <v>1037</v>
      </c>
      <c r="U3589" s="340">
        <v>73422</v>
      </c>
      <c r="V3589" s="340">
        <v>182986</v>
      </c>
      <c r="W3589" s="297">
        <v>2461</v>
      </c>
      <c r="X3589" s="296">
        <v>-1E-3</v>
      </c>
    </row>
    <row r="3590" spans="13:24">
      <c r="M3590">
        <v>3588</v>
      </c>
      <c r="N3590">
        <v>32501</v>
      </c>
      <c r="O3590" t="s">
        <v>583</v>
      </c>
      <c r="P3590" t="s">
        <v>127</v>
      </c>
      <c r="Q3590">
        <v>811</v>
      </c>
      <c r="R3590" s="296">
        <v>0</v>
      </c>
      <c r="S3590" s="296">
        <v>0.99680000000000002</v>
      </c>
      <c r="T3590" s="297">
        <v>4677</v>
      </c>
      <c r="U3590" s="340">
        <v>73405</v>
      </c>
      <c r="V3590" s="340">
        <v>428045</v>
      </c>
      <c r="W3590" s="297">
        <v>11194</v>
      </c>
      <c r="X3590" s="296">
        <v>-1E-3</v>
      </c>
    </row>
    <row r="3591" spans="13:24">
      <c r="M3591">
        <v>3589</v>
      </c>
      <c r="N3591">
        <v>46991</v>
      </c>
      <c r="O3591" t="s">
        <v>2466</v>
      </c>
      <c r="P3591" t="s">
        <v>144</v>
      </c>
      <c r="Q3591">
        <v>158</v>
      </c>
      <c r="R3591" s="296">
        <v>0</v>
      </c>
      <c r="S3591" s="296">
        <v>0.99680000000000002</v>
      </c>
      <c r="T3591">
        <v>590</v>
      </c>
      <c r="U3591" s="340">
        <v>73376</v>
      </c>
      <c r="V3591" s="340">
        <v>238309</v>
      </c>
      <c r="W3591" s="297">
        <v>1512</v>
      </c>
      <c r="X3591" s="296">
        <v>-3.0000000000000001E-3</v>
      </c>
    </row>
    <row r="3592" spans="13:24">
      <c r="M3592">
        <v>3590</v>
      </c>
      <c r="N3592">
        <v>62018</v>
      </c>
      <c r="O3592" t="s">
        <v>2467</v>
      </c>
      <c r="P3592" t="s">
        <v>131</v>
      </c>
      <c r="Q3592">
        <v>254</v>
      </c>
      <c r="R3592" s="296">
        <v>0</v>
      </c>
      <c r="S3592" s="296">
        <v>0.99680000000000002</v>
      </c>
      <c r="T3592" s="297">
        <v>1486</v>
      </c>
      <c r="U3592" s="340">
        <v>73284</v>
      </c>
      <c r="V3592" s="340">
        <v>136317</v>
      </c>
      <c r="W3592" s="297">
        <v>3678</v>
      </c>
      <c r="X3592" s="296">
        <v>-1E-3</v>
      </c>
    </row>
    <row r="3593" spans="13:24">
      <c r="M3593">
        <v>3591</v>
      </c>
      <c r="N3593">
        <v>32211</v>
      </c>
      <c r="O3593" t="s">
        <v>331</v>
      </c>
      <c r="P3593" t="s">
        <v>127</v>
      </c>
      <c r="Q3593">
        <v>885</v>
      </c>
      <c r="R3593" s="296">
        <v>0</v>
      </c>
      <c r="S3593" s="296">
        <v>0.99680000000000002</v>
      </c>
      <c r="T3593" s="297">
        <v>14411</v>
      </c>
      <c r="U3593" s="340">
        <v>73278</v>
      </c>
      <c r="V3593" s="340">
        <v>330275</v>
      </c>
      <c r="W3593" s="297">
        <v>36973</v>
      </c>
      <c r="X3593" s="296">
        <v>1.2E-2</v>
      </c>
    </row>
    <row r="3594" spans="13:24">
      <c r="M3594">
        <v>3592</v>
      </c>
      <c r="N3594">
        <v>46615</v>
      </c>
      <c r="O3594" t="s">
        <v>1212</v>
      </c>
      <c r="P3594" t="s">
        <v>144</v>
      </c>
      <c r="Q3594">
        <v>87</v>
      </c>
      <c r="R3594" s="296">
        <v>0</v>
      </c>
      <c r="S3594" s="296">
        <v>0.99690000000000001</v>
      </c>
      <c r="T3594" s="297">
        <v>6366</v>
      </c>
      <c r="U3594" s="340">
        <v>73259</v>
      </c>
      <c r="V3594" s="340">
        <v>200342</v>
      </c>
      <c r="W3594" s="297">
        <v>14605</v>
      </c>
      <c r="X3594" s="296">
        <v>-2E-3</v>
      </c>
    </row>
    <row r="3595" spans="13:24">
      <c r="M3595">
        <v>3593</v>
      </c>
      <c r="N3595">
        <v>62530</v>
      </c>
      <c r="O3595" t="s">
        <v>2468</v>
      </c>
      <c r="P3595" t="s">
        <v>131</v>
      </c>
      <c r="Q3595">
        <v>203</v>
      </c>
      <c r="R3595" s="296">
        <v>0</v>
      </c>
      <c r="S3595" s="296">
        <v>0.99690000000000001</v>
      </c>
      <c r="T3595">
        <v>617</v>
      </c>
      <c r="U3595" s="340">
        <v>73259</v>
      </c>
      <c r="V3595" s="340">
        <v>197751</v>
      </c>
      <c r="W3595" s="297">
        <v>1368</v>
      </c>
      <c r="X3595" s="296">
        <v>-0.01</v>
      </c>
    </row>
    <row r="3596" spans="13:24">
      <c r="M3596">
        <v>3594</v>
      </c>
      <c r="N3596">
        <v>33563</v>
      </c>
      <c r="O3596" t="s">
        <v>2469</v>
      </c>
      <c r="P3596" t="s">
        <v>127</v>
      </c>
      <c r="Q3596">
        <v>1027</v>
      </c>
      <c r="R3596" s="296">
        <v>0</v>
      </c>
      <c r="S3596" s="296">
        <v>0.99690000000000001</v>
      </c>
      <c r="T3596" s="297">
        <v>9774</v>
      </c>
      <c r="U3596" s="340">
        <v>73243</v>
      </c>
      <c r="V3596" s="340">
        <v>376259</v>
      </c>
      <c r="W3596" s="297">
        <v>27594</v>
      </c>
      <c r="X3596" s="296">
        <v>3.0000000000000001E-3</v>
      </c>
    </row>
    <row r="3597" spans="13:24">
      <c r="M3597">
        <v>3595</v>
      </c>
      <c r="N3597">
        <v>66103</v>
      </c>
      <c r="O3597" t="s">
        <v>490</v>
      </c>
      <c r="P3597" t="s">
        <v>176</v>
      </c>
      <c r="Q3597">
        <v>417</v>
      </c>
      <c r="R3597" s="296">
        <v>0</v>
      </c>
      <c r="S3597" s="296">
        <v>0.99690000000000001</v>
      </c>
      <c r="T3597" s="297">
        <v>6109</v>
      </c>
      <c r="U3597" s="340">
        <v>73211</v>
      </c>
      <c r="V3597" s="340">
        <v>187608</v>
      </c>
      <c r="W3597" s="297">
        <v>12788</v>
      </c>
      <c r="X3597" s="296">
        <v>1E-3</v>
      </c>
    </row>
    <row r="3598" spans="13:24">
      <c r="M3598">
        <v>3596</v>
      </c>
      <c r="N3598">
        <v>47374</v>
      </c>
      <c r="O3598" t="s">
        <v>302</v>
      </c>
      <c r="P3598" t="s">
        <v>144</v>
      </c>
      <c r="Q3598">
        <v>220</v>
      </c>
      <c r="R3598" s="296">
        <v>0</v>
      </c>
      <c r="S3598" s="296">
        <v>0.99690000000000001</v>
      </c>
      <c r="T3598" s="297">
        <v>19293</v>
      </c>
      <c r="U3598" s="340">
        <v>73183</v>
      </c>
      <c r="V3598" s="340">
        <v>205492</v>
      </c>
      <c r="W3598" s="297">
        <v>45350</v>
      </c>
      <c r="X3598" s="296">
        <v>-1E-3</v>
      </c>
    </row>
    <row r="3599" spans="13:24">
      <c r="M3599">
        <v>3597</v>
      </c>
      <c r="N3599">
        <v>64117</v>
      </c>
      <c r="O3599" t="s">
        <v>490</v>
      </c>
      <c r="P3599" t="s">
        <v>186</v>
      </c>
      <c r="Q3599">
        <v>409</v>
      </c>
      <c r="R3599" s="296">
        <v>0</v>
      </c>
      <c r="S3599" s="296">
        <v>0.99690000000000001</v>
      </c>
      <c r="T3599" s="297">
        <v>6597</v>
      </c>
      <c r="U3599" s="340">
        <v>73165</v>
      </c>
      <c r="V3599" s="340">
        <v>222122</v>
      </c>
      <c r="W3599" s="297">
        <v>15526</v>
      </c>
      <c r="X3599" s="296">
        <v>5.0000000000000001E-3</v>
      </c>
    </row>
    <row r="3600" spans="13:24">
      <c r="M3600">
        <v>3598</v>
      </c>
      <c r="N3600">
        <v>61376</v>
      </c>
      <c r="O3600" t="s">
        <v>2470</v>
      </c>
      <c r="P3600" t="s">
        <v>131</v>
      </c>
      <c r="Q3600">
        <v>103</v>
      </c>
      <c r="R3600" s="296">
        <v>0</v>
      </c>
      <c r="S3600" s="296">
        <v>0.99690000000000001</v>
      </c>
      <c r="T3600">
        <v>803</v>
      </c>
      <c r="U3600" s="340">
        <v>73038</v>
      </c>
      <c r="V3600" s="340">
        <v>197851</v>
      </c>
      <c r="W3600" s="297">
        <v>1955</v>
      </c>
      <c r="X3600" s="296">
        <v>-5.0000000000000001E-3</v>
      </c>
    </row>
    <row r="3601" spans="13:24">
      <c r="M3601">
        <v>3599</v>
      </c>
      <c r="N3601">
        <v>49858</v>
      </c>
      <c r="O3601" t="s">
        <v>2471</v>
      </c>
      <c r="P3601" t="s">
        <v>140</v>
      </c>
      <c r="Q3601">
        <v>207</v>
      </c>
      <c r="R3601" s="296">
        <v>0</v>
      </c>
      <c r="S3601" s="296">
        <v>0.99690000000000001</v>
      </c>
      <c r="T3601" s="297">
        <v>5672</v>
      </c>
      <c r="U3601" s="340">
        <v>72900</v>
      </c>
      <c r="V3601" s="340">
        <v>194227</v>
      </c>
      <c r="W3601" s="297">
        <v>11680</v>
      </c>
      <c r="X3601" s="296">
        <v>-5.0000000000000001E-3</v>
      </c>
    </row>
    <row r="3602" spans="13:24">
      <c r="M3602">
        <v>3600</v>
      </c>
      <c r="N3602">
        <v>27530</v>
      </c>
      <c r="O3602" t="s">
        <v>2472</v>
      </c>
      <c r="P3602" t="s">
        <v>138</v>
      </c>
      <c r="Q3602">
        <v>701</v>
      </c>
      <c r="R3602" s="296">
        <v>0</v>
      </c>
      <c r="S3602" s="296">
        <v>0.99690000000000001</v>
      </c>
      <c r="T3602" s="297">
        <v>14358</v>
      </c>
      <c r="U3602" s="340">
        <v>72881</v>
      </c>
      <c r="V3602" s="340">
        <v>224585</v>
      </c>
      <c r="W3602" s="297">
        <v>36690</v>
      </c>
      <c r="X3602" s="296">
        <v>-4.0000000000000001E-3</v>
      </c>
    </row>
    <row r="3603" spans="13:24">
      <c r="M3603">
        <v>3601</v>
      </c>
      <c r="N3603">
        <v>48125</v>
      </c>
      <c r="O3603" t="s">
        <v>1609</v>
      </c>
      <c r="P3603" t="s">
        <v>140</v>
      </c>
      <c r="Q3603">
        <v>232</v>
      </c>
      <c r="R3603" s="296">
        <v>0</v>
      </c>
      <c r="S3603" s="296">
        <v>0.997</v>
      </c>
      <c r="T3603" s="297">
        <v>8624</v>
      </c>
      <c r="U3603" s="340">
        <v>72874</v>
      </c>
      <c r="V3603" s="340">
        <v>164015</v>
      </c>
      <c r="W3603" s="297">
        <v>21720</v>
      </c>
      <c r="X3603" s="296">
        <v>-6.0000000000000001E-3</v>
      </c>
    </row>
    <row r="3604" spans="13:24">
      <c r="M3604">
        <v>3602</v>
      </c>
      <c r="N3604">
        <v>88101</v>
      </c>
      <c r="O3604" t="s">
        <v>2473</v>
      </c>
      <c r="P3604" t="s">
        <v>200</v>
      </c>
      <c r="Q3604">
        <v>990</v>
      </c>
      <c r="R3604" s="296">
        <v>0</v>
      </c>
      <c r="S3604" s="296">
        <v>0.997</v>
      </c>
      <c r="T3604" s="297">
        <v>17431</v>
      </c>
      <c r="U3604" s="340">
        <v>72804</v>
      </c>
      <c r="V3604" s="340">
        <v>197781</v>
      </c>
      <c r="W3604" s="297">
        <v>44518</v>
      </c>
      <c r="X3604" s="296">
        <v>-5.0000000000000001E-3</v>
      </c>
    </row>
    <row r="3605" spans="13:24">
      <c r="M3605">
        <v>3603</v>
      </c>
      <c r="N3605">
        <v>48157</v>
      </c>
      <c r="O3605" t="s">
        <v>2474</v>
      </c>
      <c r="P3605" t="s">
        <v>140</v>
      </c>
      <c r="Q3605">
        <v>224</v>
      </c>
      <c r="R3605" s="296">
        <v>0</v>
      </c>
      <c r="S3605" s="296">
        <v>0.997</v>
      </c>
      <c r="T3605">
        <v>636</v>
      </c>
      <c r="U3605" s="340">
        <v>72742</v>
      </c>
      <c r="V3605" s="340">
        <v>254283</v>
      </c>
      <c r="W3605" s="297">
        <v>1374</v>
      </c>
      <c r="X3605" s="296">
        <v>-3.0000000000000001E-3</v>
      </c>
    </row>
    <row r="3606" spans="13:24">
      <c r="M3606">
        <v>3604</v>
      </c>
      <c r="N3606">
        <v>23860</v>
      </c>
      <c r="O3606" t="s">
        <v>1727</v>
      </c>
      <c r="P3606" t="s">
        <v>139</v>
      </c>
      <c r="Q3606">
        <v>650</v>
      </c>
      <c r="R3606" s="296">
        <v>0</v>
      </c>
      <c r="S3606" s="296">
        <v>0.997</v>
      </c>
      <c r="T3606" s="297">
        <v>11447</v>
      </c>
      <c r="U3606" s="340">
        <v>72689</v>
      </c>
      <c r="V3606" s="340">
        <v>222682</v>
      </c>
      <c r="W3606" s="297">
        <v>32166</v>
      </c>
      <c r="X3606" s="296">
        <v>0</v>
      </c>
    </row>
    <row r="3607" spans="13:24">
      <c r="M3607">
        <v>3605</v>
      </c>
      <c r="N3607">
        <v>90037</v>
      </c>
      <c r="O3607" t="s">
        <v>309</v>
      </c>
      <c r="P3607" t="s">
        <v>132</v>
      </c>
      <c r="Q3607">
        <v>1741</v>
      </c>
      <c r="R3607" s="296">
        <v>0</v>
      </c>
      <c r="S3607" s="296">
        <v>0.997</v>
      </c>
      <c r="T3607" s="297">
        <v>16715</v>
      </c>
      <c r="U3607" s="340">
        <v>72663</v>
      </c>
      <c r="V3607" s="340">
        <v>750623</v>
      </c>
      <c r="W3607" s="297">
        <v>59804</v>
      </c>
      <c r="X3607" s="296">
        <v>-5.0000000000000001E-3</v>
      </c>
    </row>
    <row r="3608" spans="13:24">
      <c r="M3608">
        <v>3606</v>
      </c>
      <c r="N3608">
        <v>18202</v>
      </c>
      <c r="O3608" t="s">
        <v>2475</v>
      </c>
      <c r="P3608" t="s">
        <v>133</v>
      </c>
      <c r="Q3608">
        <v>612</v>
      </c>
      <c r="R3608" s="296">
        <v>0</v>
      </c>
      <c r="S3608" s="296">
        <v>0.997</v>
      </c>
      <c r="T3608" s="297">
        <v>5841</v>
      </c>
      <c r="U3608" s="340">
        <v>72566</v>
      </c>
      <c r="V3608" s="340">
        <v>234289</v>
      </c>
      <c r="W3608" s="297">
        <v>14967</v>
      </c>
      <c r="X3608" s="296">
        <v>3.0000000000000001E-3</v>
      </c>
    </row>
    <row r="3609" spans="13:24">
      <c r="M3609">
        <v>3607</v>
      </c>
      <c r="N3609">
        <v>38242</v>
      </c>
      <c r="O3609" t="s">
        <v>585</v>
      </c>
      <c r="P3609" t="s">
        <v>146</v>
      </c>
      <c r="Q3609">
        <v>405</v>
      </c>
      <c r="R3609" s="296">
        <v>0</v>
      </c>
      <c r="S3609" s="296">
        <v>0.997</v>
      </c>
      <c r="T3609" s="297">
        <v>8404</v>
      </c>
      <c r="U3609" s="340">
        <v>72554</v>
      </c>
      <c r="V3609" s="340">
        <v>288218</v>
      </c>
      <c r="W3609" s="297">
        <v>19991</v>
      </c>
      <c r="X3609" s="296">
        <v>0</v>
      </c>
    </row>
    <row r="3610" spans="13:24">
      <c r="M3610">
        <v>3608</v>
      </c>
      <c r="N3610">
        <v>46012</v>
      </c>
      <c r="O3610" t="s">
        <v>2476</v>
      </c>
      <c r="P3610" t="s">
        <v>144</v>
      </c>
      <c r="Q3610">
        <v>178</v>
      </c>
      <c r="R3610" s="296">
        <v>0</v>
      </c>
      <c r="S3610" s="296">
        <v>0.997</v>
      </c>
      <c r="T3610" s="297">
        <v>8183</v>
      </c>
      <c r="U3610" s="340">
        <v>72446</v>
      </c>
      <c r="V3610" s="340">
        <v>195072</v>
      </c>
      <c r="W3610" s="297">
        <v>19083</v>
      </c>
      <c r="X3610" s="296">
        <v>-1E-3</v>
      </c>
    </row>
    <row r="3611" spans="13:24">
      <c r="M3611">
        <v>3609</v>
      </c>
      <c r="N3611">
        <v>44035</v>
      </c>
      <c r="O3611" t="s">
        <v>2477</v>
      </c>
      <c r="P3611" t="s">
        <v>136</v>
      </c>
      <c r="Q3611">
        <v>296</v>
      </c>
      <c r="R3611" s="296">
        <v>0</v>
      </c>
      <c r="S3611" s="296">
        <v>0.99709999999999999</v>
      </c>
      <c r="T3611" s="297">
        <v>27549</v>
      </c>
      <c r="U3611" s="340">
        <v>72436</v>
      </c>
      <c r="V3611" s="340">
        <v>190298</v>
      </c>
      <c r="W3611" s="297">
        <v>62145</v>
      </c>
      <c r="X3611" s="296">
        <v>2E-3</v>
      </c>
    </row>
    <row r="3612" spans="13:24">
      <c r="M3612">
        <v>3610</v>
      </c>
      <c r="N3612">
        <v>61488</v>
      </c>
      <c r="O3612" t="s">
        <v>2478</v>
      </c>
      <c r="P3612" t="s">
        <v>131</v>
      </c>
      <c r="Q3612">
        <v>150</v>
      </c>
      <c r="R3612" s="296">
        <v>0</v>
      </c>
      <c r="S3612" s="296">
        <v>0.99709999999999999</v>
      </c>
      <c r="T3612">
        <v>439</v>
      </c>
      <c r="U3612" s="340">
        <v>72348</v>
      </c>
      <c r="V3612" s="340">
        <v>138533</v>
      </c>
      <c r="W3612">
        <v>997</v>
      </c>
      <c r="X3612" s="296">
        <v>-1.0999999999999999E-2</v>
      </c>
    </row>
    <row r="3613" spans="13:24">
      <c r="M3613">
        <v>3611</v>
      </c>
      <c r="N3613">
        <v>48912</v>
      </c>
      <c r="O3613" t="s">
        <v>967</v>
      </c>
      <c r="P3613" t="s">
        <v>140</v>
      </c>
      <c r="Q3613">
        <v>171</v>
      </c>
      <c r="R3613" s="296">
        <v>0</v>
      </c>
      <c r="S3613" s="296">
        <v>0.99709999999999999</v>
      </c>
      <c r="T3613" s="297">
        <v>8222</v>
      </c>
      <c r="U3613" s="340">
        <v>72302</v>
      </c>
      <c r="V3613" s="340">
        <v>189969</v>
      </c>
      <c r="W3613" s="297">
        <v>17153</v>
      </c>
      <c r="X3613" s="296">
        <v>1E-3</v>
      </c>
    </row>
    <row r="3614" spans="13:24">
      <c r="M3614">
        <v>3612</v>
      </c>
      <c r="N3614">
        <v>89110</v>
      </c>
      <c r="O3614" t="s">
        <v>706</v>
      </c>
      <c r="P3614" t="s">
        <v>148</v>
      </c>
      <c r="Q3614">
        <v>1511</v>
      </c>
      <c r="R3614" s="296">
        <v>0</v>
      </c>
      <c r="S3614" s="296">
        <v>0.99709999999999999</v>
      </c>
      <c r="T3614" s="297">
        <v>22781</v>
      </c>
      <c r="U3614" s="340">
        <v>72269</v>
      </c>
      <c r="V3614" s="340">
        <v>384046</v>
      </c>
      <c r="W3614" s="297">
        <v>73870</v>
      </c>
      <c r="X3614" s="296">
        <v>-3.0000000000000001E-3</v>
      </c>
    </row>
    <row r="3615" spans="13:24">
      <c r="M3615">
        <v>3613</v>
      </c>
      <c r="N3615">
        <v>31620</v>
      </c>
      <c r="O3615" t="s">
        <v>2479</v>
      </c>
      <c r="P3615" t="s">
        <v>130</v>
      </c>
      <c r="Q3615">
        <v>800</v>
      </c>
      <c r="R3615" s="296">
        <v>0</v>
      </c>
      <c r="S3615" s="296">
        <v>0.99709999999999999</v>
      </c>
      <c r="T3615" s="297">
        <v>4223</v>
      </c>
      <c r="U3615" s="340">
        <v>72259</v>
      </c>
      <c r="V3615" s="340">
        <v>242203</v>
      </c>
      <c r="W3615" s="297">
        <v>11331</v>
      </c>
      <c r="X3615" s="296">
        <v>2E-3</v>
      </c>
    </row>
    <row r="3616" spans="13:24">
      <c r="M3616">
        <v>3614</v>
      </c>
      <c r="N3616">
        <v>85711</v>
      </c>
      <c r="O3616" t="s">
        <v>579</v>
      </c>
      <c r="P3616" t="s">
        <v>158</v>
      </c>
      <c r="Q3616">
        <v>1438</v>
      </c>
      <c r="R3616" s="296">
        <v>0</v>
      </c>
      <c r="S3616" s="296">
        <v>0.99709999999999999</v>
      </c>
      <c r="T3616" s="297">
        <v>18472</v>
      </c>
      <c r="U3616" s="340">
        <v>72242</v>
      </c>
      <c r="V3616" s="340">
        <v>350784</v>
      </c>
      <c r="W3616" s="297">
        <v>40979</v>
      </c>
      <c r="X3616" s="296">
        <v>-2E-3</v>
      </c>
    </row>
    <row r="3617" spans="13:24">
      <c r="M3617">
        <v>3615</v>
      </c>
      <c r="N3617">
        <v>33907</v>
      </c>
      <c r="O3617" t="s">
        <v>345</v>
      </c>
      <c r="P3617" t="s">
        <v>127</v>
      </c>
      <c r="Q3617">
        <v>1128</v>
      </c>
      <c r="R3617" s="296">
        <v>0</v>
      </c>
      <c r="S3617" s="296">
        <v>0.99709999999999999</v>
      </c>
      <c r="T3617" s="297">
        <v>11934</v>
      </c>
      <c r="U3617" s="340">
        <v>72165</v>
      </c>
      <c r="V3617" s="340">
        <v>440089</v>
      </c>
      <c r="W3617" s="297">
        <v>26193</v>
      </c>
      <c r="X3617" s="296">
        <v>1.0999999999999999E-2</v>
      </c>
    </row>
    <row r="3618" spans="13:24">
      <c r="M3618">
        <v>3616</v>
      </c>
      <c r="N3618">
        <v>40160</v>
      </c>
      <c r="O3618" t="s">
        <v>2480</v>
      </c>
      <c r="P3618" t="s">
        <v>143</v>
      </c>
      <c r="Q3618">
        <v>315</v>
      </c>
      <c r="R3618" s="296">
        <v>0</v>
      </c>
      <c r="S3618" s="296">
        <v>0.99709999999999999</v>
      </c>
      <c r="T3618" s="297">
        <v>9464</v>
      </c>
      <c r="U3618" s="340">
        <v>71991</v>
      </c>
      <c r="V3618" s="340">
        <v>203093</v>
      </c>
      <c r="W3618" s="297">
        <v>23720</v>
      </c>
      <c r="X3618" s="296">
        <v>6.0000000000000001E-3</v>
      </c>
    </row>
    <row r="3619" spans="13:24">
      <c r="M3619">
        <v>3617</v>
      </c>
      <c r="N3619">
        <v>54603</v>
      </c>
      <c r="O3619" t="s">
        <v>1374</v>
      </c>
      <c r="P3619" t="s">
        <v>149</v>
      </c>
      <c r="Q3619">
        <v>211</v>
      </c>
      <c r="R3619" s="296">
        <v>0</v>
      </c>
      <c r="S3619" s="296">
        <v>0.99719999999999998</v>
      </c>
      <c r="T3619" s="297">
        <v>6809</v>
      </c>
      <c r="U3619" s="340">
        <v>71987</v>
      </c>
      <c r="V3619" s="340">
        <v>264700</v>
      </c>
      <c r="W3619" s="297">
        <v>14244</v>
      </c>
      <c r="X3619" s="296">
        <v>-1E-3</v>
      </c>
    </row>
    <row r="3620" spans="13:24">
      <c r="M3620">
        <v>3618</v>
      </c>
      <c r="N3620">
        <v>44515</v>
      </c>
      <c r="O3620" t="s">
        <v>835</v>
      </c>
      <c r="P3620" t="s">
        <v>136</v>
      </c>
      <c r="Q3620">
        <v>370</v>
      </c>
      <c r="R3620" s="296">
        <v>0</v>
      </c>
      <c r="S3620" s="296">
        <v>0.99719999999999998</v>
      </c>
      <c r="T3620" s="297">
        <v>12362</v>
      </c>
      <c r="U3620" s="340">
        <v>71968</v>
      </c>
      <c r="V3620" s="340">
        <v>182103</v>
      </c>
      <c r="W3620" s="297">
        <v>26463</v>
      </c>
      <c r="X3620" s="296">
        <v>-4.0000000000000001E-3</v>
      </c>
    </row>
    <row r="3621" spans="13:24">
      <c r="M3621">
        <v>3619</v>
      </c>
      <c r="N3621">
        <v>64836</v>
      </c>
      <c r="O3621" t="s">
        <v>2150</v>
      </c>
      <c r="P3621" t="s">
        <v>186</v>
      </c>
      <c r="Q3621">
        <v>487</v>
      </c>
      <c r="R3621" s="296">
        <v>0</v>
      </c>
      <c r="S3621" s="296">
        <v>0.99719999999999998</v>
      </c>
      <c r="T3621" s="297">
        <v>9296</v>
      </c>
      <c r="U3621" s="340">
        <v>71942</v>
      </c>
      <c r="V3621" s="340">
        <v>242509</v>
      </c>
      <c r="W3621" s="297">
        <v>25376</v>
      </c>
      <c r="X3621" s="296">
        <v>0</v>
      </c>
    </row>
    <row r="3622" spans="13:24">
      <c r="M3622">
        <v>3620</v>
      </c>
      <c r="N3622">
        <v>39208</v>
      </c>
      <c r="O3622" t="s">
        <v>2481</v>
      </c>
      <c r="P3622" t="s">
        <v>188</v>
      </c>
      <c r="Q3622">
        <v>695</v>
      </c>
      <c r="R3622" s="296">
        <v>0</v>
      </c>
      <c r="S3622" s="296">
        <v>0.99719999999999998</v>
      </c>
      <c r="T3622" s="297">
        <v>12861</v>
      </c>
      <c r="U3622" s="340">
        <v>71897</v>
      </c>
      <c r="V3622" s="340">
        <v>199396</v>
      </c>
      <c r="W3622" s="297">
        <v>36204</v>
      </c>
      <c r="X3622" s="296">
        <v>3.0000000000000001E-3</v>
      </c>
    </row>
    <row r="3623" spans="13:24">
      <c r="M3623">
        <v>3621</v>
      </c>
      <c r="N3623">
        <v>85367</v>
      </c>
      <c r="O3623" t="s">
        <v>2482</v>
      </c>
      <c r="P3623" t="s">
        <v>158</v>
      </c>
      <c r="Q3623">
        <v>1592</v>
      </c>
      <c r="R3623" s="296">
        <v>0</v>
      </c>
      <c r="S3623" s="296">
        <v>0.99719999999999998</v>
      </c>
      <c r="T3623" s="297">
        <v>10985</v>
      </c>
      <c r="U3623" s="340">
        <v>71875</v>
      </c>
      <c r="V3623" s="340">
        <v>280475</v>
      </c>
      <c r="W3623" s="297">
        <v>22247</v>
      </c>
      <c r="X3623" s="296">
        <v>1.2E-2</v>
      </c>
    </row>
    <row r="3624" spans="13:24">
      <c r="M3624">
        <v>3622</v>
      </c>
      <c r="N3624">
        <v>47928</v>
      </c>
      <c r="O3624" t="s">
        <v>1096</v>
      </c>
      <c r="P3624" t="s">
        <v>144</v>
      </c>
      <c r="Q3624">
        <v>154</v>
      </c>
      <c r="R3624" s="296">
        <v>0</v>
      </c>
      <c r="S3624" s="296">
        <v>0.99719999999999998</v>
      </c>
      <c r="T3624">
        <v>915</v>
      </c>
      <c r="U3624" s="340">
        <v>71849</v>
      </c>
      <c r="V3624" s="340">
        <v>125556</v>
      </c>
      <c r="W3624" s="297">
        <v>2145</v>
      </c>
      <c r="X3624" s="296">
        <v>5.0000000000000001E-3</v>
      </c>
    </row>
    <row r="3625" spans="13:24">
      <c r="M3625">
        <v>3623</v>
      </c>
      <c r="N3625">
        <v>63138</v>
      </c>
      <c r="O3625" t="s">
        <v>536</v>
      </c>
      <c r="P3625" t="s">
        <v>186</v>
      </c>
      <c r="Q3625">
        <v>264</v>
      </c>
      <c r="R3625" s="296">
        <v>0</v>
      </c>
      <c r="S3625" s="296">
        <v>0.99719999999999998</v>
      </c>
      <c r="T3625" s="297">
        <v>7300</v>
      </c>
      <c r="U3625" s="340">
        <v>71834</v>
      </c>
      <c r="V3625" s="340">
        <v>224310</v>
      </c>
      <c r="W3625" s="297">
        <v>18378</v>
      </c>
      <c r="X3625" s="296">
        <v>-6.0000000000000001E-3</v>
      </c>
    </row>
    <row r="3626" spans="13:24">
      <c r="M3626">
        <v>3624</v>
      </c>
      <c r="N3626">
        <v>62363</v>
      </c>
      <c r="O3626" t="s">
        <v>487</v>
      </c>
      <c r="P3626" t="s">
        <v>131</v>
      </c>
      <c r="Q3626">
        <v>236</v>
      </c>
      <c r="R3626" s="296">
        <v>0</v>
      </c>
      <c r="S3626" s="296">
        <v>0.99719999999999998</v>
      </c>
      <c r="T3626" s="297">
        <v>2344</v>
      </c>
      <c r="U3626" s="340">
        <v>71794</v>
      </c>
      <c r="V3626" s="340">
        <v>158730</v>
      </c>
      <c r="W3626" s="297">
        <v>5617</v>
      </c>
      <c r="X3626" s="296">
        <v>-6.0000000000000001E-3</v>
      </c>
    </row>
    <row r="3627" spans="13:24">
      <c r="M3627">
        <v>3625</v>
      </c>
      <c r="N3627">
        <v>47371</v>
      </c>
      <c r="O3627" t="s">
        <v>420</v>
      </c>
      <c r="P3627" t="s">
        <v>144</v>
      </c>
      <c r="Q3627">
        <v>187</v>
      </c>
      <c r="R3627" s="296">
        <v>0</v>
      </c>
      <c r="S3627" s="296">
        <v>0.99729999999999996</v>
      </c>
      <c r="T3627" s="297">
        <v>4759</v>
      </c>
      <c r="U3627" s="340">
        <v>71695</v>
      </c>
      <c r="V3627" s="340">
        <v>212665</v>
      </c>
      <c r="W3627" s="297">
        <v>11763</v>
      </c>
      <c r="X3627" s="296">
        <v>-5.0000000000000001E-3</v>
      </c>
    </row>
    <row r="3628" spans="13:24">
      <c r="M3628">
        <v>3626</v>
      </c>
      <c r="N3628">
        <v>47963</v>
      </c>
      <c r="O3628" t="s">
        <v>2483</v>
      </c>
      <c r="P3628" t="s">
        <v>144</v>
      </c>
      <c r="Q3628">
        <v>84</v>
      </c>
      <c r="R3628" s="296">
        <v>0</v>
      </c>
      <c r="S3628" s="296">
        <v>0.99729999999999996</v>
      </c>
      <c r="T3628">
        <v>850</v>
      </c>
      <c r="U3628" s="340">
        <v>71693</v>
      </c>
      <c r="V3628" s="340">
        <v>194862</v>
      </c>
      <c r="W3628" s="297">
        <v>2167</v>
      </c>
      <c r="X3628" s="296">
        <v>1.4E-2</v>
      </c>
    </row>
    <row r="3629" spans="13:24">
      <c r="M3629">
        <v>3627</v>
      </c>
      <c r="N3629">
        <v>66801</v>
      </c>
      <c r="O3629" t="s">
        <v>2484</v>
      </c>
      <c r="P3629" t="s">
        <v>176</v>
      </c>
      <c r="Q3629">
        <v>512</v>
      </c>
      <c r="R3629" s="296">
        <v>0</v>
      </c>
      <c r="S3629" s="296">
        <v>0.99729999999999996</v>
      </c>
      <c r="T3629" s="297">
        <v>11201</v>
      </c>
      <c r="U3629" s="340">
        <v>71635</v>
      </c>
      <c r="V3629" s="340">
        <v>188976</v>
      </c>
      <c r="W3629" s="297">
        <v>27071</v>
      </c>
      <c r="X3629" s="296">
        <v>-3.0000000000000001E-3</v>
      </c>
    </row>
    <row r="3630" spans="13:24">
      <c r="M3630">
        <v>3628</v>
      </c>
      <c r="N3630">
        <v>64134</v>
      </c>
      <c r="O3630" t="s">
        <v>490</v>
      </c>
      <c r="P3630" t="s">
        <v>186</v>
      </c>
      <c r="Q3630">
        <v>416</v>
      </c>
      <c r="R3630" s="296">
        <v>0</v>
      </c>
      <c r="S3630" s="296">
        <v>0.99729999999999996</v>
      </c>
      <c r="T3630" s="297">
        <v>8109</v>
      </c>
      <c r="U3630" s="340">
        <v>71611</v>
      </c>
      <c r="V3630" s="340">
        <v>210136</v>
      </c>
      <c r="W3630" s="297">
        <v>20937</v>
      </c>
      <c r="X3630" s="296">
        <v>-6.0000000000000001E-3</v>
      </c>
    </row>
    <row r="3631" spans="13:24">
      <c r="M3631">
        <v>3629</v>
      </c>
      <c r="N3631">
        <v>42071</v>
      </c>
      <c r="O3631" t="s">
        <v>2485</v>
      </c>
      <c r="P3631" t="s">
        <v>143</v>
      </c>
      <c r="Q3631">
        <v>384</v>
      </c>
      <c r="R3631" s="296">
        <v>0</v>
      </c>
      <c r="S3631" s="296">
        <v>0.99729999999999996</v>
      </c>
      <c r="T3631" s="297">
        <v>12152</v>
      </c>
      <c r="U3631" s="340">
        <v>71593</v>
      </c>
      <c r="V3631" s="340">
        <v>228465</v>
      </c>
      <c r="W3631" s="297">
        <v>29664</v>
      </c>
      <c r="X3631" s="296">
        <v>2E-3</v>
      </c>
    </row>
    <row r="3632" spans="13:24">
      <c r="M3632">
        <v>3630</v>
      </c>
      <c r="N3632">
        <v>38574</v>
      </c>
      <c r="O3632" t="s">
        <v>332</v>
      </c>
      <c r="P3632" t="s">
        <v>146</v>
      </c>
      <c r="Q3632">
        <v>437</v>
      </c>
      <c r="R3632" s="296">
        <v>0</v>
      </c>
      <c r="S3632" s="296">
        <v>0.99729999999999996</v>
      </c>
      <c r="T3632" s="297">
        <v>3798</v>
      </c>
      <c r="U3632" s="340">
        <v>71535</v>
      </c>
      <c r="V3632" s="340">
        <v>303412</v>
      </c>
      <c r="W3632" s="297">
        <v>9605</v>
      </c>
      <c r="X3632" s="296">
        <v>0.02</v>
      </c>
    </row>
    <row r="3633" spans="13:24">
      <c r="M3633">
        <v>3631</v>
      </c>
      <c r="N3633">
        <v>68131</v>
      </c>
      <c r="O3633" t="s">
        <v>337</v>
      </c>
      <c r="P3633" t="s">
        <v>195</v>
      </c>
      <c r="Q3633">
        <v>426</v>
      </c>
      <c r="R3633" s="296">
        <v>0</v>
      </c>
      <c r="S3633" s="296">
        <v>0.99729999999999996</v>
      </c>
      <c r="T3633" s="297">
        <v>6750</v>
      </c>
      <c r="U3633" s="340">
        <v>71468</v>
      </c>
      <c r="V3633" s="340">
        <v>330670</v>
      </c>
      <c r="W3633" s="297">
        <v>13988</v>
      </c>
      <c r="X3633" s="296">
        <v>6.0000000000000001E-3</v>
      </c>
    </row>
    <row r="3634" spans="13:24">
      <c r="M3634">
        <v>3632</v>
      </c>
      <c r="N3634">
        <v>38501</v>
      </c>
      <c r="O3634" t="s">
        <v>839</v>
      </c>
      <c r="P3634" t="s">
        <v>146</v>
      </c>
      <c r="Q3634">
        <v>426</v>
      </c>
      <c r="R3634" s="296">
        <v>0</v>
      </c>
      <c r="S3634" s="296">
        <v>0.99729999999999996</v>
      </c>
      <c r="T3634" s="297">
        <v>17785</v>
      </c>
      <c r="U3634" s="340">
        <v>71362</v>
      </c>
      <c r="V3634" s="340">
        <v>340208</v>
      </c>
      <c r="W3634" s="297">
        <v>42593</v>
      </c>
      <c r="X3634" s="296">
        <v>0.01</v>
      </c>
    </row>
    <row r="3635" spans="13:24">
      <c r="M3635">
        <v>3633</v>
      </c>
      <c r="N3635">
        <v>26505</v>
      </c>
      <c r="O3635" t="s">
        <v>482</v>
      </c>
      <c r="P3635" t="s">
        <v>227</v>
      </c>
      <c r="Q3635">
        <v>444</v>
      </c>
      <c r="R3635" s="296">
        <v>0</v>
      </c>
      <c r="S3635" s="296">
        <v>0.99739999999999995</v>
      </c>
      <c r="T3635" s="297">
        <v>17400</v>
      </c>
      <c r="U3635" s="340">
        <v>71261</v>
      </c>
      <c r="V3635" s="340">
        <v>316676</v>
      </c>
      <c r="W3635" s="297">
        <v>40045</v>
      </c>
      <c r="X3635" s="296">
        <v>0</v>
      </c>
    </row>
    <row r="3636" spans="13:24">
      <c r="M3636">
        <v>3634</v>
      </c>
      <c r="N3636">
        <v>79072</v>
      </c>
      <c r="O3636" t="s">
        <v>595</v>
      </c>
      <c r="P3636" t="s">
        <v>134</v>
      </c>
      <c r="Q3636">
        <v>936</v>
      </c>
      <c r="R3636" s="296">
        <v>0</v>
      </c>
      <c r="S3636" s="296">
        <v>0.99739999999999995</v>
      </c>
      <c r="T3636" s="297">
        <v>8739</v>
      </c>
      <c r="U3636" s="340">
        <v>71248</v>
      </c>
      <c r="V3636" s="340">
        <v>170872</v>
      </c>
      <c r="W3636" s="297">
        <v>24946</v>
      </c>
      <c r="X3636" s="296">
        <v>-8.0000000000000002E-3</v>
      </c>
    </row>
    <row r="3637" spans="13:24">
      <c r="M3637">
        <v>3635</v>
      </c>
      <c r="N3637">
        <v>37643</v>
      </c>
      <c r="O3637" t="s">
        <v>2486</v>
      </c>
      <c r="P3637" t="s">
        <v>146</v>
      </c>
      <c r="Q3637">
        <v>500</v>
      </c>
      <c r="R3637" s="296">
        <v>0</v>
      </c>
      <c r="S3637" s="296">
        <v>0.99739999999999995</v>
      </c>
      <c r="T3637" s="297">
        <v>14626</v>
      </c>
      <c r="U3637" s="340">
        <v>71228</v>
      </c>
      <c r="V3637" s="340">
        <v>204708</v>
      </c>
      <c r="W3637" s="297">
        <v>33816</v>
      </c>
      <c r="X3637" s="296">
        <v>-1E-3</v>
      </c>
    </row>
    <row r="3638" spans="13:24">
      <c r="M3638">
        <v>3636</v>
      </c>
      <c r="N3638">
        <v>48091</v>
      </c>
      <c r="O3638" t="s">
        <v>781</v>
      </c>
      <c r="P3638" t="s">
        <v>140</v>
      </c>
      <c r="Q3638">
        <v>243</v>
      </c>
      <c r="R3638" s="296">
        <v>0</v>
      </c>
      <c r="S3638" s="296">
        <v>0.99739999999999995</v>
      </c>
      <c r="T3638" s="297">
        <v>12361</v>
      </c>
      <c r="U3638" s="340">
        <v>71208</v>
      </c>
      <c r="V3638" s="340">
        <v>177705</v>
      </c>
      <c r="W3638" s="297">
        <v>32483</v>
      </c>
      <c r="X3638" s="296">
        <v>1E-3</v>
      </c>
    </row>
    <row r="3639" spans="13:24">
      <c r="M3639">
        <v>3637</v>
      </c>
      <c r="N3639">
        <v>50065</v>
      </c>
      <c r="O3639" t="s">
        <v>2487</v>
      </c>
      <c r="P3639" t="s">
        <v>170</v>
      </c>
      <c r="Q3639">
        <v>329</v>
      </c>
      <c r="R3639" s="296">
        <v>0</v>
      </c>
      <c r="S3639" s="296">
        <v>0.99739999999999995</v>
      </c>
      <c r="T3639">
        <v>216</v>
      </c>
      <c r="U3639" s="340">
        <v>71128</v>
      </c>
      <c r="V3639" s="340">
        <v>226724</v>
      </c>
      <c r="W3639">
        <v>552</v>
      </c>
      <c r="X3639" s="296">
        <v>-4.0000000000000001E-3</v>
      </c>
    </row>
    <row r="3640" spans="13:24">
      <c r="M3640">
        <v>3638</v>
      </c>
      <c r="N3640">
        <v>63640</v>
      </c>
      <c r="O3640" t="s">
        <v>533</v>
      </c>
      <c r="P3640" t="s">
        <v>186</v>
      </c>
      <c r="Q3640">
        <v>332</v>
      </c>
      <c r="R3640" s="296">
        <v>0</v>
      </c>
      <c r="S3640" s="296">
        <v>0.99739999999999995</v>
      </c>
      <c r="T3640" s="297">
        <v>10914</v>
      </c>
      <c r="U3640" s="340">
        <v>71120</v>
      </c>
      <c r="V3640" s="340">
        <v>283166</v>
      </c>
      <c r="W3640" s="297">
        <v>29689</v>
      </c>
      <c r="X3640" s="296">
        <v>3.0000000000000001E-3</v>
      </c>
    </row>
    <row r="3641" spans="13:24">
      <c r="M3641">
        <v>3639</v>
      </c>
      <c r="N3641">
        <v>70506</v>
      </c>
      <c r="O3641" t="s">
        <v>308</v>
      </c>
      <c r="P3641" t="s">
        <v>147</v>
      </c>
      <c r="Q3641">
        <v>858</v>
      </c>
      <c r="R3641" s="296">
        <v>0</v>
      </c>
      <c r="S3641" s="296">
        <v>0.99739999999999995</v>
      </c>
      <c r="T3641" s="297">
        <v>18304</v>
      </c>
      <c r="U3641" s="340">
        <v>71097</v>
      </c>
      <c r="V3641" s="340">
        <v>278276</v>
      </c>
      <c r="W3641" s="297">
        <v>40575</v>
      </c>
      <c r="X3641" s="296">
        <v>8.0000000000000002E-3</v>
      </c>
    </row>
    <row r="3642" spans="13:24">
      <c r="M3642">
        <v>3640</v>
      </c>
      <c r="N3642">
        <v>73439</v>
      </c>
      <c r="O3642" t="s">
        <v>418</v>
      </c>
      <c r="P3642" t="s">
        <v>205</v>
      </c>
      <c r="Q3642">
        <v>746</v>
      </c>
      <c r="R3642" s="296">
        <v>0</v>
      </c>
      <c r="S3642" s="296">
        <v>0.99739999999999995</v>
      </c>
      <c r="T3642" s="297">
        <v>3228</v>
      </c>
      <c r="U3642" s="340">
        <v>71078</v>
      </c>
      <c r="V3642" s="340">
        <v>225040</v>
      </c>
      <c r="W3642" s="297">
        <v>7565</v>
      </c>
      <c r="X3642" s="296">
        <v>0.01</v>
      </c>
    </row>
    <row r="3643" spans="13:24">
      <c r="M3643">
        <v>3641</v>
      </c>
      <c r="N3643">
        <v>72956</v>
      </c>
      <c r="O3643" t="s">
        <v>2466</v>
      </c>
      <c r="P3643" t="s">
        <v>156</v>
      </c>
      <c r="Q3643">
        <v>581</v>
      </c>
      <c r="R3643" s="296">
        <v>0</v>
      </c>
      <c r="S3643" s="296">
        <v>0.99750000000000005</v>
      </c>
      <c r="T3643" s="297">
        <v>12981</v>
      </c>
      <c r="U3643" s="340">
        <v>71056</v>
      </c>
      <c r="V3643" s="340">
        <v>213287</v>
      </c>
      <c r="W3643" s="297">
        <v>34064</v>
      </c>
      <c r="X3643" s="296">
        <v>1E-3</v>
      </c>
    </row>
    <row r="3644" spans="13:24">
      <c r="M3644">
        <v>3642</v>
      </c>
      <c r="N3644">
        <v>33881</v>
      </c>
      <c r="O3644" t="s">
        <v>2488</v>
      </c>
      <c r="P3644" t="s">
        <v>127</v>
      </c>
      <c r="Q3644">
        <v>1032</v>
      </c>
      <c r="R3644" s="296">
        <v>0</v>
      </c>
      <c r="S3644" s="296">
        <v>0.99750000000000005</v>
      </c>
      <c r="T3644" s="297">
        <v>16954</v>
      </c>
      <c r="U3644" s="340">
        <v>71050</v>
      </c>
      <c r="V3644" s="340">
        <v>252353</v>
      </c>
      <c r="W3644" s="297">
        <v>42482</v>
      </c>
      <c r="X3644" s="296">
        <v>2.4E-2</v>
      </c>
    </row>
    <row r="3645" spans="13:24">
      <c r="M3645">
        <v>3643</v>
      </c>
      <c r="N3645">
        <v>47882</v>
      </c>
      <c r="O3645" t="s">
        <v>720</v>
      </c>
      <c r="P3645" t="s">
        <v>144</v>
      </c>
      <c r="Q3645">
        <v>212</v>
      </c>
      <c r="R3645" s="296">
        <v>0</v>
      </c>
      <c r="S3645" s="296">
        <v>0.99750000000000005</v>
      </c>
      <c r="T3645" s="297">
        <v>3593</v>
      </c>
      <c r="U3645" s="340">
        <v>70972</v>
      </c>
      <c r="V3645" s="340">
        <v>171035</v>
      </c>
      <c r="W3645" s="297">
        <v>8563</v>
      </c>
      <c r="X3645" s="296">
        <v>0</v>
      </c>
    </row>
    <row r="3646" spans="13:24">
      <c r="M3646">
        <v>3644</v>
      </c>
      <c r="N3646">
        <v>62812</v>
      </c>
      <c r="O3646" t="s">
        <v>2489</v>
      </c>
      <c r="P3646" t="s">
        <v>131</v>
      </c>
      <c r="Q3646">
        <v>293</v>
      </c>
      <c r="R3646" s="296">
        <v>0</v>
      </c>
      <c r="S3646" s="296">
        <v>0.99750000000000005</v>
      </c>
      <c r="T3646" s="297">
        <v>4947</v>
      </c>
      <c r="U3646" s="340">
        <v>70958</v>
      </c>
      <c r="V3646" s="340">
        <v>146137</v>
      </c>
      <c r="W3646" s="297">
        <v>11484</v>
      </c>
      <c r="X3646" s="296">
        <v>-8.0000000000000002E-3</v>
      </c>
    </row>
    <row r="3647" spans="13:24">
      <c r="M3647">
        <v>3645</v>
      </c>
      <c r="N3647">
        <v>87121</v>
      </c>
      <c r="O3647" t="s">
        <v>783</v>
      </c>
      <c r="P3647" t="s">
        <v>200</v>
      </c>
      <c r="Q3647">
        <v>1134</v>
      </c>
      <c r="R3647" s="296">
        <v>0</v>
      </c>
      <c r="S3647" s="296">
        <v>0.99750000000000005</v>
      </c>
      <c r="T3647" s="297">
        <v>25282</v>
      </c>
      <c r="U3647" s="340">
        <v>70931</v>
      </c>
      <c r="V3647" s="340">
        <v>227810</v>
      </c>
      <c r="W3647" s="297">
        <v>78527</v>
      </c>
      <c r="X3647" s="296">
        <v>4.0000000000000001E-3</v>
      </c>
    </row>
    <row r="3648" spans="13:24">
      <c r="M3648">
        <v>3646</v>
      </c>
      <c r="N3648">
        <v>2744</v>
      </c>
      <c r="O3648" t="s">
        <v>428</v>
      </c>
      <c r="P3648" t="s">
        <v>135</v>
      </c>
      <c r="Q3648">
        <v>867</v>
      </c>
      <c r="R3648" s="296">
        <v>0</v>
      </c>
      <c r="S3648" s="296">
        <v>0.99750000000000005</v>
      </c>
      <c r="T3648" s="297">
        <v>5107</v>
      </c>
      <c r="U3648" s="340">
        <v>70889</v>
      </c>
      <c r="V3648" s="340">
        <v>358811</v>
      </c>
      <c r="W3648" s="297">
        <v>13015</v>
      </c>
      <c r="X3648" s="296">
        <v>1E-3</v>
      </c>
    </row>
    <row r="3649" spans="13:24">
      <c r="M3649">
        <v>3647</v>
      </c>
      <c r="N3649">
        <v>61455</v>
      </c>
      <c r="O3649" t="s">
        <v>1454</v>
      </c>
      <c r="P3649" t="s">
        <v>131</v>
      </c>
      <c r="Q3649">
        <v>189</v>
      </c>
      <c r="R3649" s="296">
        <v>0</v>
      </c>
      <c r="S3649" s="296">
        <v>0.99750000000000005</v>
      </c>
      <c r="T3649" s="297">
        <v>7115</v>
      </c>
      <c r="U3649" s="340">
        <v>70867</v>
      </c>
      <c r="V3649" s="340">
        <v>170029</v>
      </c>
      <c r="W3649" s="297">
        <v>16720</v>
      </c>
      <c r="X3649" s="296">
        <v>-1.0999999999999999E-2</v>
      </c>
    </row>
    <row r="3650" spans="13:24">
      <c r="M3650">
        <v>3648</v>
      </c>
      <c r="N3650">
        <v>70403</v>
      </c>
      <c r="O3650" t="s">
        <v>995</v>
      </c>
      <c r="P3650" t="s">
        <v>147</v>
      </c>
      <c r="Q3650">
        <v>820</v>
      </c>
      <c r="R3650" s="296">
        <v>0</v>
      </c>
      <c r="S3650" s="296">
        <v>0.99750000000000005</v>
      </c>
      <c r="T3650" s="297">
        <v>12428</v>
      </c>
      <c r="U3650" s="340">
        <v>70826</v>
      </c>
      <c r="V3650" s="340">
        <v>259974</v>
      </c>
      <c r="W3650" s="297">
        <v>31412</v>
      </c>
      <c r="X3650" s="296">
        <v>1.4E-2</v>
      </c>
    </row>
    <row r="3651" spans="13:24">
      <c r="M3651">
        <v>3649</v>
      </c>
      <c r="N3651">
        <v>27379</v>
      </c>
      <c r="O3651" t="s">
        <v>2490</v>
      </c>
      <c r="P3651" t="s">
        <v>138</v>
      </c>
      <c r="Q3651">
        <v>602</v>
      </c>
      <c r="R3651" s="296">
        <v>0</v>
      </c>
      <c r="S3651" s="296">
        <v>0.99760000000000004</v>
      </c>
      <c r="T3651" s="297">
        <v>1806</v>
      </c>
      <c r="U3651" s="340">
        <v>70767</v>
      </c>
      <c r="V3651" s="340">
        <v>207848</v>
      </c>
      <c r="W3651" s="297">
        <v>4229</v>
      </c>
      <c r="X3651" s="296">
        <v>-5.0000000000000001E-3</v>
      </c>
    </row>
    <row r="3652" spans="13:24">
      <c r="M3652">
        <v>3650</v>
      </c>
      <c r="N3652">
        <v>48911</v>
      </c>
      <c r="O3652" t="s">
        <v>967</v>
      </c>
      <c r="P3652" t="s">
        <v>140</v>
      </c>
      <c r="Q3652">
        <v>168</v>
      </c>
      <c r="R3652" s="296">
        <v>0</v>
      </c>
      <c r="S3652" s="296">
        <v>0.99760000000000004</v>
      </c>
      <c r="T3652" s="297">
        <v>16748</v>
      </c>
      <c r="U3652" s="340">
        <v>70661</v>
      </c>
      <c r="V3652" s="340">
        <v>219352</v>
      </c>
      <c r="W3652" s="297">
        <v>40641</v>
      </c>
      <c r="X3652" s="296">
        <v>-1E-3</v>
      </c>
    </row>
    <row r="3653" spans="13:24">
      <c r="M3653">
        <v>3651</v>
      </c>
      <c r="N3653">
        <v>45207</v>
      </c>
      <c r="O3653" t="s">
        <v>599</v>
      </c>
      <c r="P3653" t="s">
        <v>136</v>
      </c>
      <c r="Q3653">
        <v>271</v>
      </c>
      <c r="R3653" s="296">
        <v>0</v>
      </c>
      <c r="S3653" s="296">
        <v>0.99760000000000004</v>
      </c>
      <c r="T3653" s="297">
        <v>2168</v>
      </c>
      <c r="U3653" s="340">
        <v>70495</v>
      </c>
      <c r="V3653" s="340">
        <v>251360</v>
      </c>
      <c r="W3653" s="297">
        <v>7514</v>
      </c>
      <c r="X3653" s="296">
        <v>3.0000000000000001E-3</v>
      </c>
    </row>
    <row r="3654" spans="13:24">
      <c r="M3654">
        <v>3652</v>
      </c>
      <c r="N3654">
        <v>34606</v>
      </c>
      <c r="O3654" t="s">
        <v>1485</v>
      </c>
      <c r="P3654" t="s">
        <v>127</v>
      </c>
      <c r="Q3654">
        <v>989</v>
      </c>
      <c r="R3654" s="296">
        <v>0</v>
      </c>
      <c r="S3654" s="296">
        <v>0.99760000000000004</v>
      </c>
      <c r="T3654" s="297">
        <v>12953</v>
      </c>
      <c r="U3654" s="340">
        <v>70485</v>
      </c>
      <c r="V3654" s="340">
        <v>295284</v>
      </c>
      <c r="W3654" s="297">
        <v>29270</v>
      </c>
      <c r="X3654" s="296">
        <v>8.0000000000000002E-3</v>
      </c>
    </row>
    <row r="3655" spans="13:24">
      <c r="M3655">
        <v>3653</v>
      </c>
      <c r="N3655">
        <v>10035</v>
      </c>
      <c r="O3655" t="s">
        <v>203</v>
      </c>
      <c r="P3655" t="s">
        <v>128</v>
      </c>
      <c r="Q3655">
        <v>722</v>
      </c>
      <c r="R3655" s="296">
        <v>0</v>
      </c>
      <c r="S3655" s="296">
        <v>0.99760000000000004</v>
      </c>
      <c r="T3655" s="297">
        <v>14956</v>
      </c>
      <c r="U3655" s="340">
        <v>70368</v>
      </c>
      <c r="V3655" s="340">
        <v>912140</v>
      </c>
      <c r="W3655" s="297">
        <v>36131</v>
      </c>
      <c r="X3655" s="296">
        <v>-5.0000000000000001E-3</v>
      </c>
    </row>
    <row r="3656" spans="13:24">
      <c r="M3656">
        <v>3654</v>
      </c>
      <c r="N3656">
        <v>49829</v>
      </c>
      <c r="O3656" t="s">
        <v>2491</v>
      </c>
      <c r="P3656" t="s">
        <v>140</v>
      </c>
      <c r="Q3656">
        <v>252</v>
      </c>
      <c r="R3656" s="296">
        <v>0</v>
      </c>
      <c r="S3656" s="296">
        <v>0.99760000000000004</v>
      </c>
      <c r="T3656" s="297">
        <v>7635</v>
      </c>
      <c r="U3656" s="340">
        <v>70315</v>
      </c>
      <c r="V3656" s="340">
        <v>166194</v>
      </c>
      <c r="W3656" s="297">
        <v>16844</v>
      </c>
      <c r="X3656" s="296">
        <v>-1E-3</v>
      </c>
    </row>
    <row r="3657" spans="13:24">
      <c r="M3657">
        <v>3655</v>
      </c>
      <c r="N3657">
        <v>92236</v>
      </c>
      <c r="O3657" t="s">
        <v>2492</v>
      </c>
      <c r="P3657" t="s">
        <v>132</v>
      </c>
      <c r="Q3657">
        <v>1645</v>
      </c>
      <c r="R3657" s="296">
        <v>0</v>
      </c>
      <c r="S3657" s="296">
        <v>0.99760000000000004</v>
      </c>
      <c r="T3657" s="297">
        <v>10453</v>
      </c>
      <c r="U3657" s="340">
        <v>70215</v>
      </c>
      <c r="V3657" s="340">
        <v>392946</v>
      </c>
      <c r="W3657" s="297">
        <v>44231</v>
      </c>
      <c r="X3657" s="296">
        <v>1.0999999999999999E-2</v>
      </c>
    </row>
    <row r="3658" spans="13:24">
      <c r="M3658">
        <v>3656</v>
      </c>
      <c r="N3658">
        <v>65026</v>
      </c>
      <c r="O3658" t="s">
        <v>2493</v>
      </c>
      <c r="P3658" t="s">
        <v>186</v>
      </c>
      <c r="Q3658">
        <v>364</v>
      </c>
      <c r="R3658" s="296">
        <v>0</v>
      </c>
      <c r="S3658" s="296">
        <v>0.99760000000000004</v>
      </c>
      <c r="T3658" s="297">
        <v>4624</v>
      </c>
      <c r="U3658" s="340">
        <v>70160</v>
      </c>
      <c r="V3658" s="340">
        <v>245938</v>
      </c>
      <c r="W3658" s="297">
        <v>11360</v>
      </c>
      <c r="X3658" s="296">
        <v>6.0000000000000001E-3</v>
      </c>
    </row>
    <row r="3659" spans="13:24">
      <c r="M3659">
        <v>3657</v>
      </c>
      <c r="N3659">
        <v>77072</v>
      </c>
      <c r="O3659" t="s">
        <v>314</v>
      </c>
      <c r="P3659" t="s">
        <v>134</v>
      </c>
      <c r="Q3659">
        <v>963</v>
      </c>
      <c r="R3659" s="296">
        <v>0</v>
      </c>
      <c r="S3659" s="296">
        <v>0.99770000000000003</v>
      </c>
      <c r="T3659" s="297">
        <v>17308</v>
      </c>
      <c r="U3659" s="340">
        <v>70011</v>
      </c>
      <c r="V3659" s="340">
        <v>256063</v>
      </c>
      <c r="W3659" s="297">
        <v>54945</v>
      </c>
      <c r="X3659" s="296">
        <v>-4.0000000000000001E-3</v>
      </c>
    </row>
    <row r="3660" spans="13:24">
      <c r="M3660">
        <v>3658</v>
      </c>
      <c r="N3660">
        <v>66102</v>
      </c>
      <c r="O3660" t="s">
        <v>490</v>
      </c>
      <c r="P3660" t="s">
        <v>176</v>
      </c>
      <c r="Q3660">
        <v>418</v>
      </c>
      <c r="R3660" s="296">
        <v>0</v>
      </c>
      <c r="S3660" s="296">
        <v>0.99770000000000003</v>
      </c>
      <c r="T3660" s="297">
        <v>9905</v>
      </c>
      <c r="U3660" s="340">
        <v>69975</v>
      </c>
      <c r="V3660" s="340">
        <v>172538</v>
      </c>
      <c r="W3660" s="297">
        <v>29659</v>
      </c>
      <c r="X3660" s="296">
        <v>-6.0000000000000001E-3</v>
      </c>
    </row>
    <row r="3661" spans="13:24">
      <c r="M3661">
        <v>3659</v>
      </c>
      <c r="N3661">
        <v>60930</v>
      </c>
      <c r="O3661" t="s">
        <v>2494</v>
      </c>
      <c r="P3661" t="s">
        <v>131</v>
      </c>
      <c r="Q3661">
        <v>92</v>
      </c>
      <c r="R3661" s="296">
        <v>0</v>
      </c>
      <c r="S3661" s="296">
        <v>0.99770000000000003</v>
      </c>
      <c r="T3661">
        <v>288</v>
      </c>
      <c r="U3661" s="340">
        <v>69969</v>
      </c>
      <c r="V3661" s="340">
        <v>191909</v>
      </c>
      <c r="W3661">
        <v>770</v>
      </c>
      <c r="X3661" s="296">
        <v>-1.9E-2</v>
      </c>
    </row>
    <row r="3662" spans="13:24">
      <c r="M3662">
        <v>3660</v>
      </c>
      <c r="N3662">
        <v>65536</v>
      </c>
      <c r="O3662" t="s">
        <v>464</v>
      </c>
      <c r="P3662" t="s">
        <v>186</v>
      </c>
      <c r="Q3662">
        <v>401</v>
      </c>
      <c r="R3662" s="296">
        <v>0</v>
      </c>
      <c r="S3662" s="296">
        <v>0.99770000000000003</v>
      </c>
      <c r="T3662" s="297">
        <v>11907</v>
      </c>
      <c r="U3662" s="340">
        <v>69850</v>
      </c>
      <c r="V3662" s="340">
        <v>227174</v>
      </c>
      <c r="W3662" s="297">
        <v>29613</v>
      </c>
      <c r="X3662" s="296">
        <v>2E-3</v>
      </c>
    </row>
    <row r="3663" spans="13:24">
      <c r="M3663">
        <v>3661</v>
      </c>
      <c r="N3663">
        <v>75232</v>
      </c>
      <c r="O3663" t="s">
        <v>338</v>
      </c>
      <c r="P3663" t="s">
        <v>134</v>
      </c>
      <c r="Q3663">
        <v>821</v>
      </c>
      <c r="R3663" s="296">
        <v>0</v>
      </c>
      <c r="S3663" s="296">
        <v>0.99770000000000003</v>
      </c>
      <c r="T3663" s="297">
        <v>9855</v>
      </c>
      <c r="U3663" s="340">
        <v>69744</v>
      </c>
      <c r="V3663" s="340">
        <v>351666</v>
      </c>
      <c r="W3663" s="297">
        <v>29208</v>
      </c>
      <c r="X3663" s="296">
        <v>-4.0000000000000001E-3</v>
      </c>
    </row>
    <row r="3664" spans="13:24">
      <c r="M3664">
        <v>3662</v>
      </c>
      <c r="N3664">
        <v>89103</v>
      </c>
      <c r="O3664" t="s">
        <v>706</v>
      </c>
      <c r="P3664" t="s">
        <v>148</v>
      </c>
      <c r="Q3664">
        <v>1520</v>
      </c>
      <c r="R3664" s="296">
        <v>0</v>
      </c>
      <c r="S3664" s="296">
        <v>0.99770000000000003</v>
      </c>
      <c r="T3664" s="297">
        <v>20367</v>
      </c>
      <c r="U3664" s="340">
        <v>69704</v>
      </c>
      <c r="V3664" s="340">
        <v>373663</v>
      </c>
      <c r="W3664" s="297">
        <v>46314</v>
      </c>
      <c r="X3664" s="296">
        <v>4.0000000000000001E-3</v>
      </c>
    </row>
    <row r="3665" spans="13:24">
      <c r="M3665">
        <v>3663</v>
      </c>
      <c r="N3665">
        <v>19801</v>
      </c>
      <c r="O3665" t="s">
        <v>311</v>
      </c>
      <c r="P3665" t="s">
        <v>164</v>
      </c>
      <c r="Q3665">
        <v>660</v>
      </c>
      <c r="R3665" s="296">
        <v>0</v>
      </c>
      <c r="S3665" s="296">
        <v>0.99770000000000003</v>
      </c>
      <c r="T3665" s="297">
        <v>8208</v>
      </c>
      <c r="U3665" s="340">
        <v>69656</v>
      </c>
      <c r="V3665" s="340">
        <v>237337</v>
      </c>
      <c r="W3665" s="297">
        <v>16973</v>
      </c>
      <c r="X3665" s="296">
        <v>0.01</v>
      </c>
    </row>
    <row r="3666" spans="13:24">
      <c r="M3666">
        <v>3664</v>
      </c>
      <c r="N3666">
        <v>47971</v>
      </c>
      <c r="O3666" t="s">
        <v>572</v>
      </c>
      <c r="P3666" t="s">
        <v>144</v>
      </c>
      <c r="Q3666">
        <v>116</v>
      </c>
      <c r="R3666" s="296">
        <v>0</v>
      </c>
      <c r="S3666" s="296">
        <v>0.99770000000000003</v>
      </c>
      <c r="T3666">
        <v>678</v>
      </c>
      <c r="U3666" s="340">
        <v>69481</v>
      </c>
      <c r="V3666" s="340">
        <v>157040</v>
      </c>
      <c r="W3666" s="297">
        <v>1697</v>
      </c>
      <c r="X3666" s="296">
        <v>-2E-3</v>
      </c>
    </row>
    <row r="3667" spans="13:24">
      <c r="M3667">
        <v>3665</v>
      </c>
      <c r="N3667">
        <v>37745</v>
      </c>
      <c r="O3667" t="s">
        <v>2495</v>
      </c>
      <c r="P3667" t="s">
        <v>146</v>
      </c>
      <c r="Q3667">
        <v>484</v>
      </c>
      <c r="R3667" s="296">
        <v>0</v>
      </c>
      <c r="S3667" s="296">
        <v>0.99780000000000002</v>
      </c>
      <c r="T3667" s="297">
        <v>8011</v>
      </c>
      <c r="U3667" s="340">
        <v>69422</v>
      </c>
      <c r="V3667" s="340">
        <v>279206</v>
      </c>
      <c r="W3667" s="297">
        <v>20000</v>
      </c>
      <c r="X3667" s="296">
        <v>4.0000000000000001E-3</v>
      </c>
    </row>
    <row r="3668" spans="13:24">
      <c r="M3668">
        <v>3666</v>
      </c>
      <c r="N3668">
        <v>42749</v>
      </c>
      <c r="O3668" t="s">
        <v>2496</v>
      </c>
      <c r="P3668" t="s">
        <v>143</v>
      </c>
      <c r="Q3668">
        <v>358</v>
      </c>
      <c r="R3668" s="296">
        <v>0</v>
      </c>
      <c r="S3668" s="296">
        <v>0.99780000000000002</v>
      </c>
      <c r="T3668" s="297">
        <v>2232</v>
      </c>
      <c r="U3668" s="340">
        <v>69313</v>
      </c>
      <c r="V3668" s="340">
        <v>173462</v>
      </c>
      <c r="W3668" s="297">
        <v>5543</v>
      </c>
      <c r="X3668" s="296">
        <v>1E-3</v>
      </c>
    </row>
    <row r="3669" spans="13:24">
      <c r="M3669">
        <v>3667</v>
      </c>
      <c r="N3669">
        <v>66441</v>
      </c>
      <c r="O3669" t="s">
        <v>2497</v>
      </c>
      <c r="P3669" t="s">
        <v>176</v>
      </c>
      <c r="Q3669">
        <v>521</v>
      </c>
      <c r="R3669" s="296">
        <v>0</v>
      </c>
      <c r="S3669" s="296">
        <v>0.99780000000000002</v>
      </c>
      <c r="T3669" s="297">
        <v>10771</v>
      </c>
      <c r="U3669" s="340">
        <v>69295</v>
      </c>
      <c r="V3669" s="340">
        <v>219224</v>
      </c>
      <c r="W3669" s="297">
        <v>26498</v>
      </c>
      <c r="X3669" s="296">
        <v>-3.0000000000000001E-3</v>
      </c>
    </row>
    <row r="3670" spans="13:24">
      <c r="M3670">
        <v>3668</v>
      </c>
      <c r="N3670">
        <v>33614</v>
      </c>
      <c r="O3670" t="s">
        <v>475</v>
      </c>
      <c r="P3670" t="s">
        <v>127</v>
      </c>
      <c r="Q3670">
        <v>1021</v>
      </c>
      <c r="R3670" s="296">
        <v>0</v>
      </c>
      <c r="S3670" s="296">
        <v>0.99780000000000002</v>
      </c>
      <c r="T3670" s="297">
        <v>19731</v>
      </c>
      <c r="U3670" s="340">
        <v>69217</v>
      </c>
      <c r="V3670" s="340">
        <v>443200</v>
      </c>
      <c r="W3670" s="297">
        <v>49137</v>
      </c>
      <c r="X3670" s="296">
        <v>3.0000000000000001E-3</v>
      </c>
    </row>
    <row r="3671" spans="13:24">
      <c r="M3671">
        <v>3669</v>
      </c>
      <c r="N3671">
        <v>78577</v>
      </c>
      <c r="O3671" t="s">
        <v>2498</v>
      </c>
      <c r="P3671" t="s">
        <v>134</v>
      </c>
      <c r="Q3671">
        <v>1251</v>
      </c>
      <c r="R3671" s="296">
        <v>0</v>
      </c>
      <c r="S3671" s="296">
        <v>0.99780000000000002</v>
      </c>
      <c r="T3671" s="297">
        <v>24747</v>
      </c>
      <c r="U3671" s="340">
        <v>69107</v>
      </c>
      <c r="V3671" s="340">
        <v>164775</v>
      </c>
      <c r="W3671" s="297">
        <v>82160</v>
      </c>
      <c r="X3671" s="296">
        <v>6.0000000000000001E-3</v>
      </c>
    </row>
    <row r="3672" spans="13:24">
      <c r="M3672">
        <v>3670</v>
      </c>
      <c r="N3672">
        <v>62557</v>
      </c>
      <c r="O3672" t="s">
        <v>2499</v>
      </c>
      <c r="P3672" t="s">
        <v>131</v>
      </c>
      <c r="Q3672">
        <v>202</v>
      </c>
      <c r="R3672" s="296">
        <v>0</v>
      </c>
      <c r="S3672" s="296">
        <v>0.99780000000000002</v>
      </c>
      <c r="T3672" s="297">
        <v>2949</v>
      </c>
      <c r="U3672" s="340">
        <v>69098</v>
      </c>
      <c r="V3672" s="340">
        <v>140811</v>
      </c>
      <c r="W3672" s="297">
        <v>6574</v>
      </c>
      <c r="X3672" s="296">
        <v>-8.0000000000000002E-3</v>
      </c>
    </row>
    <row r="3673" spans="13:24">
      <c r="M3673">
        <v>3671</v>
      </c>
      <c r="N3673">
        <v>27834</v>
      </c>
      <c r="O3673" t="s">
        <v>670</v>
      </c>
      <c r="P3673" t="s">
        <v>138</v>
      </c>
      <c r="Q3673">
        <v>717</v>
      </c>
      <c r="R3673" s="296">
        <v>0</v>
      </c>
      <c r="S3673" s="296">
        <v>0.99780000000000002</v>
      </c>
      <c r="T3673" s="297">
        <v>23444</v>
      </c>
      <c r="U3673" s="340">
        <v>69081</v>
      </c>
      <c r="V3673" s="340">
        <v>245713</v>
      </c>
      <c r="W3673" s="297">
        <v>54513</v>
      </c>
      <c r="X3673" s="296">
        <v>2E-3</v>
      </c>
    </row>
    <row r="3674" spans="13:24">
      <c r="M3674">
        <v>3672</v>
      </c>
      <c r="N3674">
        <v>41014</v>
      </c>
      <c r="O3674" t="s">
        <v>2122</v>
      </c>
      <c r="P3674" t="s">
        <v>143</v>
      </c>
      <c r="Q3674">
        <v>274</v>
      </c>
      <c r="R3674" s="296">
        <v>0</v>
      </c>
      <c r="S3674" s="296">
        <v>0.99780000000000002</v>
      </c>
      <c r="T3674" s="297">
        <v>3145</v>
      </c>
      <c r="U3674" s="340">
        <v>68791</v>
      </c>
      <c r="V3674" s="340">
        <v>208602</v>
      </c>
      <c r="W3674" s="297">
        <v>7243</v>
      </c>
      <c r="X3674" s="296">
        <v>-5.0000000000000001E-3</v>
      </c>
    </row>
    <row r="3675" spans="13:24">
      <c r="M3675">
        <v>3673</v>
      </c>
      <c r="N3675">
        <v>66762</v>
      </c>
      <c r="O3675" t="s">
        <v>297</v>
      </c>
      <c r="P3675" t="s">
        <v>176</v>
      </c>
      <c r="Q3675">
        <v>492</v>
      </c>
      <c r="R3675" s="296">
        <v>0</v>
      </c>
      <c r="S3675" s="296">
        <v>0.99790000000000001</v>
      </c>
      <c r="T3675" s="297">
        <v>10153</v>
      </c>
      <c r="U3675" s="340">
        <v>68788</v>
      </c>
      <c r="V3675" s="340">
        <v>190200</v>
      </c>
      <c r="W3675" s="297">
        <v>25271</v>
      </c>
      <c r="X3675" s="296">
        <v>0</v>
      </c>
    </row>
    <row r="3676" spans="13:24">
      <c r="M3676">
        <v>3674</v>
      </c>
      <c r="N3676">
        <v>46224</v>
      </c>
      <c r="O3676" t="s">
        <v>561</v>
      </c>
      <c r="P3676" t="s">
        <v>144</v>
      </c>
      <c r="Q3676">
        <v>181</v>
      </c>
      <c r="R3676" s="296">
        <v>0</v>
      </c>
      <c r="S3676" s="296">
        <v>0.99790000000000001</v>
      </c>
      <c r="T3676" s="297">
        <v>15417</v>
      </c>
      <c r="U3676" s="340">
        <v>68726</v>
      </c>
      <c r="V3676" s="340">
        <v>247314</v>
      </c>
      <c r="W3676" s="297">
        <v>38435</v>
      </c>
      <c r="X3676" s="296">
        <v>1E-3</v>
      </c>
    </row>
    <row r="3677" spans="13:24">
      <c r="M3677">
        <v>3675</v>
      </c>
      <c r="N3677">
        <v>28472</v>
      </c>
      <c r="O3677" t="s">
        <v>2500</v>
      </c>
      <c r="P3677" t="s">
        <v>138</v>
      </c>
      <c r="Q3677">
        <v>730</v>
      </c>
      <c r="R3677" s="296">
        <v>0</v>
      </c>
      <c r="S3677" s="296">
        <v>0.99790000000000001</v>
      </c>
      <c r="T3677" s="297">
        <v>6958</v>
      </c>
      <c r="U3677" s="340">
        <v>68694</v>
      </c>
      <c r="V3677" s="340">
        <v>219859</v>
      </c>
      <c r="W3677" s="297">
        <v>16714</v>
      </c>
      <c r="X3677" s="296">
        <v>-8.9999999999999993E-3</v>
      </c>
    </row>
    <row r="3678" spans="13:24">
      <c r="M3678">
        <v>3676</v>
      </c>
      <c r="N3678">
        <v>15219</v>
      </c>
      <c r="O3678" t="s">
        <v>569</v>
      </c>
      <c r="P3678" t="s">
        <v>133</v>
      </c>
      <c r="Q3678">
        <v>422</v>
      </c>
      <c r="R3678" s="296">
        <v>0</v>
      </c>
      <c r="S3678" s="296">
        <v>0.99790000000000001</v>
      </c>
      <c r="T3678" s="297">
        <v>7067</v>
      </c>
      <c r="U3678" s="340">
        <v>68645</v>
      </c>
      <c r="V3678" s="340">
        <v>247590</v>
      </c>
      <c r="W3678" s="297">
        <v>19349</v>
      </c>
      <c r="X3678" s="296">
        <v>3.2000000000000001E-2</v>
      </c>
    </row>
    <row r="3679" spans="13:24">
      <c r="M3679">
        <v>3677</v>
      </c>
      <c r="N3679">
        <v>27830</v>
      </c>
      <c r="O3679" t="s">
        <v>292</v>
      </c>
      <c r="P3679" t="s">
        <v>138</v>
      </c>
      <c r="Q3679">
        <v>697</v>
      </c>
      <c r="R3679" s="296">
        <v>0</v>
      </c>
      <c r="S3679" s="296">
        <v>0.99790000000000001</v>
      </c>
      <c r="T3679" s="297">
        <v>1628</v>
      </c>
      <c r="U3679" s="340">
        <v>68616</v>
      </c>
      <c r="V3679" s="340">
        <v>213478</v>
      </c>
      <c r="W3679" s="297">
        <v>4016</v>
      </c>
      <c r="X3679" s="296">
        <v>-7.0000000000000001E-3</v>
      </c>
    </row>
    <row r="3680" spans="13:24">
      <c r="M3680">
        <v>3678</v>
      </c>
      <c r="N3680">
        <v>26582</v>
      </c>
      <c r="O3680" t="s">
        <v>2501</v>
      </c>
      <c r="P3680" t="s">
        <v>227</v>
      </c>
      <c r="Q3680">
        <v>429</v>
      </c>
      <c r="R3680" s="296">
        <v>0</v>
      </c>
      <c r="S3680" s="296">
        <v>0.99790000000000001</v>
      </c>
      <c r="T3680" s="297">
        <v>1954</v>
      </c>
      <c r="U3680" s="340">
        <v>68499</v>
      </c>
      <c r="V3680" s="340">
        <v>157592</v>
      </c>
      <c r="W3680" s="297">
        <v>4803</v>
      </c>
      <c r="X3680" s="296">
        <v>-5.0000000000000001E-3</v>
      </c>
    </row>
    <row r="3681" spans="13:24">
      <c r="M3681">
        <v>3679</v>
      </c>
      <c r="N3681">
        <v>37616</v>
      </c>
      <c r="O3681" t="s">
        <v>2502</v>
      </c>
      <c r="P3681" t="s">
        <v>146</v>
      </c>
      <c r="Q3681">
        <v>490</v>
      </c>
      <c r="R3681" s="296">
        <v>0</v>
      </c>
      <c r="S3681" s="296">
        <v>0.99790000000000001</v>
      </c>
      <c r="T3681" s="297">
        <v>2227</v>
      </c>
      <c r="U3681" s="340">
        <v>68328</v>
      </c>
      <c r="V3681" s="340">
        <v>257829</v>
      </c>
      <c r="W3681" s="297">
        <v>5232</v>
      </c>
      <c r="X3681" s="296">
        <v>6.0000000000000001E-3</v>
      </c>
    </row>
    <row r="3682" spans="13:24">
      <c r="M3682">
        <v>3680</v>
      </c>
      <c r="N3682">
        <v>65453</v>
      </c>
      <c r="O3682" t="s">
        <v>2503</v>
      </c>
      <c r="P3682" t="s">
        <v>186</v>
      </c>
      <c r="Q3682">
        <v>338</v>
      </c>
      <c r="R3682" s="296">
        <v>0</v>
      </c>
      <c r="S3682" s="296">
        <v>0.99790000000000001</v>
      </c>
      <c r="T3682" s="297">
        <v>3320</v>
      </c>
      <c r="U3682" s="340">
        <v>68318</v>
      </c>
      <c r="V3682" s="340">
        <v>252438</v>
      </c>
      <c r="W3682" s="297">
        <v>7760</v>
      </c>
      <c r="X3682" s="296">
        <v>-8.0000000000000002E-3</v>
      </c>
    </row>
    <row r="3683" spans="13:24">
      <c r="M3683">
        <v>3681</v>
      </c>
      <c r="N3683">
        <v>43229</v>
      </c>
      <c r="O3683" t="s">
        <v>468</v>
      </c>
      <c r="P3683" t="s">
        <v>136</v>
      </c>
      <c r="Q3683">
        <v>288</v>
      </c>
      <c r="R3683" s="296">
        <v>0</v>
      </c>
      <c r="S3683" s="296">
        <v>0.998</v>
      </c>
      <c r="T3683" s="297">
        <v>21302</v>
      </c>
      <c r="U3683" s="340">
        <v>68278</v>
      </c>
      <c r="V3683" s="340">
        <v>263386</v>
      </c>
      <c r="W3683" s="297">
        <v>55315</v>
      </c>
      <c r="X3683" s="296">
        <v>4.0000000000000001E-3</v>
      </c>
    </row>
    <row r="3684" spans="13:24">
      <c r="M3684">
        <v>3682</v>
      </c>
      <c r="N3684">
        <v>2724</v>
      </c>
      <c r="O3684" t="s">
        <v>406</v>
      </c>
      <c r="P3684" t="s">
        <v>135</v>
      </c>
      <c r="Q3684">
        <v>853</v>
      </c>
      <c r="R3684" s="296">
        <v>0</v>
      </c>
      <c r="S3684" s="296">
        <v>0.998</v>
      </c>
      <c r="T3684" s="297">
        <v>8535</v>
      </c>
      <c r="U3684" s="340">
        <v>68234</v>
      </c>
      <c r="V3684" s="340">
        <v>509040</v>
      </c>
      <c r="W3684" s="297">
        <v>18903</v>
      </c>
      <c r="X3684" s="296">
        <v>4.0000000000000001E-3</v>
      </c>
    </row>
    <row r="3685" spans="13:24">
      <c r="M3685">
        <v>3683</v>
      </c>
      <c r="N3685">
        <v>47714</v>
      </c>
      <c r="O3685" t="s">
        <v>2231</v>
      </c>
      <c r="P3685" t="s">
        <v>144</v>
      </c>
      <c r="Q3685">
        <v>290</v>
      </c>
      <c r="R3685" s="296">
        <v>0</v>
      </c>
      <c r="S3685" s="296">
        <v>0.998</v>
      </c>
      <c r="T3685" s="297">
        <v>13856</v>
      </c>
      <c r="U3685" s="340">
        <v>68183</v>
      </c>
      <c r="V3685" s="340">
        <v>188008</v>
      </c>
      <c r="W3685" s="297">
        <v>32009</v>
      </c>
      <c r="X3685" s="296">
        <v>-2E-3</v>
      </c>
    </row>
    <row r="3686" spans="13:24">
      <c r="M3686">
        <v>3684</v>
      </c>
      <c r="N3686">
        <v>30303</v>
      </c>
      <c r="O3686" t="s">
        <v>507</v>
      </c>
      <c r="P3686" t="s">
        <v>130</v>
      </c>
      <c r="Q3686">
        <v>609</v>
      </c>
      <c r="R3686" s="296">
        <v>0</v>
      </c>
      <c r="S3686" s="296">
        <v>0.998</v>
      </c>
      <c r="T3686" s="297">
        <v>1575</v>
      </c>
      <c r="U3686" s="340">
        <v>68172</v>
      </c>
      <c r="V3686" s="340">
        <v>279904</v>
      </c>
      <c r="W3686" s="297">
        <v>7219</v>
      </c>
      <c r="X3686" s="296">
        <v>7.0000000000000001E-3</v>
      </c>
    </row>
    <row r="3687" spans="13:24">
      <c r="M3687">
        <v>3685</v>
      </c>
      <c r="N3687">
        <v>40701</v>
      </c>
      <c r="O3687" t="s">
        <v>2504</v>
      </c>
      <c r="P3687" t="s">
        <v>143</v>
      </c>
      <c r="Q3687">
        <v>410</v>
      </c>
      <c r="R3687" s="296">
        <v>0</v>
      </c>
      <c r="S3687" s="296">
        <v>0.998</v>
      </c>
      <c r="T3687" s="297">
        <v>12571</v>
      </c>
      <c r="U3687" s="340">
        <v>67762</v>
      </c>
      <c r="V3687" s="340">
        <v>190393</v>
      </c>
      <c r="W3687" s="297">
        <v>31710</v>
      </c>
      <c r="X3687" s="296">
        <v>3.0000000000000001E-3</v>
      </c>
    </row>
    <row r="3688" spans="13:24">
      <c r="M3688">
        <v>3686</v>
      </c>
      <c r="N3688">
        <v>29406</v>
      </c>
      <c r="O3688" t="s">
        <v>431</v>
      </c>
      <c r="P3688" t="s">
        <v>145</v>
      </c>
      <c r="Q3688">
        <v>765</v>
      </c>
      <c r="R3688" s="296">
        <v>0</v>
      </c>
      <c r="S3688" s="296">
        <v>0.998</v>
      </c>
      <c r="T3688" s="297">
        <v>13810</v>
      </c>
      <c r="U3688" s="340">
        <v>67710</v>
      </c>
      <c r="V3688" s="340">
        <v>317511</v>
      </c>
      <c r="W3688" s="297">
        <v>33901</v>
      </c>
      <c r="X3688" s="296">
        <v>1.4E-2</v>
      </c>
    </row>
    <row r="3689" spans="13:24">
      <c r="M3689">
        <v>3687</v>
      </c>
      <c r="N3689">
        <v>24382</v>
      </c>
      <c r="O3689" t="s">
        <v>2505</v>
      </c>
      <c r="P3689" t="s">
        <v>139</v>
      </c>
      <c r="Q3689">
        <v>506</v>
      </c>
      <c r="R3689" s="296">
        <v>0</v>
      </c>
      <c r="S3689" s="296">
        <v>0.998</v>
      </c>
      <c r="T3689" s="297">
        <v>6487</v>
      </c>
      <c r="U3689" s="340">
        <v>67696</v>
      </c>
      <c r="V3689" s="340">
        <v>238269</v>
      </c>
      <c r="W3689" s="297">
        <v>14037</v>
      </c>
      <c r="X3689" s="296">
        <v>-4.0000000000000001E-3</v>
      </c>
    </row>
    <row r="3690" spans="13:24">
      <c r="M3690">
        <v>3688</v>
      </c>
      <c r="N3690">
        <v>85351</v>
      </c>
      <c r="O3690" t="s">
        <v>2249</v>
      </c>
      <c r="P3690" t="s">
        <v>158</v>
      </c>
      <c r="Q3690">
        <v>1454</v>
      </c>
      <c r="R3690" s="296">
        <v>0</v>
      </c>
      <c r="S3690" s="296">
        <v>0.998</v>
      </c>
      <c r="T3690" s="297">
        <v>18841</v>
      </c>
      <c r="U3690" s="340">
        <v>67674</v>
      </c>
      <c r="V3690" s="340">
        <v>376767</v>
      </c>
      <c r="W3690" s="297">
        <v>30326</v>
      </c>
      <c r="X3690" s="296">
        <v>1E-3</v>
      </c>
    </row>
    <row r="3691" spans="13:24">
      <c r="M3691">
        <v>3689</v>
      </c>
      <c r="N3691">
        <v>90006</v>
      </c>
      <c r="O3691" t="s">
        <v>309</v>
      </c>
      <c r="P3691" t="s">
        <v>132</v>
      </c>
      <c r="Q3691">
        <v>1740</v>
      </c>
      <c r="R3691" s="296">
        <v>0</v>
      </c>
      <c r="S3691" s="296">
        <v>0.99809999999999999</v>
      </c>
      <c r="T3691" s="297">
        <v>20209</v>
      </c>
      <c r="U3691" s="340">
        <v>67657</v>
      </c>
      <c r="V3691" s="340">
        <v>950352</v>
      </c>
      <c r="W3691" s="297">
        <v>55793</v>
      </c>
      <c r="X3691" s="296">
        <v>-2E-3</v>
      </c>
    </row>
    <row r="3692" spans="13:24">
      <c r="M3692">
        <v>3690</v>
      </c>
      <c r="N3692">
        <v>38901</v>
      </c>
      <c r="O3692" t="s">
        <v>2506</v>
      </c>
      <c r="P3692" t="s">
        <v>188</v>
      </c>
      <c r="Q3692">
        <v>589</v>
      </c>
      <c r="R3692" s="296">
        <v>0</v>
      </c>
      <c r="S3692" s="296">
        <v>0.99809999999999999</v>
      </c>
      <c r="T3692" s="297">
        <v>7276</v>
      </c>
      <c r="U3692" s="340">
        <v>67651</v>
      </c>
      <c r="V3692" s="340">
        <v>185255</v>
      </c>
      <c r="W3692" s="297">
        <v>17123</v>
      </c>
      <c r="X3692" s="296">
        <v>-7.0000000000000001E-3</v>
      </c>
    </row>
    <row r="3693" spans="13:24">
      <c r="M3693">
        <v>3691</v>
      </c>
      <c r="N3693">
        <v>46938</v>
      </c>
      <c r="O3693" t="s">
        <v>1599</v>
      </c>
      <c r="P3693" t="s">
        <v>144</v>
      </c>
      <c r="Q3693">
        <v>160</v>
      </c>
      <c r="R3693" s="296">
        <v>0</v>
      </c>
      <c r="S3693" s="296">
        <v>0.99809999999999999</v>
      </c>
      <c r="T3693" s="297">
        <v>1090</v>
      </c>
      <c r="U3693" s="340">
        <v>67597</v>
      </c>
      <c r="V3693" s="340">
        <v>157659</v>
      </c>
      <c r="W3693" s="297">
        <v>2696</v>
      </c>
      <c r="X3693" s="296">
        <v>-2E-3</v>
      </c>
    </row>
    <row r="3694" spans="13:24">
      <c r="M3694">
        <v>3692</v>
      </c>
      <c r="N3694">
        <v>14701</v>
      </c>
      <c r="O3694" t="s">
        <v>2507</v>
      </c>
      <c r="P3694" t="s">
        <v>128</v>
      </c>
      <c r="Q3694">
        <v>437</v>
      </c>
      <c r="R3694" s="296">
        <v>0</v>
      </c>
      <c r="S3694" s="296">
        <v>0.99809999999999999</v>
      </c>
      <c r="T3694" s="297">
        <v>16678</v>
      </c>
      <c r="U3694" s="340">
        <v>67438</v>
      </c>
      <c r="V3694" s="340">
        <v>186142</v>
      </c>
      <c r="W3694" s="297">
        <v>37581</v>
      </c>
      <c r="X3694" s="296">
        <v>-6.0000000000000001E-3</v>
      </c>
    </row>
    <row r="3695" spans="13:24">
      <c r="M3695">
        <v>3693</v>
      </c>
      <c r="N3695">
        <v>63114</v>
      </c>
      <c r="O3695" t="s">
        <v>536</v>
      </c>
      <c r="P3695" t="s">
        <v>186</v>
      </c>
      <c r="Q3695">
        <v>274</v>
      </c>
      <c r="R3695" s="296">
        <v>0</v>
      </c>
      <c r="S3695" s="296">
        <v>0.99809999999999999</v>
      </c>
      <c r="T3695" s="297">
        <v>14939</v>
      </c>
      <c r="U3695" s="340">
        <v>67363</v>
      </c>
      <c r="V3695" s="340">
        <v>196255</v>
      </c>
      <c r="W3695" s="297">
        <v>35792</v>
      </c>
      <c r="X3695" s="296">
        <v>-4.0000000000000001E-3</v>
      </c>
    </row>
    <row r="3696" spans="13:24">
      <c r="M3696">
        <v>3694</v>
      </c>
      <c r="N3696">
        <v>49631</v>
      </c>
      <c r="O3696" t="s">
        <v>2508</v>
      </c>
      <c r="P3696" t="s">
        <v>140</v>
      </c>
      <c r="Q3696">
        <v>175</v>
      </c>
      <c r="R3696" s="296">
        <v>0</v>
      </c>
      <c r="S3696" s="296">
        <v>0.99809999999999999</v>
      </c>
      <c r="T3696" s="297">
        <v>2360</v>
      </c>
      <c r="U3696" s="340">
        <v>67340</v>
      </c>
      <c r="V3696" s="340">
        <v>187913</v>
      </c>
      <c r="W3696" s="297">
        <v>5723</v>
      </c>
      <c r="X3696" s="296">
        <v>2E-3</v>
      </c>
    </row>
    <row r="3697" spans="13:24">
      <c r="M3697">
        <v>3695</v>
      </c>
      <c r="N3697">
        <v>48915</v>
      </c>
      <c r="O3697" t="s">
        <v>967</v>
      </c>
      <c r="P3697" t="s">
        <v>140</v>
      </c>
      <c r="Q3697">
        <v>169</v>
      </c>
      <c r="R3697" s="296">
        <v>0</v>
      </c>
      <c r="S3697" s="296">
        <v>0.99809999999999999</v>
      </c>
      <c r="T3697" s="297">
        <v>3945</v>
      </c>
      <c r="U3697" s="340">
        <v>67340</v>
      </c>
      <c r="V3697" s="340">
        <v>163637</v>
      </c>
      <c r="W3697" s="297">
        <v>9162</v>
      </c>
      <c r="X3697" s="296">
        <v>-4.0000000000000001E-3</v>
      </c>
    </row>
    <row r="3698" spans="13:24">
      <c r="M3698">
        <v>3696</v>
      </c>
      <c r="N3698">
        <v>46809</v>
      </c>
      <c r="O3698" t="s">
        <v>1078</v>
      </c>
      <c r="P3698" t="s">
        <v>144</v>
      </c>
      <c r="Q3698">
        <v>155</v>
      </c>
      <c r="R3698" s="296">
        <v>0</v>
      </c>
      <c r="S3698" s="296">
        <v>0.99809999999999999</v>
      </c>
      <c r="T3698" s="297">
        <v>3980</v>
      </c>
      <c r="U3698" s="340">
        <v>67326</v>
      </c>
      <c r="V3698" s="340">
        <v>223039</v>
      </c>
      <c r="W3698" s="297">
        <v>8653</v>
      </c>
      <c r="X3698" s="296">
        <v>-1E-3</v>
      </c>
    </row>
    <row r="3699" spans="13:24">
      <c r="M3699">
        <v>3697</v>
      </c>
      <c r="N3699">
        <v>62618</v>
      </c>
      <c r="O3699" t="s">
        <v>2509</v>
      </c>
      <c r="P3699" t="s">
        <v>131</v>
      </c>
      <c r="Q3699">
        <v>202</v>
      </c>
      <c r="R3699" s="296">
        <v>0</v>
      </c>
      <c r="S3699" s="296">
        <v>0.99819999999999998</v>
      </c>
      <c r="T3699" s="297">
        <v>2772</v>
      </c>
      <c r="U3699" s="340">
        <v>67318</v>
      </c>
      <c r="V3699" s="340">
        <v>142306</v>
      </c>
      <c r="W3699" s="297">
        <v>7333</v>
      </c>
      <c r="X3699" s="296">
        <v>-1.0999999999999999E-2</v>
      </c>
    </row>
    <row r="3700" spans="13:24">
      <c r="M3700">
        <v>3698</v>
      </c>
      <c r="N3700">
        <v>46241</v>
      </c>
      <c r="O3700" t="s">
        <v>561</v>
      </c>
      <c r="P3700" t="s">
        <v>144</v>
      </c>
      <c r="Q3700">
        <v>185</v>
      </c>
      <c r="R3700" s="296">
        <v>0</v>
      </c>
      <c r="S3700" s="296">
        <v>0.99819999999999998</v>
      </c>
      <c r="T3700" s="297">
        <v>12159</v>
      </c>
      <c r="U3700" s="340">
        <v>67199</v>
      </c>
      <c r="V3700" s="340">
        <v>152613</v>
      </c>
      <c r="W3700" s="297">
        <v>33869</v>
      </c>
      <c r="X3700" s="296">
        <v>-2E-3</v>
      </c>
    </row>
    <row r="3701" spans="13:24">
      <c r="M3701">
        <v>3699</v>
      </c>
      <c r="N3701">
        <v>15424</v>
      </c>
      <c r="O3701" t="s">
        <v>2510</v>
      </c>
      <c r="P3701" t="s">
        <v>133</v>
      </c>
      <c r="Q3701">
        <v>468</v>
      </c>
      <c r="R3701" s="296">
        <v>0</v>
      </c>
      <c r="S3701" s="296">
        <v>0.99819999999999998</v>
      </c>
      <c r="T3701">
        <v>975</v>
      </c>
      <c r="U3701" s="340">
        <v>67141</v>
      </c>
      <c r="V3701" s="340">
        <v>245759</v>
      </c>
      <c r="W3701" s="297">
        <v>2166</v>
      </c>
      <c r="X3701" s="296">
        <v>-8.9999999999999993E-3</v>
      </c>
    </row>
    <row r="3702" spans="13:24">
      <c r="M3702">
        <v>3700</v>
      </c>
      <c r="N3702">
        <v>39206</v>
      </c>
      <c r="O3702" t="s">
        <v>1140</v>
      </c>
      <c r="P3702" t="s">
        <v>188</v>
      </c>
      <c r="Q3702">
        <v>688</v>
      </c>
      <c r="R3702" s="296">
        <v>0</v>
      </c>
      <c r="S3702" s="296">
        <v>0.99819999999999998</v>
      </c>
      <c r="T3702" s="297">
        <v>9301</v>
      </c>
      <c r="U3702" s="340">
        <v>67094</v>
      </c>
      <c r="V3702" s="340">
        <v>187213</v>
      </c>
      <c r="W3702" s="297">
        <v>21052</v>
      </c>
      <c r="X3702" s="296">
        <v>-1.4E-2</v>
      </c>
    </row>
    <row r="3703" spans="13:24">
      <c r="M3703">
        <v>3701</v>
      </c>
      <c r="N3703">
        <v>53934</v>
      </c>
      <c r="O3703" t="s">
        <v>2511</v>
      </c>
      <c r="P3703" t="s">
        <v>149</v>
      </c>
      <c r="Q3703">
        <v>163</v>
      </c>
      <c r="R3703" s="296">
        <v>0</v>
      </c>
      <c r="S3703" s="296">
        <v>0.99819999999999998</v>
      </c>
      <c r="T3703" s="297">
        <v>2132</v>
      </c>
      <c r="U3703" s="340">
        <v>67076</v>
      </c>
      <c r="V3703" s="340">
        <v>233873</v>
      </c>
      <c r="W3703" s="297">
        <v>4500</v>
      </c>
      <c r="X3703" s="296">
        <v>5.0000000000000001E-3</v>
      </c>
    </row>
    <row r="3704" spans="13:24">
      <c r="M3704">
        <v>3702</v>
      </c>
      <c r="N3704">
        <v>30742</v>
      </c>
      <c r="O3704" t="s">
        <v>2512</v>
      </c>
      <c r="P3704" t="s">
        <v>130</v>
      </c>
      <c r="Q3704">
        <v>517</v>
      </c>
      <c r="R3704" s="296">
        <v>0</v>
      </c>
      <c r="S3704" s="296">
        <v>0.99819999999999998</v>
      </c>
      <c r="T3704" s="297">
        <v>3283</v>
      </c>
      <c r="U3704" s="340">
        <v>67047</v>
      </c>
      <c r="V3704" s="340">
        <v>240668</v>
      </c>
      <c r="W3704" s="297">
        <v>7611</v>
      </c>
      <c r="X3704" s="296">
        <v>4.0000000000000001E-3</v>
      </c>
    </row>
    <row r="3705" spans="13:24">
      <c r="M3705">
        <v>3703</v>
      </c>
      <c r="N3705">
        <v>85706</v>
      </c>
      <c r="O3705" t="s">
        <v>579</v>
      </c>
      <c r="P3705" t="s">
        <v>158</v>
      </c>
      <c r="Q3705">
        <v>1444</v>
      </c>
      <c r="R3705" s="296">
        <v>0</v>
      </c>
      <c r="S3705" s="296">
        <v>0.99819999999999998</v>
      </c>
      <c r="T3705" s="297">
        <v>19044</v>
      </c>
      <c r="U3705" s="340">
        <v>66468</v>
      </c>
      <c r="V3705" s="340">
        <v>245008</v>
      </c>
      <c r="W3705" s="297">
        <v>55450</v>
      </c>
      <c r="X3705" s="296">
        <v>1E-3</v>
      </c>
    </row>
    <row r="3706" spans="13:24">
      <c r="M3706">
        <v>3704</v>
      </c>
      <c r="N3706">
        <v>63825</v>
      </c>
      <c r="O3706" t="s">
        <v>2513</v>
      </c>
      <c r="P3706" t="s">
        <v>186</v>
      </c>
      <c r="Q3706">
        <v>379</v>
      </c>
      <c r="R3706" s="296">
        <v>0</v>
      </c>
      <c r="S3706" s="296">
        <v>0.99819999999999998</v>
      </c>
      <c r="T3706" s="297">
        <v>1666</v>
      </c>
      <c r="U3706" s="340">
        <v>66467</v>
      </c>
      <c r="V3706" s="340">
        <v>179531</v>
      </c>
      <c r="W3706" s="297">
        <v>3957</v>
      </c>
      <c r="X3706" s="296">
        <v>-8.0000000000000002E-3</v>
      </c>
    </row>
    <row r="3707" spans="13:24">
      <c r="M3707">
        <v>3705</v>
      </c>
      <c r="N3707">
        <v>50662</v>
      </c>
      <c r="O3707" t="s">
        <v>2514</v>
      </c>
      <c r="P3707" t="s">
        <v>170</v>
      </c>
      <c r="Q3707">
        <v>214</v>
      </c>
      <c r="R3707" s="296">
        <v>0</v>
      </c>
      <c r="S3707" s="296">
        <v>0.99829999999999997</v>
      </c>
      <c r="T3707" s="297">
        <v>2794</v>
      </c>
      <c r="U3707" s="340">
        <v>66448</v>
      </c>
      <c r="V3707" s="340">
        <v>154433</v>
      </c>
      <c r="W3707" s="297">
        <v>6531</v>
      </c>
      <c r="X3707" s="296">
        <v>-3.0000000000000001E-3</v>
      </c>
    </row>
    <row r="3708" spans="13:24">
      <c r="M3708">
        <v>3706</v>
      </c>
      <c r="N3708">
        <v>19120</v>
      </c>
      <c r="O3708" t="s">
        <v>469</v>
      </c>
      <c r="P3708" t="s">
        <v>133</v>
      </c>
      <c r="Q3708">
        <v>675</v>
      </c>
      <c r="R3708" s="296">
        <v>0</v>
      </c>
      <c r="S3708" s="296">
        <v>0.99829999999999997</v>
      </c>
      <c r="T3708" s="297">
        <v>22408</v>
      </c>
      <c r="U3708" s="340">
        <v>66258</v>
      </c>
      <c r="V3708" s="340">
        <v>233129</v>
      </c>
      <c r="W3708" s="297">
        <v>63111</v>
      </c>
      <c r="X3708" s="296">
        <v>-8.0000000000000002E-3</v>
      </c>
    </row>
    <row r="3709" spans="13:24">
      <c r="M3709">
        <v>3707</v>
      </c>
      <c r="N3709">
        <v>89029</v>
      </c>
      <c r="O3709" t="s">
        <v>2515</v>
      </c>
      <c r="P3709" t="s">
        <v>148</v>
      </c>
      <c r="Q3709">
        <v>1520</v>
      </c>
      <c r="R3709" s="296">
        <v>0</v>
      </c>
      <c r="S3709" s="296">
        <v>0.99829999999999997</v>
      </c>
      <c r="T3709" s="297">
        <v>4577</v>
      </c>
      <c r="U3709" s="340">
        <v>66251</v>
      </c>
      <c r="V3709" s="340">
        <v>330502</v>
      </c>
      <c r="W3709" s="297">
        <v>8827</v>
      </c>
      <c r="X3709" s="296">
        <v>-3.0000000000000001E-3</v>
      </c>
    </row>
    <row r="3710" spans="13:24">
      <c r="M3710">
        <v>3708</v>
      </c>
      <c r="N3710">
        <v>47303</v>
      </c>
      <c r="O3710" t="s">
        <v>755</v>
      </c>
      <c r="P3710" t="s">
        <v>144</v>
      </c>
      <c r="Q3710">
        <v>183</v>
      </c>
      <c r="R3710" s="296">
        <v>0</v>
      </c>
      <c r="S3710" s="296">
        <v>0.99829999999999997</v>
      </c>
      <c r="T3710" s="297">
        <v>10221</v>
      </c>
      <c r="U3710" s="340">
        <v>65995</v>
      </c>
      <c r="V3710" s="340">
        <v>143893</v>
      </c>
      <c r="W3710" s="297">
        <v>23507</v>
      </c>
      <c r="X3710" s="296">
        <v>-4.0000000000000001E-3</v>
      </c>
    </row>
    <row r="3711" spans="13:24">
      <c r="M3711">
        <v>3709</v>
      </c>
      <c r="N3711">
        <v>46802</v>
      </c>
      <c r="O3711" t="s">
        <v>1078</v>
      </c>
      <c r="P3711" t="s">
        <v>144</v>
      </c>
      <c r="Q3711">
        <v>155</v>
      </c>
      <c r="R3711" s="296">
        <v>0</v>
      </c>
      <c r="S3711" s="296">
        <v>0.99829999999999997</v>
      </c>
      <c r="T3711" s="297">
        <v>4814</v>
      </c>
      <c r="U3711" s="340">
        <v>65908</v>
      </c>
      <c r="V3711" s="340">
        <v>220766</v>
      </c>
      <c r="W3711" s="297">
        <v>10758</v>
      </c>
      <c r="X3711" s="296">
        <v>7.0000000000000001E-3</v>
      </c>
    </row>
    <row r="3712" spans="13:24">
      <c r="M3712">
        <v>3710</v>
      </c>
      <c r="N3712">
        <v>48089</v>
      </c>
      <c r="O3712" t="s">
        <v>781</v>
      </c>
      <c r="P3712" t="s">
        <v>140</v>
      </c>
      <c r="Q3712">
        <v>246</v>
      </c>
      <c r="R3712" s="296">
        <v>0</v>
      </c>
      <c r="S3712" s="296">
        <v>0.99829999999999997</v>
      </c>
      <c r="T3712" s="297">
        <v>12295</v>
      </c>
      <c r="U3712" s="340">
        <v>65705</v>
      </c>
      <c r="V3712" s="340">
        <v>158088</v>
      </c>
      <c r="W3712" s="297">
        <v>31826</v>
      </c>
      <c r="X3712" s="296">
        <v>-2E-3</v>
      </c>
    </row>
    <row r="3713" spans="13:24">
      <c r="M3713">
        <v>3711</v>
      </c>
      <c r="N3713">
        <v>27027</v>
      </c>
      <c r="O3713" t="s">
        <v>2516</v>
      </c>
      <c r="P3713" t="s">
        <v>138</v>
      </c>
      <c r="Q3713">
        <v>573</v>
      </c>
      <c r="R3713" s="296">
        <v>0</v>
      </c>
      <c r="S3713" s="296">
        <v>0.99829999999999997</v>
      </c>
      <c r="T3713" s="297">
        <v>1957</v>
      </c>
      <c r="U3713" s="340">
        <v>65654</v>
      </c>
      <c r="V3713" s="340">
        <v>212183</v>
      </c>
      <c r="W3713" s="297">
        <v>4152</v>
      </c>
      <c r="X3713" s="296">
        <v>4.0000000000000001E-3</v>
      </c>
    </row>
    <row r="3714" spans="13:24">
      <c r="M3714">
        <v>3712</v>
      </c>
      <c r="N3714">
        <v>90057</v>
      </c>
      <c r="O3714" t="s">
        <v>309</v>
      </c>
      <c r="P3714" t="s">
        <v>132</v>
      </c>
      <c r="Q3714">
        <v>1738</v>
      </c>
      <c r="R3714" s="296">
        <v>0</v>
      </c>
      <c r="S3714" s="296">
        <v>0.99829999999999997</v>
      </c>
      <c r="T3714" s="297">
        <v>16218</v>
      </c>
      <c r="U3714" s="340">
        <v>65561</v>
      </c>
      <c r="V3714" s="340">
        <v>729834</v>
      </c>
      <c r="W3714" s="297">
        <v>42665</v>
      </c>
      <c r="X3714" s="296">
        <v>-5.0000000000000001E-3</v>
      </c>
    </row>
    <row r="3715" spans="13:24">
      <c r="M3715">
        <v>3713</v>
      </c>
      <c r="N3715">
        <v>38852</v>
      </c>
      <c r="O3715" t="s">
        <v>2517</v>
      </c>
      <c r="P3715" t="s">
        <v>188</v>
      </c>
      <c r="Q3715">
        <v>508</v>
      </c>
      <c r="R3715" s="296">
        <v>0</v>
      </c>
      <c r="S3715" s="296">
        <v>0.99839999999999995</v>
      </c>
      <c r="T3715" s="297">
        <v>4100</v>
      </c>
      <c r="U3715" s="340">
        <v>65349</v>
      </c>
      <c r="V3715" s="340">
        <v>198522</v>
      </c>
      <c r="W3715" s="297">
        <v>9322</v>
      </c>
      <c r="X3715" s="296">
        <v>-5.0000000000000001E-3</v>
      </c>
    </row>
    <row r="3716" spans="13:24">
      <c r="M3716">
        <v>3714</v>
      </c>
      <c r="N3716">
        <v>50316</v>
      </c>
      <c r="O3716" t="s">
        <v>820</v>
      </c>
      <c r="P3716" t="s">
        <v>170</v>
      </c>
      <c r="Q3716">
        <v>301</v>
      </c>
      <c r="R3716" s="296">
        <v>0</v>
      </c>
      <c r="S3716" s="296">
        <v>0.99839999999999995</v>
      </c>
      <c r="T3716" s="297">
        <v>5972</v>
      </c>
      <c r="U3716" s="340">
        <v>65316</v>
      </c>
      <c r="V3716" s="340">
        <v>204019</v>
      </c>
      <c r="W3716" s="297">
        <v>16574</v>
      </c>
      <c r="X3716" s="296">
        <v>-5.0000000000000001E-3</v>
      </c>
    </row>
    <row r="3717" spans="13:24">
      <c r="M3717">
        <v>3715</v>
      </c>
      <c r="N3717">
        <v>41701</v>
      </c>
      <c r="O3717" t="s">
        <v>2518</v>
      </c>
      <c r="P3717" t="s">
        <v>143</v>
      </c>
      <c r="Q3717">
        <v>415</v>
      </c>
      <c r="R3717" s="296">
        <v>0</v>
      </c>
      <c r="S3717" s="296">
        <v>0.99839999999999995</v>
      </c>
      <c r="T3717" s="297">
        <v>6150</v>
      </c>
      <c r="U3717" s="340">
        <v>65188</v>
      </c>
      <c r="V3717" s="340">
        <v>157708</v>
      </c>
      <c r="W3717" s="297">
        <v>14982</v>
      </c>
      <c r="X3717" s="296">
        <v>-8.0000000000000002E-3</v>
      </c>
    </row>
    <row r="3718" spans="13:24">
      <c r="M3718">
        <v>3716</v>
      </c>
      <c r="N3718">
        <v>40216</v>
      </c>
      <c r="O3718" t="s">
        <v>830</v>
      </c>
      <c r="P3718" t="s">
        <v>143</v>
      </c>
      <c r="Q3718">
        <v>292</v>
      </c>
      <c r="R3718" s="296">
        <v>0</v>
      </c>
      <c r="S3718" s="296">
        <v>0.99839999999999995</v>
      </c>
      <c r="T3718" s="297">
        <v>17387</v>
      </c>
      <c r="U3718" s="340">
        <v>64886</v>
      </c>
      <c r="V3718" s="340">
        <v>247145</v>
      </c>
      <c r="W3718" s="297">
        <v>42441</v>
      </c>
      <c r="X3718" s="296">
        <v>-2E-3</v>
      </c>
    </row>
    <row r="3719" spans="13:24">
      <c r="M3719">
        <v>3717</v>
      </c>
      <c r="N3719">
        <v>44102</v>
      </c>
      <c r="O3719" t="s">
        <v>1251</v>
      </c>
      <c r="P3719" t="s">
        <v>136</v>
      </c>
      <c r="Q3719">
        <v>315</v>
      </c>
      <c r="R3719" s="296">
        <v>0</v>
      </c>
      <c r="S3719" s="296">
        <v>0.99839999999999995</v>
      </c>
      <c r="T3719" s="297">
        <v>19155</v>
      </c>
      <c r="U3719" s="340">
        <v>64560</v>
      </c>
      <c r="V3719" s="340">
        <v>222894</v>
      </c>
      <c r="W3719" s="297">
        <v>42097</v>
      </c>
      <c r="X3719" s="296">
        <v>-8.0000000000000002E-3</v>
      </c>
    </row>
    <row r="3720" spans="13:24">
      <c r="M3720">
        <v>3718</v>
      </c>
      <c r="N3720">
        <v>81004</v>
      </c>
      <c r="O3720" t="s">
        <v>809</v>
      </c>
      <c r="P3720" t="s">
        <v>142</v>
      </c>
      <c r="Q3720">
        <v>927</v>
      </c>
      <c r="R3720" s="296">
        <v>0</v>
      </c>
      <c r="S3720" s="296">
        <v>0.99839999999999995</v>
      </c>
      <c r="T3720" s="297">
        <v>11465</v>
      </c>
      <c r="U3720" s="340">
        <v>64540</v>
      </c>
      <c r="V3720" s="340">
        <v>294018</v>
      </c>
      <c r="W3720" s="297">
        <v>26293</v>
      </c>
      <c r="X3720" s="296">
        <v>-2E-3</v>
      </c>
    </row>
    <row r="3721" spans="13:24">
      <c r="M3721">
        <v>3719</v>
      </c>
      <c r="N3721">
        <v>44683</v>
      </c>
      <c r="O3721" t="s">
        <v>2519</v>
      </c>
      <c r="P3721" t="s">
        <v>136</v>
      </c>
      <c r="Q3721">
        <v>358</v>
      </c>
      <c r="R3721" s="296">
        <v>0</v>
      </c>
      <c r="S3721" s="296">
        <v>0.99839999999999995</v>
      </c>
      <c r="T3721" s="297">
        <v>3359</v>
      </c>
      <c r="U3721" s="340">
        <v>64529</v>
      </c>
      <c r="V3721" s="340">
        <v>146000</v>
      </c>
      <c r="W3721" s="297">
        <v>8236</v>
      </c>
      <c r="X3721" s="296">
        <v>-3.0000000000000001E-3</v>
      </c>
    </row>
    <row r="3722" spans="13:24">
      <c r="M3722">
        <v>3720</v>
      </c>
      <c r="N3722">
        <v>78586</v>
      </c>
      <c r="O3722" t="s">
        <v>2520</v>
      </c>
      <c r="P3722" t="s">
        <v>134</v>
      </c>
      <c r="Q3722">
        <v>1241</v>
      </c>
      <c r="R3722" s="296">
        <v>0</v>
      </c>
      <c r="S3722" s="296">
        <v>0.99839999999999995</v>
      </c>
      <c r="T3722" s="297">
        <v>15692</v>
      </c>
      <c r="U3722" s="340">
        <v>64432</v>
      </c>
      <c r="V3722" s="340">
        <v>149132</v>
      </c>
      <c r="W3722" s="297">
        <v>51737</v>
      </c>
      <c r="X3722" s="296">
        <v>0</v>
      </c>
    </row>
    <row r="3723" spans="13:24">
      <c r="M3723">
        <v>3721</v>
      </c>
      <c r="N3723">
        <v>14201</v>
      </c>
      <c r="O3723" t="s">
        <v>789</v>
      </c>
      <c r="P3723" t="s">
        <v>128</v>
      </c>
      <c r="Q3723">
        <v>456</v>
      </c>
      <c r="R3723" s="296">
        <v>0</v>
      </c>
      <c r="S3723" s="296">
        <v>0.99850000000000005</v>
      </c>
      <c r="T3723" s="297">
        <v>6645</v>
      </c>
      <c r="U3723" s="340">
        <v>64353</v>
      </c>
      <c r="V3723" s="340">
        <v>365512</v>
      </c>
      <c r="W3723" s="297">
        <v>13544</v>
      </c>
      <c r="X3723" s="296">
        <v>0.02</v>
      </c>
    </row>
    <row r="3724" spans="13:24">
      <c r="M3724">
        <v>3722</v>
      </c>
      <c r="N3724">
        <v>36460</v>
      </c>
      <c r="O3724" t="s">
        <v>751</v>
      </c>
      <c r="P3724" t="s">
        <v>154</v>
      </c>
      <c r="Q3724">
        <v>735</v>
      </c>
      <c r="R3724" s="296">
        <v>0</v>
      </c>
      <c r="S3724" s="296">
        <v>0.99850000000000005</v>
      </c>
      <c r="T3724" s="297">
        <v>4049</v>
      </c>
      <c r="U3724" s="340">
        <v>63900</v>
      </c>
      <c r="V3724" s="340">
        <v>178516</v>
      </c>
      <c r="W3724" s="297">
        <v>9555</v>
      </c>
      <c r="X3724" s="296">
        <v>-1.2999999999999999E-2</v>
      </c>
    </row>
    <row r="3725" spans="13:24">
      <c r="M3725">
        <v>3723</v>
      </c>
      <c r="N3725">
        <v>48341</v>
      </c>
      <c r="O3725" t="s">
        <v>1696</v>
      </c>
      <c r="P3725" t="s">
        <v>140</v>
      </c>
      <c r="Q3725">
        <v>231</v>
      </c>
      <c r="R3725" s="296">
        <v>0</v>
      </c>
      <c r="S3725" s="296">
        <v>0.99850000000000005</v>
      </c>
      <c r="T3725" s="297">
        <v>6845</v>
      </c>
      <c r="U3725" s="340">
        <v>63639</v>
      </c>
      <c r="V3725" s="340">
        <v>232738</v>
      </c>
      <c r="W3725" s="297">
        <v>17552</v>
      </c>
      <c r="X3725" s="296">
        <v>0.01</v>
      </c>
    </row>
    <row r="3726" spans="13:24">
      <c r="M3726">
        <v>3724</v>
      </c>
      <c r="N3726">
        <v>45410</v>
      </c>
      <c r="O3726" t="s">
        <v>767</v>
      </c>
      <c r="P3726" t="s">
        <v>136</v>
      </c>
      <c r="Q3726">
        <v>252</v>
      </c>
      <c r="R3726" s="296">
        <v>0</v>
      </c>
      <c r="S3726" s="296">
        <v>0.99850000000000005</v>
      </c>
      <c r="T3726" s="297">
        <v>7059</v>
      </c>
      <c r="U3726" s="340">
        <v>63380</v>
      </c>
      <c r="V3726" s="340">
        <v>154335</v>
      </c>
      <c r="W3726" s="297">
        <v>16278</v>
      </c>
      <c r="X3726" s="296">
        <v>2E-3</v>
      </c>
    </row>
    <row r="3727" spans="13:24">
      <c r="M3727">
        <v>3725</v>
      </c>
      <c r="N3727">
        <v>71701</v>
      </c>
      <c r="O3727" t="s">
        <v>2521</v>
      </c>
      <c r="P3727" t="s">
        <v>156</v>
      </c>
      <c r="Q3727">
        <v>652</v>
      </c>
      <c r="R3727" s="296">
        <v>0</v>
      </c>
      <c r="S3727" s="296">
        <v>0.99850000000000005</v>
      </c>
      <c r="T3727" s="297">
        <v>7468</v>
      </c>
      <c r="U3727" s="340">
        <v>63254</v>
      </c>
      <c r="V3727" s="340">
        <v>219170</v>
      </c>
      <c r="W3727" s="297">
        <v>17079</v>
      </c>
      <c r="X3727" s="296">
        <v>-0.01</v>
      </c>
    </row>
    <row r="3728" spans="13:24">
      <c r="M3728">
        <v>3726</v>
      </c>
      <c r="N3728">
        <v>47302</v>
      </c>
      <c r="O3728" t="s">
        <v>755</v>
      </c>
      <c r="P3728" t="s">
        <v>144</v>
      </c>
      <c r="Q3728">
        <v>185</v>
      </c>
      <c r="R3728" s="296">
        <v>0</v>
      </c>
      <c r="S3728" s="296">
        <v>0.99850000000000005</v>
      </c>
      <c r="T3728" s="297">
        <v>11070</v>
      </c>
      <c r="U3728" s="340">
        <v>63243</v>
      </c>
      <c r="V3728" s="340">
        <v>151144</v>
      </c>
      <c r="W3728" s="297">
        <v>25658</v>
      </c>
      <c r="X3728" s="296">
        <v>-3.0000000000000001E-3</v>
      </c>
    </row>
    <row r="3729" spans="13:24">
      <c r="M3729">
        <v>3727</v>
      </c>
      <c r="N3729">
        <v>70113</v>
      </c>
      <c r="O3729" t="s">
        <v>574</v>
      </c>
      <c r="P3729" t="s">
        <v>147</v>
      </c>
      <c r="Q3729">
        <v>853</v>
      </c>
      <c r="R3729" s="296">
        <v>0</v>
      </c>
      <c r="S3729" s="296">
        <v>0.99850000000000005</v>
      </c>
      <c r="T3729" s="297">
        <v>4562</v>
      </c>
      <c r="U3729" s="340">
        <v>63237</v>
      </c>
      <c r="V3729" s="340">
        <v>478986</v>
      </c>
      <c r="W3729" s="297">
        <v>8851</v>
      </c>
      <c r="X3729" s="296">
        <v>-8.9999999999999993E-3</v>
      </c>
    </row>
    <row r="3730" spans="13:24">
      <c r="M3730">
        <v>3728</v>
      </c>
      <c r="N3730">
        <v>61041</v>
      </c>
      <c r="O3730" t="s">
        <v>421</v>
      </c>
      <c r="P3730" t="s">
        <v>131</v>
      </c>
      <c r="Q3730">
        <v>128</v>
      </c>
      <c r="R3730" s="296">
        <v>0</v>
      </c>
      <c r="S3730" s="296">
        <v>0.99850000000000005</v>
      </c>
      <c r="T3730">
        <v>630</v>
      </c>
      <c r="U3730" s="340">
        <v>63190</v>
      </c>
      <c r="V3730" s="340">
        <v>314638</v>
      </c>
      <c r="W3730" s="297">
        <v>1288</v>
      </c>
      <c r="X3730" s="296">
        <v>0</v>
      </c>
    </row>
    <row r="3731" spans="13:24">
      <c r="M3731">
        <v>3729</v>
      </c>
      <c r="N3731">
        <v>63601</v>
      </c>
      <c r="O3731" t="s">
        <v>2522</v>
      </c>
      <c r="P3731" t="s">
        <v>186</v>
      </c>
      <c r="Q3731">
        <v>333</v>
      </c>
      <c r="R3731" s="296">
        <v>0</v>
      </c>
      <c r="S3731" s="296">
        <v>0.99860000000000004</v>
      </c>
      <c r="T3731" s="297">
        <v>6663</v>
      </c>
      <c r="U3731" s="340">
        <v>63083</v>
      </c>
      <c r="V3731" s="340">
        <v>183498</v>
      </c>
      <c r="W3731" s="297">
        <v>16367</v>
      </c>
      <c r="X3731" s="296">
        <v>3.0000000000000001E-3</v>
      </c>
    </row>
    <row r="3732" spans="13:24">
      <c r="M3732">
        <v>3730</v>
      </c>
      <c r="N3732">
        <v>40176</v>
      </c>
      <c r="O3732" t="s">
        <v>439</v>
      </c>
      <c r="P3732" t="s">
        <v>143</v>
      </c>
      <c r="Q3732">
        <v>302</v>
      </c>
      <c r="R3732" s="296">
        <v>0</v>
      </c>
      <c r="S3732" s="296">
        <v>0.99860000000000004</v>
      </c>
      <c r="T3732">
        <v>512</v>
      </c>
      <c r="U3732" s="340">
        <v>63074</v>
      </c>
      <c r="V3732" s="340">
        <v>215275</v>
      </c>
      <c r="W3732" s="297">
        <v>1300</v>
      </c>
      <c r="X3732" s="296">
        <v>7.0000000000000001E-3</v>
      </c>
    </row>
    <row r="3733" spans="13:24">
      <c r="M3733">
        <v>3731</v>
      </c>
      <c r="N3733">
        <v>29856</v>
      </c>
      <c r="O3733" t="s">
        <v>460</v>
      </c>
      <c r="P3733" t="s">
        <v>145</v>
      </c>
      <c r="Q3733">
        <v>690</v>
      </c>
      <c r="R3733" s="296">
        <v>0</v>
      </c>
      <c r="S3733" s="296">
        <v>0.99860000000000004</v>
      </c>
      <c r="T3733" s="297">
        <v>1290</v>
      </c>
      <c r="U3733" s="340">
        <v>63033</v>
      </c>
      <c r="V3733" s="340">
        <v>230762</v>
      </c>
      <c r="W3733" s="297">
        <v>3116</v>
      </c>
      <c r="X3733" s="296">
        <v>2.5000000000000001E-2</v>
      </c>
    </row>
    <row r="3734" spans="13:24">
      <c r="M3734">
        <v>3732</v>
      </c>
      <c r="N3734">
        <v>39301</v>
      </c>
      <c r="O3734" t="s">
        <v>2523</v>
      </c>
      <c r="P3734" t="s">
        <v>188</v>
      </c>
      <c r="Q3734">
        <v>678</v>
      </c>
      <c r="R3734" s="296">
        <v>0</v>
      </c>
      <c r="S3734" s="296">
        <v>0.99860000000000004</v>
      </c>
      <c r="T3734" s="297">
        <v>9379</v>
      </c>
      <c r="U3734" s="340">
        <v>63026</v>
      </c>
      <c r="V3734" s="340">
        <v>164006</v>
      </c>
      <c r="W3734" s="297">
        <v>22489</v>
      </c>
      <c r="X3734" s="296">
        <v>-8.0000000000000002E-3</v>
      </c>
    </row>
    <row r="3735" spans="13:24">
      <c r="M3735">
        <v>3733</v>
      </c>
      <c r="N3735">
        <v>33313</v>
      </c>
      <c r="O3735" t="s">
        <v>506</v>
      </c>
      <c r="P3735" t="s">
        <v>127</v>
      </c>
      <c r="Q3735">
        <v>1186</v>
      </c>
      <c r="R3735" s="296">
        <v>0</v>
      </c>
      <c r="S3735" s="296">
        <v>0.99860000000000004</v>
      </c>
      <c r="T3735" s="297">
        <v>22239</v>
      </c>
      <c r="U3735" s="340">
        <v>62920</v>
      </c>
      <c r="V3735" s="340">
        <v>305086</v>
      </c>
      <c r="W3735" s="297">
        <v>60319</v>
      </c>
      <c r="X3735" s="296">
        <v>-4.0000000000000001E-3</v>
      </c>
    </row>
    <row r="3736" spans="13:24">
      <c r="M3736">
        <v>3734</v>
      </c>
      <c r="N3736">
        <v>79927</v>
      </c>
      <c r="O3736" t="s">
        <v>339</v>
      </c>
      <c r="P3736" t="s">
        <v>134</v>
      </c>
      <c r="Q3736">
        <v>1248</v>
      </c>
      <c r="R3736" s="296">
        <v>0</v>
      </c>
      <c r="S3736" s="296">
        <v>0.99860000000000004</v>
      </c>
      <c r="T3736" s="297">
        <v>13918</v>
      </c>
      <c r="U3736" s="340">
        <v>62707</v>
      </c>
      <c r="V3736" s="340">
        <v>201874</v>
      </c>
      <c r="W3736" s="297">
        <v>44413</v>
      </c>
      <c r="X3736" s="296">
        <v>2.1000000000000001E-2</v>
      </c>
    </row>
    <row r="3737" spans="13:24">
      <c r="M3737">
        <v>3735</v>
      </c>
      <c r="N3737">
        <v>31722</v>
      </c>
      <c r="O3737" t="s">
        <v>619</v>
      </c>
      <c r="P3737" t="s">
        <v>130</v>
      </c>
      <c r="Q3737">
        <v>799</v>
      </c>
      <c r="R3737" s="296">
        <v>0</v>
      </c>
      <c r="S3737" s="296">
        <v>0.99860000000000004</v>
      </c>
      <c r="T3737">
        <v>115</v>
      </c>
      <c r="U3737" s="340">
        <v>62432</v>
      </c>
      <c r="V3737" s="340">
        <v>130814</v>
      </c>
      <c r="W3737">
        <v>277</v>
      </c>
      <c r="X3737" s="296">
        <v>-1E-3</v>
      </c>
    </row>
    <row r="3738" spans="13:24">
      <c r="M3738">
        <v>3736</v>
      </c>
      <c r="N3738">
        <v>78227</v>
      </c>
      <c r="O3738" t="s">
        <v>326</v>
      </c>
      <c r="P3738" t="s">
        <v>134</v>
      </c>
      <c r="Q3738">
        <v>1067</v>
      </c>
      <c r="R3738" s="296">
        <v>0</v>
      </c>
      <c r="S3738" s="296">
        <v>0.99860000000000004</v>
      </c>
      <c r="T3738" s="297">
        <v>14378</v>
      </c>
      <c r="U3738" s="340">
        <v>62289</v>
      </c>
      <c r="V3738" s="340">
        <v>210693</v>
      </c>
      <c r="W3738" s="297">
        <v>43553</v>
      </c>
      <c r="X3738" s="296">
        <v>-0.01</v>
      </c>
    </row>
    <row r="3739" spans="13:24">
      <c r="M3739">
        <v>3737</v>
      </c>
      <c r="N3739">
        <v>32609</v>
      </c>
      <c r="O3739" t="s">
        <v>606</v>
      </c>
      <c r="P3739" t="s">
        <v>127</v>
      </c>
      <c r="Q3739">
        <v>912</v>
      </c>
      <c r="R3739" s="296">
        <v>0</v>
      </c>
      <c r="S3739" s="296">
        <v>0.99870000000000003</v>
      </c>
      <c r="T3739" s="297">
        <v>7489</v>
      </c>
      <c r="U3739" s="340">
        <v>62238</v>
      </c>
      <c r="V3739" s="340">
        <v>266964</v>
      </c>
      <c r="W3739" s="297">
        <v>18472</v>
      </c>
      <c r="X3739" s="296">
        <v>-2E-3</v>
      </c>
    </row>
    <row r="3740" spans="13:24">
      <c r="M3740">
        <v>3738</v>
      </c>
      <c r="N3740">
        <v>63834</v>
      </c>
      <c r="O3740" t="s">
        <v>431</v>
      </c>
      <c r="P3740" t="s">
        <v>186</v>
      </c>
      <c r="Q3740">
        <v>370</v>
      </c>
      <c r="R3740" s="296">
        <v>0</v>
      </c>
      <c r="S3740" s="296">
        <v>0.99870000000000003</v>
      </c>
      <c r="T3740" s="297">
        <v>1950</v>
      </c>
      <c r="U3740" s="340">
        <v>62204</v>
      </c>
      <c r="V3740" s="340">
        <v>123302</v>
      </c>
      <c r="W3740" s="297">
        <v>5285</v>
      </c>
      <c r="X3740" s="296">
        <v>-3.4000000000000002E-2</v>
      </c>
    </row>
    <row r="3741" spans="13:24">
      <c r="M3741">
        <v>3739</v>
      </c>
      <c r="N3741">
        <v>59231</v>
      </c>
      <c r="O3741" t="s">
        <v>2524</v>
      </c>
      <c r="P3741" t="s">
        <v>190</v>
      </c>
      <c r="Q3741">
        <v>1006</v>
      </c>
      <c r="R3741" s="296">
        <v>0</v>
      </c>
      <c r="S3741" s="296">
        <v>0.99870000000000003</v>
      </c>
      <c r="T3741">
        <v>2</v>
      </c>
      <c r="U3741" s="340">
        <v>61807</v>
      </c>
      <c r="V3741" s="340">
        <v>262500</v>
      </c>
      <c r="W3741">
        <v>6</v>
      </c>
      <c r="X3741" s="296">
        <v>0.1</v>
      </c>
    </row>
    <row r="3742" spans="13:24">
      <c r="M3742">
        <v>3740</v>
      </c>
      <c r="N3742">
        <v>43203</v>
      </c>
      <c r="O3742" t="s">
        <v>468</v>
      </c>
      <c r="P3742" t="s">
        <v>136</v>
      </c>
      <c r="Q3742">
        <v>293</v>
      </c>
      <c r="R3742" s="296">
        <v>0</v>
      </c>
      <c r="S3742" s="296">
        <v>0.99870000000000003</v>
      </c>
      <c r="T3742" s="297">
        <v>4438</v>
      </c>
      <c r="U3742" s="340">
        <v>61678</v>
      </c>
      <c r="V3742" s="340">
        <v>334370</v>
      </c>
      <c r="W3742" s="297">
        <v>9405</v>
      </c>
      <c r="X3742" s="296">
        <v>1.0999999999999999E-2</v>
      </c>
    </row>
    <row r="3743" spans="13:24">
      <c r="M3743">
        <v>3741</v>
      </c>
      <c r="N3743">
        <v>8401</v>
      </c>
      <c r="O3743" t="s">
        <v>2525</v>
      </c>
      <c r="P3743" t="s">
        <v>129</v>
      </c>
      <c r="Q3743">
        <v>724</v>
      </c>
      <c r="R3743" s="296">
        <v>0</v>
      </c>
      <c r="S3743" s="296">
        <v>0.99870000000000003</v>
      </c>
      <c r="T3743" s="297">
        <v>16191</v>
      </c>
      <c r="U3743" s="340">
        <v>61527</v>
      </c>
      <c r="V3743" s="340">
        <v>303518</v>
      </c>
      <c r="W3743" s="297">
        <v>38351</v>
      </c>
      <c r="X3743" s="296">
        <v>-1E-3</v>
      </c>
    </row>
    <row r="3744" spans="13:24">
      <c r="M3744">
        <v>3742</v>
      </c>
      <c r="N3744">
        <v>44907</v>
      </c>
      <c r="O3744" t="s">
        <v>456</v>
      </c>
      <c r="P3744" t="s">
        <v>136</v>
      </c>
      <c r="Q3744">
        <v>290</v>
      </c>
      <c r="R3744" s="296">
        <v>0</v>
      </c>
      <c r="S3744" s="296">
        <v>0.99870000000000003</v>
      </c>
      <c r="T3744" s="297">
        <v>6692</v>
      </c>
      <c r="U3744" s="340">
        <v>61490</v>
      </c>
      <c r="V3744" s="340">
        <v>169496</v>
      </c>
      <c r="W3744" s="297">
        <v>14112</v>
      </c>
      <c r="X3744" s="296">
        <v>2E-3</v>
      </c>
    </row>
    <row r="3745" spans="13:24">
      <c r="M3745">
        <v>3743</v>
      </c>
      <c r="N3745">
        <v>44115</v>
      </c>
      <c r="O3745" t="s">
        <v>1251</v>
      </c>
      <c r="P3745" t="s">
        <v>136</v>
      </c>
      <c r="Q3745">
        <v>318</v>
      </c>
      <c r="R3745" s="296">
        <v>0</v>
      </c>
      <c r="S3745" s="296">
        <v>0.99870000000000003</v>
      </c>
      <c r="T3745" s="297">
        <v>5349</v>
      </c>
      <c r="U3745" s="340">
        <v>61437</v>
      </c>
      <c r="V3745" s="340">
        <v>190768</v>
      </c>
      <c r="W3745" s="297">
        <v>10997</v>
      </c>
      <c r="X3745" s="296">
        <v>2.5000000000000001E-2</v>
      </c>
    </row>
    <row r="3746" spans="13:24">
      <c r="M3746">
        <v>3744</v>
      </c>
      <c r="N3746">
        <v>67501</v>
      </c>
      <c r="O3746" t="s">
        <v>2526</v>
      </c>
      <c r="P3746" t="s">
        <v>176</v>
      </c>
      <c r="Q3746">
        <v>608</v>
      </c>
      <c r="R3746" s="296">
        <v>0</v>
      </c>
      <c r="S3746" s="296">
        <v>0.99870000000000003</v>
      </c>
      <c r="T3746" s="297">
        <v>9731</v>
      </c>
      <c r="U3746" s="340">
        <v>61354</v>
      </c>
      <c r="V3746" s="340">
        <v>136822</v>
      </c>
      <c r="W3746" s="297">
        <v>24169</v>
      </c>
      <c r="X3746" s="296">
        <v>-4.0000000000000001E-3</v>
      </c>
    </row>
    <row r="3747" spans="13:24">
      <c r="M3747">
        <v>3745</v>
      </c>
      <c r="N3747">
        <v>25075</v>
      </c>
      <c r="O3747" t="s">
        <v>2527</v>
      </c>
      <c r="P3747" t="s">
        <v>227</v>
      </c>
      <c r="Q3747">
        <v>438</v>
      </c>
      <c r="R3747" s="296">
        <v>0</v>
      </c>
      <c r="S3747" s="296">
        <v>0.99880000000000002</v>
      </c>
      <c r="T3747">
        <v>461</v>
      </c>
      <c r="U3747" s="340">
        <v>61331</v>
      </c>
      <c r="V3747" s="340">
        <v>146486</v>
      </c>
      <c r="W3747" s="297">
        <v>1171</v>
      </c>
      <c r="X3747" s="296">
        <v>-1.6E-2</v>
      </c>
    </row>
    <row r="3748" spans="13:24">
      <c r="M3748">
        <v>3746</v>
      </c>
      <c r="N3748">
        <v>36904</v>
      </c>
      <c r="O3748" t="s">
        <v>1235</v>
      </c>
      <c r="P3748" t="s">
        <v>154</v>
      </c>
      <c r="Q3748">
        <v>694</v>
      </c>
      <c r="R3748" s="296">
        <v>0</v>
      </c>
      <c r="S3748" s="296">
        <v>0.99880000000000002</v>
      </c>
      <c r="T3748" s="297">
        <v>1696</v>
      </c>
      <c r="U3748" s="340">
        <v>61325</v>
      </c>
      <c r="V3748" s="340">
        <v>202629</v>
      </c>
      <c r="W3748" s="297">
        <v>3624</v>
      </c>
      <c r="X3748" s="296">
        <v>-1.2999999999999999E-2</v>
      </c>
    </row>
    <row r="3749" spans="13:24">
      <c r="M3749">
        <v>3747</v>
      </c>
      <c r="N3749">
        <v>33010</v>
      </c>
      <c r="O3749" t="s">
        <v>512</v>
      </c>
      <c r="P3749" t="s">
        <v>127</v>
      </c>
      <c r="Q3749">
        <v>1205</v>
      </c>
      <c r="R3749" s="296">
        <v>0</v>
      </c>
      <c r="S3749" s="296">
        <v>0.99880000000000002</v>
      </c>
      <c r="T3749" s="297">
        <v>16527</v>
      </c>
      <c r="U3749" s="340">
        <v>61219</v>
      </c>
      <c r="V3749" s="340">
        <v>445370</v>
      </c>
      <c r="W3749" s="297">
        <v>45872</v>
      </c>
      <c r="X3749" s="296">
        <v>1E-3</v>
      </c>
    </row>
    <row r="3750" spans="13:24">
      <c r="M3750">
        <v>3748</v>
      </c>
      <c r="N3750">
        <v>21216</v>
      </c>
      <c r="O3750" t="s">
        <v>643</v>
      </c>
      <c r="P3750" t="s">
        <v>137</v>
      </c>
      <c r="Q3750">
        <v>614</v>
      </c>
      <c r="R3750" s="296">
        <v>0</v>
      </c>
      <c r="S3750" s="296">
        <v>0.99880000000000002</v>
      </c>
      <c r="T3750" s="297">
        <v>10794</v>
      </c>
      <c r="U3750" s="340">
        <v>61172</v>
      </c>
      <c r="V3750" s="340">
        <v>264081</v>
      </c>
      <c r="W3750" s="297">
        <v>27351</v>
      </c>
      <c r="X3750" s="296">
        <v>-8.0000000000000002E-3</v>
      </c>
    </row>
    <row r="3751" spans="13:24">
      <c r="M3751">
        <v>3749</v>
      </c>
      <c r="N3751">
        <v>35570</v>
      </c>
      <c r="O3751" t="s">
        <v>739</v>
      </c>
      <c r="P3751" t="s">
        <v>154</v>
      </c>
      <c r="Q3751">
        <v>552</v>
      </c>
      <c r="R3751" s="296">
        <v>0</v>
      </c>
      <c r="S3751" s="296">
        <v>0.99880000000000002</v>
      </c>
      <c r="T3751" s="297">
        <v>4282</v>
      </c>
      <c r="U3751" s="340">
        <v>61147</v>
      </c>
      <c r="V3751" s="340">
        <v>167302</v>
      </c>
      <c r="W3751" s="297">
        <v>10686</v>
      </c>
      <c r="X3751" s="296">
        <v>-1E-3</v>
      </c>
    </row>
    <row r="3752" spans="13:24">
      <c r="M3752">
        <v>3750</v>
      </c>
      <c r="N3752">
        <v>48507</v>
      </c>
      <c r="O3752" t="s">
        <v>808</v>
      </c>
      <c r="P3752" t="s">
        <v>140</v>
      </c>
      <c r="Q3752">
        <v>214</v>
      </c>
      <c r="R3752" s="296">
        <v>0</v>
      </c>
      <c r="S3752" s="296">
        <v>0.99880000000000002</v>
      </c>
      <c r="T3752" s="297">
        <v>12636</v>
      </c>
      <c r="U3752" s="340">
        <v>61102</v>
      </c>
      <c r="V3752" s="340">
        <v>149663</v>
      </c>
      <c r="W3752" s="297">
        <v>29669</v>
      </c>
      <c r="X3752" s="296">
        <v>-2E-3</v>
      </c>
    </row>
    <row r="3753" spans="13:24">
      <c r="M3753">
        <v>3751</v>
      </c>
      <c r="N3753">
        <v>77013</v>
      </c>
      <c r="O3753" t="s">
        <v>314</v>
      </c>
      <c r="P3753" t="s">
        <v>134</v>
      </c>
      <c r="Q3753">
        <v>949</v>
      </c>
      <c r="R3753" s="296">
        <v>0</v>
      </c>
      <c r="S3753" s="296">
        <v>0.99880000000000002</v>
      </c>
      <c r="T3753" s="297">
        <v>5370</v>
      </c>
      <c r="U3753" s="340">
        <v>61059</v>
      </c>
      <c r="V3753" s="340">
        <v>260077</v>
      </c>
      <c r="W3753" s="297">
        <v>16505</v>
      </c>
      <c r="X3753" s="296">
        <v>-6.0000000000000001E-3</v>
      </c>
    </row>
    <row r="3754" spans="13:24">
      <c r="M3754">
        <v>3752</v>
      </c>
      <c r="N3754">
        <v>86337</v>
      </c>
      <c r="O3754" t="s">
        <v>2528</v>
      </c>
      <c r="P3754" t="s">
        <v>158</v>
      </c>
      <c r="Q3754">
        <v>1443</v>
      </c>
      <c r="R3754" s="296">
        <v>0</v>
      </c>
      <c r="S3754" s="296">
        <v>0.99880000000000002</v>
      </c>
      <c r="T3754">
        <v>638</v>
      </c>
      <c r="U3754" s="340">
        <v>60845</v>
      </c>
      <c r="V3754" s="340">
        <v>307839</v>
      </c>
      <c r="W3754" s="297">
        <v>1315</v>
      </c>
      <c r="X3754" s="296">
        <v>1.0999999999999999E-2</v>
      </c>
    </row>
    <row r="3755" spans="13:24">
      <c r="M3755">
        <v>3753</v>
      </c>
      <c r="N3755">
        <v>13208</v>
      </c>
      <c r="O3755" t="s">
        <v>2089</v>
      </c>
      <c r="P3755" t="s">
        <v>128</v>
      </c>
      <c r="Q3755">
        <v>595</v>
      </c>
      <c r="R3755" s="296">
        <v>0</v>
      </c>
      <c r="S3755" s="296">
        <v>0.99890000000000001</v>
      </c>
      <c r="T3755" s="297">
        <v>8822</v>
      </c>
      <c r="U3755" s="340">
        <v>60642</v>
      </c>
      <c r="V3755" s="340">
        <v>195623</v>
      </c>
      <c r="W3755" s="297">
        <v>22433</v>
      </c>
      <c r="X3755" s="296">
        <v>-6.0000000000000001E-3</v>
      </c>
    </row>
    <row r="3756" spans="13:24">
      <c r="M3756">
        <v>3754</v>
      </c>
      <c r="N3756">
        <v>33801</v>
      </c>
      <c r="O3756" t="s">
        <v>587</v>
      </c>
      <c r="P3756" t="s">
        <v>127</v>
      </c>
      <c r="Q3756">
        <v>1029</v>
      </c>
      <c r="R3756" s="296">
        <v>0</v>
      </c>
      <c r="S3756" s="296">
        <v>0.99890000000000001</v>
      </c>
      <c r="T3756" s="297">
        <v>14287</v>
      </c>
      <c r="U3756" s="340">
        <v>60492</v>
      </c>
      <c r="V3756" s="340">
        <v>219679</v>
      </c>
      <c r="W3756" s="297">
        <v>38769</v>
      </c>
      <c r="X3756" s="296">
        <v>1.4E-2</v>
      </c>
    </row>
    <row r="3757" spans="13:24">
      <c r="M3757">
        <v>3755</v>
      </c>
      <c r="N3757">
        <v>49953</v>
      </c>
      <c r="O3757" t="s">
        <v>2529</v>
      </c>
      <c r="P3757" t="s">
        <v>140</v>
      </c>
      <c r="Q3757">
        <v>330</v>
      </c>
      <c r="R3757" s="296">
        <v>0</v>
      </c>
      <c r="S3757" s="296">
        <v>0.99890000000000001</v>
      </c>
      <c r="T3757" s="297">
        <v>1313</v>
      </c>
      <c r="U3757" s="340">
        <v>60326</v>
      </c>
      <c r="V3757" s="340">
        <v>145681</v>
      </c>
      <c r="W3757" s="297">
        <v>2528</v>
      </c>
      <c r="X3757" s="296">
        <v>-8.0000000000000002E-3</v>
      </c>
    </row>
    <row r="3758" spans="13:24">
      <c r="M3758">
        <v>3756</v>
      </c>
      <c r="N3758">
        <v>44320</v>
      </c>
      <c r="O3758" t="s">
        <v>844</v>
      </c>
      <c r="P3758" t="s">
        <v>136</v>
      </c>
      <c r="Q3758">
        <v>330</v>
      </c>
      <c r="R3758" s="296">
        <v>0</v>
      </c>
      <c r="S3758" s="296">
        <v>0.99890000000000001</v>
      </c>
      <c r="T3758" s="297">
        <v>8531</v>
      </c>
      <c r="U3758" s="340">
        <v>60082</v>
      </c>
      <c r="V3758" s="340">
        <v>155243</v>
      </c>
      <c r="W3758" s="297">
        <v>18665</v>
      </c>
      <c r="X3758" s="296">
        <v>-3.0000000000000001E-3</v>
      </c>
    </row>
    <row r="3759" spans="13:24">
      <c r="M3759">
        <v>3757</v>
      </c>
      <c r="N3759">
        <v>65793</v>
      </c>
      <c r="O3759" t="s">
        <v>1077</v>
      </c>
      <c r="P3759" t="s">
        <v>186</v>
      </c>
      <c r="Q3759">
        <v>419</v>
      </c>
      <c r="R3759" s="296">
        <v>0</v>
      </c>
      <c r="S3759" s="296">
        <v>0.99890000000000001</v>
      </c>
      <c r="T3759" s="297">
        <v>2401</v>
      </c>
      <c r="U3759" s="340">
        <v>60035</v>
      </c>
      <c r="V3759" s="340">
        <v>242975</v>
      </c>
      <c r="W3759" s="297">
        <v>6024</v>
      </c>
      <c r="X3759" s="296">
        <v>-6.0000000000000001E-3</v>
      </c>
    </row>
    <row r="3760" spans="13:24">
      <c r="M3760">
        <v>3758</v>
      </c>
      <c r="N3760">
        <v>77081</v>
      </c>
      <c r="O3760" t="s">
        <v>314</v>
      </c>
      <c r="P3760" t="s">
        <v>134</v>
      </c>
      <c r="Q3760">
        <v>960</v>
      </c>
      <c r="R3760" s="296">
        <v>0</v>
      </c>
      <c r="S3760" s="296">
        <v>0.99890000000000001</v>
      </c>
      <c r="T3760" s="297">
        <v>18218</v>
      </c>
      <c r="U3760" s="340">
        <v>59985</v>
      </c>
      <c r="V3760" s="340">
        <v>499818</v>
      </c>
      <c r="W3760" s="297">
        <v>46668</v>
      </c>
      <c r="X3760" s="296">
        <v>-3.0000000000000001E-3</v>
      </c>
    </row>
    <row r="3761" spans="13:24">
      <c r="M3761">
        <v>3759</v>
      </c>
      <c r="N3761">
        <v>27536</v>
      </c>
      <c r="O3761" t="s">
        <v>1090</v>
      </c>
      <c r="P3761" t="s">
        <v>138</v>
      </c>
      <c r="Q3761">
        <v>643</v>
      </c>
      <c r="R3761" s="296">
        <v>0</v>
      </c>
      <c r="S3761" s="296">
        <v>0.99890000000000001</v>
      </c>
      <c r="T3761" s="297">
        <v>6523</v>
      </c>
      <c r="U3761" s="340">
        <v>59902</v>
      </c>
      <c r="V3761" s="340">
        <v>175595</v>
      </c>
      <c r="W3761" s="297">
        <v>15626</v>
      </c>
      <c r="X3761" s="296">
        <v>-6.0000000000000001E-3</v>
      </c>
    </row>
    <row r="3762" spans="13:24">
      <c r="M3762">
        <v>3760</v>
      </c>
      <c r="N3762">
        <v>90007</v>
      </c>
      <c r="O3762" t="s">
        <v>309</v>
      </c>
      <c r="P3762" t="s">
        <v>132</v>
      </c>
      <c r="Q3762">
        <v>1740</v>
      </c>
      <c r="R3762" s="296">
        <v>0</v>
      </c>
      <c r="S3762" s="296">
        <v>0.99890000000000001</v>
      </c>
      <c r="T3762" s="297">
        <v>13706</v>
      </c>
      <c r="U3762" s="340">
        <v>59878</v>
      </c>
      <c r="V3762" s="340">
        <v>883146</v>
      </c>
      <c r="W3762" s="297">
        <v>42601</v>
      </c>
      <c r="X3762" s="296">
        <v>-7.0000000000000001E-3</v>
      </c>
    </row>
    <row r="3763" spans="13:24">
      <c r="M3763">
        <v>3761</v>
      </c>
      <c r="N3763">
        <v>19104</v>
      </c>
      <c r="O3763" t="s">
        <v>469</v>
      </c>
      <c r="P3763" t="s">
        <v>133</v>
      </c>
      <c r="Q3763">
        <v>672</v>
      </c>
      <c r="R3763" s="296">
        <v>0</v>
      </c>
      <c r="S3763" s="296">
        <v>0.999</v>
      </c>
      <c r="T3763" s="297">
        <v>22733</v>
      </c>
      <c r="U3763" s="340">
        <v>59876</v>
      </c>
      <c r="V3763" s="340">
        <v>351627</v>
      </c>
      <c r="W3763" s="297">
        <v>60557</v>
      </c>
      <c r="X3763" s="296">
        <v>2.1999999999999999E-2</v>
      </c>
    </row>
    <row r="3764" spans="13:24">
      <c r="M3764">
        <v>3762</v>
      </c>
      <c r="N3764">
        <v>14215</v>
      </c>
      <c r="O3764" t="s">
        <v>789</v>
      </c>
      <c r="P3764" t="s">
        <v>128</v>
      </c>
      <c r="Q3764">
        <v>460</v>
      </c>
      <c r="R3764" s="296">
        <v>0</v>
      </c>
      <c r="S3764" s="296">
        <v>0.999</v>
      </c>
      <c r="T3764" s="297">
        <v>16525</v>
      </c>
      <c r="U3764" s="340">
        <v>59868</v>
      </c>
      <c r="V3764" s="340">
        <v>266367</v>
      </c>
      <c r="W3764" s="297">
        <v>41608</v>
      </c>
      <c r="X3764" s="296">
        <v>-1E-3</v>
      </c>
    </row>
    <row r="3765" spans="13:24">
      <c r="M3765">
        <v>3763</v>
      </c>
      <c r="N3765">
        <v>45766</v>
      </c>
      <c r="O3765" t="s">
        <v>2530</v>
      </c>
      <c r="P3765" t="s">
        <v>136</v>
      </c>
      <c r="Q3765">
        <v>349</v>
      </c>
      <c r="R3765" s="296">
        <v>0</v>
      </c>
      <c r="S3765" s="296">
        <v>0.999</v>
      </c>
      <c r="T3765">
        <v>582</v>
      </c>
      <c r="U3765" s="340">
        <v>59766</v>
      </c>
      <c r="V3765" s="340">
        <v>176404</v>
      </c>
      <c r="W3765" s="297">
        <v>1442</v>
      </c>
      <c r="X3765" s="296">
        <v>-5.0000000000000001E-3</v>
      </c>
    </row>
    <row r="3766" spans="13:24">
      <c r="M3766">
        <v>3764</v>
      </c>
      <c r="N3766">
        <v>28501</v>
      </c>
      <c r="O3766" t="s">
        <v>2531</v>
      </c>
      <c r="P3766" t="s">
        <v>138</v>
      </c>
      <c r="Q3766">
        <v>728</v>
      </c>
      <c r="R3766" s="296">
        <v>0</v>
      </c>
      <c r="S3766" s="296">
        <v>0.999</v>
      </c>
      <c r="T3766" s="297">
        <v>7689</v>
      </c>
      <c r="U3766" s="340">
        <v>59644</v>
      </c>
      <c r="V3766" s="340">
        <v>136073</v>
      </c>
      <c r="W3766" s="297">
        <v>17494</v>
      </c>
      <c r="X3766" s="296">
        <v>-5.0000000000000001E-3</v>
      </c>
    </row>
    <row r="3767" spans="13:24">
      <c r="M3767">
        <v>3765</v>
      </c>
      <c r="N3767">
        <v>10474</v>
      </c>
      <c r="O3767" t="s">
        <v>518</v>
      </c>
      <c r="P3767" t="s">
        <v>128</v>
      </c>
      <c r="Q3767">
        <v>725</v>
      </c>
      <c r="R3767" s="296">
        <v>0</v>
      </c>
      <c r="S3767" s="296">
        <v>0.999</v>
      </c>
      <c r="T3767" s="297">
        <v>3954</v>
      </c>
      <c r="U3767" s="340">
        <v>59610</v>
      </c>
      <c r="V3767" s="340">
        <v>509591</v>
      </c>
      <c r="W3767" s="297">
        <v>15491</v>
      </c>
      <c r="X3767" s="296">
        <v>-4.0000000000000001E-3</v>
      </c>
    </row>
    <row r="3768" spans="13:24">
      <c r="M3768">
        <v>3766</v>
      </c>
      <c r="N3768">
        <v>57570</v>
      </c>
      <c r="O3768" t="s">
        <v>2532</v>
      </c>
      <c r="P3768" t="s">
        <v>215</v>
      </c>
      <c r="Q3768">
        <v>667</v>
      </c>
      <c r="R3768" s="296">
        <v>0</v>
      </c>
      <c r="S3768" s="296">
        <v>0.999</v>
      </c>
      <c r="T3768">
        <v>25</v>
      </c>
      <c r="U3768" s="340">
        <v>59211</v>
      </c>
      <c r="V3768" s="340">
        <v>58333</v>
      </c>
      <c r="W3768">
        <v>161</v>
      </c>
      <c r="X3768" s="296">
        <v>-1.0999999999999999E-2</v>
      </c>
    </row>
    <row r="3769" spans="13:24">
      <c r="M3769">
        <v>3767</v>
      </c>
      <c r="N3769">
        <v>44109</v>
      </c>
      <c r="O3769" t="s">
        <v>1251</v>
      </c>
      <c r="P3769" t="s">
        <v>136</v>
      </c>
      <c r="Q3769">
        <v>317</v>
      </c>
      <c r="R3769" s="296">
        <v>0</v>
      </c>
      <c r="S3769" s="296">
        <v>0.999</v>
      </c>
      <c r="T3769" s="297">
        <v>16652</v>
      </c>
      <c r="U3769" s="340">
        <v>59004</v>
      </c>
      <c r="V3769" s="340">
        <v>179350</v>
      </c>
      <c r="W3769" s="297">
        <v>38565</v>
      </c>
      <c r="X3769" s="296">
        <v>-4.0000000000000001E-3</v>
      </c>
    </row>
    <row r="3770" spans="13:24">
      <c r="M3770">
        <v>3768</v>
      </c>
      <c r="N3770">
        <v>48340</v>
      </c>
      <c r="O3770" t="s">
        <v>1696</v>
      </c>
      <c r="P3770" t="s">
        <v>140</v>
      </c>
      <c r="Q3770">
        <v>232</v>
      </c>
      <c r="R3770" s="296">
        <v>0</v>
      </c>
      <c r="S3770" s="296">
        <v>0.999</v>
      </c>
      <c r="T3770" s="297">
        <v>10415</v>
      </c>
      <c r="U3770" s="340">
        <v>58900</v>
      </c>
      <c r="V3770" s="340">
        <v>153638</v>
      </c>
      <c r="W3770" s="297">
        <v>25318</v>
      </c>
      <c r="X3770" s="296">
        <v>-4.0000000000000001E-3</v>
      </c>
    </row>
    <row r="3771" spans="13:24">
      <c r="M3771">
        <v>3769</v>
      </c>
      <c r="N3771">
        <v>23504</v>
      </c>
      <c r="O3771" t="s">
        <v>453</v>
      </c>
      <c r="P3771" t="s">
        <v>139</v>
      </c>
      <c r="Q3771">
        <v>714</v>
      </c>
      <c r="R3771" s="296">
        <v>0</v>
      </c>
      <c r="S3771" s="296">
        <v>0.99909999999999999</v>
      </c>
      <c r="T3771" s="297">
        <v>8080</v>
      </c>
      <c r="U3771" s="340">
        <v>58893</v>
      </c>
      <c r="V3771" s="340">
        <v>348733</v>
      </c>
      <c r="W3771" s="297">
        <v>21785</v>
      </c>
      <c r="X3771" s="296">
        <v>-5.0000000000000001E-3</v>
      </c>
    </row>
    <row r="3772" spans="13:24">
      <c r="M3772">
        <v>3770</v>
      </c>
      <c r="N3772">
        <v>38118</v>
      </c>
      <c r="O3772" t="s">
        <v>678</v>
      </c>
      <c r="P3772" t="s">
        <v>146</v>
      </c>
      <c r="Q3772">
        <v>504</v>
      </c>
      <c r="R3772" s="296">
        <v>0</v>
      </c>
      <c r="S3772" s="296">
        <v>0.99909999999999999</v>
      </c>
      <c r="T3772" s="297">
        <v>13423</v>
      </c>
      <c r="U3772" s="340">
        <v>58741</v>
      </c>
      <c r="V3772" s="340">
        <v>187715</v>
      </c>
      <c r="W3772" s="297">
        <v>38352</v>
      </c>
      <c r="X3772" s="296">
        <v>-6.0000000000000001E-3</v>
      </c>
    </row>
    <row r="3773" spans="13:24">
      <c r="M3773">
        <v>3771</v>
      </c>
      <c r="N3773">
        <v>63137</v>
      </c>
      <c r="O3773" t="s">
        <v>536</v>
      </c>
      <c r="P3773" t="s">
        <v>186</v>
      </c>
      <c r="Q3773">
        <v>267</v>
      </c>
      <c r="R3773" s="296">
        <v>0</v>
      </c>
      <c r="S3773" s="296">
        <v>0.99909999999999999</v>
      </c>
      <c r="T3773" s="297">
        <v>7174</v>
      </c>
      <c r="U3773" s="340">
        <v>58672</v>
      </c>
      <c r="V3773" s="340">
        <v>272797</v>
      </c>
      <c r="W3773" s="297">
        <v>18506</v>
      </c>
      <c r="X3773" s="296">
        <v>-5.0000000000000001E-3</v>
      </c>
    </row>
    <row r="3774" spans="13:24">
      <c r="M3774">
        <v>3772</v>
      </c>
      <c r="N3774">
        <v>41601</v>
      </c>
      <c r="O3774" t="s">
        <v>473</v>
      </c>
      <c r="P3774" t="s">
        <v>143</v>
      </c>
      <c r="Q3774">
        <v>413</v>
      </c>
      <c r="R3774" s="296">
        <v>0</v>
      </c>
      <c r="S3774" s="296">
        <v>0.99909999999999999</v>
      </c>
      <c r="T3774">
        <v>335</v>
      </c>
      <c r="U3774" s="340">
        <v>58557</v>
      </c>
      <c r="V3774" s="340">
        <v>125194</v>
      </c>
      <c r="W3774">
        <v>733</v>
      </c>
      <c r="X3774" s="296">
        <v>-1E-3</v>
      </c>
    </row>
    <row r="3775" spans="13:24">
      <c r="M3775">
        <v>3773</v>
      </c>
      <c r="N3775">
        <v>76201</v>
      </c>
      <c r="O3775" t="s">
        <v>2372</v>
      </c>
      <c r="P3775" t="s">
        <v>134</v>
      </c>
      <c r="Q3775">
        <v>800</v>
      </c>
      <c r="R3775" s="296">
        <v>0</v>
      </c>
      <c r="S3775" s="296">
        <v>0.99909999999999999</v>
      </c>
      <c r="T3775" s="297">
        <v>13166</v>
      </c>
      <c r="U3775" s="340">
        <v>58477</v>
      </c>
      <c r="V3775" s="340">
        <v>391800</v>
      </c>
      <c r="W3775" s="297">
        <v>28546</v>
      </c>
      <c r="X3775" s="296">
        <v>1.7000000000000001E-2</v>
      </c>
    </row>
    <row r="3776" spans="13:24">
      <c r="M3776">
        <v>3774</v>
      </c>
      <c r="N3776">
        <v>10460</v>
      </c>
      <c r="O3776" t="s">
        <v>518</v>
      </c>
      <c r="P3776" t="s">
        <v>128</v>
      </c>
      <c r="Q3776">
        <v>725</v>
      </c>
      <c r="R3776" s="296">
        <v>0</v>
      </c>
      <c r="S3776" s="296">
        <v>0.99909999999999999</v>
      </c>
      <c r="T3776" s="297">
        <v>22501</v>
      </c>
      <c r="U3776" s="340">
        <v>58402</v>
      </c>
      <c r="V3776" s="340">
        <v>597553</v>
      </c>
      <c r="W3776" s="297">
        <v>61103</v>
      </c>
      <c r="X3776" s="296">
        <v>-7.0000000000000001E-3</v>
      </c>
    </row>
    <row r="3777" spans="13:24">
      <c r="M3777">
        <v>3775</v>
      </c>
      <c r="N3777">
        <v>78521</v>
      </c>
      <c r="O3777" t="s">
        <v>2076</v>
      </c>
      <c r="P3777" t="s">
        <v>134</v>
      </c>
      <c r="Q3777">
        <v>1245</v>
      </c>
      <c r="R3777" s="296">
        <v>0</v>
      </c>
      <c r="S3777" s="296">
        <v>0.99909999999999999</v>
      </c>
      <c r="T3777" s="297">
        <v>28585</v>
      </c>
      <c r="U3777" s="340">
        <v>58155</v>
      </c>
      <c r="V3777" s="340">
        <v>157519</v>
      </c>
      <c r="W3777" s="297">
        <v>91206</v>
      </c>
      <c r="X3777" s="296">
        <v>5.0000000000000001E-3</v>
      </c>
    </row>
    <row r="3778" spans="13:24">
      <c r="M3778">
        <v>3776</v>
      </c>
      <c r="N3778">
        <v>48229</v>
      </c>
      <c r="O3778" t="s">
        <v>2533</v>
      </c>
      <c r="P3778" t="s">
        <v>140</v>
      </c>
      <c r="Q3778">
        <v>238</v>
      </c>
      <c r="R3778" s="296">
        <v>0</v>
      </c>
      <c r="S3778" s="296">
        <v>0.99909999999999999</v>
      </c>
      <c r="T3778" s="297">
        <v>3601</v>
      </c>
      <c r="U3778" s="340">
        <v>58044</v>
      </c>
      <c r="V3778" s="340">
        <v>108300</v>
      </c>
      <c r="W3778" s="297">
        <v>9203</v>
      </c>
      <c r="X3778" s="296">
        <v>-3.0000000000000001E-3</v>
      </c>
    </row>
    <row r="3779" spans="13:24">
      <c r="M3779">
        <v>3777</v>
      </c>
      <c r="N3779">
        <v>11212</v>
      </c>
      <c r="O3779" t="s">
        <v>472</v>
      </c>
      <c r="P3779" t="s">
        <v>128</v>
      </c>
      <c r="Q3779">
        <v>725</v>
      </c>
      <c r="R3779" s="296">
        <v>0</v>
      </c>
      <c r="S3779" s="296">
        <v>0.99919999999999998</v>
      </c>
      <c r="T3779" s="297">
        <v>31941</v>
      </c>
      <c r="U3779" s="340">
        <v>57863</v>
      </c>
      <c r="V3779" s="340">
        <v>598519</v>
      </c>
      <c r="W3779" s="297">
        <v>88431</v>
      </c>
      <c r="X3779" s="296">
        <v>-7.0000000000000001E-3</v>
      </c>
    </row>
    <row r="3780" spans="13:24">
      <c r="M3780">
        <v>3778</v>
      </c>
      <c r="N3780">
        <v>77032</v>
      </c>
      <c r="O3780" t="s">
        <v>314</v>
      </c>
      <c r="P3780" t="s">
        <v>134</v>
      </c>
      <c r="Q3780">
        <v>941</v>
      </c>
      <c r="R3780" s="296">
        <v>0</v>
      </c>
      <c r="S3780" s="296">
        <v>0.99919999999999998</v>
      </c>
      <c r="T3780" s="297">
        <v>4474</v>
      </c>
      <c r="U3780" s="340">
        <v>57490</v>
      </c>
      <c r="V3780" s="340">
        <v>156843</v>
      </c>
      <c r="W3780" s="297">
        <v>13685</v>
      </c>
      <c r="X3780" s="296">
        <v>3.0000000000000001E-3</v>
      </c>
    </row>
    <row r="3781" spans="13:24">
      <c r="M3781">
        <v>3779</v>
      </c>
      <c r="N3781">
        <v>64123</v>
      </c>
      <c r="O3781" t="s">
        <v>490</v>
      </c>
      <c r="P3781" t="s">
        <v>186</v>
      </c>
      <c r="Q3781">
        <v>410</v>
      </c>
      <c r="R3781" s="296">
        <v>0</v>
      </c>
      <c r="S3781" s="296">
        <v>0.99919999999999998</v>
      </c>
      <c r="T3781" s="297">
        <v>3539</v>
      </c>
      <c r="U3781" s="340">
        <v>57469</v>
      </c>
      <c r="V3781" s="340">
        <v>149974</v>
      </c>
      <c r="W3781" s="297">
        <v>10509</v>
      </c>
      <c r="X3781" s="296">
        <v>-3.0000000000000001E-3</v>
      </c>
    </row>
    <row r="3782" spans="13:24">
      <c r="M3782">
        <v>3780</v>
      </c>
      <c r="N3782">
        <v>63548</v>
      </c>
      <c r="O3782" t="s">
        <v>803</v>
      </c>
      <c r="P3782" t="s">
        <v>186</v>
      </c>
      <c r="Q3782">
        <v>269</v>
      </c>
      <c r="R3782" s="296">
        <v>0</v>
      </c>
      <c r="S3782" s="296">
        <v>0.99919999999999998</v>
      </c>
      <c r="T3782">
        <v>374</v>
      </c>
      <c r="U3782" s="340">
        <v>57464</v>
      </c>
      <c r="V3782" s="340">
        <v>155475</v>
      </c>
      <c r="W3782">
        <v>919</v>
      </c>
      <c r="X3782" s="296">
        <v>6.0000000000000001E-3</v>
      </c>
    </row>
    <row r="3783" spans="13:24">
      <c r="M3783">
        <v>3781</v>
      </c>
      <c r="N3783">
        <v>76010</v>
      </c>
      <c r="O3783" t="s">
        <v>403</v>
      </c>
      <c r="P3783" t="s">
        <v>134</v>
      </c>
      <c r="Q3783">
        <v>826</v>
      </c>
      <c r="R3783" s="296">
        <v>0</v>
      </c>
      <c r="S3783" s="296">
        <v>0.99919999999999998</v>
      </c>
      <c r="T3783" s="297">
        <v>18167</v>
      </c>
      <c r="U3783" s="340">
        <v>57089</v>
      </c>
      <c r="V3783" s="340">
        <v>252167</v>
      </c>
      <c r="W3783" s="297">
        <v>54500</v>
      </c>
      <c r="X3783" s="296">
        <v>-4.0000000000000001E-3</v>
      </c>
    </row>
    <row r="3784" spans="13:24">
      <c r="M3784">
        <v>3782</v>
      </c>
      <c r="N3784">
        <v>89106</v>
      </c>
      <c r="O3784" t="s">
        <v>706</v>
      </c>
      <c r="P3784" t="s">
        <v>148</v>
      </c>
      <c r="Q3784">
        <v>1516</v>
      </c>
      <c r="R3784" s="296">
        <v>0</v>
      </c>
      <c r="S3784" s="296">
        <v>0.99919999999999998</v>
      </c>
      <c r="T3784" s="297">
        <v>10615</v>
      </c>
      <c r="U3784" s="340">
        <v>56743</v>
      </c>
      <c r="V3784" s="340">
        <v>370533</v>
      </c>
      <c r="W3784" s="297">
        <v>29678</v>
      </c>
      <c r="X3784" s="296">
        <v>1.0999999999999999E-2</v>
      </c>
    </row>
    <row r="3785" spans="13:24">
      <c r="M3785">
        <v>3783</v>
      </c>
      <c r="N3785">
        <v>48141</v>
      </c>
      <c r="O3785" t="s">
        <v>2534</v>
      </c>
      <c r="P3785" t="s">
        <v>140</v>
      </c>
      <c r="Q3785">
        <v>229</v>
      </c>
      <c r="R3785" s="296">
        <v>0</v>
      </c>
      <c r="S3785" s="296">
        <v>0.99919999999999998</v>
      </c>
      <c r="T3785" s="297">
        <v>10019</v>
      </c>
      <c r="U3785" s="340">
        <v>56639</v>
      </c>
      <c r="V3785" s="340">
        <v>128055</v>
      </c>
      <c r="W3785" s="297">
        <v>25484</v>
      </c>
      <c r="X3785" s="296">
        <v>-6.0000000000000001E-3</v>
      </c>
    </row>
    <row r="3786" spans="13:24">
      <c r="M3786">
        <v>3784</v>
      </c>
      <c r="N3786">
        <v>55806</v>
      </c>
      <c r="O3786" t="s">
        <v>2197</v>
      </c>
      <c r="P3786" t="s">
        <v>151</v>
      </c>
      <c r="Q3786">
        <v>384</v>
      </c>
      <c r="R3786" s="296">
        <v>0</v>
      </c>
      <c r="S3786" s="296">
        <v>0.99919999999999998</v>
      </c>
      <c r="T3786" s="297">
        <v>4466</v>
      </c>
      <c r="U3786" s="340">
        <v>56494</v>
      </c>
      <c r="V3786" s="340">
        <v>296233</v>
      </c>
      <c r="W3786" s="297">
        <v>10123</v>
      </c>
      <c r="X3786" s="296">
        <v>8.0000000000000002E-3</v>
      </c>
    </row>
    <row r="3787" spans="13:24">
      <c r="M3787">
        <v>3785</v>
      </c>
      <c r="N3787">
        <v>72335</v>
      </c>
      <c r="O3787" t="s">
        <v>845</v>
      </c>
      <c r="P3787" t="s">
        <v>156</v>
      </c>
      <c r="Q3787">
        <v>519</v>
      </c>
      <c r="R3787" s="296">
        <v>0</v>
      </c>
      <c r="S3787" s="296">
        <v>0.99929999999999997</v>
      </c>
      <c r="T3787" s="297">
        <v>5516</v>
      </c>
      <c r="U3787" s="340">
        <v>56236</v>
      </c>
      <c r="V3787" s="340">
        <v>141652</v>
      </c>
      <c r="W3787" s="297">
        <v>16320</v>
      </c>
      <c r="X3787" s="296">
        <v>-6.0000000000000001E-3</v>
      </c>
    </row>
    <row r="3788" spans="13:24">
      <c r="M3788">
        <v>3786</v>
      </c>
      <c r="N3788">
        <v>19134</v>
      </c>
      <c r="O3788" t="s">
        <v>469</v>
      </c>
      <c r="P3788" t="s">
        <v>133</v>
      </c>
      <c r="Q3788">
        <v>676</v>
      </c>
      <c r="R3788" s="296">
        <v>0</v>
      </c>
      <c r="S3788" s="296">
        <v>0.99929999999999997</v>
      </c>
      <c r="T3788" s="297">
        <v>21381</v>
      </c>
      <c r="U3788" s="340">
        <v>56204</v>
      </c>
      <c r="V3788" s="340">
        <v>206685</v>
      </c>
      <c r="W3788" s="297">
        <v>57748</v>
      </c>
      <c r="X3788" s="296">
        <v>-1E-3</v>
      </c>
    </row>
    <row r="3789" spans="13:24">
      <c r="M3789">
        <v>3787</v>
      </c>
      <c r="N3789">
        <v>59913</v>
      </c>
      <c r="O3789" t="s">
        <v>700</v>
      </c>
      <c r="P3789" t="s">
        <v>190</v>
      </c>
      <c r="Q3789">
        <v>1341</v>
      </c>
      <c r="R3789" s="296">
        <v>0</v>
      </c>
      <c r="S3789" s="296">
        <v>0.99929999999999997</v>
      </c>
      <c r="T3789">
        <v>248</v>
      </c>
      <c r="U3789" s="340">
        <v>55994</v>
      </c>
      <c r="V3789" s="340">
        <v>366192</v>
      </c>
      <c r="W3789">
        <v>606</v>
      </c>
      <c r="X3789" s="296">
        <v>8.0000000000000002E-3</v>
      </c>
    </row>
    <row r="3790" spans="13:24">
      <c r="M3790">
        <v>3788</v>
      </c>
      <c r="N3790">
        <v>72117</v>
      </c>
      <c r="O3790" t="s">
        <v>2535</v>
      </c>
      <c r="P3790" t="s">
        <v>156</v>
      </c>
      <c r="Q3790">
        <v>562</v>
      </c>
      <c r="R3790" s="296">
        <v>0</v>
      </c>
      <c r="S3790" s="296">
        <v>0.99929999999999997</v>
      </c>
      <c r="T3790" s="297">
        <v>5501</v>
      </c>
      <c r="U3790" s="340">
        <v>55893</v>
      </c>
      <c r="V3790" s="340">
        <v>156831</v>
      </c>
      <c r="W3790" s="297">
        <v>13490</v>
      </c>
      <c r="X3790" s="296">
        <v>0</v>
      </c>
    </row>
    <row r="3791" spans="13:24">
      <c r="M3791">
        <v>3789</v>
      </c>
      <c r="N3791">
        <v>63869</v>
      </c>
      <c r="O3791" t="s">
        <v>2536</v>
      </c>
      <c r="P3791" t="s">
        <v>186</v>
      </c>
      <c r="Q3791">
        <v>394</v>
      </c>
      <c r="R3791" s="296">
        <v>0</v>
      </c>
      <c r="S3791" s="296">
        <v>0.99929999999999997</v>
      </c>
      <c r="T3791" s="297">
        <v>1473</v>
      </c>
      <c r="U3791" s="340">
        <v>55832</v>
      </c>
      <c r="V3791" s="340">
        <v>169469</v>
      </c>
      <c r="W3791" s="297">
        <v>3310</v>
      </c>
      <c r="X3791" s="296">
        <v>-1.4E-2</v>
      </c>
    </row>
    <row r="3792" spans="13:24">
      <c r="M3792">
        <v>3790</v>
      </c>
      <c r="N3792">
        <v>77076</v>
      </c>
      <c r="O3792" t="s">
        <v>314</v>
      </c>
      <c r="P3792" t="s">
        <v>134</v>
      </c>
      <c r="Q3792">
        <v>948</v>
      </c>
      <c r="R3792" s="296">
        <v>0</v>
      </c>
      <c r="S3792" s="296">
        <v>0.99929999999999997</v>
      </c>
      <c r="T3792" s="297">
        <v>9368</v>
      </c>
      <c r="U3792" s="340">
        <v>55705</v>
      </c>
      <c r="V3792" s="340">
        <v>225825</v>
      </c>
      <c r="W3792" s="297">
        <v>31377</v>
      </c>
      <c r="X3792" s="296">
        <v>-1E-3</v>
      </c>
    </row>
    <row r="3793" spans="13:24">
      <c r="M3793">
        <v>3791</v>
      </c>
      <c r="N3793">
        <v>39643</v>
      </c>
      <c r="O3793" t="s">
        <v>1681</v>
      </c>
      <c r="P3793" t="s">
        <v>188</v>
      </c>
      <c r="Q3793">
        <v>763</v>
      </c>
      <c r="R3793" s="296">
        <v>0</v>
      </c>
      <c r="S3793" s="296">
        <v>0.99929999999999997</v>
      </c>
      <c r="T3793">
        <v>533</v>
      </c>
      <c r="U3793" s="340">
        <v>55354</v>
      </c>
      <c r="V3793" s="340">
        <v>191071</v>
      </c>
      <c r="W3793" s="297">
        <v>1380</v>
      </c>
      <c r="X3793" s="296">
        <v>0</v>
      </c>
    </row>
    <row r="3794" spans="13:24">
      <c r="M3794">
        <v>3792</v>
      </c>
      <c r="N3794">
        <v>47804</v>
      </c>
      <c r="O3794" t="s">
        <v>1656</v>
      </c>
      <c r="P3794" t="s">
        <v>144</v>
      </c>
      <c r="Q3794">
        <v>184</v>
      </c>
      <c r="R3794" s="296">
        <v>0</v>
      </c>
      <c r="S3794" s="296">
        <v>0.99929999999999997</v>
      </c>
      <c r="T3794" s="297">
        <v>4131</v>
      </c>
      <c r="U3794" s="340">
        <v>55328</v>
      </c>
      <c r="V3794" s="340">
        <v>175703</v>
      </c>
      <c r="W3794" s="297">
        <v>9542</v>
      </c>
      <c r="X3794" s="296">
        <v>-6.0000000000000001E-3</v>
      </c>
    </row>
    <row r="3795" spans="13:24">
      <c r="M3795">
        <v>3793</v>
      </c>
      <c r="N3795">
        <v>15132</v>
      </c>
      <c r="O3795" t="s">
        <v>2537</v>
      </c>
      <c r="P3795" t="s">
        <v>133</v>
      </c>
      <c r="Q3795">
        <v>430</v>
      </c>
      <c r="R3795" s="296">
        <v>0</v>
      </c>
      <c r="S3795" s="296">
        <v>0.99939999999999996</v>
      </c>
      <c r="T3795" s="297">
        <v>8321</v>
      </c>
      <c r="U3795" s="340">
        <v>55318</v>
      </c>
      <c r="V3795" s="340">
        <v>120226</v>
      </c>
      <c r="W3795" s="297">
        <v>19176</v>
      </c>
      <c r="X3795" s="296">
        <v>-3.0000000000000001E-3</v>
      </c>
    </row>
    <row r="3796" spans="13:24">
      <c r="M3796">
        <v>3794</v>
      </c>
      <c r="N3796">
        <v>7114</v>
      </c>
      <c r="O3796" t="s">
        <v>300</v>
      </c>
      <c r="P3796" t="s">
        <v>129</v>
      </c>
      <c r="Q3796">
        <v>711</v>
      </c>
      <c r="R3796" s="296">
        <v>0</v>
      </c>
      <c r="S3796" s="296">
        <v>0.99939999999999996</v>
      </c>
      <c r="T3796" s="297">
        <v>4238</v>
      </c>
      <c r="U3796" s="340">
        <v>55268</v>
      </c>
      <c r="V3796" s="340">
        <v>480744</v>
      </c>
      <c r="W3796" s="297">
        <v>16842</v>
      </c>
      <c r="X3796" s="296">
        <v>-8.0000000000000002E-3</v>
      </c>
    </row>
    <row r="3797" spans="13:24">
      <c r="M3797">
        <v>3795</v>
      </c>
      <c r="N3797">
        <v>33127</v>
      </c>
      <c r="O3797" t="s">
        <v>293</v>
      </c>
      <c r="P3797" t="s">
        <v>127</v>
      </c>
      <c r="Q3797">
        <v>1208</v>
      </c>
      <c r="R3797" s="296">
        <v>0</v>
      </c>
      <c r="S3797" s="296">
        <v>0.99939999999999996</v>
      </c>
      <c r="T3797" s="297">
        <v>10082</v>
      </c>
      <c r="U3797" s="340">
        <v>55259</v>
      </c>
      <c r="V3797" s="340">
        <v>616602</v>
      </c>
      <c r="W3797" s="297">
        <v>27336</v>
      </c>
      <c r="X3797" s="296">
        <v>-2E-3</v>
      </c>
    </row>
    <row r="3798" spans="13:24">
      <c r="M3798">
        <v>3796</v>
      </c>
      <c r="N3798">
        <v>60912</v>
      </c>
      <c r="O3798" t="s">
        <v>2538</v>
      </c>
      <c r="P3798" t="s">
        <v>131</v>
      </c>
      <c r="Q3798">
        <v>82</v>
      </c>
      <c r="R3798" s="296">
        <v>0</v>
      </c>
      <c r="S3798" s="296">
        <v>0.99939999999999996</v>
      </c>
      <c r="T3798">
        <v>205</v>
      </c>
      <c r="U3798" s="340">
        <v>55213</v>
      </c>
      <c r="V3798" s="340">
        <v>148476</v>
      </c>
      <c r="W3798">
        <v>457</v>
      </c>
      <c r="X3798" s="296">
        <v>-2.1000000000000001E-2</v>
      </c>
    </row>
    <row r="3799" spans="13:24">
      <c r="M3799">
        <v>3797</v>
      </c>
      <c r="N3799">
        <v>29565</v>
      </c>
      <c r="O3799" t="s">
        <v>2539</v>
      </c>
      <c r="P3799" t="s">
        <v>145</v>
      </c>
      <c r="Q3799">
        <v>704</v>
      </c>
      <c r="R3799" s="296">
        <v>0</v>
      </c>
      <c r="S3799" s="296">
        <v>0.99939999999999996</v>
      </c>
      <c r="T3799" s="297">
        <v>2561</v>
      </c>
      <c r="U3799" s="340">
        <v>55046</v>
      </c>
      <c r="V3799" s="340">
        <v>154363</v>
      </c>
      <c r="W3799" s="297">
        <v>6464</v>
      </c>
      <c r="X3799" s="296">
        <v>-7.0000000000000001E-3</v>
      </c>
    </row>
    <row r="3800" spans="13:24">
      <c r="M3800">
        <v>3798</v>
      </c>
      <c r="N3800">
        <v>48203</v>
      </c>
      <c r="O3800" t="s">
        <v>848</v>
      </c>
      <c r="P3800" t="s">
        <v>140</v>
      </c>
      <c r="Q3800">
        <v>240</v>
      </c>
      <c r="R3800" s="296">
        <v>0</v>
      </c>
      <c r="S3800" s="296">
        <v>0.99939999999999996</v>
      </c>
      <c r="T3800" s="297">
        <v>9646</v>
      </c>
      <c r="U3800" s="340">
        <v>54033</v>
      </c>
      <c r="V3800" s="340">
        <v>175414</v>
      </c>
      <c r="W3800" s="297">
        <v>22321</v>
      </c>
      <c r="X3800" s="296">
        <v>-3.0000000000000001E-3</v>
      </c>
    </row>
    <row r="3801" spans="13:24">
      <c r="M3801">
        <v>3799</v>
      </c>
      <c r="N3801">
        <v>44707</v>
      </c>
      <c r="O3801" t="s">
        <v>383</v>
      </c>
      <c r="P3801" t="s">
        <v>136</v>
      </c>
      <c r="Q3801">
        <v>347</v>
      </c>
      <c r="R3801" s="296">
        <v>0</v>
      </c>
      <c r="S3801" s="296">
        <v>0.99939999999999996</v>
      </c>
      <c r="T3801" s="297">
        <v>3757</v>
      </c>
      <c r="U3801" s="340">
        <v>53724</v>
      </c>
      <c r="V3801" s="340">
        <v>153361</v>
      </c>
      <c r="W3801" s="297">
        <v>8945</v>
      </c>
      <c r="X3801" s="296">
        <v>2E-3</v>
      </c>
    </row>
    <row r="3802" spans="13:24">
      <c r="M3802">
        <v>3800</v>
      </c>
      <c r="N3802">
        <v>78537</v>
      </c>
      <c r="O3802" t="s">
        <v>2540</v>
      </c>
      <c r="P3802" t="s">
        <v>134</v>
      </c>
      <c r="Q3802">
        <v>1250</v>
      </c>
      <c r="R3802" s="296">
        <v>0</v>
      </c>
      <c r="S3802" s="296">
        <v>0.99939999999999996</v>
      </c>
      <c r="T3802" s="297">
        <v>14755</v>
      </c>
      <c r="U3802" s="340">
        <v>53513</v>
      </c>
      <c r="V3802" s="340">
        <v>123950</v>
      </c>
      <c r="W3802" s="297">
        <v>55061</v>
      </c>
      <c r="X3802" s="296">
        <v>1.4E-2</v>
      </c>
    </row>
    <row r="3803" spans="13:24">
      <c r="M3803">
        <v>3801</v>
      </c>
      <c r="N3803">
        <v>78203</v>
      </c>
      <c r="O3803" t="s">
        <v>326</v>
      </c>
      <c r="P3803" t="s">
        <v>134</v>
      </c>
      <c r="Q3803">
        <v>1062</v>
      </c>
      <c r="R3803" s="296">
        <v>0</v>
      </c>
      <c r="S3803" s="296">
        <v>0.99950000000000006</v>
      </c>
      <c r="T3803" s="297">
        <v>1847</v>
      </c>
      <c r="U3803" s="340">
        <v>53314</v>
      </c>
      <c r="V3803" s="340">
        <v>182974</v>
      </c>
      <c r="W3803" s="297">
        <v>5218</v>
      </c>
      <c r="X3803" s="296">
        <v>-1.2999999999999999E-2</v>
      </c>
    </row>
    <row r="3804" spans="13:24">
      <c r="M3804">
        <v>3802</v>
      </c>
      <c r="N3804">
        <v>73119</v>
      </c>
      <c r="O3804" t="s">
        <v>765</v>
      </c>
      <c r="P3804" t="s">
        <v>205</v>
      </c>
      <c r="Q3804">
        <v>702</v>
      </c>
      <c r="R3804" s="296">
        <v>0</v>
      </c>
      <c r="S3804" s="296">
        <v>0.99950000000000006</v>
      </c>
      <c r="T3804" s="297">
        <v>10016</v>
      </c>
      <c r="U3804" s="340">
        <v>53099</v>
      </c>
      <c r="V3804" s="340">
        <v>174463</v>
      </c>
      <c r="W3804" s="297">
        <v>30431</v>
      </c>
      <c r="X3804" s="296">
        <v>1E-3</v>
      </c>
    </row>
    <row r="3805" spans="13:24">
      <c r="M3805">
        <v>3803</v>
      </c>
      <c r="N3805">
        <v>48212</v>
      </c>
      <c r="O3805" t="s">
        <v>2541</v>
      </c>
      <c r="P3805" t="s">
        <v>140</v>
      </c>
      <c r="Q3805">
        <v>243</v>
      </c>
      <c r="R3805" s="296">
        <v>0</v>
      </c>
      <c r="S3805" s="296">
        <v>0.99950000000000006</v>
      </c>
      <c r="T3805" s="297">
        <v>12589</v>
      </c>
      <c r="U3805" s="340">
        <v>53056</v>
      </c>
      <c r="V3805" s="340">
        <v>184522</v>
      </c>
      <c r="W3805" s="297">
        <v>43134</v>
      </c>
      <c r="X3805" s="296">
        <v>-1E-3</v>
      </c>
    </row>
    <row r="3806" spans="13:24">
      <c r="M3806">
        <v>3804</v>
      </c>
      <c r="N3806">
        <v>63136</v>
      </c>
      <c r="O3806" t="s">
        <v>536</v>
      </c>
      <c r="P3806" t="s">
        <v>186</v>
      </c>
      <c r="Q3806">
        <v>269</v>
      </c>
      <c r="R3806" s="296">
        <v>0</v>
      </c>
      <c r="S3806" s="296">
        <v>0.99950000000000006</v>
      </c>
      <c r="T3806" s="297">
        <v>17202</v>
      </c>
      <c r="U3806" s="340">
        <v>53015</v>
      </c>
      <c r="V3806" s="340">
        <v>197339</v>
      </c>
      <c r="W3806" s="297">
        <v>41743</v>
      </c>
      <c r="X3806" s="296">
        <v>0</v>
      </c>
    </row>
    <row r="3807" spans="13:24">
      <c r="M3807">
        <v>3805</v>
      </c>
      <c r="N3807">
        <v>14211</v>
      </c>
      <c r="O3807" t="s">
        <v>789</v>
      </c>
      <c r="P3807" t="s">
        <v>128</v>
      </c>
      <c r="Q3807">
        <v>459</v>
      </c>
      <c r="R3807" s="296">
        <v>0</v>
      </c>
      <c r="S3807" s="296">
        <v>0.99950000000000006</v>
      </c>
      <c r="T3807" s="297">
        <v>9943</v>
      </c>
      <c r="U3807" s="340">
        <v>52713</v>
      </c>
      <c r="V3807" s="340">
        <v>180046</v>
      </c>
      <c r="W3807" s="297">
        <v>26203</v>
      </c>
      <c r="X3807" s="296">
        <v>4.0000000000000001E-3</v>
      </c>
    </row>
    <row r="3808" spans="13:24">
      <c r="M3808">
        <v>3806</v>
      </c>
      <c r="N3808">
        <v>79838</v>
      </c>
      <c r="O3808" t="s">
        <v>2542</v>
      </c>
      <c r="P3808" t="s">
        <v>134</v>
      </c>
      <c r="Q3808">
        <v>1251</v>
      </c>
      <c r="R3808" s="296">
        <v>0</v>
      </c>
      <c r="S3808" s="296">
        <v>0.99950000000000006</v>
      </c>
      <c r="T3808" s="297">
        <v>2508</v>
      </c>
      <c r="U3808" s="340">
        <v>52310</v>
      </c>
      <c r="V3808" s="340">
        <v>122117</v>
      </c>
      <c r="W3808" s="297">
        <v>7802</v>
      </c>
      <c r="X3808" s="296">
        <v>1E-3</v>
      </c>
    </row>
    <row r="3809" spans="13:24">
      <c r="M3809">
        <v>3807</v>
      </c>
      <c r="N3809">
        <v>31705</v>
      </c>
      <c r="O3809" t="s">
        <v>573</v>
      </c>
      <c r="P3809" t="s">
        <v>130</v>
      </c>
      <c r="Q3809">
        <v>760</v>
      </c>
      <c r="R3809" s="296">
        <v>0</v>
      </c>
      <c r="S3809" s="296">
        <v>0.99950000000000006</v>
      </c>
      <c r="T3809" s="297">
        <v>10920</v>
      </c>
      <c r="U3809" s="340">
        <v>52274</v>
      </c>
      <c r="V3809" s="340">
        <v>139533</v>
      </c>
      <c r="W3809" s="297">
        <v>28059</v>
      </c>
      <c r="X3809" s="296">
        <v>-1.2999999999999999E-2</v>
      </c>
    </row>
    <row r="3810" spans="13:24">
      <c r="M3810">
        <v>3808</v>
      </c>
      <c r="N3810">
        <v>25702</v>
      </c>
      <c r="O3810" t="s">
        <v>395</v>
      </c>
      <c r="P3810" t="s">
        <v>227</v>
      </c>
      <c r="Q3810">
        <v>383</v>
      </c>
      <c r="R3810" s="296">
        <v>0</v>
      </c>
      <c r="S3810" s="296">
        <v>0.99950000000000006</v>
      </c>
      <c r="T3810" s="297">
        <v>3055</v>
      </c>
      <c r="U3810" s="340">
        <v>52229</v>
      </c>
      <c r="V3810" s="340">
        <v>147616</v>
      </c>
      <c r="W3810" s="297">
        <v>7684</v>
      </c>
      <c r="X3810" s="296">
        <v>2E-3</v>
      </c>
    </row>
    <row r="3811" spans="13:24">
      <c r="M3811">
        <v>3809</v>
      </c>
      <c r="N3811">
        <v>43607</v>
      </c>
      <c r="O3811" t="s">
        <v>846</v>
      </c>
      <c r="P3811" t="s">
        <v>136</v>
      </c>
      <c r="Q3811">
        <v>218</v>
      </c>
      <c r="R3811" s="296">
        <v>0</v>
      </c>
      <c r="S3811" s="296">
        <v>0.99960000000000004</v>
      </c>
      <c r="T3811" s="297">
        <v>8636</v>
      </c>
      <c r="U3811" s="340">
        <v>51806</v>
      </c>
      <c r="V3811" s="340">
        <v>138152</v>
      </c>
      <c r="W3811" s="297">
        <v>19277</v>
      </c>
      <c r="X3811" s="296">
        <v>-2E-3</v>
      </c>
    </row>
    <row r="3812" spans="13:24">
      <c r="M3812">
        <v>3810</v>
      </c>
      <c r="N3812">
        <v>63867</v>
      </c>
      <c r="O3812" t="s">
        <v>2543</v>
      </c>
      <c r="P3812" t="s">
        <v>186</v>
      </c>
      <c r="Q3812">
        <v>388</v>
      </c>
      <c r="R3812" s="296">
        <v>0</v>
      </c>
      <c r="S3812" s="296">
        <v>0.99960000000000004</v>
      </c>
      <c r="T3812">
        <v>336</v>
      </c>
      <c r="U3812" s="340">
        <v>51732</v>
      </c>
      <c r="V3812" s="340">
        <v>141004</v>
      </c>
      <c r="W3812">
        <v>862</v>
      </c>
      <c r="X3812" s="296">
        <v>-2.1000000000000001E-2</v>
      </c>
    </row>
    <row r="3813" spans="13:24">
      <c r="M3813">
        <v>3811</v>
      </c>
      <c r="N3813">
        <v>77028</v>
      </c>
      <c r="O3813" t="s">
        <v>314</v>
      </c>
      <c r="P3813" t="s">
        <v>134</v>
      </c>
      <c r="Q3813">
        <v>948</v>
      </c>
      <c r="R3813" s="296">
        <v>0</v>
      </c>
      <c r="S3813" s="296">
        <v>0.99960000000000004</v>
      </c>
      <c r="T3813" s="297">
        <v>6369</v>
      </c>
      <c r="U3813" s="340">
        <v>51141</v>
      </c>
      <c r="V3813" s="340">
        <v>186426</v>
      </c>
      <c r="W3813" s="297">
        <v>19020</v>
      </c>
      <c r="X3813" s="296">
        <v>5.0000000000000001E-3</v>
      </c>
    </row>
    <row r="3814" spans="13:24">
      <c r="M3814">
        <v>3812</v>
      </c>
      <c r="N3814">
        <v>84112</v>
      </c>
      <c r="O3814" t="s">
        <v>333</v>
      </c>
      <c r="P3814" t="s">
        <v>219</v>
      </c>
      <c r="Q3814">
        <v>1245</v>
      </c>
      <c r="R3814" s="296">
        <v>0</v>
      </c>
      <c r="S3814" s="296">
        <v>0.99960000000000004</v>
      </c>
      <c r="T3814">
        <v>2</v>
      </c>
      <c r="U3814" s="340">
        <v>51014</v>
      </c>
      <c r="V3814" s="340">
        <v>0</v>
      </c>
      <c r="W3814">
        <v>613</v>
      </c>
      <c r="X3814" s="296">
        <v>-3.5000000000000003E-2</v>
      </c>
    </row>
    <row r="3815" spans="13:24">
      <c r="M3815">
        <v>3813</v>
      </c>
      <c r="N3815">
        <v>32202</v>
      </c>
      <c r="O3815" t="s">
        <v>331</v>
      </c>
      <c r="P3815" t="s">
        <v>127</v>
      </c>
      <c r="Q3815">
        <v>885</v>
      </c>
      <c r="R3815" s="296">
        <v>0</v>
      </c>
      <c r="S3815" s="296">
        <v>0.99960000000000004</v>
      </c>
      <c r="T3815" s="297">
        <v>1965</v>
      </c>
      <c r="U3815" s="340">
        <v>50939</v>
      </c>
      <c r="V3815" s="340">
        <v>357866</v>
      </c>
      <c r="W3815" s="297">
        <v>6586</v>
      </c>
      <c r="X3815" s="296">
        <v>1.2E-2</v>
      </c>
    </row>
    <row r="3816" spans="13:24">
      <c r="M3816">
        <v>3814</v>
      </c>
      <c r="N3816">
        <v>79852</v>
      </c>
      <c r="O3816" t="s">
        <v>2544</v>
      </c>
      <c r="P3816" t="s">
        <v>134</v>
      </c>
      <c r="Q3816">
        <v>1249</v>
      </c>
      <c r="R3816" s="296">
        <v>0</v>
      </c>
      <c r="S3816" s="296">
        <v>0.99960000000000004</v>
      </c>
      <c r="T3816">
        <v>65</v>
      </c>
      <c r="U3816" s="340">
        <v>50211</v>
      </c>
      <c r="V3816" s="340">
        <v>203261</v>
      </c>
      <c r="W3816">
        <v>127</v>
      </c>
      <c r="X3816" s="296">
        <v>-1.9E-2</v>
      </c>
    </row>
    <row r="3817" spans="13:24">
      <c r="M3817">
        <v>3815</v>
      </c>
      <c r="N3817">
        <v>78220</v>
      </c>
      <c r="O3817" t="s">
        <v>326</v>
      </c>
      <c r="P3817" t="s">
        <v>134</v>
      </c>
      <c r="Q3817">
        <v>1060</v>
      </c>
      <c r="R3817" s="296">
        <v>0</v>
      </c>
      <c r="S3817" s="296">
        <v>0.99960000000000004</v>
      </c>
      <c r="T3817" s="297">
        <v>6807</v>
      </c>
      <c r="U3817" s="340">
        <v>50202</v>
      </c>
      <c r="V3817" s="340">
        <v>161187</v>
      </c>
      <c r="W3817" s="297">
        <v>19031</v>
      </c>
      <c r="X3817" s="296">
        <v>1.2999999999999999E-2</v>
      </c>
    </row>
    <row r="3818" spans="13:24">
      <c r="M3818">
        <v>3816</v>
      </c>
      <c r="N3818">
        <v>7505</v>
      </c>
      <c r="O3818" t="s">
        <v>847</v>
      </c>
      <c r="P3818" t="s">
        <v>129</v>
      </c>
      <c r="Q3818">
        <v>709</v>
      </c>
      <c r="R3818" s="296">
        <v>0</v>
      </c>
      <c r="S3818" s="296">
        <v>0.99960000000000004</v>
      </c>
      <c r="T3818" s="297">
        <v>1060</v>
      </c>
      <c r="U3818" s="340">
        <v>49883</v>
      </c>
      <c r="V3818" s="340">
        <v>245492</v>
      </c>
      <c r="W3818" s="297">
        <v>3010</v>
      </c>
      <c r="X3818" s="296">
        <v>-8.9999999999999993E-3</v>
      </c>
    </row>
    <row r="3819" spans="13:24">
      <c r="M3819">
        <v>3817</v>
      </c>
      <c r="N3819">
        <v>29512</v>
      </c>
      <c r="O3819" t="s">
        <v>2545</v>
      </c>
      <c r="P3819" t="s">
        <v>145</v>
      </c>
      <c r="Q3819">
        <v>678</v>
      </c>
      <c r="R3819" s="296">
        <v>0</v>
      </c>
      <c r="S3819" s="296">
        <v>0.99970000000000003</v>
      </c>
      <c r="T3819" s="297">
        <v>6569</v>
      </c>
      <c r="U3819" s="340">
        <v>49852</v>
      </c>
      <c r="V3819" s="340">
        <v>130948</v>
      </c>
      <c r="W3819" s="297">
        <v>18027</v>
      </c>
      <c r="X3819" s="296">
        <v>-2E-3</v>
      </c>
    </row>
    <row r="3820" spans="13:24">
      <c r="M3820">
        <v>3818</v>
      </c>
      <c r="N3820">
        <v>72904</v>
      </c>
      <c r="O3820" t="s">
        <v>1694</v>
      </c>
      <c r="P3820" t="s">
        <v>156</v>
      </c>
      <c r="Q3820">
        <v>586</v>
      </c>
      <c r="R3820" s="296">
        <v>0</v>
      </c>
      <c r="S3820" s="296">
        <v>0.99970000000000003</v>
      </c>
      <c r="T3820" s="297">
        <v>7702</v>
      </c>
      <c r="U3820" s="340">
        <v>49181</v>
      </c>
      <c r="V3820" s="340">
        <v>154416</v>
      </c>
      <c r="W3820" s="297">
        <v>21954</v>
      </c>
      <c r="X3820" s="296">
        <v>-3.0000000000000001E-3</v>
      </c>
    </row>
    <row r="3821" spans="13:24">
      <c r="M3821">
        <v>3819</v>
      </c>
      <c r="N3821">
        <v>72365</v>
      </c>
      <c r="O3821" t="s">
        <v>2546</v>
      </c>
      <c r="P3821" t="s">
        <v>156</v>
      </c>
      <c r="Q3821">
        <v>476</v>
      </c>
      <c r="R3821" s="296">
        <v>0</v>
      </c>
      <c r="S3821" s="296">
        <v>0.99970000000000003</v>
      </c>
      <c r="T3821" s="297">
        <v>1142</v>
      </c>
      <c r="U3821" s="340">
        <v>49036</v>
      </c>
      <c r="V3821" s="340">
        <v>87482</v>
      </c>
      <c r="W3821" s="297">
        <v>2764</v>
      </c>
      <c r="X3821" s="296">
        <v>-0.01</v>
      </c>
    </row>
    <row r="3822" spans="13:24">
      <c r="M3822">
        <v>3820</v>
      </c>
      <c r="N3822">
        <v>19602</v>
      </c>
      <c r="O3822" t="s">
        <v>410</v>
      </c>
      <c r="P3822" t="s">
        <v>133</v>
      </c>
      <c r="Q3822">
        <v>629</v>
      </c>
      <c r="R3822" s="296">
        <v>0</v>
      </c>
      <c r="S3822" s="296">
        <v>0.99970000000000003</v>
      </c>
      <c r="T3822" s="297">
        <v>7399</v>
      </c>
      <c r="U3822" s="340">
        <v>48788</v>
      </c>
      <c r="V3822" s="340">
        <v>153184</v>
      </c>
      <c r="W3822" s="297">
        <v>19742</v>
      </c>
      <c r="X3822" s="296">
        <v>5.0000000000000001E-3</v>
      </c>
    </row>
    <row r="3823" spans="13:24">
      <c r="M3823">
        <v>3821</v>
      </c>
      <c r="N3823">
        <v>44485</v>
      </c>
      <c r="O3823" t="s">
        <v>781</v>
      </c>
      <c r="P3823" t="s">
        <v>136</v>
      </c>
      <c r="Q3823">
        <v>364</v>
      </c>
      <c r="R3823" s="296">
        <v>0</v>
      </c>
      <c r="S3823" s="296">
        <v>0.99970000000000003</v>
      </c>
      <c r="T3823" s="297">
        <v>6717</v>
      </c>
      <c r="U3823" s="340">
        <v>48698</v>
      </c>
      <c r="V3823" s="340">
        <v>100558</v>
      </c>
      <c r="W3823" s="297">
        <v>15173</v>
      </c>
      <c r="X3823" s="296">
        <v>-2E-3</v>
      </c>
    </row>
    <row r="3824" spans="13:24">
      <c r="M3824">
        <v>3822</v>
      </c>
      <c r="N3824">
        <v>48228</v>
      </c>
      <c r="O3824" t="s">
        <v>588</v>
      </c>
      <c r="P3824" t="s">
        <v>140</v>
      </c>
      <c r="Q3824">
        <v>234</v>
      </c>
      <c r="R3824" s="296">
        <v>0</v>
      </c>
      <c r="S3824" s="296">
        <v>0.99970000000000003</v>
      </c>
      <c r="T3824" s="297">
        <v>19011</v>
      </c>
      <c r="U3824" s="340">
        <v>48568</v>
      </c>
      <c r="V3824" s="340">
        <v>109453</v>
      </c>
      <c r="W3824" s="297">
        <v>52444</v>
      </c>
      <c r="X3824" s="296">
        <v>-4.0000000000000001E-3</v>
      </c>
    </row>
    <row r="3825" spans="13:24">
      <c r="M3825">
        <v>3823</v>
      </c>
      <c r="N3825">
        <v>44105</v>
      </c>
      <c r="O3825" t="s">
        <v>1251</v>
      </c>
      <c r="P3825" t="s">
        <v>136</v>
      </c>
      <c r="Q3825">
        <v>321</v>
      </c>
      <c r="R3825" s="296">
        <v>0</v>
      </c>
      <c r="S3825" s="296">
        <v>0.99970000000000003</v>
      </c>
      <c r="T3825" s="297">
        <v>14300</v>
      </c>
      <c r="U3825" s="340">
        <v>48335</v>
      </c>
      <c r="V3825" s="340">
        <v>137266</v>
      </c>
      <c r="W3825" s="297">
        <v>32887</v>
      </c>
      <c r="X3825" s="296">
        <v>-0.01</v>
      </c>
    </row>
    <row r="3826" spans="13:24">
      <c r="M3826">
        <v>3824</v>
      </c>
      <c r="N3826">
        <v>63107</v>
      </c>
      <c r="O3826" t="s">
        <v>536</v>
      </c>
      <c r="P3826" t="s">
        <v>186</v>
      </c>
      <c r="Q3826">
        <v>272</v>
      </c>
      <c r="R3826" s="296">
        <v>0</v>
      </c>
      <c r="S3826" s="296">
        <v>0.99970000000000003</v>
      </c>
      <c r="T3826" s="297">
        <v>3914</v>
      </c>
      <c r="U3826" s="340">
        <v>47818</v>
      </c>
      <c r="V3826" s="340">
        <v>132437</v>
      </c>
      <c r="W3826" s="297">
        <v>8935</v>
      </c>
      <c r="X3826" s="296">
        <v>-4.0000000000000001E-3</v>
      </c>
    </row>
    <row r="3827" spans="13:24">
      <c r="M3827">
        <v>3825</v>
      </c>
      <c r="N3827">
        <v>35401</v>
      </c>
      <c r="O3827" t="s">
        <v>2547</v>
      </c>
      <c r="P3827" t="s">
        <v>154</v>
      </c>
      <c r="Q3827">
        <v>619</v>
      </c>
      <c r="R3827" s="296">
        <v>0</v>
      </c>
      <c r="S3827" s="296">
        <v>0.99980000000000002</v>
      </c>
      <c r="T3827" s="297">
        <v>16307</v>
      </c>
      <c r="U3827" s="340">
        <v>47363</v>
      </c>
      <c r="V3827" s="340">
        <v>282657</v>
      </c>
      <c r="W3827" s="297">
        <v>51615</v>
      </c>
      <c r="X3827" s="296">
        <v>4.4999999999999998E-2</v>
      </c>
    </row>
    <row r="3828" spans="13:24">
      <c r="M3828">
        <v>3826</v>
      </c>
      <c r="N3828">
        <v>43605</v>
      </c>
      <c r="O3828" t="s">
        <v>846</v>
      </c>
      <c r="P3828" t="s">
        <v>136</v>
      </c>
      <c r="Q3828">
        <v>223</v>
      </c>
      <c r="R3828" s="296">
        <v>0</v>
      </c>
      <c r="S3828" s="296">
        <v>0.99980000000000002</v>
      </c>
      <c r="T3828" s="297">
        <v>9883</v>
      </c>
      <c r="U3828" s="340">
        <v>47249</v>
      </c>
      <c r="V3828" s="340">
        <v>111238</v>
      </c>
      <c r="W3828" s="297">
        <v>24895</v>
      </c>
      <c r="X3828" s="296">
        <v>1E-3</v>
      </c>
    </row>
    <row r="3829" spans="13:24">
      <c r="M3829">
        <v>3827</v>
      </c>
      <c r="N3829">
        <v>68508</v>
      </c>
      <c r="O3829" t="s">
        <v>415</v>
      </c>
      <c r="P3829" t="s">
        <v>195</v>
      </c>
      <c r="Q3829">
        <v>470</v>
      </c>
      <c r="R3829" s="296">
        <v>0</v>
      </c>
      <c r="S3829" s="296">
        <v>0.99980000000000002</v>
      </c>
      <c r="T3829" s="297">
        <v>5828</v>
      </c>
      <c r="U3829" s="340">
        <v>46614</v>
      </c>
      <c r="V3829" s="340">
        <v>308400</v>
      </c>
      <c r="W3829" s="297">
        <v>13266</v>
      </c>
      <c r="X3829" s="296">
        <v>-1E-3</v>
      </c>
    </row>
    <row r="3830" spans="13:24">
      <c r="M3830">
        <v>3828</v>
      </c>
      <c r="N3830">
        <v>778</v>
      </c>
      <c r="O3830" t="s">
        <v>2548</v>
      </c>
      <c r="P3830" t="s">
        <v>210</v>
      </c>
      <c r="Q3830">
        <v>2089</v>
      </c>
      <c r="R3830" s="296">
        <v>0</v>
      </c>
      <c r="S3830" s="296">
        <v>0.99980000000000002</v>
      </c>
      <c r="T3830" s="297">
        <v>16439</v>
      </c>
      <c r="U3830" s="340">
        <v>46391</v>
      </c>
      <c r="V3830" t="s">
        <v>307</v>
      </c>
      <c r="W3830" s="297">
        <v>47387</v>
      </c>
      <c r="X3830" s="296">
        <v>1E-3</v>
      </c>
    </row>
    <row r="3831" spans="13:24">
      <c r="M3831">
        <v>3829</v>
      </c>
      <c r="N3831">
        <v>32209</v>
      </c>
      <c r="O3831" t="s">
        <v>331</v>
      </c>
      <c r="P3831" t="s">
        <v>127</v>
      </c>
      <c r="Q3831">
        <v>882</v>
      </c>
      <c r="R3831" s="296">
        <v>0</v>
      </c>
      <c r="S3831" s="296">
        <v>0.99980000000000002</v>
      </c>
      <c r="T3831" s="297">
        <v>14036</v>
      </c>
      <c r="U3831" s="340">
        <v>46063</v>
      </c>
      <c r="V3831" s="340">
        <v>231431</v>
      </c>
      <c r="W3831" s="297">
        <v>35641</v>
      </c>
      <c r="X3831" s="296">
        <v>-1E-3</v>
      </c>
    </row>
    <row r="3832" spans="13:24">
      <c r="M3832">
        <v>3830</v>
      </c>
      <c r="N3832">
        <v>63851</v>
      </c>
      <c r="O3832" t="s">
        <v>2549</v>
      </c>
      <c r="P3832" t="s">
        <v>186</v>
      </c>
      <c r="Q3832">
        <v>419</v>
      </c>
      <c r="R3832" s="296">
        <v>0</v>
      </c>
      <c r="S3832" s="296">
        <v>0.99980000000000002</v>
      </c>
      <c r="T3832" s="297">
        <v>1504</v>
      </c>
      <c r="U3832" s="340">
        <v>45338</v>
      </c>
      <c r="V3832" s="340">
        <v>141937</v>
      </c>
      <c r="W3832" s="297">
        <v>3391</v>
      </c>
      <c r="X3832" s="296">
        <v>-1.4999999999999999E-2</v>
      </c>
    </row>
    <row r="3833" spans="13:24">
      <c r="M3833">
        <v>3831</v>
      </c>
      <c r="N3833">
        <v>48505</v>
      </c>
      <c r="O3833" t="s">
        <v>808</v>
      </c>
      <c r="P3833" t="s">
        <v>140</v>
      </c>
      <c r="Q3833">
        <v>218</v>
      </c>
      <c r="R3833" s="296">
        <v>0</v>
      </c>
      <c r="S3833" s="296">
        <v>0.99980000000000002</v>
      </c>
      <c r="T3833" s="297">
        <v>7196</v>
      </c>
      <c r="U3833" s="340">
        <v>43905</v>
      </c>
      <c r="V3833" s="340">
        <v>98145</v>
      </c>
      <c r="W3833" s="297">
        <v>17454</v>
      </c>
      <c r="X3833" s="296">
        <v>-4.0000000000000001E-3</v>
      </c>
    </row>
    <row r="3834" spans="13:24">
      <c r="M3834">
        <v>3832</v>
      </c>
      <c r="N3834">
        <v>52801</v>
      </c>
      <c r="O3834" t="s">
        <v>1023</v>
      </c>
      <c r="P3834" t="s">
        <v>170</v>
      </c>
      <c r="Q3834">
        <v>150</v>
      </c>
      <c r="R3834" s="296">
        <v>0</v>
      </c>
      <c r="S3834" s="296">
        <v>0.99980000000000002</v>
      </c>
      <c r="T3834" s="297">
        <v>1049</v>
      </c>
      <c r="U3834" s="340">
        <v>43080</v>
      </c>
      <c r="V3834" s="340">
        <v>52778</v>
      </c>
      <c r="W3834" s="297">
        <v>1889</v>
      </c>
      <c r="X3834" s="296">
        <v>7.6999999999999999E-2</v>
      </c>
    </row>
    <row r="3835" spans="13:24">
      <c r="M3835">
        <v>3833</v>
      </c>
      <c r="N3835">
        <v>46407</v>
      </c>
      <c r="O3835" t="s">
        <v>1105</v>
      </c>
      <c r="P3835" t="s">
        <v>144</v>
      </c>
      <c r="Q3835">
        <v>46</v>
      </c>
      <c r="R3835" s="296">
        <v>0</v>
      </c>
      <c r="S3835" s="296">
        <v>0.99980000000000002</v>
      </c>
      <c r="T3835" s="297">
        <v>4410</v>
      </c>
      <c r="U3835" s="340">
        <v>42835</v>
      </c>
      <c r="V3835" s="340">
        <v>118854</v>
      </c>
      <c r="W3835" s="297">
        <v>10217</v>
      </c>
      <c r="X3835" s="296">
        <v>7.0000000000000001E-3</v>
      </c>
    </row>
    <row r="3836" spans="13:24">
      <c r="M3836">
        <v>3834</v>
      </c>
      <c r="N3836">
        <v>61605</v>
      </c>
      <c r="O3836" t="s">
        <v>1052</v>
      </c>
      <c r="P3836" t="s">
        <v>131</v>
      </c>
      <c r="Q3836">
        <v>139</v>
      </c>
      <c r="R3836" s="296">
        <v>0</v>
      </c>
      <c r="S3836" s="296">
        <v>0.99990000000000001</v>
      </c>
      <c r="T3836" s="297">
        <v>5677</v>
      </c>
      <c r="U3836" s="340">
        <v>41506</v>
      </c>
      <c r="V3836" s="340">
        <v>131365</v>
      </c>
      <c r="W3836" s="297">
        <v>13273</v>
      </c>
      <c r="X3836" s="296">
        <v>-1.2999999999999999E-2</v>
      </c>
    </row>
    <row r="3837" spans="13:24">
      <c r="M3837">
        <v>3835</v>
      </c>
      <c r="N3837">
        <v>31207</v>
      </c>
      <c r="O3837" t="s">
        <v>738</v>
      </c>
      <c r="P3837" t="s">
        <v>130</v>
      </c>
      <c r="Q3837">
        <v>682</v>
      </c>
      <c r="R3837" s="296">
        <v>0</v>
      </c>
      <c r="S3837" s="296">
        <v>0.99990000000000001</v>
      </c>
      <c r="T3837">
        <v>1</v>
      </c>
      <c r="U3837" s="340">
        <v>41095</v>
      </c>
      <c r="V3837" s="340">
        <v>0</v>
      </c>
      <c r="W3837">
        <v>186</v>
      </c>
      <c r="X3837" s="296">
        <v>-3.4000000000000002E-2</v>
      </c>
    </row>
    <row r="3838" spans="13:24">
      <c r="M3838">
        <v>3836</v>
      </c>
      <c r="N3838">
        <v>987</v>
      </c>
      <c r="O3838" t="s">
        <v>2550</v>
      </c>
      <c r="P3838" t="s">
        <v>210</v>
      </c>
      <c r="Q3838">
        <v>2086</v>
      </c>
      <c r="R3838" s="296">
        <v>0</v>
      </c>
      <c r="S3838" s="296">
        <v>0.99990000000000001</v>
      </c>
      <c r="T3838" s="297">
        <v>20141</v>
      </c>
      <c r="U3838" s="340">
        <v>40932</v>
      </c>
      <c r="V3838" t="s">
        <v>307</v>
      </c>
      <c r="W3838" s="297">
        <v>56603</v>
      </c>
      <c r="X3838" s="296">
        <v>-1E-3</v>
      </c>
    </row>
    <row r="3839" spans="13:24">
      <c r="M3839">
        <v>3837</v>
      </c>
      <c r="N3839">
        <v>62201</v>
      </c>
      <c r="O3839" t="s">
        <v>1697</v>
      </c>
      <c r="P3839" t="s">
        <v>131</v>
      </c>
      <c r="Q3839">
        <v>272</v>
      </c>
      <c r="R3839" s="296">
        <v>0</v>
      </c>
      <c r="S3839" s="296">
        <v>0.99990000000000001</v>
      </c>
      <c r="T3839" s="297">
        <v>1883</v>
      </c>
      <c r="U3839" s="340">
        <v>40911</v>
      </c>
      <c r="V3839" s="340">
        <v>99288</v>
      </c>
      <c r="W3839" s="297">
        <v>4814</v>
      </c>
      <c r="X3839" s="296">
        <v>-2.1999999999999999E-2</v>
      </c>
    </row>
    <row r="3840" spans="13:24">
      <c r="M3840">
        <v>3838</v>
      </c>
      <c r="N3840">
        <v>97204</v>
      </c>
      <c r="O3840" t="s">
        <v>420</v>
      </c>
      <c r="P3840" t="s">
        <v>207</v>
      </c>
      <c r="Q3840">
        <v>1740</v>
      </c>
      <c r="R3840" s="296">
        <v>0</v>
      </c>
      <c r="S3840" s="296">
        <v>0.99990000000000001</v>
      </c>
      <c r="T3840">
        <v>476</v>
      </c>
      <c r="U3840" s="340">
        <v>37533</v>
      </c>
      <c r="V3840" s="340">
        <v>493750</v>
      </c>
      <c r="W3840" s="297">
        <v>1030</v>
      </c>
      <c r="X3840" s="296">
        <v>1.9E-2</v>
      </c>
    </row>
    <row r="3841" spans="13:24">
      <c r="M3841">
        <v>3839</v>
      </c>
      <c r="N3841">
        <v>638</v>
      </c>
      <c r="O3841" t="s">
        <v>2551</v>
      </c>
      <c r="P3841" t="s">
        <v>210</v>
      </c>
      <c r="Q3841">
        <v>2068</v>
      </c>
      <c r="R3841" s="296">
        <v>0</v>
      </c>
      <c r="S3841" s="296">
        <v>0.99990000000000001</v>
      </c>
      <c r="T3841" s="297">
        <v>5868</v>
      </c>
      <c r="U3841" s="340">
        <v>19530</v>
      </c>
      <c r="V3841" t="s">
        <v>307</v>
      </c>
      <c r="W3841" s="297">
        <v>16988</v>
      </c>
      <c r="X3841" s="296">
        <v>-1E-3</v>
      </c>
    </row>
    <row r="3842" spans="13:24">
      <c r="M3842">
        <v>3840</v>
      </c>
      <c r="N3842">
        <v>43403</v>
      </c>
      <c r="O3842" t="s">
        <v>1229</v>
      </c>
      <c r="P3842" t="s">
        <v>136</v>
      </c>
      <c r="Q3842">
        <v>220</v>
      </c>
      <c r="R3842" s="296">
        <v>0</v>
      </c>
      <c r="S3842" s="296">
        <v>0.99990000000000001</v>
      </c>
      <c r="T3842">
        <v>69</v>
      </c>
      <c r="U3842" s="340">
        <v>16872</v>
      </c>
      <c r="V3842" s="340">
        <v>0</v>
      </c>
      <c r="W3842" s="297">
        <v>4000</v>
      </c>
      <c r="X3842" s="296">
        <v>-4.4999999999999998E-2</v>
      </c>
    </row>
    <row r="3843" spans="13:24">
      <c r="M3843">
        <v>3841</v>
      </c>
      <c r="N3843">
        <v>16802</v>
      </c>
      <c r="O3843" t="s">
        <v>1186</v>
      </c>
      <c r="P3843" t="s">
        <v>133</v>
      </c>
      <c r="Q3843">
        <v>522</v>
      </c>
      <c r="R3843" s="296">
        <v>0</v>
      </c>
      <c r="S3843" s="296">
        <v>1</v>
      </c>
      <c r="T3843">
        <v>97</v>
      </c>
      <c r="U3843" s="340">
        <v>10129</v>
      </c>
      <c r="V3843" s="340">
        <v>450000</v>
      </c>
      <c r="W3843" s="297">
        <v>5169</v>
      </c>
      <c r="X3843" s="296">
        <v>-2E-3</v>
      </c>
    </row>
    <row r="3844" spans="13:24">
      <c r="M3844">
        <v>3842</v>
      </c>
      <c r="N3844">
        <v>67260</v>
      </c>
      <c r="O3844" t="s">
        <v>1810</v>
      </c>
      <c r="P3844" t="s">
        <v>176</v>
      </c>
      <c r="Q3844">
        <v>589</v>
      </c>
      <c r="R3844" s="296">
        <v>0</v>
      </c>
      <c r="S3844" s="296">
        <v>1</v>
      </c>
      <c r="T3844">
        <v>0</v>
      </c>
      <c r="U3844" s="340">
        <v>0</v>
      </c>
      <c r="V3844" s="340">
        <v>0</v>
      </c>
      <c r="W3844">
        <v>0</v>
      </c>
      <c r="X3844" s="296">
        <v>0</v>
      </c>
    </row>
    <row r="3845" spans="13:24">
      <c r="M3845">
        <v>3843</v>
      </c>
      <c r="N3845">
        <v>23173</v>
      </c>
      <c r="O3845" t="s">
        <v>302</v>
      </c>
      <c r="P3845" t="s">
        <v>139</v>
      </c>
      <c r="Q3845">
        <v>633</v>
      </c>
      <c r="R3845" s="296">
        <v>0</v>
      </c>
      <c r="S3845" s="296">
        <v>1</v>
      </c>
      <c r="T3845">
        <v>4</v>
      </c>
      <c r="U3845" s="340">
        <v>0</v>
      </c>
      <c r="V3845" s="340">
        <v>0</v>
      </c>
      <c r="W3845" s="297">
        <v>2230</v>
      </c>
      <c r="X3845" s="296">
        <v>-1E-3</v>
      </c>
    </row>
    <row r="3846" spans="13:24">
      <c r="M3846">
        <v>3844</v>
      </c>
      <c r="N3846">
        <v>47335</v>
      </c>
      <c r="Q3846">
        <v>210</v>
      </c>
      <c r="R3846" s="296">
        <v>0</v>
      </c>
      <c r="S3846" s="296">
        <v>1</v>
      </c>
      <c r="T3846" t="s">
        <v>307</v>
      </c>
      <c r="U3846" t="s">
        <v>307</v>
      </c>
      <c r="V3846" t="s">
        <v>307</v>
      </c>
      <c r="W3846" t="s">
        <v>307</v>
      </c>
      <c r="X3846" t="s">
        <v>307</v>
      </c>
    </row>
    <row r="3847" spans="13:24">
      <c r="M3847">
        <v>3845</v>
      </c>
      <c r="N3847">
        <v>93921</v>
      </c>
      <c r="Q3847">
        <v>1851</v>
      </c>
      <c r="R3847" s="296">
        <v>0</v>
      </c>
      <c r="S3847" s="296">
        <v>1</v>
      </c>
      <c r="T3847" t="s">
        <v>307</v>
      </c>
      <c r="U3847" t="s">
        <v>307</v>
      </c>
      <c r="V3847" t="s">
        <v>307</v>
      </c>
      <c r="W3847" t="s">
        <v>307</v>
      </c>
      <c r="X3847" t="s">
        <v>307</v>
      </c>
    </row>
  </sheetData>
  <mergeCells count="13">
    <mergeCell ref="Q1:Q2"/>
    <mergeCell ref="A1:H1"/>
    <mergeCell ref="M1:M2"/>
    <mergeCell ref="N1:N2"/>
    <mergeCell ref="O1:O2"/>
    <mergeCell ref="P1:P2"/>
    <mergeCell ref="X1:X2"/>
    <mergeCell ref="R1:R2"/>
    <mergeCell ref="S1:S2"/>
    <mergeCell ref="T1:T2"/>
    <mergeCell ref="U1:U2"/>
    <mergeCell ref="V1:V2"/>
    <mergeCell ref="W1:W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0DC8-EE4E-4720-B74F-6C1BD13A9FAF}">
  <sheetPr codeName="Sheet13"/>
  <dimension ref="A1:B52"/>
  <sheetViews>
    <sheetView workbookViewId="0">
      <selection sqref="A1:B1048576"/>
    </sheetView>
  </sheetViews>
  <sheetFormatPr defaultRowHeight="15"/>
  <cols>
    <col min="1" max="1" width="6.42578125" bestFit="1" customWidth="1"/>
    <col min="2" max="2" width="14" bestFit="1" customWidth="1"/>
    <col min="3" max="3" width="9.140625" customWidth="1"/>
  </cols>
  <sheetData>
    <row r="1" spans="1:2">
      <c r="A1" t="s">
        <v>152</v>
      </c>
      <c r="B1" t="s">
        <v>153</v>
      </c>
    </row>
    <row r="2" spans="1:2">
      <c r="A2" t="s">
        <v>154</v>
      </c>
      <c r="B2" t="s">
        <v>155</v>
      </c>
    </row>
    <row r="3" spans="1:2">
      <c r="A3" t="s">
        <v>156</v>
      </c>
      <c r="B3" t="s">
        <v>157</v>
      </c>
    </row>
    <row r="4" spans="1:2">
      <c r="A4" t="s">
        <v>158</v>
      </c>
      <c r="B4" t="s">
        <v>159</v>
      </c>
    </row>
    <row r="5" spans="1:2">
      <c r="A5" t="s">
        <v>132</v>
      </c>
      <c r="B5" t="s">
        <v>160</v>
      </c>
    </row>
    <row r="6" spans="1:2">
      <c r="A6" t="s">
        <v>142</v>
      </c>
      <c r="B6" t="s">
        <v>161</v>
      </c>
    </row>
    <row r="7" spans="1:2">
      <c r="A7" t="s">
        <v>141</v>
      </c>
      <c r="B7" t="s">
        <v>162</v>
      </c>
    </row>
    <row r="8" spans="1:2">
      <c r="A8" t="s">
        <v>150</v>
      </c>
      <c r="B8" t="s">
        <v>163</v>
      </c>
    </row>
    <row r="9" spans="1:2">
      <c r="A9" t="s">
        <v>164</v>
      </c>
      <c r="B9" t="s">
        <v>165</v>
      </c>
    </row>
    <row r="10" spans="1:2">
      <c r="A10" t="s">
        <v>127</v>
      </c>
      <c r="B10" t="s">
        <v>166</v>
      </c>
    </row>
    <row r="11" spans="1:2">
      <c r="A11" t="s">
        <v>130</v>
      </c>
      <c r="B11" t="s">
        <v>167</v>
      </c>
    </row>
    <row r="12" spans="1:2">
      <c r="A12" t="s">
        <v>168</v>
      </c>
      <c r="B12" t="s">
        <v>169</v>
      </c>
    </row>
    <row r="13" spans="1:2">
      <c r="A13" t="s">
        <v>170</v>
      </c>
      <c r="B13" t="s">
        <v>171</v>
      </c>
    </row>
    <row r="14" spans="1:2">
      <c r="A14" t="s">
        <v>172</v>
      </c>
      <c r="B14" t="s">
        <v>173</v>
      </c>
    </row>
    <row r="15" spans="1:2">
      <c r="A15" t="s">
        <v>131</v>
      </c>
      <c r="B15" t="s">
        <v>174</v>
      </c>
    </row>
    <row r="16" spans="1:2">
      <c r="A16" t="s">
        <v>144</v>
      </c>
      <c r="B16" t="s">
        <v>175</v>
      </c>
    </row>
    <row r="17" spans="1:2">
      <c r="A17" t="s">
        <v>176</v>
      </c>
      <c r="B17" t="s">
        <v>177</v>
      </c>
    </row>
    <row r="18" spans="1:2">
      <c r="A18" t="s">
        <v>143</v>
      </c>
      <c r="B18" t="s">
        <v>178</v>
      </c>
    </row>
    <row r="19" spans="1:2">
      <c r="A19" t="s">
        <v>147</v>
      </c>
      <c r="B19" t="s">
        <v>179</v>
      </c>
    </row>
    <row r="20" spans="1:2">
      <c r="A20" t="s">
        <v>135</v>
      </c>
      <c r="B20" t="s">
        <v>180</v>
      </c>
    </row>
    <row r="21" spans="1:2">
      <c r="A21" t="s">
        <v>137</v>
      </c>
      <c r="B21" t="s">
        <v>181</v>
      </c>
    </row>
    <row r="22" spans="1:2">
      <c r="A22" t="s">
        <v>182</v>
      </c>
      <c r="B22" t="s">
        <v>183</v>
      </c>
    </row>
    <row r="23" spans="1:2">
      <c r="A23" t="s">
        <v>140</v>
      </c>
      <c r="B23" t="s">
        <v>184</v>
      </c>
    </row>
    <row r="24" spans="1:2">
      <c r="A24" t="s">
        <v>151</v>
      </c>
      <c r="B24" t="s">
        <v>185</v>
      </c>
    </row>
    <row r="25" spans="1:2">
      <c r="A25" t="s">
        <v>186</v>
      </c>
      <c r="B25" t="s">
        <v>187</v>
      </c>
    </row>
    <row r="26" spans="1:2">
      <c r="A26" t="s">
        <v>188</v>
      </c>
      <c r="B26" t="s">
        <v>189</v>
      </c>
    </row>
    <row r="27" spans="1:2">
      <c r="A27" t="s">
        <v>190</v>
      </c>
      <c r="B27" t="s">
        <v>191</v>
      </c>
    </row>
    <row r="28" spans="1:2">
      <c r="A28" t="s">
        <v>138</v>
      </c>
      <c r="B28" t="s">
        <v>192</v>
      </c>
    </row>
    <row r="29" spans="1:2">
      <c r="A29" t="s">
        <v>193</v>
      </c>
      <c r="B29" t="s">
        <v>194</v>
      </c>
    </row>
    <row r="30" spans="1:2">
      <c r="A30" t="s">
        <v>195</v>
      </c>
      <c r="B30" t="s">
        <v>196</v>
      </c>
    </row>
    <row r="31" spans="1:2">
      <c r="A31" t="s">
        <v>197</v>
      </c>
      <c r="B31" t="s">
        <v>198</v>
      </c>
    </row>
    <row r="32" spans="1:2">
      <c r="A32" t="s">
        <v>129</v>
      </c>
      <c r="B32" t="s">
        <v>199</v>
      </c>
    </row>
    <row r="33" spans="1:2">
      <c r="A33" t="s">
        <v>200</v>
      </c>
      <c r="B33" t="s">
        <v>201</v>
      </c>
    </row>
    <row r="34" spans="1:2">
      <c r="A34" t="s">
        <v>148</v>
      </c>
      <c r="B34" t="s">
        <v>202</v>
      </c>
    </row>
    <row r="35" spans="1:2">
      <c r="A35" t="s">
        <v>128</v>
      </c>
      <c r="B35" t="s">
        <v>203</v>
      </c>
    </row>
    <row r="36" spans="1:2">
      <c r="A36" t="s">
        <v>136</v>
      </c>
      <c r="B36" t="s">
        <v>204</v>
      </c>
    </row>
    <row r="37" spans="1:2">
      <c r="A37" t="s">
        <v>205</v>
      </c>
      <c r="B37" t="s">
        <v>206</v>
      </c>
    </row>
    <row r="38" spans="1:2">
      <c r="A38" t="s">
        <v>207</v>
      </c>
      <c r="B38" t="s">
        <v>208</v>
      </c>
    </row>
    <row r="39" spans="1:2">
      <c r="A39" t="s">
        <v>133</v>
      </c>
      <c r="B39" t="s">
        <v>209</v>
      </c>
    </row>
    <row r="40" spans="1:2">
      <c r="A40" t="s">
        <v>210</v>
      </c>
      <c r="B40" t="s">
        <v>211</v>
      </c>
    </row>
    <row r="41" spans="1:2">
      <c r="A41" t="s">
        <v>212</v>
      </c>
      <c r="B41" t="s">
        <v>213</v>
      </c>
    </row>
    <row r="42" spans="1:2">
      <c r="A42" t="s">
        <v>145</v>
      </c>
      <c r="B42" t="s">
        <v>214</v>
      </c>
    </row>
    <row r="43" spans="1:2">
      <c r="A43" t="s">
        <v>215</v>
      </c>
      <c r="B43" t="s">
        <v>216</v>
      </c>
    </row>
    <row r="44" spans="1:2">
      <c r="A44" t="s">
        <v>146</v>
      </c>
      <c r="B44" t="s">
        <v>217</v>
      </c>
    </row>
    <row r="45" spans="1:2">
      <c r="A45" t="s">
        <v>134</v>
      </c>
      <c r="B45" t="s">
        <v>218</v>
      </c>
    </row>
    <row r="46" spans="1:2">
      <c r="A46" t="s">
        <v>219</v>
      </c>
      <c r="B46" t="s">
        <v>220</v>
      </c>
    </row>
    <row r="47" spans="1:2">
      <c r="A47" t="s">
        <v>139</v>
      </c>
      <c r="B47" t="s">
        <v>221</v>
      </c>
    </row>
    <row r="48" spans="1:2">
      <c r="A48" t="s">
        <v>222</v>
      </c>
      <c r="B48" t="s">
        <v>223</v>
      </c>
    </row>
    <row r="49" spans="1:2">
      <c r="A49" t="s">
        <v>224</v>
      </c>
      <c r="B49" t="s">
        <v>225</v>
      </c>
    </row>
    <row r="50" spans="1:2">
      <c r="A50" t="s">
        <v>149</v>
      </c>
      <c r="B50" t="s">
        <v>226</v>
      </c>
    </row>
    <row r="51" spans="1:2">
      <c r="A51" t="s">
        <v>227</v>
      </c>
      <c r="B51" t="s">
        <v>228</v>
      </c>
    </row>
    <row r="52" spans="1:2">
      <c r="A52" t="s">
        <v>229</v>
      </c>
      <c r="B52" t="s">
        <v>230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E13F7-06D9-450D-B263-4ACFD8B5CDE8}">
  <sheetPr codeName="Sheet15"/>
  <dimension ref="A1:E53"/>
  <sheetViews>
    <sheetView showGridLines="0" workbookViewId="0">
      <selection activeCell="N19" sqref="N19"/>
    </sheetView>
  </sheetViews>
  <sheetFormatPr defaultRowHeight="15"/>
  <cols>
    <col min="1" max="1" width="15" style="149" bestFit="1" customWidth="1"/>
    <col min="2" max="4" width="23.85546875" style="92" customWidth="1"/>
    <col min="5" max="5" width="9.140625" style="92"/>
  </cols>
  <sheetData>
    <row r="1" spans="1:5">
      <c r="A1" s="138" t="s">
        <v>231</v>
      </c>
      <c r="B1" s="139" t="s">
        <v>232</v>
      </c>
      <c r="C1" s="139" t="s">
        <v>233</v>
      </c>
      <c r="D1" s="139" t="s">
        <v>234</v>
      </c>
    </row>
    <row r="2" spans="1:5">
      <c r="A2" s="142" t="s">
        <v>101</v>
      </c>
      <c r="B2" s="156">
        <f>'[13]competitive_overlay(4)'!B3</f>
        <v>85772</v>
      </c>
      <c r="C2" s="158">
        <f>'[13]competitive_overlay(4)'!C3</f>
        <v>103777</v>
      </c>
      <c r="D2" s="158">
        <f>'[13]competitive_overlay(4)'!D3</f>
        <v>101762</v>
      </c>
    </row>
    <row r="3" spans="1:5">
      <c r="A3" s="142" t="s">
        <v>47</v>
      </c>
      <c r="B3" s="157">
        <f>'[13]competitive_overlay(4)'!B4</f>
        <v>174595</v>
      </c>
      <c r="C3" s="159">
        <f>'[13]competitive_overlay(4)'!C4</f>
        <v>19232</v>
      </c>
      <c r="D3" s="159">
        <f>'[13]competitive_overlay(4)'!D4</f>
        <v>295806</v>
      </c>
    </row>
    <row r="4" spans="1:5">
      <c r="A4" s="142" t="s">
        <v>45</v>
      </c>
      <c r="B4" s="157">
        <f>'[13]competitive_overlay(4)'!B5</f>
        <v>529509</v>
      </c>
      <c r="C4" s="159">
        <f>'[13]competitive_overlay(4)'!C5</f>
        <v>61264</v>
      </c>
      <c r="D4" s="159">
        <f>'[13]competitive_overlay(4)'!D5</f>
        <v>979048</v>
      </c>
    </row>
    <row r="5" spans="1:5">
      <c r="A5" s="142"/>
      <c r="B5" s="166">
        <f>B4/SUM($B4+$C4+$D4)</f>
        <v>0.33730533608608881</v>
      </c>
      <c r="C5" s="167">
        <f>C4/SUM($B4+$C4+$D4)</f>
        <v>3.9026105524133006E-2</v>
      </c>
      <c r="D5" s="167">
        <f>D4/SUM($B4+$C4+$D4)</f>
        <v>0.62366855838977819</v>
      </c>
    </row>
    <row r="6" spans="1:5">
      <c r="A6" s="142"/>
      <c r="B6" s="157"/>
      <c r="C6" s="159"/>
      <c r="D6" s="159"/>
    </row>
    <row r="7" spans="1:5">
      <c r="A7" s="150" t="s">
        <v>231</v>
      </c>
      <c r="B7" s="141" t="s">
        <v>232</v>
      </c>
      <c r="C7" s="141" t="s">
        <v>233</v>
      </c>
      <c r="D7" s="193" t="s">
        <v>234</v>
      </c>
    </row>
    <row r="8" spans="1:5">
      <c r="A8" s="151" t="s">
        <v>101</v>
      </c>
      <c r="B8" s="160">
        <f>'[13]competitive_overlay(4)'!B7</f>
        <v>85617</v>
      </c>
      <c r="C8" s="161">
        <f>'[13]competitive_overlay(4)'!C7</f>
        <v>114872</v>
      </c>
      <c r="D8" s="194">
        <f>'[13]competitive_overlay(4)'!D7</f>
        <v>106517</v>
      </c>
      <c r="E8" s="152"/>
    </row>
    <row r="9" spans="1:5">
      <c r="A9" s="154" t="s">
        <v>47</v>
      </c>
      <c r="B9" s="145">
        <f>'[13]competitive_overlay(4)'!B8</f>
        <v>177486</v>
      </c>
      <c r="C9" s="146">
        <f>'[13]competitive_overlay(4)'!C8</f>
        <v>16341</v>
      </c>
      <c r="D9" s="195">
        <f>'[13]competitive_overlay(4)'!D8</f>
        <v>654319</v>
      </c>
    </row>
    <row r="10" spans="1:5">
      <c r="A10" s="162" t="s">
        <v>45</v>
      </c>
      <c r="B10" s="163">
        <f>'[13]competitive_overlay(4)'!B9</f>
        <v>535855</v>
      </c>
      <c r="C10" s="164">
        <f>'[13]competitive_overlay(4)'!C9</f>
        <v>54918</v>
      </c>
      <c r="D10" s="196">
        <f>'[13]competitive_overlay(4)'!D9</f>
        <v>2147026</v>
      </c>
    </row>
    <row r="11" spans="1:5">
      <c r="A11" s="142"/>
      <c r="B11" s="166">
        <f>B10/SUM($B10+$C10+$D10)</f>
        <v>0.19572474093240591</v>
      </c>
      <c r="C11" s="167">
        <f>C10/SUM($B10+$C10+$D10)</f>
        <v>2.005917892438415E-2</v>
      </c>
      <c r="D11" s="167">
        <f>D10/SUM($B10+$C10+$D10)</f>
        <v>0.78421608014320998</v>
      </c>
    </row>
    <row r="12" spans="1:5">
      <c r="A12" s="142"/>
      <c r="B12" s="157"/>
      <c r="C12" s="159"/>
      <c r="D12" s="159"/>
    </row>
    <row r="13" spans="1:5">
      <c r="A13" s="165" t="s">
        <v>231</v>
      </c>
      <c r="B13" s="141" t="s">
        <v>232</v>
      </c>
      <c r="C13" s="141" t="s">
        <v>233</v>
      </c>
      <c r="D13" s="193" t="s">
        <v>234</v>
      </c>
    </row>
    <row r="14" spans="1:5">
      <c r="A14" s="151" t="s">
        <v>101</v>
      </c>
      <c r="B14" s="160">
        <f>'[13]competitive_overlay(4)'!B11</f>
        <v>86402</v>
      </c>
      <c r="C14" s="161">
        <f>'[13]competitive_overlay(4)'!C11</f>
        <v>80548</v>
      </c>
      <c r="D14" s="194">
        <f>'[13]competitive_overlay(4)'!D11</f>
        <v>97433</v>
      </c>
      <c r="E14" s="152"/>
    </row>
    <row r="15" spans="1:5">
      <c r="A15" s="154" t="s">
        <v>47</v>
      </c>
      <c r="B15" s="145">
        <f>'[13]competitive_overlay(4)'!B12</f>
        <v>191246</v>
      </c>
      <c r="C15" s="146">
        <f>'[13]competitive_overlay(4)'!C12</f>
        <v>2581</v>
      </c>
      <c r="D15" s="195">
        <f>'[13]competitive_overlay(4)'!D12</f>
        <v>233877</v>
      </c>
    </row>
    <row r="16" spans="1:5">
      <c r="A16" s="155" t="s">
        <v>45</v>
      </c>
      <c r="B16" s="147">
        <f>'[13]competitive_overlay(4)'!B13</f>
        <v>582648</v>
      </c>
      <c r="C16" s="148">
        <f>'[13]competitive_overlay(4)'!C13</f>
        <v>8125</v>
      </c>
      <c r="D16" s="197">
        <f>'[13]competitive_overlay(4)'!D13</f>
        <v>565677</v>
      </c>
    </row>
    <row r="17" spans="1:5">
      <c r="A17" s="142"/>
      <c r="B17" s="166">
        <f>B16/SUM($B16+$C16+$D16)</f>
        <v>0.50382463573868308</v>
      </c>
      <c r="C17" s="167">
        <f>C16/SUM($B16+$C16+$D16)</f>
        <v>7.0258117514808253E-3</v>
      </c>
      <c r="D17" s="167">
        <f>D16/SUM($B16+$C16+$D16)</f>
        <v>0.48914955250983616</v>
      </c>
    </row>
    <row r="18" spans="1:5">
      <c r="A18" s="142"/>
      <c r="B18" s="157"/>
      <c r="C18" s="159"/>
      <c r="D18" s="159"/>
    </row>
    <row r="19" spans="1:5">
      <c r="A19" s="150" t="s">
        <v>231</v>
      </c>
      <c r="B19" s="141" t="s">
        <v>232</v>
      </c>
      <c r="C19" s="141" t="s">
        <v>233</v>
      </c>
      <c r="D19" s="193" t="s">
        <v>234</v>
      </c>
    </row>
    <row r="20" spans="1:5">
      <c r="A20" s="151" t="s">
        <v>101</v>
      </c>
      <c r="B20" s="160">
        <f>'[13]competitive_overlay(4)'!B15</f>
        <v>86225</v>
      </c>
      <c r="C20" s="161">
        <f>'[13]competitive_overlay(4)'!C15</f>
        <v>123281</v>
      </c>
      <c r="D20" s="194">
        <f>'[13]competitive_overlay(4)'!D15</f>
        <v>103723</v>
      </c>
      <c r="E20" s="152"/>
    </row>
    <row r="21" spans="1:5">
      <c r="A21" s="154" t="s">
        <v>47</v>
      </c>
      <c r="B21" s="145">
        <f>'[13]competitive_overlay(4)'!B16</f>
        <v>191160</v>
      </c>
      <c r="C21" s="146">
        <f>'[13]competitive_overlay(4)'!C16</f>
        <v>2667</v>
      </c>
      <c r="D21" s="195">
        <f>'[13]competitive_overlay(4)'!D16</f>
        <v>155442</v>
      </c>
    </row>
    <row r="22" spans="1:5">
      <c r="A22" s="155" t="s">
        <v>45</v>
      </c>
      <c r="B22" s="147">
        <f>'[13]competitive_overlay(4)'!B17</f>
        <v>580072</v>
      </c>
      <c r="C22" s="148">
        <f>'[13]competitive_overlay(4)'!C17</f>
        <v>10701</v>
      </c>
      <c r="D22" s="197">
        <f>'[13]competitive_overlay(4)'!D17</f>
        <v>475324</v>
      </c>
    </row>
    <row r="23" spans="1:5">
      <c r="A23" s="142"/>
      <c r="B23" s="166">
        <f>B22/SUM($B22+$C22+$D22)</f>
        <v>0.54410808772560093</v>
      </c>
      <c r="C23" s="167">
        <f>C22/SUM($B22+$C22+$D22)</f>
        <v>1.0037548178073853E-2</v>
      </c>
      <c r="D23" s="167">
        <f>D22/SUM($B22+$C22+$D22)</f>
        <v>0.44585436409632517</v>
      </c>
    </row>
    <row r="24" spans="1:5">
      <c r="A24" s="142"/>
      <c r="B24" s="157"/>
      <c r="C24" s="159"/>
      <c r="D24" s="159"/>
    </row>
    <row r="25" spans="1:5">
      <c r="A25" s="150" t="s">
        <v>231</v>
      </c>
      <c r="B25" s="141" t="s">
        <v>232</v>
      </c>
      <c r="C25" s="141" t="s">
        <v>233</v>
      </c>
      <c r="D25" s="193" t="s">
        <v>234</v>
      </c>
    </row>
    <row r="26" spans="1:5">
      <c r="A26" s="151" t="s">
        <v>101</v>
      </c>
      <c r="B26" s="160">
        <f>'[13]competitive_overlay(4)'!B19</f>
        <v>86207</v>
      </c>
      <c r="C26" s="161">
        <f>'[13]competitive_overlay(4)'!C19</f>
        <v>128341</v>
      </c>
      <c r="D26" s="194">
        <f>'[13]competitive_overlay(4)'!D19</f>
        <v>118918</v>
      </c>
      <c r="E26" s="152"/>
    </row>
    <row r="27" spans="1:5">
      <c r="A27" s="154" t="s">
        <v>47</v>
      </c>
      <c r="B27" s="145">
        <f>'[13]competitive_overlay(4)'!B20</f>
        <v>192417</v>
      </c>
      <c r="C27" s="146">
        <f>'[13]competitive_overlay(4)'!C20</f>
        <v>1410</v>
      </c>
      <c r="D27" s="195">
        <f>'[13]competitive_overlay(4)'!D20</f>
        <v>509933</v>
      </c>
    </row>
    <row r="28" spans="1:5">
      <c r="A28" s="155" t="s">
        <v>45</v>
      </c>
      <c r="B28" s="147">
        <f>'[13]competitive_overlay(4)'!B21</f>
        <v>586024</v>
      </c>
      <c r="C28" s="148">
        <f>'[13]competitive_overlay(4)'!C21</f>
        <v>4749</v>
      </c>
      <c r="D28" s="197">
        <f>'[13]competitive_overlay(4)'!D21</f>
        <v>1594691</v>
      </c>
    </row>
    <row r="29" spans="1:5">
      <c r="A29" s="142"/>
      <c r="B29" s="166">
        <f>B28/SUM($B28+$C28+$D28)</f>
        <v>0.2681462609313171</v>
      </c>
      <c r="C29" s="167">
        <f>C28/SUM($B28+$C28+$D28)</f>
        <v>2.172993927147736E-3</v>
      </c>
      <c r="D29" s="167">
        <f>D28/SUM($B28+$C28+$D28)</f>
        <v>0.72968074514153514</v>
      </c>
    </row>
    <row r="30" spans="1:5">
      <c r="A30" s="142"/>
      <c r="B30" s="157"/>
      <c r="C30" s="159"/>
      <c r="D30" s="159"/>
    </row>
    <row r="31" spans="1:5">
      <c r="A31" s="140" t="s">
        <v>231</v>
      </c>
      <c r="B31" s="141" t="s">
        <v>232</v>
      </c>
      <c r="C31" s="141" t="s">
        <v>233</v>
      </c>
      <c r="D31" s="193" t="s">
        <v>234</v>
      </c>
    </row>
    <row r="32" spans="1:5">
      <c r="A32" s="143" t="s">
        <v>101</v>
      </c>
      <c r="B32" s="160">
        <f>'[13]competitive_overlay(4)'!B23</f>
        <v>76240</v>
      </c>
      <c r="C32" s="161">
        <f>'[13]competitive_overlay(4)'!C23</f>
        <v>99133</v>
      </c>
      <c r="D32" s="194">
        <f>'[13]competitive_overlay(4)'!D23</f>
        <v>124738</v>
      </c>
    </row>
    <row r="33" spans="1:4">
      <c r="A33" s="144" t="s">
        <v>47</v>
      </c>
      <c r="B33" s="145">
        <f>'[13]competitive_overlay(4)'!B24</f>
        <v>84652</v>
      </c>
      <c r="C33" s="146">
        <f>'[13]competitive_overlay(4)'!C24</f>
        <v>109175</v>
      </c>
      <c r="D33" s="195">
        <f>'[13]competitive_overlay(4)'!D24</f>
        <v>3606049</v>
      </c>
    </row>
    <row r="34" spans="1:4">
      <c r="A34" s="143" t="s">
        <v>45</v>
      </c>
      <c r="B34" s="147">
        <f>'[13]competitive_overlay(4)'!B25</f>
        <v>261106</v>
      </c>
      <c r="C34" s="148">
        <f>'[13]competitive_overlay(4)'!C25</f>
        <v>329667</v>
      </c>
      <c r="D34" s="197">
        <f>'[13]competitive_overlay(4)'!D25</f>
        <v>9500672</v>
      </c>
    </row>
    <row r="35" spans="1:4">
      <c r="A35" s="142"/>
      <c r="B35" s="166">
        <f>B34/SUM($B34+$C34+$D34)</f>
        <v>2.5873995250432422E-2</v>
      </c>
      <c r="C35" s="167">
        <f>C34/SUM($B34+$C34+$D34)</f>
        <v>3.2667967768738766E-2</v>
      </c>
      <c r="D35" s="167">
        <f>D34/SUM($B34+$C34+$D34)</f>
        <v>0.94145803698082886</v>
      </c>
    </row>
    <row r="36" spans="1:4">
      <c r="A36" s="142"/>
      <c r="B36" s="157"/>
      <c r="C36" s="159"/>
      <c r="D36" s="159"/>
    </row>
    <row r="37" spans="1:4">
      <c r="A37" s="140" t="s">
        <v>231</v>
      </c>
      <c r="B37" s="141" t="s">
        <v>232</v>
      </c>
      <c r="C37" s="141" t="s">
        <v>233</v>
      </c>
      <c r="D37" s="193" t="s">
        <v>234</v>
      </c>
    </row>
    <row r="38" spans="1:4">
      <c r="A38" s="153" t="s">
        <v>101</v>
      </c>
      <c r="B38" s="160">
        <f>'[13]competitive_overlay(4)'!B27</f>
        <v>79897</v>
      </c>
      <c r="C38" s="161">
        <f>'[13]competitive_overlay(4)'!C27</f>
        <v>90975</v>
      </c>
      <c r="D38" s="194">
        <f>'[13]competitive_overlay(4)'!D27</f>
        <v>91350</v>
      </c>
    </row>
    <row r="39" spans="1:4">
      <c r="A39" s="144" t="s">
        <v>47</v>
      </c>
      <c r="B39" s="145">
        <f>'[13]competitive_overlay(4)'!B28</f>
        <v>57099</v>
      </c>
      <c r="C39" s="146">
        <f>'[13]competitive_overlay(4)'!C28</f>
        <v>136728</v>
      </c>
      <c r="D39" s="195">
        <f>'[13]competitive_overlay(4)'!D28</f>
        <v>677753</v>
      </c>
    </row>
    <row r="40" spans="1:4">
      <c r="A40" s="143" t="s">
        <v>45</v>
      </c>
      <c r="B40" s="147">
        <f>'[13]competitive_overlay(4)'!B29</f>
        <v>172538</v>
      </c>
      <c r="C40" s="148">
        <f>'[13]competitive_overlay(4)'!C29</f>
        <v>418235</v>
      </c>
      <c r="D40" s="197">
        <f>'[13]competitive_overlay(4)'!D29</f>
        <v>2337682</v>
      </c>
    </row>
    <row r="41" spans="1:4">
      <c r="A41" s="142"/>
      <c r="B41" s="166">
        <f>B40/SUM($B40+$C40+$D40)</f>
        <v>5.8917756974240683E-2</v>
      </c>
      <c r="C41" s="167">
        <f>C40/SUM($B40+$C40+$D40)</f>
        <v>0.14281762909110776</v>
      </c>
      <c r="D41" s="167">
        <f>D40/SUM($B40+$C40+$D40)</f>
        <v>0.79826461393465153</v>
      </c>
    </row>
    <row r="42" spans="1:4">
      <c r="A42" s="142"/>
      <c r="B42" s="157"/>
      <c r="C42" s="159"/>
      <c r="D42" s="159"/>
    </row>
    <row r="43" spans="1:4">
      <c r="A43" s="140" t="s">
        <v>231</v>
      </c>
      <c r="B43" s="141" t="s">
        <v>232</v>
      </c>
      <c r="C43" s="141" t="s">
        <v>233</v>
      </c>
      <c r="D43" s="193" t="s">
        <v>234</v>
      </c>
    </row>
    <row r="44" spans="1:4">
      <c r="A44" s="153" t="s">
        <v>101</v>
      </c>
      <c r="B44" s="160">
        <f>'[13]competitive_overlay(4)'!B31</f>
        <v>81235</v>
      </c>
      <c r="C44" s="161">
        <f>'[13]competitive_overlay(4)'!C31</f>
        <v>95521</v>
      </c>
      <c r="D44" s="194">
        <f>'[13]competitive_overlay(4)'!D31</f>
        <v>91054</v>
      </c>
    </row>
    <row r="45" spans="1:4">
      <c r="A45" s="144" t="s">
        <v>47</v>
      </c>
      <c r="B45" s="145">
        <f>'[13]competitive_overlay(4)'!B32</f>
        <v>103191</v>
      </c>
      <c r="C45" s="146">
        <f>'[13]competitive_overlay(4)'!C32</f>
        <v>90636</v>
      </c>
      <c r="D45" s="195">
        <f>'[13]competitive_overlay(4)'!D32</f>
        <v>414225</v>
      </c>
    </row>
    <row r="46" spans="1:4">
      <c r="A46" s="143" t="s">
        <v>45</v>
      </c>
      <c r="B46" s="147">
        <f>'[13]competitive_overlay(4)'!B33</f>
        <v>301919</v>
      </c>
      <c r="C46" s="148">
        <f>'[13]competitive_overlay(4)'!C33</f>
        <v>288854</v>
      </c>
      <c r="D46" s="197">
        <f>'[13]competitive_overlay(4)'!D33</f>
        <v>1450310</v>
      </c>
    </row>
    <row r="47" spans="1:4">
      <c r="A47" s="142"/>
      <c r="B47" s="166">
        <f>B46/SUM($B46+$C46+$D46)</f>
        <v>0.14792098116539112</v>
      </c>
      <c r="C47" s="167">
        <f>C46/SUM($B46+$C46+$D46)</f>
        <v>0.14151996758583557</v>
      </c>
      <c r="D47" s="167">
        <f>D46/SUM($B46+$C46+$D46)</f>
        <v>0.71055905124877328</v>
      </c>
    </row>
    <row r="48" spans="1:4">
      <c r="A48" s="142"/>
      <c r="B48" s="157"/>
      <c r="C48" s="159"/>
      <c r="D48" s="159"/>
    </row>
    <row r="49" spans="1:4">
      <c r="A49" s="140" t="s">
        <v>231</v>
      </c>
      <c r="B49" s="141" t="s">
        <v>232</v>
      </c>
      <c r="C49" s="141" t="s">
        <v>233</v>
      </c>
      <c r="D49" s="193" t="s">
        <v>234</v>
      </c>
    </row>
    <row r="50" spans="1:4">
      <c r="A50" s="153" t="s">
        <v>101</v>
      </c>
      <c r="B50" s="160">
        <f>'[13]competitive_overlay(4)'!B35</f>
        <v>85928</v>
      </c>
      <c r="C50" s="161">
        <f>'[13]competitive_overlay(4)'!C35</f>
        <v>145432</v>
      </c>
      <c r="D50" s="194">
        <f>'[13]competitive_overlay(4)'!D35</f>
        <v>91307</v>
      </c>
    </row>
    <row r="51" spans="1:4">
      <c r="A51" s="144" t="s">
        <v>47</v>
      </c>
      <c r="B51" s="145">
        <f>'[13]competitive_overlay(4)'!B36</f>
        <v>189806</v>
      </c>
      <c r="C51" s="146">
        <f>'[13]competitive_overlay(4)'!C36</f>
        <v>4021</v>
      </c>
      <c r="D51" s="195">
        <f>'[13]competitive_overlay(4)'!D36</f>
        <v>174229</v>
      </c>
    </row>
    <row r="52" spans="1:4">
      <c r="A52" s="143" t="s">
        <v>45</v>
      </c>
      <c r="B52" s="147">
        <f>'[13]competitive_overlay(4)'!B37</f>
        <v>575705</v>
      </c>
      <c r="C52" s="148">
        <f>'[13]competitive_overlay(4)'!C37</f>
        <v>15068</v>
      </c>
      <c r="D52" s="197">
        <f>'[13]competitive_overlay(4)'!D37</f>
        <v>597062</v>
      </c>
    </row>
    <row r="53" spans="1:4">
      <c r="A53" s="142"/>
      <c r="B53" s="166">
        <f>B52/SUM($B52+$C52+$D52)</f>
        <v>0.48466748327840148</v>
      </c>
      <c r="C53" s="167">
        <f>C52/SUM($B52+$C52+$D52)</f>
        <v>1.2685263525658024E-2</v>
      </c>
      <c r="D53" s="167">
        <f>D52/SUM($B52+$C52+$D52)</f>
        <v>0.5026472531959405</v>
      </c>
    </row>
  </sheetData>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193871696CE0D4E9777966764AC6492" ma:contentTypeVersion="18" ma:contentTypeDescription="Create a new document." ma:contentTypeScope="" ma:versionID="7ec0389f65529977eaa213a99400326b">
  <xsd:schema xmlns:xsd="http://www.w3.org/2001/XMLSchema" xmlns:xs="http://www.w3.org/2001/XMLSchema" xmlns:p="http://schemas.microsoft.com/office/2006/metadata/properties" xmlns:ns2="259101c1-9551-4334-b989-73056c36b22d" xmlns:ns3="3a1bded6-fae6-4339-abbb-8f6b8b0f3251" targetNamespace="http://schemas.microsoft.com/office/2006/metadata/properties" ma:root="true" ma:fieldsID="b0e5ca86d2d44d5636dc56763c6e1caa" ns2:_="" ns3:_="">
    <xsd:import namespace="259101c1-9551-4334-b989-73056c36b22d"/>
    <xsd:import namespace="3a1bded6-fae6-4339-abbb-8f6b8b0f325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9101c1-9551-4334-b989-73056c36b2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7638ff1-0913-4b5c-985b-9e2935e1b0f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1bded6-fae6-4339-abbb-8f6b8b0f3251"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134bc744-dfcd-411e-af6b-20ddb95ce7ca}" ma:internalName="TaxCatchAll" ma:showField="CatchAllData" ma:web="3a1bded6-fae6-4339-abbb-8f6b8b0f3251">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59101c1-9551-4334-b989-73056c36b22d">
      <Terms xmlns="http://schemas.microsoft.com/office/infopath/2007/PartnerControls"/>
    </lcf76f155ced4ddcb4097134ff3c332f>
    <TaxCatchAll xmlns="3a1bded6-fae6-4339-abbb-8f6b8b0f3251" xsi:nil="true"/>
    <MediaLengthInSeconds xmlns="259101c1-9551-4334-b989-73056c36b22d" xsi:nil="true"/>
    <SharedWithUsers xmlns="3a1bded6-fae6-4339-abbb-8f6b8b0f3251">
      <UserInfo>
        <DisplayName/>
        <AccountId xsi:nil="true"/>
        <AccountType/>
      </UserInfo>
    </SharedWithUsers>
  </documentManagement>
</p:properties>
</file>

<file path=customXml/itemProps1.xml><?xml version="1.0" encoding="utf-8"?>
<ds:datastoreItem xmlns:ds="http://schemas.openxmlformats.org/officeDocument/2006/customXml" ds:itemID="{9545F428-C0C5-4D36-B63E-70FCB5557A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9101c1-9551-4334-b989-73056c36b22d"/>
    <ds:schemaRef ds:uri="3a1bded6-fae6-4339-abbb-8f6b8b0f32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F46610-6A57-4A4E-A5B7-5B1C9426C663}">
  <ds:schemaRefs>
    <ds:schemaRef ds:uri="http://schemas.microsoft.com/sharepoint/v3/contenttype/forms"/>
  </ds:schemaRefs>
</ds:datastoreItem>
</file>

<file path=customXml/itemProps3.xml><?xml version="1.0" encoding="utf-8"?>
<ds:datastoreItem xmlns:ds="http://schemas.openxmlformats.org/officeDocument/2006/customXml" ds:itemID="{AA83A634-7680-4274-B0EB-A8CBE86FE88F}">
  <ds:schemaRefs>
    <ds:schemaRef ds:uri="http://purl.org/dc/terms/"/>
    <ds:schemaRef ds:uri="http://schemas.microsoft.com/office/2006/metadata/properties"/>
    <ds:schemaRef ds:uri="http://schemas.microsoft.com/office/2006/documentManagement/types"/>
    <ds:schemaRef ds:uri="259101c1-9551-4334-b989-73056c36b22d"/>
    <ds:schemaRef ds:uri="http://purl.org/dc/elements/1.1/"/>
    <ds:schemaRef ds:uri="http://schemas.microsoft.com/office/infopath/2007/PartnerControls"/>
    <ds:schemaRef ds:uri="3a1bded6-fae6-4339-abbb-8f6b8b0f3251"/>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INSTRUCTIONS</vt:lpstr>
      <vt:lpstr>LeasingInfographic</vt:lpstr>
      <vt:lpstr>DemoInfographic</vt:lpstr>
      <vt:lpstr>CompetitiveMarketPosition</vt:lpstr>
      <vt:lpstr>MileageDemo</vt:lpstr>
      <vt:lpstr>DrawDemo</vt:lpstr>
      <vt:lpstr>ZipCodes</vt:lpstr>
      <vt:lpstr>DistanceTravelled</vt:lpstr>
      <vt:lpstr>Frequency</vt:lpstr>
      <vt:lpstr>Duration</vt:lpstr>
      <vt:lpstr>States</vt:lpstr>
      <vt:lpstr>Summary</vt:lpstr>
      <vt:lpstr>YOY Change</vt:lpstr>
      <vt:lpstr>Prev Year</vt:lpstr>
      <vt:lpstr>-State Lookup-</vt:lpstr>
      <vt:lpstr>Overlay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Vanessa Banks</dc:creator>
  <cp:keywords/>
  <dc:description/>
  <cp:lastModifiedBy>Daniel Galang</cp:lastModifiedBy>
  <cp:revision/>
  <dcterms:created xsi:type="dcterms:W3CDTF">2016-04-12T18:30:31Z</dcterms:created>
  <dcterms:modified xsi:type="dcterms:W3CDTF">2025-11-18T16:00:14Z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0x0101007193871696CE0D4E9777966764AC6492</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